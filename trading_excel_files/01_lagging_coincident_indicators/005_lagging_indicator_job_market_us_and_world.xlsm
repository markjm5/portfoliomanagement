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tables/table3.xml" ContentType="application/vnd.openxmlformats-officedocument.spreadsheetml.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4"/>
  <workbookPr codeName="ThisWorkbook" defaultThemeVersion="124226"/>
  <mc:AlternateContent xmlns:mc="http://schemas.openxmlformats.org/markup-compatibility/2006">
    <mc:Choice Requires="x15">
      <x15ac:absPath xmlns:x15ac="http://schemas.microsoft.com/office/spreadsheetml/2010/11/ac" url="/Users/markmukherjee/Desktop/Trading_Excel_Files/01_Lagging_Coincident_Indicators/"/>
    </mc:Choice>
  </mc:AlternateContent>
  <xr:revisionPtr revIDLastSave="0" documentId="13_ncr:1_{85A6470D-284B-1146-8F4A-B10BC02499D3}" xr6:coauthVersionLast="47" xr6:coauthVersionMax="47" xr10:uidLastSave="{00000000-0000-0000-0000-000000000000}"/>
  <bookViews>
    <workbookView xWindow="-49500" yWindow="520" windowWidth="36300" windowHeight="26200" activeTab="6" xr2:uid="{00000000-000D-0000-FFFF-FFFF00000000}"/>
  </bookViews>
  <sheets>
    <sheet name="Note" sheetId="19" r:id="rId1"/>
    <sheet name="Database" sheetId="10" r:id="rId2"/>
    <sheet name="NFP" sheetId="2" r:id="rId3"/>
    <sheet name="Claims" sheetId="14" r:id="rId4"/>
    <sheet name="Graphs" sheetId="8" r:id="rId5"/>
    <sheet name="ADP" sheetId="12" r:id="rId6"/>
    <sheet name="Data World" sheetId="16" r:id="rId7"/>
    <sheet name="World" sheetId="17" r:id="rId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1003" i="2" l="1"/>
  <c r="C247" i="12"/>
  <c r="E247" i="12"/>
  <c r="C248" i="12"/>
  <c r="E248" i="12"/>
  <c r="C249" i="12"/>
  <c r="E249" i="12"/>
  <c r="B2855" i="14"/>
  <c r="C2855" i="14" s="1"/>
  <c r="D2855" i="14"/>
  <c r="E2855" i="14" s="1"/>
  <c r="B2852" i="14"/>
  <c r="D2852" i="14"/>
  <c r="B2853" i="14"/>
  <c r="D2853" i="14"/>
  <c r="E2853" i="14" s="1"/>
  <c r="B2854" i="14"/>
  <c r="C2854" i="14" s="1"/>
  <c r="D2854" i="14"/>
  <c r="B1003" i="2"/>
  <c r="C1003" i="2" s="1"/>
  <c r="E1003" i="2"/>
  <c r="G1003" i="2"/>
  <c r="B2850" i="14"/>
  <c r="D2850" i="14"/>
  <c r="E2850" i="14" s="1"/>
  <c r="B2851" i="14"/>
  <c r="C2851" i="14" s="1"/>
  <c r="D2851" i="14"/>
  <c r="E2851" i="14" s="1"/>
  <c r="B2847" i="14"/>
  <c r="D2847" i="14"/>
  <c r="B2848" i="14"/>
  <c r="C2848" i="14" s="1"/>
  <c r="D2848" i="14"/>
  <c r="B2849" i="14"/>
  <c r="D2849" i="14"/>
  <c r="B2843" i="14"/>
  <c r="D2843" i="14"/>
  <c r="B2844" i="14"/>
  <c r="C2844" i="14" s="1"/>
  <c r="D2844" i="14"/>
  <c r="B2845" i="14"/>
  <c r="C2845" i="14" s="1"/>
  <c r="D2845" i="14"/>
  <c r="E2845" i="14" s="1"/>
  <c r="B2846" i="14"/>
  <c r="C2846" i="14" s="1"/>
  <c r="D2846" i="14"/>
  <c r="B1001" i="2"/>
  <c r="E1001" i="2"/>
  <c r="G1001" i="2"/>
  <c r="B1002" i="2"/>
  <c r="E1002" i="2"/>
  <c r="G1002" i="2"/>
  <c r="C246" i="12"/>
  <c r="B2839" i="14"/>
  <c r="D2839" i="14"/>
  <c r="B2840" i="14"/>
  <c r="C2840" i="14" s="1"/>
  <c r="D2840" i="14"/>
  <c r="B2841" i="14"/>
  <c r="C2841" i="14" s="1"/>
  <c r="D2841" i="14"/>
  <c r="E2841" i="14" s="1"/>
  <c r="B2842" i="14"/>
  <c r="D2842" i="14"/>
  <c r="B1000" i="2"/>
  <c r="E1000" i="2"/>
  <c r="G1000" i="2"/>
  <c r="C75" i="17"/>
  <c r="D75" i="17"/>
  <c r="E75" i="17"/>
  <c r="F75" i="17"/>
  <c r="G75" i="17"/>
  <c r="H75" i="17"/>
  <c r="I75" i="17"/>
  <c r="J75" i="17"/>
  <c r="K75" i="17"/>
  <c r="L75" i="17"/>
  <c r="M75" i="17"/>
  <c r="N75" i="17"/>
  <c r="O75" i="17"/>
  <c r="Q75" i="17"/>
  <c r="R75" i="17"/>
  <c r="S75" i="17"/>
  <c r="T75" i="17"/>
  <c r="C76" i="17"/>
  <c r="D76" i="17"/>
  <c r="E76" i="17"/>
  <c r="F76" i="17"/>
  <c r="G76" i="17"/>
  <c r="I76" i="17"/>
  <c r="J76" i="17"/>
  <c r="K76" i="17"/>
  <c r="L76" i="17"/>
  <c r="M76" i="17"/>
  <c r="N76" i="17"/>
  <c r="O76" i="17"/>
  <c r="Q76" i="17"/>
  <c r="S76" i="17"/>
  <c r="T76" i="17"/>
  <c r="C69" i="17"/>
  <c r="D69" i="17"/>
  <c r="E69" i="17"/>
  <c r="F69" i="17"/>
  <c r="G69" i="17"/>
  <c r="H69" i="17"/>
  <c r="I69" i="17"/>
  <c r="J69" i="17"/>
  <c r="K69" i="17"/>
  <c r="L69" i="17"/>
  <c r="M69" i="17"/>
  <c r="N69" i="17"/>
  <c r="O69" i="17"/>
  <c r="P69" i="17"/>
  <c r="Q69" i="17"/>
  <c r="R69" i="17"/>
  <c r="S69" i="17"/>
  <c r="T69" i="17"/>
  <c r="C70" i="17"/>
  <c r="D70" i="17"/>
  <c r="E70" i="17"/>
  <c r="F70" i="17"/>
  <c r="G70" i="17"/>
  <c r="H70" i="17"/>
  <c r="I70" i="17"/>
  <c r="J70" i="17"/>
  <c r="K70" i="17"/>
  <c r="L70" i="17"/>
  <c r="M70" i="17"/>
  <c r="N70" i="17"/>
  <c r="O70" i="17"/>
  <c r="P70" i="17"/>
  <c r="Q70" i="17"/>
  <c r="R70" i="17"/>
  <c r="S70" i="17"/>
  <c r="T70" i="17"/>
  <c r="C71" i="17"/>
  <c r="D71" i="17"/>
  <c r="E71" i="17"/>
  <c r="F71" i="17"/>
  <c r="G71" i="17"/>
  <c r="H71" i="17"/>
  <c r="I71" i="17"/>
  <c r="J71" i="17"/>
  <c r="K71" i="17"/>
  <c r="L71" i="17"/>
  <c r="M71" i="17"/>
  <c r="N71" i="17"/>
  <c r="O71" i="17"/>
  <c r="P71" i="17"/>
  <c r="Q71" i="17"/>
  <c r="R71" i="17"/>
  <c r="S71" i="17"/>
  <c r="T71" i="17"/>
  <c r="C72" i="17"/>
  <c r="D72" i="17"/>
  <c r="E72" i="17"/>
  <c r="F72" i="17"/>
  <c r="G72" i="17"/>
  <c r="H72" i="17"/>
  <c r="I72" i="17"/>
  <c r="J72" i="17"/>
  <c r="K72" i="17"/>
  <c r="L72" i="17"/>
  <c r="M72" i="17"/>
  <c r="N72" i="17"/>
  <c r="O72" i="17"/>
  <c r="P72" i="17"/>
  <c r="Q72" i="17"/>
  <c r="R72" i="17"/>
  <c r="S72" i="17"/>
  <c r="T72" i="17"/>
  <c r="C73" i="17"/>
  <c r="D73" i="17"/>
  <c r="E73" i="17"/>
  <c r="F73" i="17"/>
  <c r="G73" i="17"/>
  <c r="H73" i="17"/>
  <c r="I73" i="17"/>
  <c r="J73" i="17"/>
  <c r="K73" i="17"/>
  <c r="L73" i="17"/>
  <c r="M73" i="17"/>
  <c r="N73" i="17"/>
  <c r="O73" i="17"/>
  <c r="P73" i="17"/>
  <c r="Q73" i="17"/>
  <c r="R73" i="17"/>
  <c r="S73" i="17"/>
  <c r="T73" i="17"/>
  <c r="C74" i="17"/>
  <c r="D74" i="17"/>
  <c r="E74" i="17"/>
  <c r="F74" i="17"/>
  <c r="G74" i="17"/>
  <c r="H74" i="17"/>
  <c r="I74" i="17"/>
  <c r="J74" i="17"/>
  <c r="K74" i="17"/>
  <c r="L74" i="17"/>
  <c r="M74" i="17"/>
  <c r="N74" i="17"/>
  <c r="O74" i="17"/>
  <c r="P74" i="17"/>
  <c r="Q74" i="17"/>
  <c r="R74" i="17"/>
  <c r="S74" i="17"/>
  <c r="T74" i="17"/>
  <c r="C2843" i="14" l="1"/>
  <c r="E2849" i="14"/>
  <c r="E2854" i="14"/>
  <c r="E2848" i="14"/>
  <c r="E2846" i="14"/>
  <c r="C2853" i="14"/>
  <c r="E2852" i="14"/>
  <c r="C2852" i="14"/>
  <c r="C1001" i="2"/>
  <c r="E2843" i="14"/>
  <c r="E2842" i="14"/>
  <c r="C2849" i="14"/>
  <c r="E2847" i="14"/>
  <c r="C2847" i="14"/>
  <c r="E2844" i="14"/>
  <c r="C2850" i="14"/>
  <c r="C1002" i="2"/>
  <c r="D1003" i="2" s="1"/>
  <c r="C2842" i="14"/>
  <c r="E2840" i="14"/>
  <c r="C242" i="12"/>
  <c r="C243" i="12"/>
  <c r="C244" i="12"/>
  <c r="C245" i="12"/>
  <c r="B2828" i="14"/>
  <c r="D2828" i="14"/>
  <c r="B2829" i="14"/>
  <c r="C2829" i="14" s="1"/>
  <c r="D2829" i="14"/>
  <c r="B2830" i="14"/>
  <c r="D2830" i="14"/>
  <c r="E2830" i="14" s="1"/>
  <c r="B2831" i="14"/>
  <c r="C2831" i="14" s="1"/>
  <c r="D2831" i="14"/>
  <c r="B2832" i="14"/>
  <c r="D2832" i="14"/>
  <c r="B2833" i="14"/>
  <c r="D2833" i="14"/>
  <c r="B2834" i="14"/>
  <c r="D2834" i="14"/>
  <c r="B2835" i="14"/>
  <c r="C2835" i="14" s="1"/>
  <c r="D2835" i="14"/>
  <c r="B2836" i="14"/>
  <c r="D2836" i="14"/>
  <c r="E2836" i="14" s="1"/>
  <c r="B2837" i="14"/>
  <c r="D2837" i="14"/>
  <c r="B2838" i="14"/>
  <c r="C2839" i="14" s="1"/>
  <c r="D2838" i="14"/>
  <c r="E2839" i="14" s="1"/>
  <c r="B997" i="2"/>
  <c r="E997" i="2"/>
  <c r="G997" i="2"/>
  <c r="B998" i="2"/>
  <c r="E998" i="2"/>
  <c r="G998" i="2"/>
  <c r="B999" i="2"/>
  <c r="C1000" i="2" s="1"/>
  <c r="E999" i="2"/>
  <c r="G999" i="2"/>
  <c r="C241" i="12"/>
  <c r="B2824" i="14"/>
  <c r="D2824" i="14"/>
  <c r="B2825" i="14"/>
  <c r="D2825" i="14"/>
  <c r="B2826" i="14"/>
  <c r="D2826" i="14"/>
  <c r="B2827" i="14"/>
  <c r="D2827" i="14"/>
  <c r="B996" i="2"/>
  <c r="E996" i="2"/>
  <c r="G996" i="2"/>
  <c r="B2818" i="14"/>
  <c r="D2818" i="14"/>
  <c r="B2819" i="14"/>
  <c r="D2819" i="14"/>
  <c r="B2820" i="14"/>
  <c r="D2820" i="14"/>
  <c r="B2821" i="14"/>
  <c r="D2821" i="14"/>
  <c r="E2821" i="14" s="1"/>
  <c r="B2822" i="14"/>
  <c r="D2822" i="14"/>
  <c r="B2823" i="14"/>
  <c r="D2823" i="14"/>
  <c r="B995" i="2"/>
  <c r="E995" i="2"/>
  <c r="G995" i="2"/>
  <c r="C239" i="12"/>
  <c r="C240" i="12"/>
  <c r="B2816" i="14"/>
  <c r="D2816" i="14"/>
  <c r="B2817" i="14"/>
  <c r="D2817" i="14"/>
  <c r="B994" i="2"/>
  <c r="E994" i="2"/>
  <c r="G994" i="2"/>
  <c r="E2823" i="14" l="1"/>
  <c r="C2837" i="14"/>
  <c r="C2819" i="14"/>
  <c r="E246" i="12"/>
  <c r="D1002" i="2"/>
  <c r="E2833" i="14"/>
  <c r="E2831" i="14"/>
  <c r="C998" i="2"/>
  <c r="E2835" i="14"/>
  <c r="E2829" i="14"/>
  <c r="C2826" i="14"/>
  <c r="C2834" i="14"/>
  <c r="C2838" i="14"/>
  <c r="C2832" i="14"/>
  <c r="C2825" i="14"/>
  <c r="C2833" i="14"/>
  <c r="E2838" i="14"/>
  <c r="E2832" i="14"/>
  <c r="E2837" i="14"/>
  <c r="C2836" i="14"/>
  <c r="C2830" i="14"/>
  <c r="E2826" i="14"/>
  <c r="E2834" i="14"/>
  <c r="E2828" i="14"/>
  <c r="C2828" i="14"/>
  <c r="C995" i="2"/>
  <c r="E241" i="12" s="1"/>
  <c r="C999" i="2"/>
  <c r="C996" i="2"/>
  <c r="E242" i="12" s="1"/>
  <c r="C997" i="2"/>
  <c r="E2827" i="14"/>
  <c r="C2827" i="14"/>
  <c r="E2825" i="14"/>
  <c r="E2819" i="14"/>
  <c r="C2821" i="14"/>
  <c r="E2820" i="14"/>
  <c r="E2824" i="14"/>
  <c r="C2824" i="14"/>
  <c r="E2817" i="14"/>
  <c r="C2820" i="14"/>
  <c r="C2823" i="14"/>
  <c r="E2822" i="14"/>
  <c r="C2822" i="14"/>
  <c r="C2817" i="14"/>
  <c r="E2818" i="14"/>
  <c r="C2818" i="14"/>
  <c r="B2815" i="14"/>
  <c r="D2815" i="14"/>
  <c r="B2813" i="14"/>
  <c r="D2813" i="14"/>
  <c r="B2814" i="14"/>
  <c r="D2814" i="14"/>
  <c r="B2811" i="14"/>
  <c r="D2811" i="14"/>
  <c r="B2812" i="14"/>
  <c r="D2812" i="14"/>
  <c r="B2808" i="14"/>
  <c r="D2808" i="14"/>
  <c r="B2809" i="14"/>
  <c r="C2809" i="14" s="1"/>
  <c r="D2809" i="14"/>
  <c r="B2810" i="14"/>
  <c r="D2810" i="14"/>
  <c r="B993" i="2"/>
  <c r="C994" i="2" s="1"/>
  <c r="E993" i="2"/>
  <c r="G993" i="2"/>
  <c r="E245" i="12" l="1"/>
  <c r="D1001" i="2"/>
  <c r="E244" i="12"/>
  <c r="D1000" i="2"/>
  <c r="D999" i="2"/>
  <c r="E243" i="12"/>
  <c r="D998" i="2"/>
  <c r="D997" i="2"/>
  <c r="E2809" i="14"/>
  <c r="E240" i="12"/>
  <c r="D996" i="2"/>
  <c r="C2814" i="14"/>
  <c r="E2815" i="14"/>
  <c r="C2813" i="14"/>
  <c r="E2812" i="14"/>
  <c r="E2810" i="14"/>
  <c r="E2813" i="14"/>
  <c r="C2815" i="14"/>
  <c r="C2816" i="14"/>
  <c r="E2816" i="14"/>
  <c r="C2812" i="14"/>
  <c r="E2811" i="14"/>
  <c r="C2811" i="14"/>
  <c r="E2814" i="14"/>
  <c r="C2810" i="14"/>
  <c r="C68" i="17"/>
  <c r="D68" i="17"/>
  <c r="E68" i="17"/>
  <c r="F68" i="17"/>
  <c r="G68" i="17"/>
  <c r="H68" i="17"/>
  <c r="I68" i="17"/>
  <c r="J68" i="17"/>
  <c r="K68" i="17"/>
  <c r="L68" i="17"/>
  <c r="M68" i="17"/>
  <c r="N68" i="17"/>
  <c r="O68" i="17"/>
  <c r="P68" i="17"/>
  <c r="Q68" i="17"/>
  <c r="R68" i="17"/>
  <c r="S68" i="17"/>
  <c r="T68" i="17"/>
  <c r="C236" i="12" l="1"/>
  <c r="C237" i="12"/>
  <c r="C238" i="12"/>
  <c r="B2805" i="14"/>
  <c r="D2805" i="14"/>
  <c r="B2806" i="14"/>
  <c r="D2806" i="14"/>
  <c r="B2807" i="14"/>
  <c r="D2807" i="14"/>
  <c r="B992" i="2"/>
  <c r="C993" i="2" s="1"/>
  <c r="E992" i="2"/>
  <c r="G992" i="2"/>
  <c r="E2806" i="14" l="1"/>
  <c r="E239" i="12"/>
  <c r="D995" i="2"/>
  <c r="C2806" i="14"/>
  <c r="E2807" i="14"/>
  <c r="E2808" i="14"/>
  <c r="C2807" i="14"/>
  <c r="C2808" i="14"/>
  <c r="B2804" i="14"/>
  <c r="D2804" i="14"/>
  <c r="B2801" i="14"/>
  <c r="D2801" i="14"/>
  <c r="B2802" i="14"/>
  <c r="D2802" i="14"/>
  <c r="B2803" i="14"/>
  <c r="D2803" i="14"/>
  <c r="B2799" i="14"/>
  <c r="D2799" i="14"/>
  <c r="B2800" i="14"/>
  <c r="D2800" i="14"/>
  <c r="B2796" i="14"/>
  <c r="D2796" i="14"/>
  <c r="B2797" i="14"/>
  <c r="D2797" i="14"/>
  <c r="B2798" i="14"/>
  <c r="D2798" i="14"/>
  <c r="B990" i="2"/>
  <c r="E990" i="2"/>
  <c r="G990" i="2"/>
  <c r="B991" i="2"/>
  <c r="C992" i="2" s="1"/>
  <c r="E991" i="2"/>
  <c r="G991" i="2"/>
  <c r="C2800" i="14" l="1"/>
  <c r="E238" i="12"/>
  <c r="D994" i="2"/>
  <c r="C2802" i="14"/>
  <c r="C2804" i="14"/>
  <c r="E2798" i="14"/>
  <c r="C2797" i="14"/>
  <c r="E2804" i="14"/>
  <c r="E2800" i="14"/>
  <c r="C2805" i="14"/>
  <c r="E2805" i="14"/>
  <c r="E2802" i="14"/>
  <c r="E2797" i="14"/>
  <c r="C2798" i="14"/>
  <c r="C991" i="2"/>
  <c r="E2799" i="14"/>
  <c r="C2799" i="14"/>
  <c r="E2803" i="14"/>
  <c r="C2803" i="14"/>
  <c r="E2801" i="14"/>
  <c r="C2801" i="14"/>
  <c r="B2795" i="14"/>
  <c r="C2796" i="14" s="1"/>
  <c r="D2795" i="14"/>
  <c r="E2796" i="14" s="1"/>
  <c r="E237" i="12" l="1"/>
  <c r="D993" i="2"/>
  <c r="C66" i="17"/>
  <c r="D66" i="17"/>
  <c r="E66" i="17"/>
  <c r="F66" i="17"/>
  <c r="G66" i="17"/>
  <c r="H66" i="17"/>
  <c r="I66" i="17"/>
  <c r="J66" i="17"/>
  <c r="K66" i="17"/>
  <c r="L66" i="17"/>
  <c r="M66" i="17"/>
  <c r="N66" i="17"/>
  <c r="O66" i="17"/>
  <c r="P66" i="17"/>
  <c r="Q66" i="17"/>
  <c r="R66" i="17"/>
  <c r="S66" i="17"/>
  <c r="T66" i="17"/>
  <c r="C67" i="17"/>
  <c r="D67" i="17"/>
  <c r="E67" i="17"/>
  <c r="F67" i="17"/>
  <c r="G67" i="17"/>
  <c r="H67" i="17"/>
  <c r="I67" i="17"/>
  <c r="J67" i="17"/>
  <c r="K67" i="17"/>
  <c r="L67" i="17"/>
  <c r="M67" i="17"/>
  <c r="N67" i="17"/>
  <c r="O67" i="17"/>
  <c r="P67" i="17"/>
  <c r="Q67" i="17"/>
  <c r="R67" i="17"/>
  <c r="S67" i="17"/>
  <c r="T67" i="17"/>
  <c r="C58" i="17"/>
  <c r="D58" i="17"/>
  <c r="E58" i="17"/>
  <c r="F58" i="17"/>
  <c r="G58" i="17"/>
  <c r="H58" i="17"/>
  <c r="I58" i="17"/>
  <c r="J58" i="17"/>
  <c r="K58" i="17"/>
  <c r="L58" i="17"/>
  <c r="M58" i="17"/>
  <c r="N58" i="17"/>
  <c r="O58" i="17"/>
  <c r="P58" i="17"/>
  <c r="Q58" i="17"/>
  <c r="R58" i="17"/>
  <c r="S58" i="17"/>
  <c r="T58" i="17"/>
  <c r="C59" i="17"/>
  <c r="D59" i="17"/>
  <c r="E59" i="17"/>
  <c r="F59" i="17"/>
  <c r="G59" i="17"/>
  <c r="H59" i="17"/>
  <c r="I59" i="17"/>
  <c r="J59" i="17"/>
  <c r="K59" i="17"/>
  <c r="L59" i="17"/>
  <c r="M59" i="17"/>
  <c r="N59" i="17"/>
  <c r="O59" i="17"/>
  <c r="P59" i="17"/>
  <c r="Q59" i="17"/>
  <c r="R59" i="17"/>
  <c r="S59" i="17"/>
  <c r="T59" i="17"/>
  <c r="C60" i="17"/>
  <c r="D60" i="17"/>
  <c r="E60" i="17"/>
  <c r="F60" i="17"/>
  <c r="G60" i="17"/>
  <c r="H60" i="17"/>
  <c r="I60" i="17"/>
  <c r="J60" i="17"/>
  <c r="K60" i="17"/>
  <c r="L60" i="17"/>
  <c r="M60" i="17"/>
  <c r="N60" i="17"/>
  <c r="O60" i="17"/>
  <c r="P60" i="17"/>
  <c r="Q60" i="17"/>
  <c r="R60" i="17"/>
  <c r="S60" i="17"/>
  <c r="T60" i="17"/>
  <c r="C61" i="17"/>
  <c r="D61" i="17"/>
  <c r="E61" i="17"/>
  <c r="F61" i="17"/>
  <c r="G61" i="17"/>
  <c r="H61" i="17"/>
  <c r="I61" i="17"/>
  <c r="J61" i="17"/>
  <c r="K61" i="17"/>
  <c r="L61" i="17"/>
  <c r="M61" i="17"/>
  <c r="N61" i="17"/>
  <c r="O61" i="17"/>
  <c r="P61" i="17"/>
  <c r="Q61" i="17"/>
  <c r="R61" i="17"/>
  <c r="S61" i="17"/>
  <c r="T61" i="17"/>
  <c r="C62" i="17"/>
  <c r="D62" i="17"/>
  <c r="E62" i="17"/>
  <c r="F62" i="17"/>
  <c r="G62" i="17"/>
  <c r="H62" i="17"/>
  <c r="I62" i="17"/>
  <c r="J62" i="17"/>
  <c r="K62" i="17"/>
  <c r="L62" i="17"/>
  <c r="M62" i="17"/>
  <c r="N62" i="17"/>
  <c r="O62" i="17"/>
  <c r="P62" i="17"/>
  <c r="Q62" i="17"/>
  <c r="R62" i="17"/>
  <c r="S62" i="17"/>
  <c r="T62" i="17"/>
  <c r="C63" i="17"/>
  <c r="D63" i="17"/>
  <c r="E63" i="17"/>
  <c r="F63" i="17"/>
  <c r="G63" i="17"/>
  <c r="H63" i="17"/>
  <c r="I63" i="17"/>
  <c r="J63" i="17"/>
  <c r="K63" i="17"/>
  <c r="L63" i="17"/>
  <c r="M63" i="17"/>
  <c r="N63" i="17"/>
  <c r="O63" i="17"/>
  <c r="P63" i="17"/>
  <c r="Q63" i="17"/>
  <c r="R63" i="17"/>
  <c r="S63" i="17"/>
  <c r="T63" i="17"/>
  <c r="C64" i="17"/>
  <c r="D64" i="17"/>
  <c r="E64" i="17"/>
  <c r="F64" i="17"/>
  <c r="G64" i="17"/>
  <c r="H64" i="17"/>
  <c r="I64" i="17"/>
  <c r="J64" i="17"/>
  <c r="K64" i="17"/>
  <c r="L64" i="17"/>
  <c r="M64" i="17"/>
  <c r="N64" i="17"/>
  <c r="O64" i="17"/>
  <c r="P64" i="17"/>
  <c r="Q64" i="17"/>
  <c r="R64" i="17"/>
  <c r="S64" i="17"/>
  <c r="T64" i="17"/>
  <c r="C65" i="17"/>
  <c r="D65" i="17"/>
  <c r="E65" i="17"/>
  <c r="F65" i="17"/>
  <c r="G65" i="17"/>
  <c r="H65" i="17"/>
  <c r="I65" i="17"/>
  <c r="J65" i="17"/>
  <c r="K65" i="17"/>
  <c r="L65" i="17"/>
  <c r="M65" i="17"/>
  <c r="N65" i="17"/>
  <c r="O65" i="17"/>
  <c r="P65" i="17"/>
  <c r="Q65" i="17"/>
  <c r="R65" i="17"/>
  <c r="S65" i="17"/>
  <c r="T65" i="17"/>
  <c r="C234" i="12" l="1"/>
  <c r="C235" i="12"/>
  <c r="B2791" i="14"/>
  <c r="D2791" i="14"/>
  <c r="B2792" i="14"/>
  <c r="D2792" i="14"/>
  <c r="B2793" i="14"/>
  <c r="D2793" i="14"/>
  <c r="B2794" i="14"/>
  <c r="D2794" i="14"/>
  <c r="B2787" i="14"/>
  <c r="D2787" i="14"/>
  <c r="B2788" i="14"/>
  <c r="D2788" i="14"/>
  <c r="B2789" i="14"/>
  <c r="D2789" i="14"/>
  <c r="E2789" i="14" s="1"/>
  <c r="B2790" i="14"/>
  <c r="D2790" i="14"/>
  <c r="B988" i="2"/>
  <c r="E988" i="2"/>
  <c r="G988" i="2"/>
  <c r="B989" i="2"/>
  <c r="C990" i="2" s="1"/>
  <c r="E989" i="2"/>
  <c r="G989" i="2"/>
  <c r="C2793" i="14" l="1"/>
  <c r="D992" i="2"/>
  <c r="E236" i="12"/>
  <c r="C2790" i="14"/>
  <c r="C2792" i="14"/>
  <c r="E2793" i="14"/>
  <c r="E2791" i="14"/>
  <c r="E2788" i="14"/>
  <c r="C2788" i="14"/>
  <c r="E2794" i="14"/>
  <c r="E2795" i="14"/>
  <c r="E2790" i="14"/>
  <c r="E2792" i="14"/>
  <c r="C2789" i="14"/>
  <c r="C2791" i="14"/>
  <c r="C2794" i="14"/>
  <c r="C2795" i="14"/>
  <c r="C989" i="2"/>
  <c r="C232" i="12"/>
  <c r="C233" i="12"/>
  <c r="B2785" i="14"/>
  <c r="D2785" i="14"/>
  <c r="B2786" i="14"/>
  <c r="C2787" i="14" s="1"/>
  <c r="D2786" i="14"/>
  <c r="E2787" i="14" s="1"/>
  <c r="B2783" i="14"/>
  <c r="D2783" i="14"/>
  <c r="B2784" i="14"/>
  <c r="D2784" i="14"/>
  <c r="B987" i="2"/>
  <c r="C988" i="2" s="1"/>
  <c r="E987" i="2"/>
  <c r="G987" i="2"/>
  <c r="E235" i="12" l="1"/>
  <c r="D991" i="2"/>
  <c r="E234" i="12"/>
  <c r="D990" i="2"/>
  <c r="C2785" i="14"/>
  <c r="E2785" i="14"/>
  <c r="C2784" i="14"/>
  <c r="E2786" i="14"/>
  <c r="C2786" i="14"/>
  <c r="E2784" i="14"/>
  <c r="B2782" i="14"/>
  <c r="C2783" i="14" s="1"/>
  <c r="D2782" i="14"/>
  <c r="E2783" i="14" s="1"/>
  <c r="B986" i="2"/>
  <c r="C987" i="2" s="1"/>
  <c r="E986" i="2"/>
  <c r="G986" i="2"/>
  <c r="E233" i="12" l="1"/>
  <c r="D989" i="2"/>
  <c r="B2781" i="14"/>
  <c r="D2781" i="14"/>
  <c r="B2780" i="14"/>
  <c r="D2780" i="14"/>
  <c r="C230" i="12"/>
  <c r="C231" i="12"/>
  <c r="C2781" i="14" l="1"/>
  <c r="E2781" i="14"/>
  <c r="E2782" i="14"/>
  <c r="C2782" i="14"/>
  <c r="B2777" i="14"/>
  <c r="D2777" i="14"/>
  <c r="B2778" i="14"/>
  <c r="D2778" i="14"/>
  <c r="B2779" i="14"/>
  <c r="D2779" i="14"/>
  <c r="B2770" i="14"/>
  <c r="D2770" i="14"/>
  <c r="B2771" i="14"/>
  <c r="D2771" i="14"/>
  <c r="B2772" i="14"/>
  <c r="D2772" i="14"/>
  <c r="B2773" i="14"/>
  <c r="D2773" i="14"/>
  <c r="B2774" i="14"/>
  <c r="D2774" i="14"/>
  <c r="B2775" i="14"/>
  <c r="D2775" i="14"/>
  <c r="B2776" i="14"/>
  <c r="D2776" i="14"/>
  <c r="B984" i="2"/>
  <c r="E984" i="2"/>
  <c r="G984" i="2"/>
  <c r="B985" i="2"/>
  <c r="E985" i="2"/>
  <c r="G985" i="2"/>
  <c r="C2775" i="14" l="1"/>
  <c r="C2773" i="14"/>
  <c r="C2771" i="14"/>
  <c r="C2779" i="14"/>
  <c r="E2773" i="14"/>
  <c r="C985" i="2"/>
  <c r="C986" i="2"/>
  <c r="E2779" i="14"/>
  <c r="E2778" i="14"/>
  <c r="C2778" i="14"/>
  <c r="E2772" i="14"/>
  <c r="E2780" i="14"/>
  <c r="C2772" i="14"/>
  <c r="C2780" i="14"/>
  <c r="E2771" i="14"/>
  <c r="E2774" i="14"/>
  <c r="C2776" i="14"/>
  <c r="E2775" i="14"/>
  <c r="C2774" i="14"/>
  <c r="E2776" i="14"/>
  <c r="E2777" i="14"/>
  <c r="C2777" i="14"/>
  <c r="B2764" i="14"/>
  <c r="D2764" i="14"/>
  <c r="B2765" i="14"/>
  <c r="D2765" i="14"/>
  <c r="B2766" i="14"/>
  <c r="D2766" i="14"/>
  <c r="B2767" i="14"/>
  <c r="D2767" i="14"/>
  <c r="B2768" i="14"/>
  <c r="D2768" i="14"/>
  <c r="B2769" i="14"/>
  <c r="D2769" i="14"/>
  <c r="E2770" i="14" s="1"/>
  <c r="B982" i="2"/>
  <c r="E982" i="2"/>
  <c r="G982" i="2"/>
  <c r="B983" i="2"/>
  <c r="E983" i="2"/>
  <c r="G983" i="2"/>
  <c r="C228" i="12"/>
  <c r="C229" i="12"/>
  <c r="C2769" i="14" l="1"/>
  <c r="E232" i="12"/>
  <c r="D988" i="2"/>
  <c r="E231" i="12"/>
  <c r="D987" i="2"/>
  <c r="E2765" i="14"/>
  <c r="C2770" i="14"/>
  <c r="C2767" i="14"/>
  <c r="E2766" i="14"/>
  <c r="C2766" i="14"/>
  <c r="C983" i="2"/>
  <c r="C984" i="2"/>
  <c r="C2768" i="14"/>
  <c r="C2765" i="14"/>
  <c r="E2769" i="14"/>
  <c r="E2767" i="14"/>
  <c r="E2768" i="14"/>
  <c r="F14" i="17"/>
  <c r="F15" i="17"/>
  <c r="F16" i="17"/>
  <c r="F17" i="17"/>
  <c r="F18" i="17"/>
  <c r="F19" i="17"/>
  <c r="F20" i="17"/>
  <c r="F21" i="17"/>
  <c r="F22" i="17"/>
  <c r="F23" i="17"/>
  <c r="F24" i="17"/>
  <c r="F25" i="17"/>
  <c r="F26" i="17"/>
  <c r="F27" i="17"/>
  <c r="F28" i="17"/>
  <c r="F29" i="17"/>
  <c r="F30" i="17"/>
  <c r="F31" i="17"/>
  <c r="F32" i="17"/>
  <c r="F33" i="17"/>
  <c r="F34" i="17"/>
  <c r="F35" i="17"/>
  <c r="F36" i="17"/>
  <c r="F37" i="17"/>
  <c r="F38" i="17"/>
  <c r="F39" i="17"/>
  <c r="F40" i="17"/>
  <c r="F41" i="17"/>
  <c r="F42" i="17"/>
  <c r="F43" i="17"/>
  <c r="F44" i="17"/>
  <c r="F45" i="17"/>
  <c r="F46" i="17"/>
  <c r="F47" i="17"/>
  <c r="F48" i="17"/>
  <c r="F49" i="17"/>
  <c r="F50" i="17"/>
  <c r="F51" i="17"/>
  <c r="F52" i="17"/>
  <c r="F53" i="17"/>
  <c r="F54" i="17"/>
  <c r="F55" i="17"/>
  <c r="F56" i="17"/>
  <c r="F57" i="17"/>
  <c r="F6" i="17"/>
  <c r="F7" i="17"/>
  <c r="F8" i="17"/>
  <c r="F9" i="17"/>
  <c r="F10" i="17"/>
  <c r="F11" i="17"/>
  <c r="F12" i="17"/>
  <c r="F13" i="17"/>
  <c r="F5" i="17"/>
  <c r="C55" i="17"/>
  <c r="D55" i="17"/>
  <c r="E55" i="17"/>
  <c r="G55" i="17"/>
  <c r="H55" i="17"/>
  <c r="I55" i="17"/>
  <c r="J55" i="17"/>
  <c r="K55" i="17"/>
  <c r="L55" i="17"/>
  <c r="M55" i="17"/>
  <c r="N55" i="17"/>
  <c r="O55" i="17"/>
  <c r="P55" i="17"/>
  <c r="Q55" i="17"/>
  <c r="R55" i="17"/>
  <c r="S55" i="17"/>
  <c r="T55" i="17"/>
  <c r="C56" i="17"/>
  <c r="D56" i="17"/>
  <c r="E56" i="17"/>
  <c r="G56" i="17"/>
  <c r="H56" i="17"/>
  <c r="I56" i="17"/>
  <c r="J56" i="17"/>
  <c r="K56" i="17"/>
  <c r="L56" i="17"/>
  <c r="M56" i="17"/>
  <c r="N56" i="17"/>
  <c r="O56" i="17"/>
  <c r="P56" i="17"/>
  <c r="Q56" i="17"/>
  <c r="R56" i="17"/>
  <c r="S56" i="17"/>
  <c r="T56" i="17"/>
  <c r="C57" i="17"/>
  <c r="D57" i="17"/>
  <c r="E57" i="17"/>
  <c r="G57" i="17"/>
  <c r="H57" i="17"/>
  <c r="I57" i="17"/>
  <c r="J57" i="17"/>
  <c r="K57" i="17"/>
  <c r="L57" i="17"/>
  <c r="M57" i="17"/>
  <c r="N57" i="17"/>
  <c r="O57" i="17"/>
  <c r="P57" i="17"/>
  <c r="Q57" i="17"/>
  <c r="R57" i="17"/>
  <c r="S57" i="17"/>
  <c r="T57" i="17"/>
  <c r="E230" i="12" l="1"/>
  <c r="D986" i="2"/>
  <c r="D985" i="2"/>
  <c r="C225" i="12"/>
  <c r="C226" i="12"/>
  <c r="C227" i="12"/>
  <c r="B2763" i="14"/>
  <c r="C2764" i="14" s="1"/>
  <c r="D2763" i="14"/>
  <c r="E2764" i="14" s="1"/>
  <c r="B2756" i="14"/>
  <c r="D2756" i="14"/>
  <c r="B2757" i="14"/>
  <c r="D2757" i="14"/>
  <c r="B2758" i="14"/>
  <c r="D2758" i="14"/>
  <c r="B2759" i="14"/>
  <c r="D2759" i="14"/>
  <c r="B2760" i="14"/>
  <c r="D2760" i="14"/>
  <c r="B2761" i="14"/>
  <c r="D2761" i="14"/>
  <c r="B2762" i="14"/>
  <c r="D2762" i="14"/>
  <c r="B2751" i="14"/>
  <c r="D2751" i="14"/>
  <c r="B2752" i="14"/>
  <c r="D2752" i="14"/>
  <c r="B2753" i="14"/>
  <c r="D2753" i="14"/>
  <c r="B2754" i="14"/>
  <c r="D2754" i="14"/>
  <c r="B2755" i="14"/>
  <c r="D2755" i="14"/>
  <c r="B2745" i="14"/>
  <c r="D2745" i="14"/>
  <c r="B2746" i="14"/>
  <c r="D2746" i="14"/>
  <c r="B2747" i="14"/>
  <c r="D2747" i="14"/>
  <c r="B2748" i="14"/>
  <c r="D2748" i="14"/>
  <c r="B2749" i="14"/>
  <c r="D2749" i="14"/>
  <c r="B2750" i="14"/>
  <c r="D2750" i="14"/>
  <c r="B979" i="2"/>
  <c r="E979" i="2"/>
  <c r="G979" i="2"/>
  <c r="B980" i="2"/>
  <c r="E980" i="2"/>
  <c r="G980" i="2"/>
  <c r="B981" i="2"/>
  <c r="E981" i="2"/>
  <c r="G981" i="2"/>
  <c r="C2748" i="14" l="1"/>
  <c r="E2758" i="14"/>
  <c r="E2762" i="14"/>
  <c r="C2750" i="14"/>
  <c r="C2746" i="14"/>
  <c r="C2757" i="14"/>
  <c r="C2758" i="14"/>
  <c r="C2762" i="14"/>
  <c r="C2751" i="14"/>
  <c r="C2753" i="14"/>
  <c r="E2749" i="14"/>
  <c r="E2754" i="14"/>
  <c r="E2760" i="14"/>
  <c r="C2749" i="14"/>
  <c r="C2754" i="14"/>
  <c r="C2760" i="14"/>
  <c r="E2748" i="14"/>
  <c r="E2753" i="14"/>
  <c r="E2759" i="14"/>
  <c r="C981" i="2"/>
  <c r="E227" i="12" s="1"/>
  <c r="C982" i="2"/>
  <c r="D984" i="2" s="1"/>
  <c r="E2750" i="14"/>
  <c r="E2746" i="14"/>
  <c r="E2751" i="14"/>
  <c r="E2755" i="14"/>
  <c r="E2761" i="14"/>
  <c r="E2756" i="14"/>
  <c r="C2755" i="14"/>
  <c r="C2761" i="14"/>
  <c r="C2756" i="14"/>
  <c r="E2763" i="14"/>
  <c r="C2763" i="14"/>
  <c r="C2759" i="14"/>
  <c r="E2747" i="14"/>
  <c r="E2752" i="14"/>
  <c r="C2747" i="14"/>
  <c r="C2752" i="14"/>
  <c r="E229" i="12"/>
  <c r="C980" i="2"/>
  <c r="E2757" i="14"/>
  <c r="P18" i="19"/>
  <c r="P17" i="19"/>
  <c r="P16" i="19"/>
  <c r="Q14" i="19"/>
  <c r="Q18" i="19" s="1"/>
  <c r="E228" i="12" l="1"/>
  <c r="D983" i="2"/>
  <c r="E226" i="12"/>
  <c r="D982" i="2"/>
  <c r="Q16" i="19"/>
  <c r="R16" i="19" s="1"/>
  <c r="Q17" i="19"/>
  <c r="R17" i="19" s="1"/>
  <c r="R18" i="19"/>
  <c r="B978" i="2"/>
  <c r="C979" i="2" s="1"/>
  <c r="E978" i="2"/>
  <c r="G978" i="2"/>
  <c r="C224" i="12"/>
  <c r="C223" i="12"/>
  <c r="D981" i="2" l="1"/>
  <c r="E225" i="12"/>
  <c r="C53" i="17"/>
  <c r="P53" i="17"/>
  <c r="K54" i="17"/>
  <c r="O6" i="17"/>
  <c r="K7" i="17"/>
  <c r="G8" i="17"/>
  <c r="S8" i="17"/>
  <c r="K13" i="17"/>
  <c r="G14" i="17"/>
  <c r="S14" i="17"/>
  <c r="O15" i="17"/>
  <c r="K16" i="17"/>
  <c r="G17" i="17"/>
  <c r="S17" i="17"/>
  <c r="O18" i="17"/>
  <c r="K19" i="17"/>
  <c r="G20" i="17"/>
  <c r="S20" i="17"/>
  <c r="K25" i="17"/>
  <c r="G26" i="17"/>
  <c r="S26" i="17"/>
  <c r="O27" i="17"/>
  <c r="K28" i="17"/>
  <c r="G29" i="17"/>
  <c r="S29" i="17"/>
  <c r="O30" i="17"/>
  <c r="K31" i="17"/>
  <c r="G32" i="17"/>
  <c r="S32" i="17"/>
  <c r="K37" i="17"/>
  <c r="G38" i="17"/>
  <c r="S38" i="17"/>
  <c r="O39" i="17"/>
  <c r="K40" i="17"/>
  <c r="G41" i="17"/>
  <c r="S41" i="17"/>
  <c r="O42" i="17"/>
  <c r="K43" i="17"/>
  <c r="G44" i="17"/>
  <c r="S44" i="17"/>
  <c r="K49" i="17"/>
  <c r="G50" i="17"/>
  <c r="S50" i="17"/>
  <c r="O51" i="17"/>
  <c r="K52" i="17"/>
  <c r="R5" i="17"/>
  <c r="D45" i="17"/>
  <c r="D33" i="17"/>
  <c r="D21" i="17"/>
  <c r="D9" i="17"/>
  <c r="C13" i="17" l="1"/>
  <c r="C48" i="17"/>
  <c r="C36" i="17"/>
  <c r="C24" i="17"/>
  <c r="P5" i="17"/>
  <c r="M52" i="17"/>
  <c r="Q51" i="17"/>
  <c r="E51" i="17"/>
  <c r="I50" i="17"/>
  <c r="M49" i="17"/>
  <c r="Q48" i="17"/>
  <c r="E48" i="17"/>
  <c r="I47" i="17"/>
  <c r="M46" i="17"/>
  <c r="Q45" i="17"/>
  <c r="E45" i="17"/>
  <c r="I44" i="17"/>
  <c r="M43" i="17"/>
  <c r="Q42" i="17"/>
  <c r="E42" i="17"/>
  <c r="I41" i="17"/>
  <c r="M40" i="17"/>
  <c r="Q39" i="17"/>
  <c r="E39" i="17"/>
  <c r="I38" i="17"/>
  <c r="M37" i="17"/>
  <c r="Q36" i="17"/>
  <c r="E36" i="17"/>
  <c r="I35" i="17"/>
  <c r="M34" i="17"/>
  <c r="Q33" i="17"/>
  <c r="E33" i="17"/>
  <c r="I32" i="17"/>
  <c r="M31" i="17"/>
  <c r="Q30" i="17"/>
  <c r="E30" i="17"/>
  <c r="I29" i="17"/>
  <c r="M28" i="17"/>
  <c r="Q27" i="17"/>
  <c r="E27" i="17"/>
  <c r="I26" i="17"/>
  <c r="M25" i="17"/>
  <c r="Q24" i="17"/>
  <c r="E24" i="17"/>
  <c r="I23" i="17"/>
  <c r="M22" i="17"/>
  <c r="Q21" i="17"/>
  <c r="E21" i="17"/>
  <c r="I20" i="17"/>
  <c r="M19" i="17"/>
  <c r="Q18" i="17"/>
  <c r="E18" i="17"/>
  <c r="I17" i="17"/>
  <c r="M16" i="17"/>
  <c r="Q15" i="17"/>
  <c r="E15" i="17"/>
  <c r="I14" i="17"/>
  <c r="M13" i="17"/>
  <c r="Q12" i="17"/>
  <c r="E12" i="17"/>
  <c r="I11" i="17"/>
  <c r="M10" i="17"/>
  <c r="Q9" i="17"/>
  <c r="E9" i="17"/>
  <c r="I8" i="17"/>
  <c r="M7" i="17"/>
  <c r="Q6" i="17"/>
  <c r="E6" i="17"/>
  <c r="M54" i="17"/>
  <c r="R53" i="17"/>
  <c r="D47" i="17"/>
  <c r="D35" i="17"/>
  <c r="D23" i="17"/>
  <c r="D11" i="17"/>
  <c r="C5" i="17"/>
  <c r="C12" i="17"/>
  <c r="C47" i="17"/>
  <c r="C35" i="17"/>
  <c r="E5" i="17"/>
  <c r="Q5" i="17"/>
  <c r="L52" i="17"/>
  <c r="P51" i="17"/>
  <c r="T50" i="17"/>
  <c r="H50" i="17"/>
  <c r="L49" i="17"/>
  <c r="P48" i="17"/>
  <c r="T47" i="17"/>
  <c r="H47" i="17"/>
  <c r="L46" i="17"/>
  <c r="P45" i="17"/>
  <c r="T44" i="17"/>
  <c r="H44" i="17"/>
  <c r="L43" i="17"/>
  <c r="P42" i="17"/>
  <c r="T41" i="17"/>
  <c r="H41" i="17"/>
  <c r="L40" i="17"/>
  <c r="P39" i="17"/>
  <c r="T38" i="17"/>
  <c r="H38" i="17"/>
  <c r="L37" i="17"/>
  <c r="P36" i="17"/>
  <c r="T35" i="17"/>
  <c r="H35" i="17"/>
  <c r="L34" i="17"/>
  <c r="P33" i="17"/>
  <c r="T32" i="17"/>
  <c r="H32" i="17"/>
  <c r="L31" i="17"/>
  <c r="P30" i="17"/>
  <c r="T29" i="17"/>
  <c r="H29" i="17"/>
  <c r="L28" i="17"/>
  <c r="P27" i="17"/>
  <c r="T26" i="17"/>
  <c r="H26" i="17"/>
  <c r="L25" i="17"/>
  <c r="P24" i="17"/>
  <c r="T23" i="17"/>
  <c r="H23" i="17"/>
  <c r="L22" i="17"/>
  <c r="P21" i="17"/>
  <c r="T20" i="17"/>
  <c r="H20" i="17"/>
  <c r="L19" i="17"/>
  <c r="P18" i="17"/>
  <c r="T17" i="17"/>
  <c r="H17" i="17"/>
  <c r="L16" i="17"/>
  <c r="P15" i="17"/>
  <c r="T14" i="17"/>
  <c r="H14" i="17"/>
  <c r="L13" i="17"/>
  <c r="P12" i="17"/>
  <c r="T11" i="17"/>
  <c r="H11" i="17"/>
  <c r="L10" i="17"/>
  <c r="P9" i="17"/>
  <c r="T8" i="17"/>
  <c r="H8" i="17"/>
  <c r="L7" i="17"/>
  <c r="P6" i="17"/>
  <c r="L54" i="17"/>
  <c r="Q53" i="17"/>
  <c r="E53" i="17"/>
  <c r="D46" i="17"/>
  <c r="D34" i="17"/>
  <c r="D22" i="17"/>
  <c r="D10" i="17"/>
  <c r="C23" i="17"/>
  <c r="C11" i="17"/>
  <c r="C46" i="17"/>
  <c r="C34" i="17"/>
  <c r="O48" i="17"/>
  <c r="S47" i="17"/>
  <c r="G47" i="17"/>
  <c r="K46" i="17"/>
  <c r="O45" i="17"/>
  <c r="O36" i="17"/>
  <c r="S35" i="17"/>
  <c r="G35" i="17"/>
  <c r="K34" i="17"/>
  <c r="O33" i="17"/>
  <c r="O24" i="17"/>
  <c r="S23" i="17"/>
  <c r="G23" i="17"/>
  <c r="K22" i="17"/>
  <c r="O21" i="17"/>
  <c r="O12" i="17"/>
  <c r="S11" i="17"/>
  <c r="G11" i="17"/>
  <c r="K10" i="17"/>
  <c r="O9" i="17"/>
  <c r="C22" i="17"/>
  <c r="C10" i="17"/>
  <c r="C45" i="17"/>
  <c r="C33" i="17"/>
  <c r="G5" i="17"/>
  <c r="S5" i="17"/>
  <c r="J52" i="17"/>
  <c r="N51" i="17"/>
  <c r="R50" i="17"/>
  <c r="J49" i="17"/>
  <c r="N48" i="17"/>
  <c r="R47" i="17"/>
  <c r="J46" i="17"/>
  <c r="N45" i="17"/>
  <c r="R44" i="17"/>
  <c r="J43" i="17"/>
  <c r="N42" i="17"/>
  <c r="R41" i="17"/>
  <c r="J40" i="17"/>
  <c r="N39" i="17"/>
  <c r="R38" i="17"/>
  <c r="J37" i="17"/>
  <c r="N36" i="17"/>
  <c r="R35" i="17"/>
  <c r="J34" i="17"/>
  <c r="N33" i="17"/>
  <c r="R32" i="17"/>
  <c r="J31" i="17"/>
  <c r="N30" i="17"/>
  <c r="R29" i="17"/>
  <c r="J28" i="17"/>
  <c r="N27" i="17"/>
  <c r="R26" i="17"/>
  <c r="J25" i="17"/>
  <c r="N24" i="17"/>
  <c r="R23" i="17"/>
  <c r="J22" i="17"/>
  <c r="N21" i="17"/>
  <c r="R20" i="17"/>
  <c r="J19" i="17"/>
  <c r="N18" i="17"/>
  <c r="R17" i="17"/>
  <c r="J16" i="17"/>
  <c r="N15" i="17"/>
  <c r="R14" i="17"/>
  <c r="J13" i="17"/>
  <c r="N12" i="17"/>
  <c r="R11" i="17"/>
  <c r="J10" i="17"/>
  <c r="N9" i="17"/>
  <c r="R8" i="17"/>
  <c r="J7" i="17"/>
  <c r="N6" i="17"/>
  <c r="J54" i="17"/>
  <c r="O53" i="17"/>
  <c r="D44" i="17"/>
  <c r="D32" i="17"/>
  <c r="D20" i="17"/>
  <c r="D8" i="17"/>
  <c r="C21" i="17"/>
  <c r="C9" i="17"/>
  <c r="C44" i="17"/>
  <c r="C32" i="17"/>
  <c r="H5" i="17"/>
  <c r="T5" i="17"/>
  <c r="I52" i="17"/>
  <c r="M51" i="17"/>
  <c r="Q50" i="17"/>
  <c r="E50" i="17"/>
  <c r="I49" i="17"/>
  <c r="M48" i="17"/>
  <c r="Q47" i="17"/>
  <c r="E47" i="17"/>
  <c r="I46" i="17"/>
  <c r="M45" i="17"/>
  <c r="Q44" i="17"/>
  <c r="E44" i="17"/>
  <c r="I43" i="17"/>
  <c r="M42" i="17"/>
  <c r="Q41" i="17"/>
  <c r="E41" i="17"/>
  <c r="I40" i="17"/>
  <c r="M39" i="17"/>
  <c r="Q38" i="17"/>
  <c r="E38" i="17"/>
  <c r="I37" i="17"/>
  <c r="M36" i="17"/>
  <c r="Q35" i="17"/>
  <c r="E35" i="17"/>
  <c r="I34" i="17"/>
  <c r="M33" i="17"/>
  <c r="Q32" i="17"/>
  <c r="E32" i="17"/>
  <c r="I31" i="17"/>
  <c r="M30" i="17"/>
  <c r="Q29" i="17"/>
  <c r="E29" i="17"/>
  <c r="I28" i="17"/>
  <c r="M27" i="17"/>
  <c r="Q26" i="17"/>
  <c r="E26" i="17"/>
  <c r="I25" i="17"/>
  <c r="M24" i="17"/>
  <c r="Q23" i="17"/>
  <c r="E23" i="17"/>
  <c r="I22" i="17"/>
  <c r="M21" i="17"/>
  <c r="Q20" i="17"/>
  <c r="E20" i="17"/>
  <c r="I19" i="17"/>
  <c r="M18" i="17"/>
  <c r="Q17" i="17"/>
  <c r="E17" i="17"/>
  <c r="I16" i="17"/>
  <c r="M15" i="17"/>
  <c r="Q14" i="17"/>
  <c r="E14" i="17"/>
  <c r="I13" i="17"/>
  <c r="M12" i="17"/>
  <c r="Q11" i="17"/>
  <c r="E11" i="17"/>
  <c r="I10" i="17"/>
  <c r="M9" i="17"/>
  <c r="Q8" i="17"/>
  <c r="E8" i="17"/>
  <c r="I7" i="17"/>
  <c r="M6" i="17"/>
  <c r="I54" i="17"/>
  <c r="N53" i="17"/>
  <c r="D43" i="17"/>
  <c r="D31" i="17"/>
  <c r="D19" i="17"/>
  <c r="D7" i="17"/>
  <c r="C20" i="17"/>
  <c r="C8" i="17"/>
  <c r="C43" i="17"/>
  <c r="C31" i="17"/>
  <c r="I5" i="17"/>
  <c r="T52" i="17"/>
  <c r="H52" i="17"/>
  <c r="L51" i="17"/>
  <c r="P50" i="17"/>
  <c r="T49" i="17"/>
  <c r="H49" i="17"/>
  <c r="L48" i="17"/>
  <c r="P47" i="17"/>
  <c r="T46" i="17"/>
  <c r="H46" i="17"/>
  <c r="L45" i="17"/>
  <c r="P44" i="17"/>
  <c r="T43" i="17"/>
  <c r="H43" i="17"/>
  <c r="L42" i="17"/>
  <c r="P41" i="17"/>
  <c r="T40" i="17"/>
  <c r="H40" i="17"/>
  <c r="L39" i="17"/>
  <c r="P38" i="17"/>
  <c r="T37" i="17"/>
  <c r="H37" i="17"/>
  <c r="L36" i="17"/>
  <c r="P35" i="17"/>
  <c r="T34" i="17"/>
  <c r="H34" i="17"/>
  <c r="L33" i="17"/>
  <c r="P32" i="17"/>
  <c r="T31" i="17"/>
  <c r="H31" i="17"/>
  <c r="L30" i="17"/>
  <c r="P29" i="17"/>
  <c r="T28" i="17"/>
  <c r="H28" i="17"/>
  <c r="L27" i="17"/>
  <c r="P26" i="17"/>
  <c r="T25" i="17"/>
  <c r="H25" i="17"/>
  <c r="L24" i="17"/>
  <c r="P23" i="17"/>
  <c r="T22" i="17"/>
  <c r="H22" i="17"/>
  <c r="L21" i="17"/>
  <c r="P20" i="17"/>
  <c r="T19" i="17"/>
  <c r="H19" i="17"/>
  <c r="L18" i="17"/>
  <c r="P17" i="17"/>
  <c r="T16" i="17"/>
  <c r="H16" i="17"/>
  <c r="L15" i="17"/>
  <c r="P14" i="17"/>
  <c r="T13" i="17"/>
  <c r="H13" i="17"/>
  <c r="L12" i="17"/>
  <c r="P11" i="17"/>
  <c r="T10" i="17"/>
  <c r="H10" i="17"/>
  <c r="L9" i="17"/>
  <c r="P8" i="17"/>
  <c r="T7" i="17"/>
  <c r="H7" i="17"/>
  <c r="L6" i="17"/>
  <c r="T54" i="17"/>
  <c r="H54" i="17"/>
  <c r="M53" i="17"/>
  <c r="D54" i="17"/>
  <c r="D42" i="17"/>
  <c r="D30" i="17"/>
  <c r="D18" i="17"/>
  <c r="D6" i="17"/>
  <c r="C19" i="17"/>
  <c r="C7" i="17"/>
  <c r="C42" i="17"/>
  <c r="C30" i="17"/>
  <c r="J5" i="17"/>
  <c r="S52" i="17"/>
  <c r="G52" i="17"/>
  <c r="K51" i="17"/>
  <c r="O50" i="17"/>
  <c r="S49" i="17"/>
  <c r="G49" i="17"/>
  <c r="K48" i="17"/>
  <c r="O47" i="17"/>
  <c r="S46" i="17"/>
  <c r="G46" i="17"/>
  <c r="K45" i="17"/>
  <c r="O44" i="17"/>
  <c r="S43" i="17"/>
  <c r="G43" i="17"/>
  <c r="K42" i="17"/>
  <c r="O41" i="17"/>
  <c r="S40" i="17"/>
  <c r="G40" i="17"/>
  <c r="K39" i="17"/>
  <c r="O38" i="17"/>
  <c r="S37" i="17"/>
  <c r="G37" i="17"/>
  <c r="K36" i="17"/>
  <c r="O35" i="17"/>
  <c r="S34" i="17"/>
  <c r="G34" i="17"/>
  <c r="K33" i="17"/>
  <c r="O32" i="17"/>
  <c r="S31" i="17"/>
  <c r="G31" i="17"/>
  <c r="K30" i="17"/>
  <c r="O29" i="17"/>
  <c r="S28" i="17"/>
  <c r="G28" i="17"/>
  <c r="K27" i="17"/>
  <c r="O26" i="17"/>
  <c r="S25" i="17"/>
  <c r="G25" i="17"/>
  <c r="K24" i="17"/>
  <c r="O23" i="17"/>
  <c r="S22" i="17"/>
  <c r="G22" i="17"/>
  <c r="K21" i="17"/>
  <c r="O20" i="17"/>
  <c r="S19" i="17"/>
  <c r="G19" i="17"/>
  <c r="K18" i="17"/>
  <c r="O17" i="17"/>
  <c r="S16" i="17"/>
  <c r="G16" i="17"/>
  <c r="K15" i="17"/>
  <c r="O14" i="17"/>
  <c r="S13" i="17"/>
  <c r="G13" i="17"/>
  <c r="K12" i="17"/>
  <c r="O11" i="17"/>
  <c r="S10" i="17"/>
  <c r="G10" i="17"/>
  <c r="K9" i="17"/>
  <c r="O8" i="17"/>
  <c r="S7" i="17"/>
  <c r="G7" i="17"/>
  <c r="K6" i="17"/>
  <c r="S54" i="17"/>
  <c r="G54" i="17"/>
  <c r="L53" i="17"/>
  <c r="D53" i="17"/>
  <c r="D41" i="17"/>
  <c r="D29" i="17"/>
  <c r="D17" i="17"/>
  <c r="D5" i="17"/>
  <c r="C18" i="17"/>
  <c r="C6" i="17"/>
  <c r="C41" i="17"/>
  <c r="C29" i="17"/>
  <c r="K5" i="17"/>
  <c r="R52" i="17"/>
  <c r="J51" i="17"/>
  <c r="N50" i="17"/>
  <c r="R49" i="17"/>
  <c r="J48" i="17"/>
  <c r="N47" i="17"/>
  <c r="R46" i="17"/>
  <c r="J45" i="17"/>
  <c r="N44" i="17"/>
  <c r="R43" i="17"/>
  <c r="J42" i="17"/>
  <c r="N41" i="17"/>
  <c r="R40" i="17"/>
  <c r="J39" i="17"/>
  <c r="N38" i="17"/>
  <c r="R37" i="17"/>
  <c r="J36" i="17"/>
  <c r="N35" i="17"/>
  <c r="R34" i="17"/>
  <c r="J33" i="17"/>
  <c r="N32" i="17"/>
  <c r="R31" i="17"/>
  <c r="J30" i="17"/>
  <c r="N29" i="17"/>
  <c r="R28" i="17"/>
  <c r="J27" i="17"/>
  <c r="N26" i="17"/>
  <c r="R25" i="17"/>
  <c r="J24" i="17"/>
  <c r="N23" i="17"/>
  <c r="R22" i="17"/>
  <c r="J21" i="17"/>
  <c r="N20" i="17"/>
  <c r="R19" i="17"/>
  <c r="J18" i="17"/>
  <c r="N17" i="17"/>
  <c r="R16" i="17"/>
  <c r="J15" i="17"/>
  <c r="N14" i="17"/>
  <c r="R13" i="17"/>
  <c r="J12" i="17"/>
  <c r="N11" i="17"/>
  <c r="R10" i="17"/>
  <c r="J9" i="17"/>
  <c r="N8" i="17"/>
  <c r="R7" i="17"/>
  <c r="J6" i="17"/>
  <c r="R54" i="17"/>
  <c r="K53" i="17"/>
  <c r="D52" i="17"/>
  <c r="D40" i="17"/>
  <c r="D28" i="17"/>
  <c r="D16" i="17"/>
  <c r="C17" i="17"/>
  <c r="C52" i="17"/>
  <c r="C40" i="17"/>
  <c r="C28" i="17"/>
  <c r="L5" i="17"/>
  <c r="Q52" i="17"/>
  <c r="E52" i="17"/>
  <c r="I51" i="17"/>
  <c r="M50" i="17"/>
  <c r="Q49" i="17"/>
  <c r="E49" i="17"/>
  <c r="I48" i="17"/>
  <c r="M47" i="17"/>
  <c r="Q46" i="17"/>
  <c r="E46" i="17"/>
  <c r="I45" i="17"/>
  <c r="M44" i="17"/>
  <c r="Q43" i="17"/>
  <c r="E43" i="17"/>
  <c r="I42" i="17"/>
  <c r="M41" i="17"/>
  <c r="Q40" i="17"/>
  <c r="E40" i="17"/>
  <c r="I39" i="17"/>
  <c r="M38" i="17"/>
  <c r="Q37" i="17"/>
  <c r="E37" i="17"/>
  <c r="I36" i="17"/>
  <c r="M35" i="17"/>
  <c r="Q34" i="17"/>
  <c r="E34" i="17"/>
  <c r="I33" i="17"/>
  <c r="M32" i="17"/>
  <c r="Q31" i="17"/>
  <c r="E31" i="17"/>
  <c r="I30" i="17"/>
  <c r="M29" i="17"/>
  <c r="Q28" i="17"/>
  <c r="E28" i="17"/>
  <c r="I27" i="17"/>
  <c r="M26" i="17"/>
  <c r="Q25" i="17"/>
  <c r="E25" i="17"/>
  <c r="I24" i="17"/>
  <c r="M23" i="17"/>
  <c r="Q22" i="17"/>
  <c r="E22" i="17"/>
  <c r="I21" i="17"/>
  <c r="M20" i="17"/>
  <c r="Q19" i="17"/>
  <c r="E19" i="17"/>
  <c r="I18" i="17"/>
  <c r="M17" i="17"/>
  <c r="Q16" i="17"/>
  <c r="E16" i="17"/>
  <c r="I15" i="17"/>
  <c r="M14" i="17"/>
  <c r="Q13" i="17"/>
  <c r="E13" i="17"/>
  <c r="I12" i="17"/>
  <c r="M11" i="17"/>
  <c r="Q10" i="17"/>
  <c r="E10" i="17"/>
  <c r="I9" i="17"/>
  <c r="M8" i="17"/>
  <c r="Q7" i="17"/>
  <c r="E7" i="17"/>
  <c r="I6" i="17"/>
  <c r="Q54" i="17"/>
  <c r="E54" i="17"/>
  <c r="J53" i="17"/>
  <c r="D51" i="17"/>
  <c r="D39" i="17"/>
  <c r="D27" i="17"/>
  <c r="D15" i="17"/>
  <c r="C16" i="17"/>
  <c r="C51" i="17"/>
  <c r="C39" i="17"/>
  <c r="C27" i="17"/>
  <c r="M5" i="17"/>
  <c r="P52" i="17"/>
  <c r="T51" i="17"/>
  <c r="H51" i="17"/>
  <c r="L50" i="17"/>
  <c r="P49" i="17"/>
  <c r="T48" i="17"/>
  <c r="H48" i="17"/>
  <c r="L47" i="17"/>
  <c r="P46" i="17"/>
  <c r="T45" i="17"/>
  <c r="H45" i="17"/>
  <c r="L44" i="17"/>
  <c r="P43" i="17"/>
  <c r="T42" i="17"/>
  <c r="H42" i="17"/>
  <c r="L41" i="17"/>
  <c r="P40" i="17"/>
  <c r="T39" i="17"/>
  <c r="H39" i="17"/>
  <c r="L38" i="17"/>
  <c r="P37" i="17"/>
  <c r="T36" i="17"/>
  <c r="H36" i="17"/>
  <c r="L35" i="17"/>
  <c r="P34" i="17"/>
  <c r="T33" i="17"/>
  <c r="H33" i="17"/>
  <c r="L32" i="17"/>
  <c r="P31" i="17"/>
  <c r="T30" i="17"/>
  <c r="H30" i="17"/>
  <c r="L29" i="17"/>
  <c r="P28" i="17"/>
  <c r="T27" i="17"/>
  <c r="H27" i="17"/>
  <c r="L26" i="17"/>
  <c r="P25" i="17"/>
  <c r="T24" i="17"/>
  <c r="H24" i="17"/>
  <c r="L23" i="17"/>
  <c r="P22" i="17"/>
  <c r="T21" i="17"/>
  <c r="H21" i="17"/>
  <c r="L20" i="17"/>
  <c r="P19" i="17"/>
  <c r="T18" i="17"/>
  <c r="H18" i="17"/>
  <c r="L17" i="17"/>
  <c r="P16" i="17"/>
  <c r="T15" i="17"/>
  <c r="H15" i="17"/>
  <c r="L14" i="17"/>
  <c r="P13" i="17"/>
  <c r="T12" i="17"/>
  <c r="H12" i="17"/>
  <c r="L11" i="17"/>
  <c r="P10" i="17"/>
  <c r="T9" i="17"/>
  <c r="H9" i="17"/>
  <c r="L8" i="17"/>
  <c r="P7" i="17"/>
  <c r="T6" i="17"/>
  <c r="H6" i="17"/>
  <c r="P54" i="17"/>
  <c r="C54" i="17"/>
  <c r="I53" i="17"/>
  <c r="D50" i="17"/>
  <c r="D38" i="17"/>
  <c r="D26" i="17"/>
  <c r="D14" i="17"/>
  <c r="C15" i="17"/>
  <c r="C50" i="17"/>
  <c r="C38" i="17"/>
  <c r="C26" i="17"/>
  <c r="N5" i="17"/>
  <c r="O52" i="17"/>
  <c r="S51" i="17"/>
  <c r="G51" i="17"/>
  <c r="K50" i="17"/>
  <c r="O49" i="17"/>
  <c r="S48" i="17"/>
  <c r="G48" i="17"/>
  <c r="K47" i="17"/>
  <c r="O46" i="17"/>
  <c r="S45" i="17"/>
  <c r="G45" i="17"/>
  <c r="K44" i="17"/>
  <c r="O43" i="17"/>
  <c r="S42" i="17"/>
  <c r="G42" i="17"/>
  <c r="K41" i="17"/>
  <c r="O40" i="17"/>
  <c r="S39" i="17"/>
  <c r="G39" i="17"/>
  <c r="K38" i="17"/>
  <c r="O37" i="17"/>
  <c r="S36" i="17"/>
  <c r="G36" i="17"/>
  <c r="K35" i="17"/>
  <c r="O34" i="17"/>
  <c r="S33" i="17"/>
  <c r="G33" i="17"/>
  <c r="K32" i="17"/>
  <c r="O31" i="17"/>
  <c r="S30" i="17"/>
  <c r="G30" i="17"/>
  <c r="K29" i="17"/>
  <c r="O28" i="17"/>
  <c r="S27" i="17"/>
  <c r="G27" i="17"/>
  <c r="K26" i="17"/>
  <c r="O25" i="17"/>
  <c r="S24" i="17"/>
  <c r="G24" i="17"/>
  <c r="K23" i="17"/>
  <c r="O22" i="17"/>
  <c r="S21" i="17"/>
  <c r="G21" i="17"/>
  <c r="K20" i="17"/>
  <c r="O19" i="17"/>
  <c r="S18" i="17"/>
  <c r="G18" i="17"/>
  <c r="K17" i="17"/>
  <c r="O16" i="17"/>
  <c r="S15" i="17"/>
  <c r="G15" i="17"/>
  <c r="K14" i="17"/>
  <c r="O13" i="17"/>
  <c r="S12" i="17"/>
  <c r="G12" i="17"/>
  <c r="K11" i="17"/>
  <c r="O10" i="17"/>
  <c r="S9" i="17"/>
  <c r="G9" i="17"/>
  <c r="K8" i="17"/>
  <c r="O7" i="17"/>
  <c r="S6" i="17"/>
  <c r="G6" i="17"/>
  <c r="O54" i="17"/>
  <c r="T53" i="17"/>
  <c r="H53" i="17"/>
  <c r="D49" i="17"/>
  <c r="D37" i="17"/>
  <c r="D25" i="17"/>
  <c r="D13" i="17"/>
  <c r="C14" i="17"/>
  <c r="C49" i="17"/>
  <c r="C37" i="17"/>
  <c r="C25" i="17"/>
  <c r="O5" i="17"/>
  <c r="N52" i="17"/>
  <c r="R51" i="17"/>
  <c r="J50" i="17"/>
  <c r="N49" i="17"/>
  <c r="R48" i="17"/>
  <c r="J47" i="17"/>
  <c r="N46" i="17"/>
  <c r="R45" i="17"/>
  <c r="J44" i="17"/>
  <c r="N43" i="17"/>
  <c r="R42" i="17"/>
  <c r="J41" i="17"/>
  <c r="N40" i="17"/>
  <c r="R39" i="17"/>
  <c r="J38" i="17"/>
  <c r="N37" i="17"/>
  <c r="R36" i="17"/>
  <c r="J35" i="17"/>
  <c r="N34" i="17"/>
  <c r="R33" i="17"/>
  <c r="J32" i="17"/>
  <c r="N31" i="17"/>
  <c r="R30" i="17"/>
  <c r="J29" i="17"/>
  <c r="N28" i="17"/>
  <c r="R27" i="17"/>
  <c r="J26" i="17"/>
  <c r="N25" i="17"/>
  <c r="R24" i="17"/>
  <c r="J23" i="17"/>
  <c r="N22" i="17"/>
  <c r="R21" i="17"/>
  <c r="J20" i="17"/>
  <c r="N19" i="17"/>
  <c r="R18" i="17"/>
  <c r="J17" i="17"/>
  <c r="N16" i="17"/>
  <c r="R15" i="17"/>
  <c r="J14" i="17"/>
  <c r="N13" i="17"/>
  <c r="R12" i="17"/>
  <c r="J11" i="17"/>
  <c r="N10" i="17"/>
  <c r="R9" i="17"/>
  <c r="J8" i="17"/>
  <c r="N7" i="17"/>
  <c r="R6" i="17"/>
  <c r="N54" i="17"/>
  <c r="S53" i="17"/>
  <c r="G53" i="17"/>
  <c r="D48" i="17"/>
  <c r="D36" i="17"/>
  <c r="D24" i="17"/>
  <c r="D12" i="17"/>
  <c r="B32" i="14"/>
  <c r="D32" i="14"/>
  <c r="B33" i="14"/>
  <c r="D33" i="14"/>
  <c r="B34" i="14"/>
  <c r="D34" i="14"/>
  <c r="B35" i="14"/>
  <c r="D35" i="14"/>
  <c r="B36" i="14"/>
  <c r="D36" i="14"/>
  <c r="B37" i="14"/>
  <c r="D37" i="14"/>
  <c r="B38" i="14"/>
  <c r="D38" i="14"/>
  <c r="B39" i="14"/>
  <c r="D39" i="14"/>
  <c r="B40" i="14"/>
  <c r="D40" i="14"/>
  <c r="B41" i="14"/>
  <c r="D41" i="14"/>
  <c r="B42" i="14"/>
  <c r="D42" i="14"/>
  <c r="B43" i="14"/>
  <c r="D43" i="14"/>
  <c r="B44" i="14"/>
  <c r="D44" i="14"/>
  <c r="B45" i="14"/>
  <c r="D45" i="14"/>
  <c r="B46" i="14"/>
  <c r="D46" i="14"/>
  <c r="B47" i="14"/>
  <c r="D47" i="14"/>
  <c r="B48" i="14"/>
  <c r="D48" i="14"/>
  <c r="B49" i="14"/>
  <c r="D49" i="14"/>
  <c r="B50" i="14"/>
  <c r="D50" i="14"/>
  <c r="B51" i="14"/>
  <c r="D51" i="14"/>
  <c r="B52" i="14"/>
  <c r="D52" i="14"/>
  <c r="B53" i="14"/>
  <c r="D53" i="14"/>
  <c r="B54" i="14"/>
  <c r="D54" i="14"/>
  <c r="B55" i="14"/>
  <c r="D55" i="14"/>
  <c r="B56" i="14"/>
  <c r="D56" i="14"/>
  <c r="B57" i="14"/>
  <c r="D57" i="14"/>
  <c r="B58" i="14"/>
  <c r="D58" i="14"/>
  <c r="B59" i="14"/>
  <c r="D59" i="14"/>
  <c r="B60" i="14"/>
  <c r="D60" i="14"/>
  <c r="B61" i="14"/>
  <c r="D61" i="14"/>
  <c r="B62" i="14"/>
  <c r="D62" i="14"/>
  <c r="B63" i="14"/>
  <c r="D63" i="14"/>
  <c r="B64" i="14"/>
  <c r="D64" i="14"/>
  <c r="B65" i="14"/>
  <c r="D65" i="14"/>
  <c r="B66" i="14"/>
  <c r="D66" i="14"/>
  <c r="B67" i="14"/>
  <c r="D67" i="14"/>
  <c r="B68" i="14"/>
  <c r="D68" i="14"/>
  <c r="B69" i="14"/>
  <c r="D69" i="14"/>
  <c r="B70" i="14"/>
  <c r="D70" i="14"/>
  <c r="B71" i="14"/>
  <c r="D71" i="14"/>
  <c r="B72" i="14"/>
  <c r="D72" i="14"/>
  <c r="B73" i="14"/>
  <c r="D73" i="14"/>
  <c r="B74" i="14"/>
  <c r="D74" i="14"/>
  <c r="B75" i="14"/>
  <c r="D75" i="14"/>
  <c r="B76" i="14"/>
  <c r="D76" i="14"/>
  <c r="B77" i="14"/>
  <c r="D77" i="14"/>
  <c r="B78" i="14"/>
  <c r="D78" i="14"/>
  <c r="B79" i="14"/>
  <c r="D79" i="14"/>
  <c r="B80" i="14"/>
  <c r="D80" i="14"/>
  <c r="B81" i="14"/>
  <c r="D81" i="14"/>
  <c r="B82" i="14"/>
  <c r="D82" i="14"/>
  <c r="B83" i="14"/>
  <c r="D83" i="14"/>
  <c r="B84" i="14"/>
  <c r="D84" i="14"/>
  <c r="B85" i="14"/>
  <c r="D85" i="14"/>
  <c r="B86" i="14"/>
  <c r="D86" i="14"/>
  <c r="B87" i="14"/>
  <c r="D87" i="14"/>
  <c r="B88" i="14"/>
  <c r="D88" i="14"/>
  <c r="B89" i="14"/>
  <c r="D89" i="14"/>
  <c r="B90" i="14"/>
  <c r="D90" i="14"/>
  <c r="B91" i="14"/>
  <c r="D91" i="14"/>
  <c r="B92" i="14"/>
  <c r="D92" i="14"/>
  <c r="B93" i="14"/>
  <c r="D93" i="14"/>
  <c r="B94" i="14"/>
  <c r="D94" i="14"/>
  <c r="B95" i="14"/>
  <c r="D95" i="14"/>
  <c r="B96" i="14"/>
  <c r="D96" i="14"/>
  <c r="B97" i="14"/>
  <c r="D97" i="14"/>
  <c r="B98" i="14"/>
  <c r="D98" i="14"/>
  <c r="B99" i="14"/>
  <c r="D99" i="14"/>
  <c r="B100" i="14"/>
  <c r="D100" i="14"/>
  <c r="B101" i="14"/>
  <c r="D101" i="14"/>
  <c r="B102" i="14"/>
  <c r="D102" i="14"/>
  <c r="B103" i="14"/>
  <c r="D103" i="14"/>
  <c r="B104" i="14"/>
  <c r="D104" i="14"/>
  <c r="B105" i="14"/>
  <c r="D105" i="14"/>
  <c r="B106" i="14"/>
  <c r="D106" i="14"/>
  <c r="B107" i="14"/>
  <c r="D107" i="14"/>
  <c r="B108" i="14"/>
  <c r="D108" i="14"/>
  <c r="B109" i="14"/>
  <c r="D109" i="14"/>
  <c r="B110" i="14"/>
  <c r="D110" i="14"/>
  <c r="B111" i="14"/>
  <c r="D111" i="14"/>
  <c r="B112" i="14"/>
  <c r="D112" i="14"/>
  <c r="B113" i="14"/>
  <c r="D113" i="14"/>
  <c r="B114" i="14"/>
  <c r="D114" i="14"/>
  <c r="B115" i="14"/>
  <c r="D115" i="14"/>
  <c r="B116" i="14"/>
  <c r="D116" i="14"/>
  <c r="B117" i="14"/>
  <c r="D117" i="14"/>
  <c r="B118" i="14"/>
  <c r="D118" i="14"/>
  <c r="B119" i="14"/>
  <c r="D119" i="14"/>
  <c r="B120" i="14"/>
  <c r="D120" i="14"/>
  <c r="B121" i="14"/>
  <c r="D121" i="14"/>
  <c r="B122" i="14"/>
  <c r="D122" i="14"/>
  <c r="B123" i="14"/>
  <c r="D123" i="14"/>
  <c r="B124" i="14"/>
  <c r="D124" i="14"/>
  <c r="B125" i="14"/>
  <c r="D125" i="14"/>
  <c r="B126" i="14"/>
  <c r="D126" i="14"/>
  <c r="B127" i="14"/>
  <c r="D127" i="14"/>
  <c r="B128" i="14"/>
  <c r="D128" i="14"/>
  <c r="B129" i="14"/>
  <c r="D129" i="14"/>
  <c r="B130" i="14"/>
  <c r="D130" i="14"/>
  <c r="B131" i="14"/>
  <c r="D131" i="14"/>
  <c r="B132" i="14"/>
  <c r="D132" i="14"/>
  <c r="B133" i="14"/>
  <c r="D133" i="14"/>
  <c r="B134" i="14"/>
  <c r="D134" i="14"/>
  <c r="B135" i="14"/>
  <c r="D135" i="14"/>
  <c r="B136" i="14"/>
  <c r="D136" i="14"/>
  <c r="B137" i="14"/>
  <c r="D137" i="14"/>
  <c r="B138" i="14"/>
  <c r="D138" i="14"/>
  <c r="B139" i="14"/>
  <c r="D139" i="14"/>
  <c r="B140" i="14"/>
  <c r="D140" i="14"/>
  <c r="B141" i="14"/>
  <c r="D141" i="14"/>
  <c r="B142" i="14"/>
  <c r="D142" i="14"/>
  <c r="B143" i="14"/>
  <c r="D143" i="14"/>
  <c r="B144" i="14"/>
  <c r="D144" i="14"/>
  <c r="B145" i="14"/>
  <c r="D145" i="14"/>
  <c r="B146" i="14"/>
  <c r="D146" i="14"/>
  <c r="B147" i="14"/>
  <c r="D147" i="14"/>
  <c r="B148" i="14"/>
  <c r="D148" i="14"/>
  <c r="B149" i="14"/>
  <c r="D149" i="14"/>
  <c r="B150" i="14"/>
  <c r="D150" i="14"/>
  <c r="B151" i="14"/>
  <c r="D151" i="14"/>
  <c r="B152" i="14"/>
  <c r="D152" i="14"/>
  <c r="B153" i="14"/>
  <c r="D153" i="14"/>
  <c r="B154" i="14"/>
  <c r="D154" i="14"/>
  <c r="B155" i="14"/>
  <c r="D155" i="14"/>
  <c r="B156" i="14"/>
  <c r="D156" i="14"/>
  <c r="B157" i="14"/>
  <c r="D157" i="14"/>
  <c r="B158" i="14"/>
  <c r="D158" i="14"/>
  <c r="B159" i="14"/>
  <c r="D159" i="14"/>
  <c r="B160" i="14"/>
  <c r="D160" i="14"/>
  <c r="B161" i="14"/>
  <c r="D161" i="14"/>
  <c r="B162" i="14"/>
  <c r="D162" i="14"/>
  <c r="B163" i="14"/>
  <c r="D163" i="14"/>
  <c r="B164" i="14"/>
  <c r="D164" i="14"/>
  <c r="B165" i="14"/>
  <c r="D165" i="14"/>
  <c r="B166" i="14"/>
  <c r="D166" i="14"/>
  <c r="B167" i="14"/>
  <c r="D167" i="14"/>
  <c r="B168" i="14"/>
  <c r="D168" i="14"/>
  <c r="B169" i="14"/>
  <c r="D169" i="14"/>
  <c r="B170" i="14"/>
  <c r="D170" i="14"/>
  <c r="B171" i="14"/>
  <c r="D171" i="14"/>
  <c r="B172" i="14"/>
  <c r="D172" i="14"/>
  <c r="B173" i="14"/>
  <c r="D173" i="14"/>
  <c r="B174" i="14"/>
  <c r="D174" i="14"/>
  <c r="B175" i="14"/>
  <c r="D175" i="14"/>
  <c r="B176" i="14"/>
  <c r="D176" i="14"/>
  <c r="B177" i="14"/>
  <c r="D177" i="14"/>
  <c r="B178" i="14"/>
  <c r="D178" i="14"/>
  <c r="B179" i="14"/>
  <c r="D179" i="14"/>
  <c r="B180" i="14"/>
  <c r="D180" i="14"/>
  <c r="B181" i="14"/>
  <c r="D181" i="14"/>
  <c r="B182" i="14"/>
  <c r="D182" i="14"/>
  <c r="B183" i="14"/>
  <c r="D183" i="14"/>
  <c r="B184" i="14"/>
  <c r="D184" i="14"/>
  <c r="B185" i="14"/>
  <c r="D185" i="14"/>
  <c r="B186" i="14"/>
  <c r="D186" i="14"/>
  <c r="B187" i="14"/>
  <c r="D187" i="14"/>
  <c r="B188" i="14"/>
  <c r="D188" i="14"/>
  <c r="B189" i="14"/>
  <c r="D189" i="14"/>
  <c r="B190" i="14"/>
  <c r="D190" i="14"/>
  <c r="B191" i="14"/>
  <c r="D191" i="14"/>
  <c r="B192" i="14"/>
  <c r="D192" i="14"/>
  <c r="B193" i="14"/>
  <c r="D193" i="14"/>
  <c r="B194" i="14"/>
  <c r="D194" i="14"/>
  <c r="B195" i="14"/>
  <c r="D195" i="14"/>
  <c r="B196" i="14"/>
  <c r="D196" i="14"/>
  <c r="B197" i="14"/>
  <c r="D197" i="14"/>
  <c r="B198" i="14"/>
  <c r="D198" i="14"/>
  <c r="B199" i="14"/>
  <c r="D199" i="14"/>
  <c r="B200" i="14"/>
  <c r="D200" i="14"/>
  <c r="B201" i="14"/>
  <c r="D201" i="14"/>
  <c r="B202" i="14"/>
  <c r="D202" i="14"/>
  <c r="B203" i="14"/>
  <c r="D203" i="14"/>
  <c r="B204" i="14"/>
  <c r="D204" i="14"/>
  <c r="B205" i="14"/>
  <c r="D205" i="14"/>
  <c r="B206" i="14"/>
  <c r="D206" i="14"/>
  <c r="B207" i="14"/>
  <c r="D207" i="14"/>
  <c r="B208" i="14"/>
  <c r="D208" i="14"/>
  <c r="B209" i="14"/>
  <c r="D209" i="14"/>
  <c r="B210" i="14"/>
  <c r="D210" i="14"/>
  <c r="B211" i="14"/>
  <c r="D211" i="14"/>
  <c r="B212" i="14"/>
  <c r="D212" i="14"/>
  <c r="B213" i="14"/>
  <c r="D213" i="14"/>
  <c r="B214" i="14"/>
  <c r="D214" i="14"/>
  <c r="B215" i="14"/>
  <c r="D215" i="14"/>
  <c r="B216" i="14"/>
  <c r="D216" i="14"/>
  <c r="B217" i="14"/>
  <c r="D217" i="14"/>
  <c r="B218" i="14"/>
  <c r="D218" i="14"/>
  <c r="B219" i="14"/>
  <c r="D219" i="14"/>
  <c r="B220" i="14"/>
  <c r="D220" i="14"/>
  <c r="B221" i="14"/>
  <c r="D221" i="14"/>
  <c r="B222" i="14"/>
  <c r="D222" i="14"/>
  <c r="B223" i="14"/>
  <c r="D223" i="14"/>
  <c r="B224" i="14"/>
  <c r="D224" i="14"/>
  <c r="B225" i="14"/>
  <c r="D225" i="14"/>
  <c r="B226" i="14"/>
  <c r="D226" i="14"/>
  <c r="B227" i="14"/>
  <c r="D227" i="14"/>
  <c r="B228" i="14"/>
  <c r="D228" i="14"/>
  <c r="B229" i="14"/>
  <c r="D229" i="14"/>
  <c r="B230" i="14"/>
  <c r="D230" i="14"/>
  <c r="B231" i="14"/>
  <c r="D231" i="14"/>
  <c r="B232" i="14"/>
  <c r="D232" i="14"/>
  <c r="B233" i="14"/>
  <c r="D233" i="14"/>
  <c r="B234" i="14"/>
  <c r="D234" i="14"/>
  <c r="B235" i="14"/>
  <c r="D235" i="14"/>
  <c r="B236" i="14"/>
  <c r="D236" i="14"/>
  <c r="B237" i="14"/>
  <c r="D237" i="14"/>
  <c r="B238" i="14"/>
  <c r="D238" i="14"/>
  <c r="B239" i="14"/>
  <c r="D239" i="14"/>
  <c r="B240" i="14"/>
  <c r="D240" i="14"/>
  <c r="B241" i="14"/>
  <c r="D241" i="14"/>
  <c r="B242" i="14"/>
  <c r="D242" i="14"/>
  <c r="B243" i="14"/>
  <c r="D243" i="14"/>
  <c r="B244" i="14"/>
  <c r="D244" i="14"/>
  <c r="B245" i="14"/>
  <c r="D245" i="14"/>
  <c r="B246" i="14"/>
  <c r="D246" i="14"/>
  <c r="B247" i="14"/>
  <c r="D247" i="14"/>
  <c r="B248" i="14"/>
  <c r="D248" i="14"/>
  <c r="B249" i="14"/>
  <c r="D249" i="14"/>
  <c r="B250" i="14"/>
  <c r="D250" i="14"/>
  <c r="B251" i="14"/>
  <c r="D251" i="14"/>
  <c r="B252" i="14"/>
  <c r="D252" i="14"/>
  <c r="B253" i="14"/>
  <c r="D253" i="14"/>
  <c r="B254" i="14"/>
  <c r="D254" i="14"/>
  <c r="B255" i="14"/>
  <c r="D255" i="14"/>
  <c r="B256" i="14"/>
  <c r="D256" i="14"/>
  <c r="B257" i="14"/>
  <c r="D257" i="14"/>
  <c r="B258" i="14"/>
  <c r="D258" i="14"/>
  <c r="B259" i="14"/>
  <c r="D259" i="14"/>
  <c r="B260" i="14"/>
  <c r="D260" i="14"/>
  <c r="B261" i="14"/>
  <c r="D261" i="14"/>
  <c r="B262" i="14"/>
  <c r="D262" i="14"/>
  <c r="B263" i="14"/>
  <c r="D263" i="14"/>
  <c r="B264" i="14"/>
  <c r="D264" i="14"/>
  <c r="B265" i="14"/>
  <c r="D265" i="14"/>
  <c r="B266" i="14"/>
  <c r="D266" i="14"/>
  <c r="B267" i="14"/>
  <c r="D267" i="14"/>
  <c r="B268" i="14"/>
  <c r="D268" i="14"/>
  <c r="B269" i="14"/>
  <c r="D269" i="14"/>
  <c r="B270" i="14"/>
  <c r="D270" i="14"/>
  <c r="B271" i="14"/>
  <c r="D271" i="14"/>
  <c r="B272" i="14"/>
  <c r="D272" i="14"/>
  <c r="B273" i="14"/>
  <c r="D273" i="14"/>
  <c r="B274" i="14"/>
  <c r="D274" i="14"/>
  <c r="B275" i="14"/>
  <c r="D275" i="14"/>
  <c r="B276" i="14"/>
  <c r="D276" i="14"/>
  <c r="B277" i="14"/>
  <c r="D277" i="14"/>
  <c r="B278" i="14"/>
  <c r="D278" i="14"/>
  <c r="B279" i="14"/>
  <c r="D279" i="14"/>
  <c r="B280" i="14"/>
  <c r="D280" i="14"/>
  <c r="B281" i="14"/>
  <c r="D281" i="14"/>
  <c r="B282" i="14"/>
  <c r="D282" i="14"/>
  <c r="B283" i="14"/>
  <c r="D283" i="14"/>
  <c r="B284" i="14"/>
  <c r="D284" i="14"/>
  <c r="B285" i="14"/>
  <c r="D285" i="14"/>
  <c r="B286" i="14"/>
  <c r="D286" i="14"/>
  <c r="B287" i="14"/>
  <c r="D287" i="14"/>
  <c r="B288" i="14"/>
  <c r="D288" i="14"/>
  <c r="B289" i="14"/>
  <c r="D289" i="14"/>
  <c r="B290" i="14"/>
  <c r="D290" i="14"/>
  <c r="B291" i="14"/>
  <c r="D291" i="14"/>
  <c r="B292" i="14"/>
  <c r="D292" i="14"/>
  <c r="B293" i="14"/>
  <c r="D293" i="14"/>
  <c r="B294" i="14"/>
  <c r="D294" i="14"/>
  <c r="B295" i="14"/>
  <c r="D295" i="14"/>
  <c r="B296" i="14"/>
  <c r="D296" i="14"/>
  <c r="B297" i="14"/>
  <c r="D297" i="14"/>
  <c r="B298" i="14"/>
  <c r="D298" i="14"/>
  <c r="B299" i="14"/>
  <c r="D299" i="14"/>
  <c r="B300" i="14"/>
  <c r="D300" i="14"/>
  <c r="B301" i="14"/>
  <c r="D301" i="14"/>
  <c r="B302" i="14"/>
  <c r="D302" i="14"/>
  <c r="B303" i="14"/>
  <c r="D303" i="14"/>
  <c r="B304" i="14"/>
  <c r="D304" i="14"/>
  <c r="B305" i="14"/>
  <c r="D305" i="14"/>
  <c r="B306" i="14"/>
  <c r="D306" i="14"/>
  <c r="B307" i="14"/>
  <c r="D307" i="14"/>
  <c r="B308" i="14"/>
  <c r="D308" i="14"/>
  <c r="B309" i="14"/>
  <c r="D309" i="14"/>
  <c r="B310" i="14"/>
  <c r="D310" i="14"/>
  <c r="B311" i="14"/>
  <c r="D311" i="14"/>
  <c r="B312" i="14"/>
  <c r="D312" i="14"/>
  <c r="B313" i="14"/>
  <c r="D313" i="14"/>
  <c r="B314" i="14"/>
  <c r="D314" i="14"/>
  <c r="B315" i="14"/>
  <c r="D315" i="14"/>
  <c r="B316" i="14"/>
  <c r="D316" i="14"/>
  <c r="B317" i="14"/>
  <c r="D317" i="14"/>
  <c r="B318" i="14"/>
  <c r="D318" i="14"/>
  <c r="B319" i="14"/>
  <c r="D319" i="14"/>
  <c r="B320" i="14"/>
  <c r="D320" i="14"/>
  <c r="B321" i="14"/>
  <c r="D321" i="14"/>
  <c r="B322" i="14"/>
  <c r="D322" i="14"/>
  <c r="B323" i="14"/>
  <c r="D323" i="14"/>
  <c r="B324" i="14"/>
  <c r="D324" i="14"/>
  <c r="B325" i="14"/>
  <c r="D325" i="14"/>
  <c r="B326" i="14"/>
  <c r="D326" i="14"/>
  <c r="B327" i="14"/>
  <c r="D327" i="14"/>
  <c r="B328" i="14"/>
  <c r="D328" i="14"/>
  <c r="B329" i="14"/>
  <c r="D329" i="14"/>
  <c r="B330" i="14"/>
  <c r="D330" i="14"/>
  <c r="B331" i="14"/>
  <c r="D331" i="14"/>
  <c r="B332" i="14"/>
  <c r="D332" i="14"/>
  <c r="B333" i="14"/>
  <c r="D333" i="14"/>
  <c r="B334" i="14"/>
  <c r="D334" i="14"/>
  <c r="B335" i="14"/>
  <c r="D335" i="14"/>
  <c r="B336" i="14"/>
  <c r="D336" i="14"/>
  <c r="B337" i="14"/>
  <c r="D337" i="14"/>
  <c r="B338" i="14"/>
  <c r="D338" i="14"/>
  <c r="B339" i="14"/>
  <c r="D339" i="14"/>
  <c r="B340" i="14"/>
  <c r="D340" i="14"/>
  <c r="B341" i="14"/>
  <c r="D341" i="14"/>
  <c r="B342" i="14"/>
  <c r="D342" i="14"/>
  <c r="B343" i="14"/>
  <c r="D343" i="14"/>
  <c r="B344" i="14"/>
  <c r="D344" i="14"/>
  <c r="B345" i="14"/>
  <c r="D345" i="14"/>
  <c r="B346" i="14"/>
  <c r="D346" i="14"/>
  <c r="B347" i="14"/>
  <c r="D347" i="14"/>
  <c r="B348" i="14"/>
  <c r="D348" i="14"/>
  <c r="B349" i="14"/>
  <c r="D349" i="14"/>
  <c r="B350" i="14"/>
  <c r="D350" i="14"/>
  <c r="B351" i="14"/>
  <c r="D351" i="14"/>
  <c r="B352" i="14"/>
  <c r="D352" i="14"/>
  <c r="B353" i="14"/>
  <c r="D353" i="14"/>
  <c r="B354" i="14"/>
  <c r="D354" i="14"/>
  <c r="B355" i="14"/>
  <c r="D355" i="14"/>
  <c r="B356" i="14"/>
  <c r="D356" i="14"/>
  <c r="B357" i="14"/>
  <c r="D357" i="14"/>
  <c r="B358" i="14"/>
  <c r="D358" i="14"/>
  <c r="B359" i="14"/>
  <c r="D359" i="14"/>
  <c r="B360" i="14"/>
  <c r="D360" i="14"/>
  <c r="B361" i="14"/>
  <c r="D361" i="14"/>
  <c r="B362" i="14"/>
  <c r="D362" i="14"/>
  <c r="B363" i="14"/>
  <c r="D363" i="14"/>
  <c r="B364" i="14"/>
  <c r="D364" i="14"/>
  <c r="B365" i="14"/>
  <c r="D365" i="14"/>
  <c r="B366" i="14"/>
  <c r="D366" i="14"/>
  <c r="B367" i="14"/>
  <c r="D367" i="14"/>
  <c r="B368" i="14"/>
  <c r="D368" i="14"/>
  <c r="B369" i="14"/>
  <c r="D369" i="14"/>
  <c r="B370" i="14"/>
  <c r="D370" i="14"/>
  <c r="B371" i="14"/>
  <c r="D371" i="14"/>
  <c r="B372" i="14"/>
  <c r="D372" i="14"/>
  <c r="B373" i="14"/>
  <c r="D373" i="14"/>
  <c r="B374" i="14"/>
  <c r="D374" i="14"/>
  <c r="B375" i="14"/>
  <c r="D375" i="14"/>
  <c r="B376" i="14"/>
  <c r="D376" i="14"/>
  <c r="B377" i="14"/>
  <c r="D377" i="14"/>
  <c r="B378" i="14"/>
  <c r="D378" i="14"/>
  <c r="B379" i="14"/>
  <c r="D379" i="14"/>
  <c r="B380" i="14"/>
  <c r="D380" i="14"/>
  <c r="B381" i="14"/>
  <c r="D381" i="14"/>
  <c r="B382" i="14"/>
  <c r="D382" i="14"/>
  <c r="B383" i="14"/>
  <c r="D383" i="14"/>
  <c r="B384" i="14"/>
  <c r="D384" i="14"/>
  <c r="B385" i="14"/>
  <c r="D385" i="14"/>
  <c r="B386" i="14"/>
  <c r="D386" i="14"/>
  <c r="B387" i="14"/>
  <c r="D387" i="14"/>
  <c r="B388" i="14"/>
  <c r="D388" i="14"/>
  <c r="B389" i="14"/>
  <c r="D389" i="14"/>
  <c r="B390" i="14"/>
  <c r="D390" i="14"/>
  <c r="B391" i="14"/>
  <c r="D391" i="14"/>
  <c r="B392" i="14"/>
  <c r="D392" i="14"/>
  <c r="B393" i="14"/>
  <c r="D393" i="14"/>
  <c r="B394" i="14"/>
  <c r="D394" i="14"/>
  <c r="B395" i="14"/>
  <c r="D395" i="14"/>
  <c r="B396" i="14"/>
  <c r="D396" i="14"/>
  <c r="B397" i="14"/>
  <c r="D397" i="14"/>
  <c r="B398" i="14"/>
  <c r="D398" i="14"/>
  <c r="B399" i="14"/>
  <c r="D399" i="14"/>
  <c r="B400" i="14"/>
  <c r="D400" i="14"/>
  <c r="B401" i="14"/>
  <c r="D401" i="14"/>
  <c r="B402" i="14"/>
  <c r="D402" i="14"/>
  <c r="B403" i="14"/>
  <c r="D403" i="14"/>
  <c r="B404" i="14"/>
  <c r="D404" i="14"/>
  <c r="B405" i="14"/>
  <c r="D405" i="14"/>
  <c r="B406" i="14"/>
  <c r="D406" i="14"/>
  <c r="B407" i="14"/>
  <c r="D407" i="14"/>
  <c r="B408" i="14"/>
  <c r="D408" i="14"/>
  <c r="B409" i="14"/>
  <c r="D409" i="14"/>
  <c r="B410" i="14"/>
  <c r="D410" i="14"/>
  <c r="B411" i="14"/>
  <c r="D411" i="14"/>
  <c r="B412" i="14"/>
  <c r="D412" i="14"/>
  <c r="B413" i="14"/>
  <c r="D413" i="14"/>
  <c r="B414" i="14"/>
  <c r="D414" i="14"/>
  <c r="B415" i="14"/>
  <c r="D415" i="14"/>
  <c r="B416" i="14"/>
  <c r="D416" i="14"/>
  <c r="B417" i="14"/>
  <c r="D417" i="14"/>
  <c r="B418" i="14"/>
  <c r="D418" i="14"/>
  <c r="B419" i="14"/>
  <c r="D419" i="14"/>
  <c r="B420" i="14"/>
  <c r="D420" i="14"/>
  <c r="B421" i="14"/>
  <c r="D421" i="14"/>
  <c r="B422" i="14"/>
  <c r="D422" i="14"/>
  <c r="B423" i="14"/>
  <c r="D423" i="14"/>
  <c r="B424" i="14"/>
  <c r="D424" i="14"/>
  <c r="B425" i="14"/>
  <c r="D425" i="14"/>
  <c r="B426" i="14"/>
  <c r="D426" i="14"/>
  <c r="B427" i="14"/>
  <c r="D427" i="14"/>
  <c r="B428" i="14"/>
  <c r="D428" i="14"/>
  <c r="B429" i="14"/>
  <c r="D429" i="14"/>
  <c r="B430" i="14"/>
  <c r="D430" i="14"/>
  <c r="B431" i="14"/>
  <c r="D431" i="14"/>
  <c r="B432" i="14"/>
  <c r="D432" i="14"/>
  <c r="B433" i="14"/>
  <c r="D433" i="14"/>
  <c r="B434" i="14"/>
  <c r="D434" i="14"/>
  <c r="B435" i="14"/>
  <c r="D435" i="14"/>
  <c r="B436" i="14"/>
  <c r="D436" i="14"/>
  <c r="B437" i="14"/>
  <c r="D437" i="14"/>
  <c r="B438" i="14"/>
  <c r="D438" i="14"/>
  <c r="B439" i="14"/>
  <c r="D439" i="14"/>
  <c r="B440" i="14"/>
  <c r="D440" i="14"/>
  <c r="B441" i="14"/>
  <c r="D441" i="14"/>
  <c r="B442" i="14"/>
  <c r="D442" i="14"/>
  <c r="B443" i="14"/>
  <c r="D443" i="14"/>
  <c r="B444" i="14"/>
  <c r="D444" i="14"/>
  <c r="B445" i="14"/>
  <c r="D445" i="14"/>
  <c r="B446" i="14"/>
  <c r="D446" i="14"/>
  <c r="B447" i="14"/>
  <c r="D447" i="14"/>
  <c r="B448" i="14"/>
  <c r="D448" i="14"/>
  <c r="B449" i="14"/>
  <c r="D449" i="14"/>
  <c r="B450" i="14"/>
  <c r="D450" i="14"/>
  <c r="B451" i="14"/>
  <c r="D451" i="14"/>
  <c r="B452" i="14"/>
  <c r="D452" i="14"/>
  <c r="B453" i="14"/>
  <c r="D453" i="14"/>
  <c r="B454" i="14"/>
  <c r="D454" i="14"/>
  <c r="B455" i="14"/>
  <c r="D455" i="14"/>
  <c r="B456" i="14"/>
  <c r="D456" i="14"/>
  <c r="B457" i="14"/>
  <c r="D457" i="14"/>
  <c r="B458" i="14"/>
  <c r="D458" i="14"/>
  <c r="B459" i="14"/>
  <c r="D459" i="14"/>
  <c r="B460" i="14"/>
  <c r="D460" i="14"/>
  <c r="B461" i="14"/>
  <c r="D461" i="14"/>
  <c r="B462" i="14"/>
  <c r="D462" i="14"/>
  <c r="B463" i="14"/>
  <c r="D463" i="14"/>
  <c r="B464" i="14"/>
  <c r="D464" i="14"/>
  <c r="B465" i="14"/>
  <c r="D465" i="14"/>
  <c r="B466" i="14"/>
  <c r="D466" i="14"/>
  <c r="B467" i="14"/>
  <c r="D467" i="14"/>
  <c r="B468" i="14"/>
  <c r="D468" i="14"/>
  <c r="B469" i="14"/>
  <c r="D469" i="14"/>
  <c r="B470" i="14"/>
  <c r="D470" i="14"/>
  <c r="B471" i="14"/>
  <c r="D471" i="14"/>
  <c r="B472" i="14"/>
  <c r="D472" i="14"/>
  <c r="B473" i="14"/>
  <c r="D473" i="14"/>
  <c r="B474" i="14"/>
  <c r="D474" i="14"/>
  <c r="B475" i="14"/>
  <c r="D475" i="14"/>
  <c r="B476" i="14"/>
  <c r="D476" i="14"/>
  <c r="B477" i="14"/>
  <c r="D477" i="14"/>
  <c r="B478" i="14"/>
  <c r="D478" i="14"/>
  <c r="B479" i="14"/>
  <c r="D479" i="14"/>
  <c r="B480" i="14"/>
  <c r="D480" i="14"/>
  <c r="B481" i="14"/>
  <c r="D481" i="14"/>
  <c r="B482" i="14"/>
  <c r="D482" i="14"/>
  <c r="B483" i="14"/>
  <c r="D483" i="14"/>
  <c r="B484" i="14"/>
  <c r="D484" i="14"/>
  <c r="B485" i="14"/>
  <c r="D485" i="14"/>
  <c r="B486" i="14"/>
  <c r="D486" i="14"/>
  <c r="B487" i="14"/>
  <c r="D487" i="14"/>
  <c r="B488" i="14"/>
  <c r="D488" i="14"/>
  <c r="B489" i="14"/>
  <c r="D489" i="14"/>
  <c r="B490" i="14"/>
  <c r="D490" i="14"/>
  <c r="B491" i="14"/>
  <c r="D491" i="14"/>
  <c r="B492" i="14"/>
  <c r="D492" i="14"/>
  <c r="B493" i="14"/>
  <c r="D493" i="14"/>
  <c r="B494" i="14"/>
  <c r="D494" i="14"/>
  <c r="B495" i="14"/>
  <c r="D495" i="14"/>
  <c r="B496" i="14"/>
  <c r="D496" i="14"/>
  <c r="B497" i="14"/>
  <c r="D497" i="14"/>
  <c r="B498" i="14"/>
  <c r="D498" i="14"/>
  <c r="B499" i="14"/>
  <c r="D499" i="14"/>
  <c r="B500" i="14"/>
  <c r="D500" i="14"/>
  <c r="B501" i="14"/>
  <c r="D501" i="14"/>
  <c r="B502" i="14"/>
  <c r="D502" i="14"/>
  <c r="B503" i="14"/>
  <c r="D503" i="14"/>
  <c r="B504" i="14"/>
  <c r="D504" i="14"/>
  <c r="B505" i="14"/>
  <c r="D505" i="14"/>
  <c r="B506" i="14"/>
  <c r="D506" i="14"/>
  <c r="B507" i="14"/>
  <c r="D507" i="14"/>
  <c r="B508" i="14"/>
  <c r="D508" i="14"/>
  <c r="B509" i="14"/>
  <c r="D509" i="14"/>
  <c r="B510" i="14"/>
  <c r="D510" i="14"/>
  <c r="B511" i="14"/>
  <c r="D511" i="14"/>
  <c r="B512" i="14"/>
  <c r="D512" i="14"/>
  <c r="B513" i="14"/>
  <c r="D513" i="14"/>
  <c r="B514" i="14"/>
  <c r="D514" i="14"/>
  <c r="B515" i="14"/>
  <c r="D515" i="14"/>
  <c r="B516" i="14"/>
  <c r="D516" i="14"/>
  <c r="B517" i="14"/>
  <c r="D517" i="14"/>
  <c r="B518" i="14"/>
  <c r="D518" i="14"/>
  <c r="B519" i="14"/>
  <c r="D519" i="14"/>
  <c r="B520" i="14"/>
  <c r="D520" i="14"/>
  <c r="B521" i="14"/>
  <c r="D521" i="14"/>
  <c r="B522" i="14"/>
  <c r="D522" i="14"/>
  <c r="B523" i="14"/>
  <c r="D523" i="14"/>
  <c r="B524" i="14"/>
  <c r="D524" i="14"/>
  <c r="B525" i="14"/>
  <c r="D525" i="14"/>
  <c r="B526" i="14"/>
  <c r="D526" i="14"/>
  <c r="B527" i="14"/>
  <c r="D527" i="14"/>
  <c r="B528" i="14"/>
  <c r="D528" i="14"/>
  <c r="B529" i="14"/>
  <c r="D529" i="14"/>
  <c r="B530" i="14"/>
  <c r="D530" i="14"/>
  <c r="B531" i="14"/>
  <c r="D531" i="14"/>
  <c r="B532" i="14"/>
  <c r="D532" i="14"/>
  <c r="B533" i="14"/>
  <c r="D533" i="14"/>
  <c r="B534" i="14"/>
  <c r="D534" i="14"/>
  <c r="B535" i="14"/>
  <c r="D535" i="14"/>
  <c r="B536" i="14"/>
  <c r="D536" i="14"/>
  <c r="B537" i="14"/>
  <c r="D537" i="14"/>
  <c r="B538" i="14"/>
  <c r="D538" i="14"/>
  <c r="B539" i="14"/>
  <c r="D539" i="14"/>
  <c r="B540" i="14"/>
  <c r="D540" i="14"/>
  <c r="B541" i="14"/>
  <c r="D541" i="14"/>
  <c r="B542" i="14"/>
  <c r="D542" i="14"/>
  <c r="B543" i="14"/>
  <c r="D543" i="14"/>
  <c r="B544" i="14"/>
  <c r="D544" i="14"/>
  <c r="B545" i="14"/>
  <c r="D545" i="14"/>
  <c r="B546" i="14"/>
  <c r="D546" i="14"/>
  <c r="B547" i="14"/>
  <c r="D547" i="14"/>
  <c r="B548" i="14"/>
  <c r="D548" i="14"/>
  <c r="B549" i="14"/>
  <c r="D549" i="14"/>
  <c r="B550" i="14"/>
  <c r="D550" i="14"/>
  <c r="B551" i="14"/>
  <c r="D551" i="14"/>
  <c r="B552" i="14"/>
  <c r="D552" i="14"/>
  <c r="B553" i="14"/>
  <c r="D553" i="14"/>
  <c r="B554" i="14"/>
  <c r="D554" i="14"/>
  <c r="B555" i="14"/>
  <c r="D555" i="14"/>
  <c r="B556" i="14"/>
  <c r="D556" i="14"/>
  <c r="B557" i="14"/>
  <c r="D557" i="14"/>
  <c r="B558" i="14"/>
  <c r="D558" i="14"/>
  <c r="B559" i="14"/>
  <c r="D559" i="14"/>
  <c r="B560" i="14"/>
  <c r="D560" i="14"/>
  <c r="B561" i="14"/>
  <c r="D561" i="14"/>
  <c r="B562" i="14"/>
  <c r="D562" i="14"/>
  <c r="B563" i="14"/>
  <c r="D563" i="14"/>
  <c r="B564" i="14"/>
  <c r="D564" i="14"/>
  <c r="B565" i="14"/>
  <c r="D565" i="14"/>
  <c r="B566" i="14"/>
  <c r="D566" i="14"/>
  <c r="B567" i="14"/>
  <c r="D567" i="14"/>
  <c r="B568" i="14"/>
  <c r="D568" i="14"/>
  <c r="B569" i="14"/>
  <c r="D569" i="14"/>
  <c r="B570" i="14"/>
  <c r="D570" i="14"/>
  <c r="B571" i="14"/>
  <c r="D571" i="14"/>
  <c r="B572" i="14"/>
  <c r="D572" i="14"/>
  <c r="B573" i="14"/>
  <c r="D573" i="14"/>
  <c r="B574" i="14"/>
  <c r="D574" i="14"/>
  <c r="B575" i="14"/>
  <c r="D575" i="14"/>
  <c r="B576" i="14"/>
  <c r="D576" i="14"/>
  <c r="B577" i="14"/>
  <c r="D577" i="14"/>
  <c r="B578" i="14"/>
  <c r="D578" i="14"/>
  <c r="B579" i="14"/>
  <c r="D579" i="14"/>
  <c r="B580" i="14"/>
  <c r="D580" i="14"/>
  <c r="B581" i="14"/>
  <c r="D581" i="14"/>
  <c r="B582" i="14"/>
  <c r="D582" i="14"/>
  <c r="B583" i="14"/>
  <c r="D583" i="14"/>
  <c r="B584" i="14"/>
  <c r="D584" i="14"/>
  <c r="B585" i="14"/>
  <c r="D585" i="14"/>
  <c r="B586" i="14"/>
  <c r="D586" i="14"/>
  <c r="B587" i="14"/>
  <c r="D587" i="14"/>
  <c r="B588" i="14"/>
  <c r="D588" i="14"/>
  <c r="B589" i="14"/>
  <c r="D589" i="14"/>
  <c r="B590" i="14"/>
  <c r="D590" i="14"/>
  <c r="B591" i="14"/>
  <c r="D591" i="14"/>
  <c r="B592" i="14"/>
  <c r="D592" i="14"/>
  <c r="B593" i="14"/>
  <c r="D593" i="14"/>
  <c r="B594" i="14"/>
  <c r="D594" i="14"/>
  <c r="B595" i="14"/>
  <c r="D595" i="14"/>
  <c r="B596" i="14"/>
  <c r="D596" i="14"/>
  <c r="B597" i="14"/>
  <c r="D597" i="14"/>
  <c r="B598" i="14"/>
  <c r="D598" i="14"/>
  <c r="B599" i="14"/>
  <c r="D599" i="14"/>
  <c r="B600" i="14"/>
  <c r="D600" i="14"/>
  <c r="B601" i="14"/>
  <c r="D601" i="14"/>
  <c r="B602" i="14"/>
  <c r="D602" i="14"/>
  <c r="B603" i="14"/>
  <c r="D603" i="14"/>
  <c r="B604" i="14"/>
  <c r="D604" i="14"/>
  <c r="B605" i="14"/>
  <c r="D605" i="14"/>
  <c r="B606" i="14"/>
  <c r="D606" i="14"/>
  <c r="B607" i="14"/>
  <c r="D607" i="14"/>
  <c r="B608" i="14"/>
  <c r="D608" i="14"/>
  <c r="B609" i="14"/>
  <c r="D609" i="14"/>
  <c r="B610" i="14"/>
  <c r="D610" i="14"/>
  <c r="B611" i="14"/>
  <c r="D611" i="14"/>
  <c r="B612" i="14"/>
  <c r="D612" i="14"/>
  <c r="B613" i="14"/>
  <c r="D613" i="14"/>
  <c r="B614" i="14"/>
  <c r="D614" i="14"/>
  <c r="B615" i="14"/>
  <c r="D615" i="14"/>
  <c r="B616" i="14"/>
  <c r="D616" i="14"/>
  <c r="B617" i="14"/>
  <c r="D617" i="14"/>
  <c r="B618" i="14"/>
  <c r="D618" i="14"/>
  <c r="B619" i="14"/>
  <c r="D619" i="14"/>
  <c r="B620" i="14"/>
  <c r="D620" i="14"/>
  <c r="B621" i="14"/>
  <c r="D621" i="14"/>
  <c r="B622" i="14"/>
  <c r="D622" i="14"/>
  <c r="B623" i="14"/>
  <c r="D623" i="14"/>
  <c r="B624" i="14"/>
  <c r="D624" i="14"/>
  <c r="B625" i="14"/>
  <c r="D625" i="14"/>
  <c r="B626" i="14"/>
  <c r="D626" i="14"/>
  <c r="B627" i="14"/>
  <c r="D627" i="14"/>
  <c r="B628" i="14"/>
  <c r="D628" i="14"/>
  <c r="B629" i="14"/>
  <c r="D629" i="14"/>
  <c r="B630" i="14"/>
  <c r="D630" i="14"/>
  <c r="B631" i="14"/>
  <c r="D631" i="14"/>
  <c r="B632" i="14"/>
  <c r="D632" i="14"/>
  <c r="B633" i="14"/>
  <c r="D633" i="14"/>
  <c r="B634" i="14"/>
  <c r="D634" i="14"/>
  <c r="B635" i="14"/>
  <c r="D635" i="14"/>
  <c r="B636" i="14"/>
  <c r="D636" i="14"/>
  <c r="B637" i="14"/>
  <c r="D637" i="14"/>
  <c r="B638" i="14"/>
  <c r="D638" i="14"/>
  <c r="B639" i="14"/>
  <c r="D639" i="14"/>
  <c r="B640" i="14"/>
  <c r="D640" i="14"/>
  <c r="B641" i="14"/>
  <c r="D641" i="14"/>
  <c r="B642" i="14"/>
  <c r="D642" i="14"/>
  <c r="B643" i="14"/>
  <c r="D643" i="14"/>
  <c r="B644" i="14"/>
  <c r="D644" i="14"/>
  <c r="B645" i="14"/>
  <c r="D645" i="14"/>
  <c r="B646" i="14"/>
  <c r="D646" i="14"/>
  <c r="B647" i="14"/>
  <c r="D647" i="14"/>
  <c r="B648" i="14"/>
  <c r="D648" i="14"/>
  <c r="B649" i="14"/>
  <c r="D649" i="14"/>
  <c r="B650" i="14"/>
  <c r="D650" i="14"/>
  <c r="B651" i="14"/>
  <c r="D651" i="14"/>
  <c r="B652" i="14"/>
  <c r="D652" i="14"/>
  <c r="B653" i="14"/>
  <c r="D653" i="14"/>
  <c r="B654" i="14"/>
  <c r="D654" i="14"/>
  <c r="B655" i="14"/>
  <c r="D655" i="14"/>
  <c r="B656" i="14"/>
  <c r="D656" i="14"/>
  <c r="B657" i="14"/>
  <c r="D657" i="14"/>
  <c r="B658" i="14"/>
  <c r="D658" i="14"/>
  <c r="B659" i="14"/>
  <c r="D659" i="14"/>
  <c r="B660" i="14"/>
  <c r="D660" i="14"/>
  <c r="B661" i="14"/>
  <c r="D661" i="14"/>
  <c r="B662" i="14"/>
  <c r="D662" i="14"/>
  <c r="B663" i="14"/>
  <c r="D663" i="14"/>
  <c r="B664" i="14"/>
  <c r="D664" i="14"/>
  <c r="B665" i="14"/>
  <c r="D665" i="14"/>
  <c r="B666" i="14"/>
  <c r="D666" i="14"/>
  <c r="B667" i="14"/>
  <c r="D667" i="14"/>
  <c r="B668" i="14"/>
  <c r="D668" i="14"/>
  <c r="B669" i="14"/>
  <c r="D669" i="14"/>
  <c r="B670" i="14"/>
  <c r="D670" i="14"/>
  <c r="B671" i="14"/>
  <c r="D671" i="14"/>
  <c r="B672" i="14"/>
  <c r="D672" i="14"/>
  <c r="B673" i="14"/>
  <c r="D673" i="14"/>
  <c r="B674" i="14"/>
  <c r="D674" i="14"/>
  <c r="B675" i="14"/>
  <c r="D675" i="14"/>
  <c r="B676" i="14"/>
  <c r="D676" i="14"/>
  <c r="B677" i="14"/>
  <c r="D677" i="14"/>
  <c r="B678" i="14"/>
  <c r="D678" i="14"/>
  <c r="B679" i="14"/>
  <c r="D679" i="14"/>
  <c r="B680" i="14"/>
  <c r="D680" i="14"/>
  <c r="B681" i="14"/>
  <c r="D681" i="14"/>
  <c r="B682" i="14"/>
  <c r="D682" i="14"/>
  <c r="B683" i="14"/>
  <c r="D683" i="14"/>
  <c r="B684" i="14"/>
  <c r="D684" i="14"/>
  <c r="B685" i="14"/>
  <c r="D685" i="14"/>
  <c r="B686" i="14"/>
  <c r="D686" i="14"/>
  <c r="B687" i="14"/>
  <c r="D687" i="14"/>
  <c r="B688" i="14"/>
  <c r="D688" i="14"/>
  <c r="B689" i="14"/>
  <c r="D689" i="14"/>
  <c r="B690" i="14"/>
  <c r="D690" i="14"/>
  <c r="B691" i="14"/>
  <c r="D691" i="14"/>
  <c r="B692" i="14"/>
  <c r="D692" i="14"/>
  <c r="B693" i="14"/>
  <c r="D693" i="14"/>
  <c r="B694" i="14"/>
  <c r="D694" i="14"/>
  <c r="B695" i="14"/>
  <c r="D695" i="14"/>
  <c r="B696" i="14"/>
  <c r="D696" i="14"/>
  <c r="B697" i="14"/>
  <c r="D697" i="14"/>
  <c r="B698" i="14"/>
  <c r="D698" i="14"/>
  <c r="B699" i="14"/>
  <c r="D699" i="14"/>
  <c r="B700" i="14"/>
  <c r="D700" i="14"/>
  <c r="B701" i="14"/>
  <c r="D701" i="14"/>
  <c r="B702" i="14"/>
  <c r="D702" i="14"/>
  <c r="B703" i="14"/>
  <c r="D703" i="14"/>
  <c r="B704" i="14"/>
  <c r="D704" i="14"/>
  <c r="B705" i="14"/>
  <c r="D705" i="14"/>
  <c r="B706" i="14"/>
  <c r="D706" i="14"/>
  <c r="B707" i="14"/>
  <c r="D707" i="14"/>
  <c r="B708" i="14"/>
  <c r="D708" i="14"/>
  <c r="B709" i="14"/>
  <c r="D709" i="14"/>
  <c r="B710" i="14"/>
  <c r="D710" i="14"/>
  <c r="B711" i="14"/>
  <c r="D711" i="14"/>
  <c r="B712" i="14"/>
  <c r="D712" i="14"/>
  <c r="B713" i="14"/>
  <c r="D713" i="14"/>
  <c r="B714" i="14"/>
  <c r="D714" i="14"/>
  <c r="B715" i="14"/>
  <c r="D715" i="14"/>
  <c r="B716" i="14"/>
  <c r="D716" i="14"/>
  <c r="B717" i="14"/>
  <c r="D717" i="14"/>
  <c r="B718" i="14"/>
  <c r="D718" i="14"/>
  <c r="B719" i="14"/>
  <c r="D719" i="14"/>
  <c r="B720" i="14"/>
  <c r="D720" i="14"/>
  <c r="B721" i="14"/>
  <c r="D721" i="14"/>
  <c r="B722" i="14"/>
  <c r="D722" i="14"/>
  <c r="B723" i="14"/>
  <c r="D723" i="14"/>
  <c r="B724" i="14"/>
  <c r="D724" i="14"/>
  <c r="B725" i="14"/>
  <c r="D725" i="14"/>
  <c r="B726" i="14"/>
  <c r="D726" i="14"/>
  <c r="B727" i="14"/>
  <c r="D727" i="14"/>
  <c r="B728" i="14"/>
  <c r="D728" i="14"/>
  <c r="B729" i="14"/>
  <c r="D729" i="14"/>
  <c r="B730" i="14"/>
  <c r="D730" i="14"/>
  <c r="B731" i="14"/>
  <c r="D731" i="14"/>
  <c r="B732" i="14"/>
  <c r="D732" i="14"/>
  <c r="B733" i="14"/>
  <c r="D733" i="14"/>
  <c r="B734" i="14"/>
  <c r="D734" i="14"/>
  <c r="B735" i="14"/>
  <c r="D735" i="14"/>
  <c r="B736" i="14"/>
  <c r="D736" i="14"/>
  <c r="B737" i="14"/>
  <c r="D737" i="14"/>
  <c r="B738" i="14"/>
  <c r="D738" i="14"/>
  <c r="B739" i="14"/>
  <c r="D739" i="14"/>
  <c r="B740" i="14"/>
  <c r="D740" i="14"/>
  <c r="B741" i="14"/>
  <c r="D741" i="14"/>
  <c r="B742" i="14"/>
  <c r="D742" i="14"/>
  <c r="B743" i="14"/>
  <c r="D743" i="14"/>
  <c r="B744" i="14"/>
  <c r="D744" i="14"/>
  <c r="B745" i="14"/>
  <c r="D745" i="14"/>
  <c r="B746" i="14"/>
  <c r="D746" i="14"/>
  <c r="B747" i="14"/>
  <c r="D747" i="14"/>
  <c r="B748" i="14"/>
  <c r="D748" i="14"/>
  <c r="B749" i="14"/>
  <c r="D749" i="14"/>
  <c r="B750" i="14"/>
  <c r="D750" i="14"/>
  <c r="B751" i="14"/>
  <c r="D751" i="14"/>
  <c r="B752" i="14"/>
  <c r="D752" i="14"/>
  <c r="B753" i="14"/>
  <c r="D753" i="14"/>
  <c r="B754" i="14"/>
  <c r="D754" i="14"/>
  <c r="B755" i="14"/>
  <c r="D755" i="14"/>
  <c r="B756" i="14"/>
  <c r="D756" i="14"/>
  <c r="B757" i="14"/>
  <c r="D757" i="14"/>
  <c r="B758" i="14"/>
  <c r="D758" i="14"/>
  <c r="B759" i="14"/>
  <c r="D759" i="14"/>
  <c r="B760" i="14"/>
  <c r="D760" i="14"/>
  <c r="B761" i="14"/>
  <c r="D761" i="14"/>
  <c r="B762" i="14"/>
  <c r="D762" i="14"/>
  <c r="B763" i="14"/>
  <c r="D763" i="14"/>
  <c r="B764" i="14"/>
  <c r="D764" i="14"/>
  <c r="B765" i="14"/>
  <c r="D765" i="14"/>
  <c r="B766" i="14"/>
  <c r="D766" i="14"/>
  <c r="B767" i="14"/>
  <c r="D767" i="14"/>
  <c r="B768" i="14"/>
  <c r="D768" i="14"/>
  <c r="B769" i="14"/>
  <c r="D769" i="14"/>
  <c r="B770" i="14"/>
  <c r="D770" i="14"/>
  <c r="B771" i="14"/>
  <c r="D771" i="14"/>
  <c r="B772" i="14"/>
  <c r="D772" i="14"/>
  <c r="B773" i="14"/>
  <c r="D773" i="14"/>
  <c r="B774" i="14"/>
  <c r="D774" i="14"/>
  <c r="B775" i="14"/>
  <c r="D775" i="14"/>
  <c r="B776" i="14"/>
  <c r="D776" i="14"/>
  <c r="B777" i="14"/>
  <c r="D777" i="14"/>
  <c r="B778" i="14"/>
  <c r="D778" i="14"/>
  <c r="B779" i="14"/>
  <c r="D779" i="14"/>
  <c r="B780" i="14"/>
  <c r="D780" i="14"/>
  <c r="B781" i="14"/>
  <c r="D781" i="14"/>
  <c r="B782" i="14"/>
  <c r="D782" i="14"/>
  <c r="B783" i="14"/>
  <c r="D783" i="14"/>
  <c r="B784" i="14"/>
  <c r="D784" i="14"/>
  <c r="B785" i="14"/>
  <c r="D785" i="14"/>
  <c r="B786" i="14"/>
  <c r="D786" i="14"/>
  <c r="B787" i="14"/>
  <c r="D787" i="14"/>
  <c r="B788" i="14"/>
  <c r="D788" i="14"/>
  <c r="B789" i="14"/>
  <c r="D789" i="14"/>
  <c r="B790" i="14"/>
  <c r="D790" i="14"/>
  <c r="B791" i="14"/>
  <c r="D791" i="14"/>
  <c r="B792" i="14"/>
  <c r="D792" i="14"/>
  <c r="B793" i="14"/>
  <c r="D793" i="14"/>
  <c r="B794" i="14"/>
  <c r="D794" i="14"/>
  <c r="B795" i="14"/>
  <c r="D795" i="14"/>
  <c r="B796" i="14"/>
  <c r="D796" i="14"/>
  <c r="B797" i="14"/>
  <c r="D797" i="14"/>
  <c r="B798" i="14"/>
  <c r="D798" i="14"/>
  <c r="B799" i="14"/>
  <c r="D799" i="14"/>
  <c r="B800" i="14"/>
  <c r="D800" i="14"/>
  <c r="B801" i="14"/>
  <c r="D801" i="14"/>
  <c r="B802" i="14"/>
  <c r="D802" i="14"/>
  <c r="B803" i="14"/>
  <c r="D803" i="14"/>
  <c r="B804" i="14"/>
  <c r="D804" i="14"/>
  <c r="B805" i="14"/>
  <c r="D805" i="14"/>
  <c r="B806" i="14"/>
  <c r="D806" i="14"/>
  <c r="B807" i="14"/>
  <c r="D807" i="14"/>
  <c r="B808" i="14"/>
  <c r="D808" i="14"/>
  <c r="B809" i="14"/>
  <c r="D809" i="14"/>
  <c r="B810" i="14"/>
  <c r="D810" i="14"/>
  <c r="B811" i="14"/>
  <c r="D811" i="14"/>
  <c r="B812" i="14"/>
  <c r="D812" i="14"/>
  <c r="B813" i="14"/>
  <c r="D813" i="14"/>
  <c r="B814" i="14"/>
  <c r="D814" i="14"/>
  <c r="B815" i="14"/>
  <c r="D815" i="14"/>
  <c r="B816" i="14"/>
  <c r="D816" i="14"/>
  <c r="B817" i="14"/>
  <c r="D817" i="14"/>
  <c r="B818" i="14"/>
  <c r="D818" i="14"/>
  <c r="B819" i="14"/>
  <c r="D819" i="14"/>
  <c r="B820" i="14"/>
  <c r="D820" i="14"/>
  <c r="B821" i="14"/>
  <c r="D821" i="14"/>
  <c r="B822" i="14"/>
  <c r="D822" i="14"/>
  <c r="B823" i="14"/>
  <c r="D823" i="14"/>
  <c r="B824" i="14"/>
  <c r="D824" i="14"/>
  <c r="B825" i="14"/>
  <c r="D825" i="14"/>
  <c r="B826" i="14"/>
  <c r="D826" i="14"/>
  <c r="B827" i="14"/>
  <c r="D827" i="14"/>
  <c r="B828" i="14"/>
  <c r="D828" i="14"/>
  <c r="B829" i="14"/>
  <c r="D829" i="14"/>
  <c r="B830" i="14"/>
  <c r="D830" i="14"/>
  <c r="B831" i="14"/>
  <c r="D831" i="14"/>
  <c r="B832" i="14"/>
  <c r="D832" i="14"/>
  <c r="B833" i="14"/>
  <c r="D833" i="14"/>
  <c r="B834" i="14"/>
  <c r="D834" i="14"/>
  <c r="B835" i="14"/>
  <c r="D835" i="14"/>
  <c r="B836" i="14"/>
  <c r="D836" i="14"/>
  <c r="B837" i="14"/>
  <c r="D837" i="14"/>
  <c r="B838" i="14"/>
  <c r="D838" i="14"/>
  <c r="B839" i="14"/>
  <c r="D839" i="14"/>
  <c r="B840" i="14"/>
  <c r="D840" i="14"/>
  <c r="B841" i="14"/>
  <c r="D841" i="14"/>
  <c r="B842" i="14"/>
  <c r="D842" i="14"/>
  <c r="B843" i="14"/>
  <c r="D843" i="14"/>
  <c r="B844" i="14"/>
  <c r="D844" i="14"/>
  <c r="B845" i="14"/>
  <c r="D845" i="14"/>
  <c r="B846" i="14"/>
  <c r="D846" i="14"/>
  <c r="B847" i="14"/>
  <c r="D847" i="14"/>
  <c r="B848" i="14"/>
  <c r="D848" i="14"/>
  <c r="B849" i="14"/>
  <c r="D849" i="14"/>
  <c r="B850" i="14"/>
  <c r="D850" i="14"/>
  <c r="B851" i="14"/>
  <c r="D851" i="14"/>
  <c r="B852" i="14"/>
  <c r="D852" i="14"/>
  <c r="B853" i="14"/>
  <c r="D853" i="14"/>
  <c r="B854" i="14"/>
  <c r="D854" i="14"/>
  <c r="B855" i="14"/>
  <c r="D855" i="14"/>
  <c r="B856" i="14"/>
  <c r="D856" i="14"/>
  <c r="B857" i="14"/>
  <c r="D857" i="14"/>
  <c r="B858" i="14"/>
  <c r="D858" i="14"/>
  <c r="B859" i="14"/>
  <c r="D859" i="14"/>
  <c r="B860" i="14"/>
  <c r="D860" i="14"/>
  <c r="B861" i="14"/>
  <c r="D861" i="14"/>
  <c r="B862" i="14"/>
  <c r="D862" i="14"/>
  <c r="B863" i="14"/>
  <c r="D863" i="14"/>
  <c r="B864" i="14"/>
  <c r="D864" i="14"/>
  <c r="B865" i="14"/>
  <c r="D865" i="14"/>
  <c r="B866" i="14"/>
  <c r="D866" i="14"/>
  <c r="B867" i="14"/>
  <c r="D867" i="14"/>
  <c r="B868" i="14"/>
  <c r="D868" i="14"/>
  <c r="B869" i="14"/>
  <c r="D869" i="14"/>
  <c r="B870" i="14"/>
  <c r="D870" i="14"/>
  <c r="B871" i="14"/>
  <c r="D871" i="14"/>
  <c r="B872" i="14"/>
  <c r="D872" i="14"/>
  <c r="B873" i="14"/>
  <c r="D873" i="14"/>
  <c r="B874" i="14"/>
  <c r="D874" i="14"/>
  <c r="B875" i="14"/>
  <c r="D875" i="14"/>
  <c r="B876" i="14"/>
  <c r="D876" i="14"/>
  <c r="B877" i="14"/>
  <c r="D877" i="14"/>
  <c r="B878" i="14"/>
  <c r="D878" i="14"/>
  <c r="B879" i="14"/>
  <c r="D879" i="14"/>
  <c r="B880" i="14"/>
  <c r="D880" i="14"/>
  <c r="B881" i="14"/>
  <c r="D881" i="14"/>
  <c r="B882" i="14"/>
  <c r="D882" i="14"/>
  <c r="B883" i="14"/>
  <c r="D883" i="14"/>
  <c r="B884" i="14"/>
  <c r="D884" i="14"/>
  <c r="B885" i="14"/>
  <c r="D885" i="14"/>
  <c r="B886" i="14"/>
  <c r="D886" i="14"/>
  <c r="B887" i="14"/>
  <c r="D887" i="14"/>
  <c r="B888" i="14"/>
  <c r="D888" i="14"/>
  <c r="B889" i="14"/>
  <c r="D889" i="14"/>
  <c r="B890" i="14"/>
  <c r="D890" i="14"/>
  <c r="B891" i="14"/>
  <c r="D891" i="14"/>
  <c r="B892" i="14"/>
  <c r="D892" i="14"/>
  <c r="B893" i="14"/>
  <c r="D893" i="14"/>
  <c r="B894" i="14"/>
  <c r="D894" i="14"/>
  <c r="B895" i="14"/>
  <c r="D895" i="14"/>
  <c r="B896" i="14"/>
  <c r="D896" i="14"/>
  <c r="B897" i="14"/>
  <c r="D897" i="14"/>
  <c r="B898" i="14"/>
  <c r="D898" i="14"/>
  <c r="B899" i="14"/>
  <c r="D899" i="14"/>
  <c r="B900" i="14"/>
  <c r="D900" i="14"/>
  <c r="B901" i="14"/>
  <c r="D901" i="14"/>
  <c r="B902" i="14"/>
  <c r="D902" i="14"/>
  <c r="B903" i="14"/>
  <c r="D903" i="14"/>
  <c r="B904" i="14"/>
  <c r="D904" i="14"/>
  <c r="B905" i="14"/>
  <c r="D905" i="14"/>
  <c r="B906" i="14"/>
  <c r="D906" i="14"/>
  <c r="B907" i="14"/>
  <c r="D907" i="14"/>
  <c r="B908" i="14"/>
  <c r="D908" i="14"/>
  <c r="B909" i="14"/>
  <c r="D909" i="14"/>
  <c r="B910" i="14"/>
  <c r="D910" i="14"/>
  <c r="B911" i="14"/>
  <c r="D911" i="14"/>
  <c r="B912" i="14"/>
  <c r="D912" i="14"/>
  <c r="B913" i="14"/>
  <c r="D913" i="14"/>
  <c r="B914" i="14"/>
  <c r="D914" i="14"/>
  <c r="B915" i="14"/>
  <c r="D915" i="14"/>
  <c r="B916" i="14"/>
  <c r="D916" i="14"/>
  <c r="B917" i="14"/>
  <c r="D917" i="14"/>
  <c r="B918" i="14"/>
  <c r="D918" i="14"/>
  <c r="B919" i="14"/>
  <c r="D919" i="14"/>
  <c r="B920" i="14"/>
  <c r="D920" i="14"/>
  <c r="B921" i="14"/>
  <c r="D921" i="14"/>
  <c r="B922" i="14"/>
  <c r="D922" i="14"/>
  <c r="B923" i="14"/>
  <c r="D923" i="14"/>
  <c r="B924" i="14"/>
  <c r="D924" i="14"/>
  <c r="B925" i="14"/>
  <c r="D925" i="14"/>
  <c r="B926" i="14"/>
  <c r="D926" i="14"/>
  <c r="B927" i="14"/>
  <c r="D927" i="14"/>
  <c r="B928" i="14"/>
  <c r="D928" i="14"/>
  <c r="B929" i="14"/>
  <c r="D929" i="14"/>
  <c r="B930" i="14"/>
  <c r="D930" i="14"/>
  <c r="B931" i="14"/>
  <c r="D931" i="14"/>
  <c r="B932" i="14"/>
  <c r="D932" i="14"/>
  <c r="B933" i="14"/>
  <c r="D933" i="14"/>
  <c r="B934" i="14"/>
  <c r="D934" i="14"/>
  <c r="B935" i="14"/>
  <c r="D935" i="14"/>
  <c r="B936" i="14"/>
  <c r="D936" i="14"/>
  <c r="B937" i="14"/>
  <c r="D937" i="14"/>
  <c r="B938" i="14"/>
  <c r="D938" i="14"/>
  <c r="B939" i="14"/>
  <c r="D939" i="14"/>
  <c r="B940" i="14"/>
  <c r="D940" i="14"/>
  <c r="B941" i="14"/>
  <c r="D941" i="14"/>
  <c r="B942" i="14"/>
  <c r="D942" i="14"/>
  <c r="B943" i="14"/>
  <c r="D943" i="14"/>
  <c r="B944" i="14"/>
  <c r="D944" i="14"/>
  <c r="B945" i="14"/>
  <c r="D945" i="14"/>
  <c r="B946" i="14"/>
  <c r="D946" i="14"/>
  <c r="B947" i="14"/>
  <c r="D947" i="14"/>
  <c r="B948" i="14"/>
  <c r="D948" i="14"/>
  <c r="B949" i="14"/>
  <c r="D949" i="14"/>
  <c r="B950" i="14"/>
  <c r="D950" i="14"/>
  <c r="B951" i="14"/>
  <c r="D951" i="14"/>
  <c r="B952" i="14"/>
  <c r="D952" i="14"/>
  <c r="B953" i="14"/>
  <c r="D953" i="14"/>
  <c r="B954" i="14"/>
  <c r="D954" i="14"/>
  <c r="B955" i="14"/>
  <c r="D955" i="14"/>
  <c r="B956" i="14"/>
  <c r="D956" i="14"/>
  <c r="B957" i="14"/>
  <c r="D957" i="14"/>
  <c r="B958" i="14"/>
  <c r="D958" i="14"/>
  <c r="B959" i="14"/>
  <c r="D959" i="14"/>
  <c r="B960" i="14"/>
  <c r="D960" i="14"/>
  <c r="B961" i="14"/>
  <c r="D961" i="14"/>
  <c r="B962" i="14"/>
  <c r="D962" i="14"/>
  <c r="B963" i="14"/>
  <c r="D963" i="14"/>
  <c r="B964" i="14"/>
  <c r="D964" i="14"/>
  <c r="B965" i="14"/>
  <c r="D965" i="14"/>
  <c r="B966" i="14"/>
  <c r="D966" i="14"/>
  <c r="B967" i="14"/>
  <c r="D967" i="14"/>
  <c r="B968" i="14"/>
  <c r="D968" i="14"/>
  <c r="B969" i="14"/>
  <c r="D969" i="14"/>
  <c r="B970" i="14"/>
  <c r="D970" i="14"/>
  <c r="B971" i="14"/>
  <c r="D971" i="14"/>
  <c r="B972" i="14"/>
  <c r="D972" i="14"/>
  <c r="B973" i="14"/>
  <c r="D973" i="14"/>
  <c r="B974" i="14"/>
  <c r="D974" i="14"/>
  <c r="B975" i="14"/>
  <c r="D975" i="14"/>
  <c r="B976" i="14"/>
  <c r="D976" i="14"/>
  <c r="B977" i="14"/>
  <c r="D977" i="14"/>
  <c r="B978" i="14"/>
  <c r="D978" i="14"/>
  <c r="B979" i="14"/>
  <c r="D979" i="14"/>
  <c r="B980" i="14"/>
  <c r="D980" i="14"/>
  <c r="B981" i="14"/>
  <c r="D981" i="14"/>
  <c r="B982" i="14"/>
  <c r="D982" i="14"/>
  <c r="B983" i="14"/>
  <c r="D983" i="14"/>
  <c r="B984" i="14"/>
  <c r="D984" i="14"/>
  <c r="B985" i="14"/>
  <c r="D985" i="14"/>
  <c r="B986" i="14"/>
  <c r="D986" i="14"/>
  <c r="B987" i="14"/>
  <c r="D987" i="14"/>
  <c r="B988" i="14"/>
  <c r="D988" i="14"/>
  <c r="B989" i="14"/>
  <c r="D989" i="14"/>
  <c r="B990" i="14"/>
  <c r="D990" i="14"/>
  <c r="B991" i="14"/>
  <c r="D991" i="14"/>
  <c r="B992" i="14"/>
  <c r="D992" i="14"/>
  <c r="B993" i="14"/>
  <c r="D993" i="14"/>
  <c r="B994" i="14"/>
  <c r="D994" i="14"/>
  <c r="B995" i="14"/>
  <c r="D995" i="14"/>
  <c r="B996" i="14"/>
  <c r="D996" i="14"/>
  <c r="B997" i="14"/>
  <c r="D997" i="14"/>
  <c r="B998" i="14"/>
  <c r="D998" i="14"/>
  <c r="B999" i="14"/>
  <c r="D999" i="14"/>
  <c r="B1000" i="14"/>
  <c r="D1000" i="14"/>
  <c r="B1001" i="14"/>
  <c r="D1001" i="14"/>
  <c r="B1002" i="14"/>
  <c r="D1002" i="14"/>
  <c r="B1003" i="14"/>
  <c r="D1003" i="14"/>
  <c r="B1004" i="14"/>
  <c r="D1004" i="14"/>
  <c r="B1005" i="14"/>
  <c r="D1005" i="14"/>
  <c r="B1006" i="14"/>
  <c r="D1006" i="14"/>
  <c r="B1007" i="14"/>
  <c r="D1007" i="14"/>
  <c r="B1008" i="14"/>
  <c r="D1008" i="14"/>
  <c r="B1009" i="14"/>
  <c r="D1009" i="14"/>
  <c r="B1010" i="14"/>
  <c r="D1010" i="14"/>
  <c r="B1011" i="14"/>
  <c r="D1011" i="14"/>
  <c r="B1012" i="14"/>
  <c r="D1012" i="14"/>
  <c r="B1013" i="14"/>
  <c r="D1013" i="14"/>
  <c r="B1014" i="14"/>
  <c r="D1014" i="14"/>
  <c r="B1015" i="14"/>
  <c r="D1015" i="14"/>
  <c r="B1016" i="14"/>
  <c r="D1016" i="14"/>
  <c r="B1017" i="14"/>
  <c r="D1017" i="14"/>
  <c r="B1018" i="14"/>
  <c r="D1018" i="14"/>
  <c r="B1019" i="14"/>
  <c r="D1019" i="14"/>
  <c r="B1020" i="14"/>
  <c r="D1020" i="14"/>
  <c r="B1021" i="14"/>
  <c r="D1021" i="14"/>
  <c r="B1022" i="14"/>
  <c r="D1022" i="14"/>
  <c r="B1023" i="14"/>
  <c r="D1023" i="14"/>
  <c r="B1024" i="14"/>
  <c r="D1024" i="14"/>
  <c r="B1025" i="14"/>
  <c r="D1025" i="14"/>
  <c r="B1026" i="14"/>
  <c r="D1026" i="14"/>
  <c r="B1027" i="14"/>
  <c r="D1027" i="14"/>
  <c r="B1028" i="14"/>
  <c r="D1028" i="14"/>
  <c r="B1029" i="14"/>
  <c r="D1029" i="14"/>
  <c r="B1030" i="14"/>
  <c r="D1030" i="14"/>
  <c r="B1031" i="14"/>
  <c r="D1031" i="14"/>
  <c r="B1032" i="14"/>
  <c r="D1032" i="14"/>
  <c r="B1033" i="14"/>
  <c r="D1033" i="14"/>
  <c r="B1034" i="14"/>
  <c r="D1034" i="14"/>
  <c r="B1035" i="14"/>
  <c r="D1035" i="14"/>
  <c r="B1036" i="14"/>
  <c r="D1036" i="14"/>
  <c r="B1037" i="14"/>
  <c r="D1037" i="14"/>
  <c r="B1038" i="14"/>
  <c r="D1038" i="14"/>
  <c r="B1039" i="14"/>
  <c r="D1039" i="14"/>
  <c r="B1040" i="14"/>
  <c r="D1040" i="14"/>
  <c r="B1041" i="14"/>
  <c r="D1041" i="14"/>
  <c r="B1042" i="14"/>
  <c r="D1042" i="14"/>
  <c r="B1043" i="14"/>
  <c r="D1043" i="14"/>
  <c r="B1044" i="14"/>
  <c r="D1044" i="14"/>
  <c r="B1045" i="14"/>
  <c r="D1045" i="14"/>
  <c r="B1046" i="14"/>
  <c r="D1046" i="14"/>
  <c r="B1047" i="14"/>
  <c r="D1047" i="14"/>
  <c r="B1048" i="14"/>
  <c r="D1048" i="14"/>
  <c r="B1049" i="14"/>
  <c r="D1049" i="14"/>
  <c r="B1050" i="14"/>
  <c r="D1050" i="14"/>
  <c r="B1051" i="14"/>
  <c r="D1051" i="14"/>
  <c r="B1052" i="14"/>
  <c r="D1052" i="14"/>
  <c r="B1053" i="14"/>
  <c r="D1053" i="14"/>
  <c r="B1054" i="14"/>
  <c r="D1054" i="14"/>
  <c r="B1055" i="14"/>
  <c r="D1055" i="14"/>
  <c r="B1056" i="14"/>
  <c r="D1056" i="14"/>
  <c r="B1057" i="14"/>
  <c r="D1057" i="14"/>
  <c r="B1058" i="14"/>
  <c r="D1058" i="14"/>
  <c r="B1059" i="14"/>
  <c r="D1059" i="14"/>
  <c r="B1060" i="14"/>
  <c r="D1060" i="14"/>
  <c r="B1061" i="14"/>
  <c r="D1061" i="14"/>
  <c r="B1062" i="14"/>
  <c r="D1062" i="14"/>
  <c r="B1063" i="14"/>
  <c r="D1063" i="14"/>
  <c r="B1064" i="14"/>
  <c r="D1064" i="14"/>
  <c r="B1065" i="14"/>
  <c r="D1065" i="14"/>
  <c r="B1066" i="14"/>
  <c r="D1066" i="14"/>
  <c r="B1067" i="14"/>
  <c r="D1067" i="14"/>
  <c r="B1068" i="14"/>
  <c r="D1068" i="14"/>
  <c r="B1069" i="14"/>
  <c r="D1069" i="14"/>
  <c r="B1070" i="14"/>
  <c r="D1070" i="14"/>
  <c r="B1071" i="14"/>
  <c r="D1071" i="14"/>
  <c r="B1072" i="14"/>
  <c r="D1072" i="14"/>
  <c r="B1073" i="14"/>
  <c r="D1073" i="14"/>
  <c r="B1074" i="14"/>
  <c r="D1074" i="14"/>
  <c r="B1075" i="14"/>
  <c r="D1075" i="14"/>
  <c r="B1076" i="14"/>
  <c r="D1076" i="14"/>
  <c r="B1077" i="14"/>
  <c r="D1077" i="14"/>
  <c r="B1078" i="14"/>
  <c r="D1078" i="14"/>
  <c r="B1079" i="14"/>
  <c r="D1079" i="14"/>
  <c r="B1080" i="14"/>
  <c r="D1080" i="14"/>
  <c r="B1081" i="14"/>
  <c r="D1081" i="14"/>
  <c r="B1082" i="14"/>
  <c r="D1082" i="14"/>
  <c r="B1083" i="14"/>
  <c r="D1083" i="14"/>
  <c r="B1084" i="14"/>
  <c r="D1084" i="14"/>
  <c r="B1085" i="14"/>
  <c r="D1085" i="14"/>
  <c r="B1086" i="14"/>
  <c r="D1086" i="14"/>
  <c r="B1087" i="14"/>
  <c r="D1087" i="14"/>
  <c r="B1088" i="14"/>
  <c r="D1088" i="14"/>
  <c r="B1089" i="14"/>
  <c r="D1089" i="14"/>
  <c r="B1090" i="14"/>
  <c r="D1090" i="14"/>
  <c r="B1091" i="14"/>
  <c r="D1091" i="14"/>
  <c r="B1092" i="14"/>
  <c r="D1092" i="14"/>
  <c r="B1093" i="14"/>
  <c r="D1093" i="14"/>
  <c r="B1094" i="14"/>
  <c r="D1094" i="14"/>
  <c r="B1095" i="14"/>
  <c r="D1095" i="14"/>
  <c r="B1096" i="14"/>
  <c r="D1096" i="14"/>
  <c r="B1097" i="14"/>
  <c r="D1097" i="14"/>
  <c r="B1098" i="14"/>
  <c r="D1098" i="14"/>
  <c r="B1099" i="14"/>
  <c r="D1099" i="14"/>
  <c r="B1100" i="14"/>
  <c r="D1100" i="14"/>
  <c r="B1101" i="14"/>
  <c r="D1101" i="14"/>
  <c r="B1102" i="14"/>
  <c r="D1102" i="14"/>
  <c r="B1103" i="14"/>
  <c r="D1103" i="14"/>
  <c r="B1104" i="14"/>
  <c r="D1104" i="14"/>
  <c r="B1105" i="14"/>
  <c r="D1105" i="14"/>
  <c r="B1106" i="14"/>
  <c r="D1106" i="14"/>
  <c r="B1107" i="14"/>
  <c r="D1107" i="14"/>
  <c r="B1108" i="14"/>
  <c r="D1108" i="14"/>
  <c r="B1109" i="14"/>
  <c r="D1109" i="14"/>
  <c r="B1110" i="14"/>
  <c r="D1110" i="14"/>
  <c r="B1111" i="14"/>
  <c r="D1111" i="14"/>
  <c r="B1112" i="14"/>
  <c r="D1112" i="14"/>
  <c r="B1113" i="14"/>
  <c r="D1113" i="14"/>
  <c r="B1114" i="14"/>
  <c r="D1114" i="14"/>
  <c r="B1115" i="14"/>
  <c r="D1115" i="14"/>
  <c r="B1116" i="14"/>
  <c r="D1116" i="14"/>
  <c r="B1117" i="14"/>
  <c r="D1117" i="14"/>
  <c r="B1118" i="14"/>
  <c r="D1118" i="14"/>
  <c r="B1119" i="14"/>
  <c r="D1119" i="14"/>
  <c r="B1120" i="14"/>
  <c r="D1120" i="14"/>
  <c r="B1121" i="14"/>
  <c r="D1121" i="14"/>
  <c r="B1122" i="14"/>
  <c r="D1122" i="14"/>
  <c r="B1123" i="14"/>
  <c r="D1123" i="14"/>
  <c r="B1124" i="14"/>
  <c r="D1124" i="14"/>
  <c r="B1125" i="14"/>
  <c r="D1125" i="14"/>
  <c r="B1126" i="14"/>
  <c r="D1126" i="14"/>
  <c r="B1127" i="14"/>
  <c r="D1127" i="14"/>
  <c r="B1128" i="14"/>
  <c r="D1128" i="14"/>
  <c r="B1129" i="14"/>
  <c r="D1129" i="14"/>
  <c r="B1130" i="14"/>
  <c r="D1130" i="14"/>
  <c r="B1131" i="14"/>
  <c r="D1131" i="14"/>
  <c r="B1132" i="14"/>
  <c r="D1132" i="14"/>
  <c r="B1133" i="14"/>
  <c r="D1133" i="14"/>
  <c r="B1134" i="14"/>
  <c r="D1134" i="14"/>
  <c r="B1135" i="14"/>
  <c r="D1135" i="14"/>
  <c r="B1136" i="14"/>
  <c r="D1136" i="14"/>
  <c r="B1137" i="14"/>
  <c r="D1137" i="14"/>
  <c r="B1138" i="14"/>
  <c r="D1138" i="14"/>
  <c r="B1139" i="14"/>
  <c r="D1139" i="14"/>
  <c r="B1140" i="14"/>
  <c r="D1140" i="14"/>
  <c r="B1141" i="14"/>
  <c r="D1141" i="14"/>
  <c r="B1142" i="14"/>
  <c r="D1142" i="14"/>
  <c r="B1143" i="14"/>
  <c r="D1143" i="14"/>
  <c r="B1144" i="14"/>
  <c r="D1144" i="14"/>
  <c r="B1145" i="14"/>
  <c r="D1145" i="14"/>
  <c r="B1146" i="14"/>
  <c r="D1146" i="14"/>
  <c r="B1147" i="14"/>
  <c r="D1147" i="14"/>
  <c r="B1148" i="14"/>
  <c r="D1148" i="14"/>
  <c r="B1149" i="14"/>
  <c r="D1149" i="14"/>
  <c r="B1150" i="14"/>
  <c r="D1150" i="14"/>
  <c r="B1151" i="14"/>
  <c r="D1151" i="14"/>
  <c r="B1152" i="14"/>
  <c r="D1152" i="14"/>
  <c r="B1153" i="14"/>
  <c r="D1153" i="14"/>
  <c r="B1154" i="14"/>
  <c r="D1154" i="14"/>
  <c r="B1155" i="14"/>
  <c r="D1155" i="14"/>
  <c r="B1156" i="14"/>
  <c r="D1156" i="14"/>
  <c r="B1157" i="14"/>
  <c r="D1157" i="14"/>
  <c r="B1158" i="14"/>
  <c r="D1158" i="14"/>
  <c r="B1159" i="14"/>
  <c r="D1159" i="14"/>
  <c r="B1160" i="14"/>
  <c r="D1160" i="14"/>
  <c r="B1161" i="14"/>
  <c r="D1161" i="14"/>
  <c r="B1162" i="14"/>
  <c r="D1162" i="14"/>
  <c r="B1163" i="14"/>
  <c r="D1163" i="14"/>
  <c r="B1164" i="14"/>
  <c r="D1164" i="14"/>
  <c r="B1165" i="14"/>
  <c r="D1165" i="14"/>
  <c r="B1166" i="14"/>
  <c r="D1166" i="14"/>
  <c r="B1167" i="14"/>
  <c r="D1167" i="14"/>
  <c r="B1168" i="14"/>
  <c r="D1168" i="14"/>
  <c r="B1169" i="14"/>
  <c r="D1169" i="14"/>
  <c r="B1170" i="14"/>
  <c r="D1170" i="14"/>
  <c r="B1171" i="14"/>
  <c r="D1171" i="14"/>
  <c r="B1172" i="14"/>
  <c r="D1172" i="14"/>
  <c r="B1173" i="14"/>
  <c r="D1173" i="14"/>
  <c r="B1174" i="14"/>
  <c r="D1174" i="14"/>
  <c r="B1175" i="14"/>
  <c r="D1175" i="14"/>
  <c r="B1176" i="14"/>
  <c r="D1176" i="14"/>
  <c r="B1177" i="14"/>
  <c r="D1177" i="14"/>
  <c r="B1178" i="14"/>
  <c r="D1178" i="14"/>
  <c r="B1179" i="14"/>
  <c r="D1179" i="14"/>
  <c r="B1180" i="14"/>
  <c r="D1180" i="14"/>
  <c r="B1181" i="14"/>
  <c r="D1181" i="14"/>
  <c r="B1182" i="14"/>
  <c r="D1182" i="14"/>
  <c r="B1183" i="14"/>
  <c r="D1183" i="14"/>
  <c r="B1184" i="14"/>
  <c r="D1184" i="14"/>
  <c r="B1185" i="14"/>
  <c r="D1185" i="14"/>
  <c r="B1186" i="14"/>
  <c r="D1186" i="14"/>
  <c r="B1187" i="14"/>
  <c r="D1187" i="14"/>
  <c r="B1188" i="14"/>
  <c r="D1188" i="14"/>
  <c r="B1189" i="14"/>
  <c r="D1189" i="14"/>
  <c r="B1190" i="14"/>
  <c r="D1190" i="14"/>
  <c r="B1191" i="14"/>
  <c r="D1191" i="14"/>
  <c r="B1192" i="14"/>
  <c r="D1192" i="14"/>
  <c r="B1193" i="14"/>
  <c r="D1193" i="14"/>
  <c r="B1194" i="14"/>
  <c r="D1194" i="14"/>
  <c r="B1195" i="14"/>
  <c r="D1195" i="14"/>
  <c r="B1196" i="14"/>
  <c r="D1196" i="14"/>
  <c r="B1197" i="14"/>
  <c r="D1197" i="14"/>
  <c r="B1198" i="14"/>
  <c r="D1198" i="14"/>
  <c r="B1199" i="14"/>
  <c r="D1199" i="14"/>
  <c r="B1200" i="14"/>
  <c r="D1200" i="14"/>
  <c r="B1201" i="14"/>
  <c r="D1201" i="14"/>
  <c r="B1202" i="14"/>
  <c r="D1202" i="14"/>
  <c r="B1203" i="14"/>
  <c r="D1203" i="14"/>
  <c r="B1204" i="14"/>
  <c r="D1204" i="14"/>
  <c r="B1205" i="14"/>
  <c r="D1205" i="14"/>
  <c r="B1206" i="14"/>
  <c r="D1206" i="14"/>
  <c r="B1207" i="14"/>
  <c r="D1207" i="14"/>
  <c r="B1208" i="14"/>
  <c r="D1208" i="14"/>
  <c r="B1209" i="14"/>
  <c r="D1209" i="14"/>
  <c r="B1210" i="14"/>
  <c r="D1210" i="14"/>
  <c r="B1211" i="14"/>
  <c r="D1211" i="14"/>
  <c r="B1212" i="14"/>
  <c r="D1212" i="14"/>
  <c r="B1213" i="14"/>
  <c r="D1213" i="14"/>
  <c r="B1214" i="14"/>
  <c r="D1214" i="14"/>
  <c r="B1215" i="14"/>
  <c r="D1215" i="14"/>
  <c r="B1216" i="14"/>
  <c r="D1216" i="14"/>
  <c r="B1217" i="14"/>
  <c r="D1217" i="14"/>
  <c r="B1218" i="14"/>
  <c r="D1218" i="14"/>
  <c r="B1219" i="14"/>
  <c r="D1219" i="14"/>
  <c r="B1220" i="14"/>
  <c r="D1220" i="14"/>
  <c r="B1221" i="14"/>
  <c r="D1221" i="14"/>
  <c r="B1222" i="14"/>
  <c r="D1222" i="14"/>
  <c r="B1223" i="14"/>
  <c r="D1223" i="14"/>
  <c r="B1224" i="14"/>
  <c r="D1224" i="14"/>
  <c r="B1225" i="14"/>
  <c r="D1225" i="14"/>
  <c r="B1226" i="14"/>
  <c r="D1226" i="14"/>
  <c r="B1227" i="14"/>
  <c r="D1227" i="14"/>
  <c r="B1228" i="14"/>
  <c r="D1228" i="14"/>
  <c r="B1229" i="14"/>
  <c r="D1229" i="14"/>
  <c r="B1230" i="14"/>
  <c r="D1230" i="14"/>
  <c r="B1231" i="14"/>
  <c r="D1231" i="14"/>
  <c r="B1232" i="14"/>
  <c r="D1232" i="14"/>
  <c r="B1233" i="14"/>
  <c r="D1233" i="14"/>
  <c r="B1234" i="14"/>
  <c r="D1234" i="14"/>
  <c r="B1235" i="14"/>
  <c r="D1235" i="14"/>
  <c r="B1236" i="14"/>
  <c r="D1236" i="14"/>
  <c r="B1237" i="14"/>
  <c r="D1237" i="14"/>
  <c r="B1238" i="14"/>
  <c r="D1238" i="14"/>
  <c r="B1239" i="14"/>
  <c r="D1239" i="14"/>
  <c r="B1240" i="14"/>
  <c r="D1240" i="14"/>
  <c r="B1241" i="14"/>
  <c r="D1241" i="14"/>
  <c r="B1242" i="14"/>
  <c r="D1242" i="14"/>
  <c r="B1243" i="14"/>
  <c r="D1243" i="14"/>
  <c r="B1244" i="14"/>
  <c r="D1244" i="14"/>
  <c r="B1245" i="14"/>
  <c r="D1245" i="14"/>
  <c r="B1246" i="14"/>
  <c r="D1246" i="14"/>
  <c r="B1247" i="14"/>
  <c r="D1247" i="14"/>
  <c r="B1248" i="14"/>
  <c r="D1248" i="14"/>
  <c r="B1249" i="14"/>
  <c r="D1249" i="14"/>
  <c r="B1250" i="14"/>
  <c r="D1250" i="14"/>
  <c r="B1251" i="14"/>
  <c r="D1251" i="14"/>
  <c r="B1252" i="14"/>
  <c r="D1252" i="14"/>
  <c r="B1253" i="14"/>
  <c r="D1253" i="14"/>
  <c r="B1254" i="14"/>
  <c r="D1254" i="14"/>
  <c r="B1255" i="14"/>
  <c r="D1255" i="14"/>
  <c r="B1256" i="14"/>
  <c r="D1256" i="14"/>
  <c r="B1257" i="14"/>
  <c r="D1257" i="14"/>
  <c r="B1258" i="14"/>
  <c r="D1258" i="14"/>
  <c r="B1259" i="14"/>
  <c r="D1259" i="14"/>
  <c r="B1260" i="14"/>
  <c r="D1260" i="14"/>
  <c r="B1261" i="14"/>
  <c r="D1261" i="14"/>
  <c r="B1262" i="14"/>
  <c r="D1262" i="14"/>
  <c r="B1263" i="14"/>
  <c r="D1263" i="14"/>
  <c r="B1264" i="14"/>
  <c r="D1264" i="14"/>
  <c r="B1265" i="14"/>
  <c r="D1265" i="14"/>
  <c r="B1266" i="14"/>
  <c r="D1266" i="14"/>
  <c r="B1267" i="14"/>
  <c r="D1267" i="14"/>
  <c r="B1268" i="14"/>
  <c r="D1268" i="14"/>
  <c r="B1269" i="14"/>
  <c r="D1269" i="14"/>
  <c r="B1270" i="14"/>
  <c r="D1270" i="14"/>
  <c r="B1271" i="14"/>
  <c r="D1271" i="14"/>
  <c r="B1272" i="14"/>
  <c r="D1272" i="14"/>
  <c r="B1273" i="14"/>
  <c r="D1273" i="14"/>
  <c r="B1274" i="14"/>
  <c r="D1274" i="14"/>
  <c r="B1275" i="14"/>
  <c r="D1275" i="14"/>
  <c r="B1276" i="14"/>
  <c r="D1276" i="14"/>
  <c r="B1277" i="14"/>
  <c r="D1277" i="14"/>
  <c r="B1278" i="14"/>
  <c r="D1278" i="14"/>
  <c r="B1279" i="14"/>
  <c r="D1279" i="14"/>
  <c r="B1280" i="14"/>
  <c r="D1280" i="14"/>
  <c r="B1281" i="14"/>
  <c r="D1281" i="14"/>
  <c r="B1282" i="14"/>
  <c r="D1282" i="14"/>
  <c r="B1283" i="14"/>
  <c r="D1283" i="14"/>
  <c r="B1284" i="14"/>
  <c r="D1284" i="14"/>
  <c r="B1285" i="14"/>
  <c r="D1285" i="14"/>
  <c r="B1286" i="14"/>
  <c r="D1286" i="14"/>
  <c r="B1287" i="14"/>
  <c r="D1287" i="14"/>
  <c r="B1288" i="14"/>
  <c r="D1288" i="14"/>
  <c r="B1289" i="14"/>
  <c r="D1289" i="14"/>
  <c r="B1290" i="14"/>
  <c r="D1290" i="14"/>
  <c r="B1291" i="14"/>
  <c r="D1291" i="14"/>
  <c r="B1292" i="14"/>
  <c r="D1292" i="14"/>
  <c r="B1293" i="14"/>
  <c r="D1293" i="14"/>
  <c r="B1294" i="14"/>
  <c r="D1294" i="14"/>
  <c r="B1295" i="14"/>
  <c r="D1295" i="14"/>
  <c r="B1296" i="14"/>
  <c r="D1296" i="14"/>
  <c r="B1297" i="14"/>
  <c r="D1297" i="14"/>
  <c r="B1298" i="14"/>
  <c r="D1298" i="14"/>
  <c r="B1299" i="14"/>
  <c r="D1299" i="14"/>
  <c r="B1300" i="14"/>
  <c r="D1300" i="14"/>
  <c r="B1301" i="14"/>
  <c r="D1301" i="14"/>
  <c r="B1302" i="14"/>
  <c r="D1302" i="14"/>
  <c r="B1303" i="14"/>
  <c r="D1303" i="14"/>
  <c r="B1304" i="14"/>
  <c r="D1304" i="14"/>
  <c r="B1305" i="14"/>
  <c r="D1305" i="14"/>
  <c r="B1306" i="14"/>
  <c r="D1306" i="14"/>
  <c r="B1307" i="14"/>
  <c r="D1307" i="14"/>
  <c r="B1308" i="14"/>
  <c r="D1308" i="14"/>
  <c r="B1309" i="14"/>
  <c r="D1309" i="14"/>
  <c r="B1310" i="14"/>
  <c r="D1310" i="14"/>
  <c r="B1311" i="14"/>
  <c r="D1311" i="14"/>
  <c r="B1312" i="14"/>
  <c r="D1312" i="14"/>
  <c r="B1313" i="14"/>
  <c r="D1313" i="14"/>
  <c r="B1314" i="14"/>
  <c r="D1314" i="14"/>
  <c r="B1315" i="14"/>
  <c r="D1315" i="14"/>
  <c r="B1316" i="14"/>
  <c r="D1316" i="14"/>
  <c r="B1317" i="14"/>
  <c r="D1317" i="14"/>
  <c r="B1318" i="14"/>
  <c r="D1318" i="14"/>
  <c r="B1319" i="14"/>
  <c r="D1319" i="14"/>
  <c r="B1320" i="14"/>
  <c r="D1320" i="14"/>
  <c r="B1321" i="14"/>
  <c r="D1321" i="14"/>
  <c r="B1322" i="14"/>
  <c r="D1322" i="14"/>
  <c r="B1323" i="14"/>
  <c r="D1323" i="14"/>
  <c r="B1324" i="14"/>
  <c r="D1324" i="14"/>
  <c r="B1325" i="14"/>
  <c r="D1325" i="14"/>
  <c r="B1326" i="14"/>
  <c r="D1326" i="14"/>
  <c r="B1327" i="14"/>
  <c r="D1327" i="14"/>
  <c r="B1328" i="14"/>
  <c r="D1328" i="14"/>
  <c r="B1329" i="14"/>
  <c r="D1329" i="14"/>
  <c r="B1330" i="14"/>
  <c r="D1330" i="14"/>
  <c r="B1331" i="14"/>
  <c r="D1331" i="14"/>
  <c r="B1332" i="14"/>
  <c r="D1332" i="14"/>
  <c r="B1333" i="14"/>
  <c r="D1333" i="14"/>
  <c r="B1334" i="14"/>
  <c r="D1334" i="14"/>
  <c r="B1335" i="14"/>
  <c r="D1335" i="14"/>
  <c r="B1336" i="14"/>
  <c r="D1336" i="14"/>
  <c r="B1337" i="14"/>
  <c r="D1337" i="14"/>
  <c r="B1338" i="14"/>
  <c r="D1338" i="14"/>
  <c r="B1339" i="14"/>
  <c r="D1339" i="14"/>
  <c r="B1340" i="14"/>
  <c r="D1340" i="14"/>
  <c r="B1341" i="14"/>
  <c r="D1341" i="14"/>
  <c r="B1342" i="14"/>
  <c r="D1342" i="14"/>
  <c r="B1343" i="14"/>
  <c r="D1343" i="14"/>
  <c r="B1344" i="14"/>
  <c r="D1344" i="14"/>
  <c r="B1345" i="14"/>
  <c r="D1345" i="14"/>
  <c r="B1346" i="14"/>
  <c r="D1346" i="14"/>
  <c r="B1347" i="14"/>
  <c r="D1347" i="14"/>
  <c r="B1348" i="14"/>
  <c r="D1348" i="14"/>
  <c r="B1349" i="14"/>
  <c r="D1349" i="14"/>
  <c r="B1350" i="14"/>
  <c r="D1350" i="14"/>
  <c r="B1351" i="14"/>
  <c r="D1351" i="14"/>
  <c r="B1352" i="14"/>
  <c r="D1352" i="14"/>
  <c r="B1353" i="14"/>
  <c r="D1353" i="14"/>
  <c r="B1354" i="14"/>
  <c r="D1354" i="14"/>
  <c r="B1355" i="14"/>
  <c r="D1355" i="14"/>
  <c r="B1356" i="14"/>
  <c r="D1356" i="14"/>
  <c r="B1357" i="14"/>
  <c r="D1357" i="14"/>
  <c r="B1358" i="14"/>
  <c r="D1358" i="14"/>
  <c r="B1359" i="14"/>
  <c r="D1359" i="14"/>
  <c r="B1360" i="14"/>
  <c r="D1360" i="14"/>
  <c r="B1361" i="14"/>
  <c r="D1361" i="14"/>
  <c r="B1362" i="14"/>
  <c r="D1362" i="14"/>
  <c r="B1363" i="14"/>
  <c r="D1363" i="14"/>
  <c r="B1364" i="14"/>
  <c r="D1364" i="14"/>
  <c r="B1365" i="14"/>
  <c r="D1365" i="14"/>
  <c r="B1366" i="14"/>
  <c r="D1366" i="14"/>
  <c r="B1367" i="14"/>
  <c r="D1367" i="14"/>
  <c r="B1368" i="14"/>
  <c r="D1368" i="14"/>
  <c r="B1369" i="14"/>
  <c r="D1369" i="14"/>
  <c r="B1370" i="14"/>
  <c r="D1370" i="14"/>
  <c r="B1371" i="14"/>
  <c r="D1371" i="14"/>
  <c r="B1372" i="14"/>
  <c r="D1372" i="14"/>
  <c r="B1373" i="14"/>
  <c r="D1373" i="14"/>
  <c r="B1374" i="14"/>
  <c r="D1374" i="14"/>
  <c r="B1375" i="14"/>
  <c r="D1375" i="14"/>
  <c r="B1376" i="14"/>
  <c r="D1376" i="14"/>
  <c r="B1377" i="14"/>
  <c r="D1377" i="14"/>
  <c r="B1378" i="14"/>
  <c r="D1378" i="14"/>
  <c r="B1379" i="14"/>
  <c r="D1379" i="14"/>
  <c r="B1380" i="14"/>
  <c r="D1380" i="14"/>
  <c r="B1381" i="14"/>
  <c r="D1381" i="14"/>
  <c r="B1382" i="14"/>
  <c r="D1382" i="14"/>
  <c r="B1383" i="14"/>
  <c r="D1383" i="14"/>
  <c r="B1384" i="14"/>
  <c r="D1384" i="14"/>
  <c r="B1385" i="14"/>
  <c r="D1385" i="14"/>
  <c r="B1386" i="14"/>
  <c r="D1386" i="14"/>
  <c r="B1387" i="14"/>
  <c r="D1387" i="14"/>
  <c r="B1388" i="14"/>
  <c r="D1388" i="14"/>
  <c r="B1389" i="14"/>
  <c r="D1389" i="14"/>
  <c r="B1390" i="14"/>
  <c r="D1390" i="14"/>
  <c r="B1391" i="14"/>
  <c r="D1391" i="14"/>
  <c r="B1392" i="14"/>
  <c r="D1392" i="14"/>
  <c r="B1393" i="14"/>
  <c r="D1393" i="14"/>
  <c r="B1394" i="14"/>
  <c r="D1394" i="14"/>
  <c r="B1395" i="14"/>
  <c r="D1395" i="14"/>
  <c r="B1396" i="14"/>
  <c r="D1396" i="14"/>
  <c r="B1397" i="14"/>
  <c r="D1397" i="14"/>
  <c r="B1398" i="14"/>
  <c r="D1398" i="14"/>
  <c r="B1399" i="14"/>
  <c r="D1399" i="14"/>
  <c r="B1400" i="14"/>
  <c r="D1400" i="14"/>
  <c r="B1401" i="14"/>
  <c r="D1401" i="14"/>
  <c r="B1402" i="14"/>
  <c r="D1402" i="14"/>
  <c r="B1403" i="14"/>
  <c r="D1403" i="14"/>
  <c r="B1404" i="14"/>
  <c r="D1404" i="14"/>
  <c r="B1405" i="14"/>
  <c r="D1405" i="14"/>
  <c r="B1406" i="14"/>
  <c r="D1406" i="14"/>
  <c r="B1407" i="14"/>
  <c r="D1407" i="14"/>
  <c r="B1408" i="14"/>
  <c r="D1408" i="14"/>
  <c r="B1409" i="14"/>
  <c r="D1409" i="14"/>
  <c r="B1410" i="14"/>
  <c r="D1410" i="14"/>
  <c r="B1411" i="14"/>
  <c r="D1411" i="14"/>
  <c r="B1412" i="14"/>
  <c r="D1412" i="14"/>
  <c r="B1413" i="14"/>
  <c r="D1413" i="14"/>
  <c r="B1414" i="14"/>
  <c r="D1414" i="14"/>
  <c r="B1415" i="14"/>
  <c r="D1415" i="14"/>
  <c r="B1416" i="14"/>
  <c r="D1416" i="14"/>
  <c r="B1417" i="14"/>
  <c r="D1417" i="14"/>
  <c r="B1418" i="14"/>
  <c r="D1418" i="14"/>
  <c r="B1419" i="14"/>
  <c r="D1419" i="14"/>
  <c r="B1420" i="14"/>
  <c r="D1420" i="14"/>
  <c r="B1421" i="14"/>
  <c r="D1421" i="14"/>
  <c r="B1422" i="14"/>
  <c r="D1422" i="14"/>
  <c r="B1423" i="14"/>
  <c r="D1423" i="14"/>
  <c r="B1424" i="14"/>
  <c r="D1424" i="14"/>
  <c r="B1425" i="14"/>
  <c r="D1425" i="14"/>
  <c r="B1426" i="14"/>
  <c r="D1426" i="14"/>
  <c r="B1427" i="14"/>
  <c r="D1427" i="14"/>
  <c r="B1428" i="14"/>
  <c r="D1428" i="14"/>
  <c r="B1429" i="14"/>
  <c r="D1429" i="14"/>
  <c r="B1430" i="14"/>
  <c r="D1430" i="14"/>
  <c r="B1431" i="14"/>
  <c r="D1431" i="14"/>
  <c r="B1432" i="14"/>
  <c r="D1432" i="14"/>
  <c r="B1433" i="14"/>
  <c r="D1433" i="14"/>
  <c r="B1434" i="14"/>
  <c r="D1434" i="14"/>
  <c r="B1435" i="14"/>
  <c r="D1435" i="14"/>
  <c r="B1436" i="14"/>
  <c r="D1436" i="14"/>
  <c r="B1437" i="14"/>
  <c r="D1437" i="14"/>
  <c r="B1438" i="14"/>
  <c r="D1438" i="14"/>
  <c r="B1439" i="14"/>
  <c r="D1439" i="14"/>
  <c r="B1440" i="14"/>
  <c r="D1440" i="14"/>
  <c r="B1441" i="14"/>
  <c r="D1441" i="14"/>
  <c r="B1442" i="14"/>
  <c r="D1442" i="14"/>
  <c r="B1443" i="14"/>
  <c r="D1443" i="14"/>
  <c r="B1444" i="14"/>
  <c r="D1444" i="14"/>
  <c r="B1445" i="14"/>
  <c r="D1445" i="14"/>
  <c r="B1446" i="14"/>
  <c r="D1446" i="14"/>
  <c r="B1447" i="14"/>
  <c r="D1447" i="14"/>
  <c r="B1448" i="14"/>
  <c r="D1448" i="14"/>
  <c r="B1449" i="14"/>
  <c r="D1449" i="14"/>
  <c r="B1450" i="14"/>
  <c r="D1450" i="14"/>
  <c r="B1451" i="14"/>
  <c r="D1451" i="14"/>
  <c r="B1452" i="14"/>
  <c r="D1452" i="14"/>
  <c r="B1453" i="14"/>
  <c r="D1453" i="14"/>
  <c r="B1454" i="14"/>
  <c r="D1454" i="14"/>
  <c r="B1455" i="14"/>
  <c r="D1455" i="14"/>
  <c r="B1456" i="14"/>
  <c r="D1456" i="14"/>
  <c r="B1457" i="14"/>
  <c r="D1457" i="14"/>
  <c r="B1458" i="14"/>
  <c r="D1458" i="14"/>
  <c r="B1459" i="14"/>
  <c r="D1459" i="14"/>
  <c r="B1460" i="14"/>
  <c r="D1460" i="14"/>
  <c r="B1461" i="14"/>
  <c r="D1461" i="14"/>
  <c r="B1462" i="14"/>
  <c r="D1462" i="14"/>
  <c r="B1463" i="14"/>
  <c r="D1463" i="14"/>
  <c r="B1464" i="14"/>
  <c r="D1464" i="14"/>
  <c r="B1465" i="14"/>
  <c r="D1465" i="14"/>
  <c r="B1466" i="14"/>
  <c r="D1466" i="14"/>
  <c r="B1467" i="14"/>
  <c r="D1467" i="14"/>
  <c r="B1468" i="14"/>
  <c r="D1468" i="14"/>
  <c r="B1469" i="14"/>
  <c r="D1469" i="14"/>
  <c r="B1470" i="14"/>
  <c r="D1470" i="14"/>
  <c r="B1471" i="14"/>
  <c r="D1471" i="14"/>
  <c r="B1472" i="14"/>
  <c r="D1472" i="14"/>
  <c r="B1473" i="14"/>
  <c r="D1473" i="14"/>
  <c r="B1474" i="14"/>
  <c r="D1474" i="14"/>
  <c r="B1475" i="14"/>
  <c r="D1475" i="14"/>
  <c r="B1476" i="14"/>
  <c r="D1476" i="14"/>
  <c r="B1477" i="14"/>
  <c r="D1477" i="14"/>
  <c r="B1478" i="14"/>
  <c r="D1478" i="14"/>
  <c r="B1479" i="14"/>
  <c r="D1479" i="14"/>
  <c r="B1480" i="14"/>
  <c r="D1480" i="14"/>
  <c r="B1481" i="14"/>
  <c r="D1481" i="14"/>
  <c r="B1482" i="14"/>
  <c r="D1482" i="14"/>
  <c r="B1483" i="14"/>
  <c r="D1483" i="14"/>
  <c r="B1484" i="14"/>
  <c r="D1484" i="14"/>
  <c r="B1485" i="14"/>
  <c r="D1485" i="14"/>
  <c r="B1486" i="14"/>
  <c r="D1486" i="14"/>
  <c r="B1487" i="14"/>
  <c r="D1487" i="14"/>
  <c r="B1488" i="14"/>
  <c r="D1488" i="14"/>
  <c r="B1489" i="14"/>
  <c r="D1489" i="14"/>
  <c r="B1490" i="14"/>
  <c r="D1490" i="14"/>
  <c r="B1491" i="14"/>
  <c r="D1491" i="14"/>
  <c r="B1492" i="14"/>
  <c r="D1492" i="14"/>
  <c r="B1493" i="14"/>
  <c r="D1493" i="14"/>
  <c r="B1494" i="14"/>
  <c r="D1494" i="14"/>
  <c r="B1495" i="14"/>
  <c r="D1495" i="14"/>
  <c r="B1496" i="14"/>
  <c r="D1496" i="14"/>
  <c r="B1497" i="14"/>
  <c r="D1497" i="14"/>
  <c r="B1498" i="14"/>
  <c r="D1498" i="14"/>
  <c r="B1499" i="14"/>
  <c r="D1499" i="14"/>
  <c r="B1500" i="14"/>
  <c r="D1500" i="14"/>
  <c r="B1501" i="14"/>
  <c r="D1501" i="14"/>
  <c r="B1502" i="14"/>
  <c r="D1502" i="14"/>
  <c r="B1503" i="14"/>
  <c r="D1503" i="14"/>
  <c r="B1504" i="14"/>
  <c r="D1504" i="14"/>
  <c r="B1505" i="14"/>
  <c r="D1505" i="14"/>
  <c r="B1506" i="14"/>
  <c r="D1506" i="14"/>
  <c r="B1507" i="14"/>
  <c r="D1507" i="14"/>
  <c r="B1508" i="14"/>
  <c r="D1508" i="14"/>
  <c r="B1509" i="14"/>
  <c r="D1509" i="14"/>
  <c r="B1510" i="14"/>
  <c r="D1510" i="14"/>
  <c r="B1511" i="14"/>
  <c r="D1511" i="14"/>
  <c r="B1512" i="14"/>
  <c r="D1512" i="14"/>
  <c r="B1513" i="14"/>
  <c r="D1513" i="14"/>
  <c r="B1514" i="14"/>
  <c r="D1514" i="14"/>
  <c r="B1515" i="14"/>
  <c r="D1515" i="14"/>
  <c r="B1516" i="14"/>
  <c r="D1516" i="14"/>
  <c r="B1517" i="14"/>
  <c r="D1517" i="14"/>
  <c r="B1518" i="14"/>
  <c r="D1518" i="14"/>
  <c r="B1519" i="14"/>
  <c r="D1519" i="14"/>
  <c r="B1520" i="14"/>
  <c r="D1520" i="14"/>
  <c r="B1521" i="14"/>
  <c r="D1521" i="14"/>
  <c r="B1522" i="14"/>
  <c r="D1522" i="14"/>
  <c r="B1523" i="14"/>
  <c r="D1523" i="14"/>
  <c r="B1524" i="14"/>
  <c r="D1524" i="14"/>
  <c r="B1525" i="14"/>
  <c r="D1525" i="14"/>
  <c r="B1526" i="14"/>
  <c r="D1526" i="14"/>
  <c r="B1527" i="14"/>
  <c r="D1527" i="14"/>
  <c r="B1528" i="14"/>
  <c r="D1528" i="14"/>
  <c r="B1529" i="14"/>
  <c r="D1529" i="14"/>
  <c r="B1530" i="14"/>
  <c r="D1530" i="14"/>
  <c r="B1531" i="14"/>
  <c r="D1531" i="14"/>
  <c r="B1532" i="14"/>
  <c r="D1532" i="14"/>
  <c r="B1533" i="14"/>
  <c r="D1533" i="14"/>
  <c r="B1534" i="14"/>
  <c r="D1534" i="14"/>
  <c r="B1535" i="14"/>
  <c r="D1535" i="14"/>
  <c r="B1536" i="14"/>
  <c r="D1536" i="14"/>
  <c r="B1537" i="14"/>
  <c r="D1537" i="14"/>
  <c r="B1538" i="14"/>
  <c r="D1538" i="14"/>
  <c r="B1539" i="14"/>
  <c r="D1539" i="14"/>
  <c r="B1540" i="14"/>
  <c r="D1540" i="14"/>
  <c r="B1541" i="14"/>
  <c r="D1541" i="14"/>
  <c r="B1542" i="14"/>
  <c r="D1542" i="14"/>
  <c r="B1543" i="14"/>
  <c r="D1543" i="14"/>
  <c r="B1544" i="14"/>
  <c r="D1544" i="14"/>
  <c r="B1545" i="14"/>
  <c r="D1545" i="14"/>
  <c r="B1546" i="14"/>
  <c r="D1546" i="14"/>
  <c r="B1547" i="14"/>
  <c r="D1547" i="14"/>
  <c r="B1548" i="14"/>
  <c r="D1548" i="14"/>
  <c r="B1549" i="14"/>
  <c r="D1549" i="14"/>
  <c r="B1550" i="14"/>
  <c r="D1550" i="14"/>
  <c r="B1551" i="14"/>
  <c r="D1551" i="14"/>
  <c r="B1552" i="14"/>
  <c r="D1552" i="14"/>
  <c r="B1553" i="14"/>
  <c r="D1553" i="14"/>
  <c r="B1554" i="14"/>
  <c r="D1554" i="14"/>
  <c r="B1555" i="14"/>
  <c r="D1555" i="14"/>
  <c r="B1556" i="14"/>
  <c r="D1556" i="14"/>
  <c r="B1557" i="14"/>
  <c r="D1557" i="14"/>
  <c r="B1558" i="14"/>
  <c r="D1558" i="14"/>
  <c r="B1559" i="14"/>
  <c r="D1559" i="14"/>
  <c r="B1560" i="14"/>
  <c r="D1560" i="14"/>
  <c r="B1561" i="14"/>
  <c r="D1561" i="14"/>
  <c r="B1562" i="14"/>
  <c r="D1562" i="14"/>
  <c r="B1563" i="14"/>
  <c r="D1563" i="14"/>
  <c r="B1564" i="14"/>
  <c r="D1564" i="14"/>
  <c r="B1565" i="14"/>
  <c r="D1565" i="14"/>
  <c r="B1566" i="14"/>
  <c r="D1566" i="14"/>
  <c r="B1567" i="14"/>
  <c r="D1567" i="14"/>
  <c r="B1568" i="14"/>
  <c r="D1568" i="14"/>
  <c r="B1569" i="14"/>
  <c r="D1569" i="14"/>
  <c r="B1570" i="14"/>
  <c r="D1570" i="14"/>
  <c r="B1571" i="14"/>
  <c r="D1571" i="14"/>
  <c r="B1572" i="14"/>
  <c r="D1572" i="14"/>
  <c r="B1573" i="14"/>
  <c r="D1573" i="14"/>
  <c r="B1574" i="14"/>
  <c r="D1574" i="14"/>
  <c r="B1575" i="14"/>
  <c r="D1575" i="14"/>
  <c r="B1576" i="14"/>
  <c r="D1576" i="14"/>
  <c r="B1577" i="14"/>
  <c r="D1577" i="14"/>
  <c r="B1578" i="14"/>
  <c r="D1578" i="14"/>
  <c r="B1579" i="14"/>
  <c r="D1579" i="14"/>
  <c r="B1580" i="14"/>
  <c r="D1580" i="14"/>
  <c r="B1581" i="14"/>
  <c r="D1581" i="14"/>
  <c r="B1582" i="14"/>
  <c r="D1582" i="14"/>
  <c r="B1583" i="14"/>
  <c r="D1583" i="14"/>
  <c r="B1584" i="14"/>
  <c r="D1584" i="14"/>
  <c r="B1585" i="14"/>
  <c r="D1585" i="14"/>
  <c r="B1586" i="14"/>
  <c r="D1586" i="14"/>
  <c r="B1587" i="14"/>
  <c r="D1587" i="14"/>
  <c r="B1588" i="14"/>
  <c r="D1588" i="14"/>
  <c r="B1589" i="14"/>
  <c r="D1589" i="14"/>
  <c r="B1590" i="14"/>
  <c r="D1590" i="14"/>
  <c r="B1591" i="14"/>
  <c r="D1591" i="14"/>
  <c r="B1592" i="14"/>
  <c r="D1592" i="14"/>
  <c r="B1593" i="14"/>
  <c r="D1593" i="14"/>
  <c r="B1594" i="14"/>
  <c r="D1594" i="14"/>
  <c r="B1595" i="14"/>
  <c r="D1595" i="14"/>
  <c r="B1596" i="14"/>
  <c r="D1596" i="14"/>
  <c r="B1597" i="14"/>
  <c r="D1597" i="14"/>
  <c r="B1598" i="14"/>
  <c r="D1598" i="14"/>
  <c r="B1599" i="14"/>
  <c r="D1599" i="14"/>
  <c r="B1600" i="14"/>
  <c r="D1600" i="14"/>
  <c r="B1601" i="14"/>
  <c r="D1601" i="14"/>
  <c r="B1602" i="14"/>
  <c r="D1602" i="14"/>
  <c r="B1603" i="14"/>
  <c r="D1603" i="14"/>
  <c r="B1604" i="14"/>
  <c r="D1604" i="14"/>
  <c r="B1605" i="14"/>
  <c r="D1605" i="14"/>
  <c r="B1606" i="14"/>
  <c r="D1606" i="14"/>
  <c r="B1607" i="14"/>
  <c r="D1607" i="14"/>
  <c r="B1608" i="14"/>
  <c r="D1608" i="14"/>
  <c r="B1609" i="14"/>
  <c r="D1609" i="14"/>
  <c r="B1610" i="14"/>
  <c r="D1610" i="14"/>
  <c r="B1611" i="14"/>
  <c r="D1611" i="14"/>
  <c r="B1612" i="14"/>
  <c r="D1612" i="14"/>
  <c r="B1613" i="14"/>
  <c r="D1613" i="14"/>
  <c r="B1614" i="14"/>
  <c r="D1614" i="14"/>
  <c r="B1615" i="14"/>
  <c r="D1615" i="14"/>
  <c r="B1616" i="14"/>
  <c r="D1616" i="14"/>
  <c r="B1617" i="14"/>
  <c r="D1617" i="14"/>
  <c r="B1618" i="14"/>
  <c r="D1618" i="14"/>
  <c r="B1619" i="14"/>
  <c r="D1619" i="14"/>
  <c r="B1620" i="14"/>
  <c r="D1620" i="14"/>
  <c r="B1621" i="14"/>
  <c r="D1621" i="14"/>
  <c r="B1622" i="14"/>
  <c r="D1622" i="14"/>
  <c r="B1623" i="14"/>
  <c r="D1623" i="14"/>
  <c r="B1624" i="14"/>
  <c r="D1624" i="14"/>
  <c r="B1625" i="14"/>
  <c r="D1625" i="14"/>
  <c r="B1626" i="14"/>
  <c r="D1626" i="14"/>
  <c r="B1627" i="14"/>
  <c r="D1627" i="14"/>
  <c r="B1628" i="14"/>
  <c r="D1628" i="14"/>
  <c r="B1629" i="14"/>
  <c r="D1629" i="14"/>
  <c r="B1630" i="14"/>
  <c r="D1630" i="14"/>
  <c r="B1631" i="14"/>
  <c r="D1631" i="14"/>
  <c r="B1632" i="14"/>
  <c r="D1632" i="14"/>
  <c r="B1633" i="14"/>
  <c r="D1633" i="14"/>
  <c r="B1634" i="14"/>
  <c r="D1634" i="14"/>
  <c r="B1635" i="14"/>
  <c r="D1635" i="14"/>
  <c r="B1636" i="14"/>
  <c r="D1636" i="14"/>
  <c r="B1637" i="14"/>
  <c r="D1637" i="14"/>
  <c r="B1638" i="14"/>
  <c r="D1638" i="14"/>
  <c r="B1639" i="14"/>
  <c r="D1639" i="14"/>
  <c r="B1640" i="14"/>
  <c r="D1640" i="14"/>
  <c r="B1641" i="14"/>
  <c r="D1641" i="14"/>
  <c r="B1642" i="14"/>
  <c r="D1642" i="14"/>
  <c r="B1643" i="14"/>
  <c r="D1643" i="14"/>
  <c r="B1644" i="14"/>
  <c r="D1644" i="14"/>
  <c r="B1645" i="14"/>
  <c r="D1645" i="14"/>
  <c r="B1646" i="14"/>
  <c r="D1646" i="14"/>
  <c r="B1647" i="14"/>
  <c r="D1647" i="14"/>
  <c r="B1648" i="14"/>
  <c r="D1648" i="14"/>
  <c r="B1649" i="14"/>
  <c r="D1649" i="14"/>
  <c r="B1650" i="14"/>
  <c r="D1650" i="14"/>
  <c r="B1651" i="14"/>
  <c r="D1651" i="14"/>
  <c r="B1652" i="14"/>
  <c r="D1652" i="14"/>
  <c r="B1653" i="14"/>
  <c r="D1653" i="14"/>
  <c r="B1654" i="14"/>
  <c r="D1654" i="14"/>
  <c r="B1655" i="14"/>
  <c r="D1655" i="14"/>
  <c r="B1656" i="14"/>
  <c r="D1656" i="14"/>
  <c r="B1657" i="14"/>
  <c r="D1657" i="14"/>
  <c r="B1658" i="14"/>
  <c r="D1658" i="14"/>
  <c r="B1659" i="14"/>
  <c r="D1659" i="14"/>
  <c r="B1660" i="14"/>
  <c r="D1660" i="14"/>
  <c r="B1661" i="14"/>
  <c r="D1661" i="14"/>
  <c r="B1662" i="14"/>
  <c r="D1662" i="14"/>
  <c r="B1663" i="14"/>
  <c r="D1663" i="14"/>
  <c r="B1664" i="14"/>
  <c r="D1664" i="14"/>
  <c r="B1665" i="14"/>
  <c r="D1665" i="14"/>
  <c r="B1666" i="14"/>
  <c r="D1666" i="14"/>
  <c r="B1667" i="14"/>
  <c r="D1667" i="14"/>
  <c r="B1668" i="14"/>
  <c r="D1668" i="14"/>
  <c r="B1669" i="14"/>
  <c r="D1669" i="14"/>
  <c r="B1670" i="14"/>
  <c r="D1670" i="14"/>
  <c r="B1671" i="14"/>
  <c r="D1671" i="14"/>
  <c r="B1672" i="14"/>
  <c r="D1672" i="14"/>
  <c r="B1673" i="14"/>
  <c r="D1673" i="14"/>
  <c r="B1674" i="14"/>
  <c r="D1674" i="14"/>
  <c r="B1675" i="14"/>
  <c r="D1675" i="14"/>
  <c r="B1676" i="14"/>
  <c r="D1676" i="14"/>
  <c r="B1677" i="14"/>
  <c r="D1677" i="14"/>
  <c r="B1678" i="14"/>
  <c r="D1678" i="14"/>
  <c r="B1679" i="14"/>
  <c r="D1679" i="14"/>
  <c r="B1680" i="14"/>
  <c r="D1680" i="14"/>
  <c r="B1681" i="14"/>
  <c r="D1681" i="14"/>
  <c r="B1682" i="14"/>
  <c r="D1682" i="14"/>
  <c r="B1683" i="14"/>
  <c r="D1683" i="14"/>
  <c r="B1684" i="14"/>
  <c r="D1684" i="14"/>
  <c r="B1685" i="14"/>
  <c r="D1685" i="14"/>
  <c r="B1686" i="14"/>
  <c r="D1686" i="14"/>
  <c r="B1687" i="14"/>
  <c r="D1687" i="14"/>
  <c r="B1688" i="14"/>
  <c r="D1688" i="14"/>
  <c r="B1689" i="14"/>
  <c r="D1689" i="14"/>
  <c r="B1690" i="14"/>
  <c r="D1690" i="14"/>
  <c r="B1691" i="14"/>
  <c r="D1691" i="14"/>
  <c r="B1692" i="14"/>
  <c r="D1692" i="14"/>
  <c r="B1693" i="14"/>
  <c r="D1693" i="14"/>
  <c r="B1694" i="14"/>
  <c r="D1694" i="14"/>
  <c r="B1695" i="14"/>
  <c r="D1695" i="14"/>
  <c r="B1696" i="14"/>
  <c r="D1696" i="14"/>
  <c r="B1697" i="14"/>
  <c r="D1697" i="14"/>
  <c r="B1698" i="14"/>
  <c r="D1698" i="14"/>
  <c r="B1699" i="14"/>
  <c r="D1699" i="14"/>
  <c r="B1700" i="14"/>
  <c r="D1700" i="14"/>
  <c r="B1701" i="14"/>
  <c r="D1701" i="14"/>
  <c r="B1702" i="14"/>
  <c r="D1702" i="14"/>
  <c r="B1703" i="14"/>
  <c r="D1703" i="14"/>
  <c r="B1704" i="14"/>
  <c r="D1704" i="14"/>
  <c r="B1705" i="14"/>
  <c r="D1705" i="14"/>
  <c r="B1706" i="14"/>
  <c r="D1706" i="14"/>
  <c r="B1707" i="14"/>
  <c r="D1707" i="14"/>
  <c r="B1708" i="14"/>
  <c r="D1708" i="14"/>
  <c r="B1709" i="14"/>
  <c r="D1709" i="14"/>
  <c r="B1710" i="14"/>
  <c r="D1710" i="14"/>
  <c r="B1711" i="14"/>
  <c r="D1711" i="14"/>
  <c r="B1712" i="14"/>
  <c r="D1712" i="14"/>
  <c r="B1713" i="14"/>
  <c r="D1713" i="14"/>
  <c r="B1714" i="14"/>
  <c r="D1714" i="14"/>
  <c r="B1715" i="14"/>
  <c r="D1715" i="14"/>
  <c r="B1716" i="14"/>
  <c r="D1716" i="14"/>
  <c r="B1717" i="14"/>
  <c r="D1717" i="14"/>
  <c r="B1718" i="14"/>
  <c r="D1718" i="14"/>
  <c r="B1719" i="14"/>
  <c r="D1719" i="14"/>
  <c r="B1720" i="14"/>
  <c r="D1720" i="14"/>
  <c r="B1721" i="14"/>
  <c r="D1721" i="14"/>
  <c r="B1722" i="14"/>
  <c r="D1722" i="14"/>
  <c r="B1723" i="14"/>
  <c r="D1723" i="14"/>
  <c r="B1724" i="14"/>
  <c r="D1724" i="14"/>
  <c r="B1725" i="14"/>
  <c r="D1725" i="14"/>
  <c r="B1726" i="14"/>
  <c r="D1726" i="14"/>
  <c r="B1727" i="14"/>
  <c r="D1727" i="14"/>
  <c r="B1728" i="14"/>
  <c r="D1728" i="14"/>
  <c r="B1729" i="14"/>
  <c r="D1729" i="14"/>
  <c r="B1730" i="14"/>
  <c r="D1730" i="14"/>
  <c r="B1731" i="14"/>
  <c r="D1731" i="14"/>
  <c r="B1732" i="14"/>
  <c r="D1732" i="14"/>
  <c r="B1733" i="14"/>
  <c r="D1733" i="14"/>
  <c r="B1734" i="14"/>
  <c r="D1734" i="14"/>
  <c r="B1735" i="14"/>
  <c r="D1735" i="14"/>
  <c r="B1736" i="14"/>
  <c r="D1736" i="14"/>
  <c r="B1737" i="14"/>
  <c r="D1737" i="14"/>
  <c r="B1738" i="14"/>
  <c r="D1738" i="14"/>
  <c r="B1739" i="14"/>
  <c r="D1739" i="14"/>
  <c r="B1740" i="14"/>
  <c r="D1740" i="14"/>
  <c r="B1741" i="14"/>
  <c r="D1741" i="14"/>
  <c r="B1742" i="14"/>
  <c r="D1742" i="14"/>
  <c r="B1743" i="14"/>
  <c r="D1743" i="14"/>
  <c r="B1744" i="14"/>
  <c r="D1744" i="14"/>
  <c r="B1745" i="14"/>
  <c r="D1745" i="14"/>
  <c r="B1746" i="14"/>
  <c r="D1746" i="14"/>
  <c r="B1747" i="14"/>
  <c r="D1747" i="14"/>
  <c r="B1748" i="14"/>
  <c r="D1748" i="14"/>
  <c r="B1749" i="14"/>
  <c r="D1749" i="14"/>
  <c r="B1750" i="14"/>
  <c r="D1750" i="14"/>
  <c r="B1751" i="14"/>
  <c r="D1751" i="14"/>
  <c r="B1752" i="14"/>
  <c r="D1752" i="14"/>
  <c r="B1753" i="14"/>
  <c r="D1753" i="14"/>
  <c r="B1754" i="14"/>
  <c r="D1754" i="14"/>
  <c r="B1755" i="14"/>
  <c r="D1755" i="14"/>
  <c r="B1756" i="14"/>
  <c r="D1756" i="14"/>
  <c r="B1757" i="14"/>
  <c r="D1757" i="14"/>
  <c r="B1758" i="14"/>
  <c r="D1758" i="14"/>
  <c r="B1759" i="14"/>
  <c r="D1759" i="14"/>
  <c r="B1760" i="14"/>
  <c r="D1760" i="14"/>
  <c r="B1761" i="14"/>
  <c r="D1761" i="14"/>
  <c r="B1762" i="14"/>
  <c r="D1762" i="14"/>
  <c r="B1763" i="14"/>
  <c r="D1763" i="14"/>
  <c r="B1764" i="14"/>
  <c r="D1764" i="14"/>
  <c r="B1765" i="14"/>
  <c r="D1765" i="14"/>
  <c r="B1766" i="14"/>
  <c r="D1766" i="14"/>
  <c r="B1767" i="14"/>
  <c r="D1767" i="14"/>
  <c r="B1768" i="14"/>
  <c r="D1768" i="14"/>
  <c r="B1769" i="14"/>
  <c r="D1769" i="14"/>
  <c r="B1770" i="14"/>
  <c r="D1770" i="14"/>
  <c r="B1771" i="14"/>
  <c r="D1771" i="14"/>
  <c r="B1772" i="14"/>
  <c r="D1772" i="14"/>
  <c r="B1773" i="14"/>
  <c r="D1773" i="14"/>
  <c r="B1774" i="14"/>
  <c r="D1774" i="14"/>
  <c r="B1775" i="14"/>
  <c r="D1775" i="14"/>
  <c r="B1776" i="14"/>
  <c r="D1776" i="14"/>
  <c r="B1777" i="14"/>
  <c r="D1777" i="14"/>
  <c r="B1778" i="14"/>
  <c r="D1778" i="14"/>
  <c r="B1779" i="14"/>
  <c r="D1779" i="14"/>
  <c r="B1780" i="14"/>
  <c r="D1780" i="14"/>
  <c r="B1781" i="14"/>
  <c r="D1781" i="14"/>
  <c r="B1782" i="14"/>
  <c r="D1782" i="14"/>
  <c r="B1783" i="14"/>
  <c r="D1783" i="14"/>
  <c r="B1784" i="14"/>
  <c r="D1784" i="14"/>
  <c r="B1785" i="14"/>
  <c r="D1785" i="14"/>
  <c r="B1786" i="14"/>
  <c r="D1786" i="14"/>
  <c r="B1787" i="14"/>
  <c r="D1787" i="14"/>
  <c r="B1788" i="14"/>
  <c r="D1788" i="14"/>
  <c r="B1789" i="14"/>
  <c r="D1789" i="14"/>
  <c r="B1790" i="14"/>
  <c r="D1790" i="14"/>
  <c r="B1791" i="14"/>
  <c r="D1791" i="14"/>
  <c r="B1792" i="14"/>
  <c r="D1792" i="14"/>
  <c r="B1793" i="14"/>
  <c r="D1793" i="14"/>
  <c r="B1794" i="14"/>
  <c r="D1794" i="14"/>
  <c r="B1795" i="14"/>
  <c r="D1795" i="14"/>
  <c r="B1796" i="14"/>
  <c r="D1796" i="14"/>
  <c r="B1797" i="14"/>
  <c r="D1797" i="14"/>
  <c r="B1798" i="14"/>
  <c r="D1798" i="14"/>
  <c r="B1799" i="14"/>
  <c r="D1799" i="14"/>
  <c r="B1800" i="14"/>
  <c r="D1800" i="14"/>
  <c r="B1801" i="14"/>
  <c r="D1801" i="14"/>
  <c r="B1802" i="14"/>
  <c r="D1802" i="14"/>
  <c r="B1803" i="14"/>
  <c r="D1803" i="14"/>
  <c r="B1804" i="14"/>
  <c r="D1804" i="14"/>
  <c r="B1805" i="14"/>
  <c r="D1805" i="14"/>
  <c r="B1806" i="14"/>
  <c r="D1806" i="14"/>
  <c r="B1807" i="14"/>
  <c r="D1807" i="14"/>
  <c r="B1808" i="14"/>
  <c r="D1808" i="14"/>
  <c r="B1809" i="14"/>
  <c r="D1809" i="14"/>
  <c r="B1810" i="14"/>
  <c r="D1810" i="14"/>
  <c r="B1811" i="14"/>
  <c r="D1811" i="14"/>
  <c r="B1812" i="14"/>
  <c r="D1812" i="14"/>
  <c r="B1813" i="14"/>
  <c r="D1813" i="14"/>
  <c r="B1814" i="14"/>
  <c r="D1814" i="14"/>
  <c r="B1815" i="14"/>
  <c r="D1815" i="14"/>
  <c r="B1816" i="14"/>
  <c r="D1816" i="14"/>
  <c r="B1817" i="14"/>
  <c r="D1817" i="14"/>
  <c r="B1818" i="14"/>
  <c r="D1818" i="14"/>
  <c r="B1819" i="14"/>
  <c r="D1819" i="14"/>
  <c r="B1820" i="14"/>
  <c r="D1820" i="14"/>
  <c r="B1821" i="14"/>
  <c r="D1821" i="14"/>
  <c r="B1822" i="14"/>
  <c r="D1822" i="14"/>
  <c r="B1823" i="14"/>
  <c r="D1823" i="14"/>
  <c r="B1824" i="14"/>
  <c r="D1824" i="14"/>
  <c r="B1825" i="14"/>
  <c r="D1825" i="14"/>
  <c r="B1826" i="14"/>
  <c r="D1826" i="14"/>
  <c r="B1827" i="14"/>
  <c r="D1827" i="14"/>
  <c r="B1828" i="14"/>
  <c r="D1828" i="14"/>
  <c r="B1829" i="14"/>
  <c r="D1829" i="14"/>
  <c r="B1830" i="14"/>
  <c r="D1830" i="14"/>
  <c r="B1831" i="14"/>
  <c r="D1831" i="14"/>
  <c r="B1832" i="14"/>
  <c r="D1832" i="14"/>
  <c r="B1833" i="14"/>
  <c r="D1833" i="14"/>
  <c r="B1834" i="14"/>
  <c r="D1834" i="14"/>
  <c r="B1835" i="14"/>
  <c r="D1835" i="14"/>
  <c r="B1836" i="14"/>
  <c r="D1836" i="14"/>
  <c r="B1837" i="14"/>
  <c r="D1837" i="14"/>
  <c r="B1838" i="14"/>
  <c r="D1838" i="14"/>
  <c r="B1839" i="14"/>
  <c r="D1839" i="14"/>
  <c r="B1840" i="14"/>
  <c r="D1840" i="14"/>
  <c r="B1841" i="14"/>
  <c r="D1841" i="14"/>
  <c r="B1842" i="14"/>
  <c r="D1842" i="14"/>
  <c r="B1843" i="14"/>
  <c r="D1843" i="14"/>
  <c r="B1844" i="14"/>
  <c r="D1844" i="14"/>
  <c r="B1845" i="14"/>
  <c r="D1845" i="14"/>
  <c r="B1846" i="14"/>
  <c r="D1846" i="14"/>
  <c r="B1847" i="14"/>
  <c r="D1847" i="14"/>
  <c r="B1848" i="14"/>
  <c r="D1848" i="14"/>
  <c r="B1849" i="14"/>
  <c r="D1849" i="14"/>
  <c r="B1850" i="14"/>
  <c r="D1850" i="14"/>
  <c r="B1851" i="14"/>
  <c r="D1851" i="14"/>
  <c r="B1852" i="14"/>
  <c r="D1852" i="14"/>
  <c r="B1853" i="14"/>
  <c r="D1853" i="14"/>
  <c r="B1854" i="14"/>
  <c r="D1854" i="14"/>
  <c r="B1855" i="14"/>
  <c r="D1855" i="14"/>
  <c r="B1856" i="14"/>
  <c r="D1856" i="14"/>
  <c r="B1857" i="14"/>
  <c r="D1857" i="14"/>
  <c r="B1858" i="14"/>
  <c r="D1858" i="14"/>
  <c r="B1859" i="14"/>
  <c r="D1859" i="14"/>
  <c r="B1860" i="14"/>
  <c r="D1860" i="14"/>
  <c r="B1861" i="14"/>
  <c r="D1861" i="14"/>
  <c r="B1862" i="14"/>
  <c r="D1862" i="14"/>
  <c r="B1863" i="14"/>
  <c r="D1863" i="14"/>
  <c r="B1864" i="14"/>
  <c r="D1864" i="14"/>
  <c r="B1865" i="14"/>
  <c r="D1865" i="14"/>
  <c r="B1866" i="14"/>
  <c r="D1866" i="14"/>
  <c r="B1867" i="14"/>
  <c r="D1867" i="14"/>
  <c r="B1868" i="14"/>
  <c r="D1868" i="14"/>
  <c r="B1869" i="14"/>
  <c r="D1869" i="14"/>
  <c r="B1870" i="14"/>
  <c r="D1870" i="14"/>
  <c r="B1871" i="14"/>
  <c r="D1871" i="14"/>
  <c r="B1872" i="14"/>
  <c r="D1872" i="14"/>
  <c r="B1873" i="14"/>
  <c r="D1873" i="14"/>
  <c r="B1874" i="14"/>
  <c r="D1874" i="14"/>
  <c r="B1875" i="14"/>
  <c r="D1875" i="14"/>
  <c r="B1876" i="14"/>
  <c r="D1876" i="14"/>
  <c r="B1877" i="14"/>
  <c r="D1877" i="14"/>
  <c r="B1878" i="14"/>
  <c r="D1878" i="14"/>
  <c r="B1879" i="14"/>
  <c r="D1879" i="14"/>
  <c r="B1880" i="14"/>
  <c r="D1880" i="14"/>
  <c r="B1881" i="14"/>
  <c r="D1881" i="14"/>
  <c r="B1882" i="14"/>
  <c r="D1882" i="14"/>
  <c r="B1883" i="14"/>
  <c r="D1883" i="14"/>
  <c r="B1884" i="14"/>
  <c r="D1884" i="14"/>
  <c r="B1885" i="14"/>
  <c r="D1885" i="14"/>
  <c r="B1886" i="14"/>
  <c r="D1886" i="14"/>
  <c r="B1887" i="14"/>
  <c r="D1887" i="14"/>
  <c r="B1888" i="14"/>
  <c r="D1888" i="14"/>
  <c r="B1889" i="14"/>
  <c r="D1889" i="14"/>
  <c r="B1890" i="14"/>
  <c r="D1890" i="14"/>
  <c r="B1891" i="14"/>
  <c r="D1891" i="14"/>
  <c r="B1892" i="14"/>
  <c r="D1892" i="14"/>
  <c r="B1893" i="14"/>
  <c r="D1893" i="14"/>
  <c r="B1894" i="14"/>
  <c r="D1894" i="14"/>
  <c r="B1895" i="14"/>
  <c r="D1895" i="14"/>
  <c r="B1896" i="14"/>
  <c r="D1896" i="14"/>
  <c r="B1897" i="14"/>
  <c r="D1897" i="14"/>
  <c r="B1898" i="14"/>
  <c r="D1898" i="14"/>
  <c r="B1899" i="14"/>
  <c r="D1899" i="14"/>
  <c r="B1900" i="14"/>
  <c r="D1900" i="14"/>
  <c r="B1901" i="14"/>
  <c r="D1901" i="14"/>
  <c r="B1902" i="14"/>
  <c r="D1902" i="14"/>
  <c r="B1903" i="14"/>
  <c r="D1903" i="14"/>
  <c r="B1904" i="14"/>
  <c r="D1904" i="14"/>
  <c r="B1905" i="14"/>
  <c r="D1905" i="14"/>
  <c r="B1906" i="14"/>
  <c r="D1906" i="14"/>
  <c r="B1907" i="14"/>
  <c r="D1907" i="14"/>
  <c r="B1908" i="14"/>
  <c r="D1908" i="14"/>
  <c r="B1909" i="14"/>
  <c r="D1909" i="14"/>
  <c r="B1910" i="14"/>
  <c r="D1910" i="14"/>
  <c r="B1911" i="14"/>
  <c r="D1911" i="14"/>
  <c r="B1912" i="14"/>
  <c r="D1912" i="14"/>
  <c r="B1913" i="14"/>
  <c r="D1913" i="14"/>
  <c r="B1914" i="14"/>
  <c r="D1914" i="14"/>
  <c r="B1915" i="14"/>
  <c r="D1915" i="14"/>
  <c r="B1916" i="14"/>
  <c r="D1916" i="14"/>
  <c r="B1917" i="14"/>
  <c r="D1917" i="14"/>
  <c r="B1918" i="14"/>
  <c r="D1918" i="14"/>
  <c r="B1919" i="14"/>
  <c r="D1919" i="14"/>
  <c r="B1920" i="14"/>
  <c r="D1920" i="14"/>
  <c r="B1921" i="14"/>
  <c r="D1921" i="14"/>
  <c r="B1922" i="14"/>
  <c r="D1922" i="14"/>
  <c r="B1923" i="14"/>
  <c r="D1923" i="14"/>
  <c r="B1924" i="14"/>
  <c r="D1924" i="14"/>
  <c r="B1925" i="14"/>
  <c r="D1925" i="14"/>
  <c r="B1926" i="14"/>
  <c r="D1926" i="14"/>
  <c r="B1927" i="14"/>
  <c r="D1927" i="14"/>
  <c r="B1928" i="14"/>
  <c r="D1928" i="14"/>
  <c r="B1929" i="14"/>
  <c r="D1929" i="14"/>
  <c r="B1930" i="14"/>
  <c r="D1930" i="14"/>
  <c r="B1931" i="14"/>
  <c r="D1931" i="14"/>
  <c r="B1932" i="14"/>
  <c r="D1932" i="14"/>
  <c r="B1933" i="14"/>
  <c r="D1933" i="14"/>
  <c r="B1934" i="14"/>
  <c r="D1934" i="14"/>
  <c r="B1935" i="14"/>
  <c r="D1935" i="14"/>
  <c r="B1936" i="14"/>
  <c r="D1936" i="14"/>
  <c r="B1937" i="14"/>
  <c r="D1937" i="14"/>
  <c r="B1938" i="14"/>
  <c r="D1938" i="14"/>
  <c r="B1939" i="14"/>
  <c r="D1939" i="14"/>
  <c r="B1940" i="14"/>
  <c r="D1940" i="14"/>
  <c r="B1941" i="14"/>
  <c r="D1941" i="14"/>
  <c r="B1942" i="14"/>
  <c r="D1942" i="14"/>
  <c r="B1943" i="14"/>
  <c r="D1943" i="14"/>
  <c r="B1944" i="14"/>
  <c r="D1944" i="14"/>
  <c r="B1945" i="14"/>
  <c r="D1945" i="14"/>
  <c r="B1946" i="14"/>
  <c r="D1946" i="14"/>
  <c r="B1947" i="14"/>
  <c r="D1947" i="14"/>
  <c r="B1948" i="14"/>
  <c r="D1948" i="14"/>
  <c r="B1949" i="14"/>
  <c r="D1949" i="14"/>
  <c r="B1950" i="14"/>
  <c r="D1950" i="14"/>
  <c r="B1951" i="14"/>
  <c r="D1951" i="14"/>
  <c r="B1952" i="14"/>
  <c r="D1952" i="14"/>
  <c r="B1953" i="14"/>
  <c r="D1953" i="14"/>
  <c r="B1954" i="14"/>
  <c r="D1954" i="14"/>
  <c r="B1955" i="14"/>
  <c r="D1955" i="14"/>
  <c r="B1956" i="14"/>
  <c r="D1956" i="14"/>
  <c r="B1957" i="14"/>
  <c r="D1957" i="14"/>
  <c r="B1958" i="14"/>
  <c r="D1958" i="14"/>
  <c r="B1959" i="14"/>
  <c r="D1959" i="14"/>
  <c r="B1960" i="14"/>
  <c r="D1960" i="14"/>
  <c r="B1961" i="14"/>
  <c r="D1961" i="14"/>
  <c r="B1962" i="14"/>
  <c r="D1962" i="14"/>
  <c r="B1963" i="14"/>
  <c r="D1963" i="14"/>
  <c r="B1964" i="14"/>
  <c r="D1964" i="14"/>
  <c r="B1965" i="14"/>
  <c r="D1965" i="14"/>
  <c r="B1966" i="14"/>
  <c r="D1966" i="14"/>
  <c r="B1967" i="14"/>
  <c r="D1967" i="14"/>
  <c r="B1968" i="14"/>
  <c r="D1968" i="14"/>
  <c r="B1969" i="14"/>
  <c r="D1969" i="14"/>
  <c r="B1970" i="14"/>
  <c r="D1970" i="14"/>
  <c r="B1971" i="14"/>
  <c r="D1971" i="14"/>
  <c r="B1972" i="14"/>
  <c r="D1972" i="14"/>
  <c r="B1973" i="14"/>
  <c r="D1973" i="14"/>
  <c r="B1974" i="14"/>
  <c r="D1974" i="14"/>
  <c r="B1975" i="14"/>
  <c r="D1975" i="14"/>
  <c r="B1976" i="14"/>
  <c r="D1976" i="14"/>
  <c r="B1977" i="14"/>
  <c r="D1977" i="14"/>
  <c r="B1978" i="14"/>
  <c r="D1978" i="14"/>
  <c r="B1979" i="14"/>
  <c r="D1979" i="14"/>
  <c r="B1980" i="14"/>
  <c r="D1980" i="14"/>
  <c r="B1981" i="14"/>
  <c r="D1981" i="14"/>
  <c r="B1982" i="14"/>
  <c r="D1982" i="14"/>
  <c r="B1983" i="14"/>
  <c r="D1983" i="14"/>
  <c r="B1984" i="14"/>
  <c r="D1984" i="14"/>
  <c r="B1985" i="14"/>
  <c r="D1985" i="14"/>
  <c r="B1986" i="14"/>
  <c r="D1986" i="14"/>
  <c r="B1987" i="14"/>
  <c r="D1987" i="14"/>
  <c r="B1988" i="14"/>
  <c r="D1988" i="14"/>
  <c r="B1989" i="14"/>
  <c r="D1989" i="14"/>
  <c r="B1990" i="14"/>
  <c r="D1990" i="14"/>
  <c r="B1991" i="14"/>
  <c r="D1991" i="14"/>
  <c r="B1992" i="14"/>
  <c r="D1992" i="14"/>
  <c r="B1993" i="14"/>
  <c r="D1993" i="14"/>
  <c r="B1994" i="14"/>
  <c r="D1994" i="14"/>
  <c r="B1995" i="14"/>
  <c r="D1995" i="14"/>
  <c r="B1996" i="14"/>
  <c r="D1996" i="14"/>
  <c r="B1997" i="14"/>
  <c r="D1997" i="14"/>
  <c r="B1998" i="14"/>
  <c r="D1998" i="14"/>
  <c r="B1999" i="14"/>
  <c r="D1999" i="14"/>
  <c r="B2000" i="14"/>
  <c r="D2000" i="14"/>
  <c r="B2001" i="14"/>
  <c r="D2001" i="14"/>
  <c r="B2002" i="14"/>
  <c r="D2002" i="14"/>
  <c r="B2003" i="14"/>
  <c r="D2003" i="14"/>
  <c r="B2004" i="14"/>
  <c r="D2004" i="14"/>
  <c r="B2005" i="14"/>
  <c r="D2005" i="14"/>
  <c r="B2006" i="14"/>
  <c r="D2006" i="14"/>
  <c r="B2007" i="14"/>
  <c r="D2007" i="14"/>
  <c r="B2008" i="14"/>
  <c r="D2008" i="14"/>
  <c r="B2009" i="14"/>
  <c r="D2009" i="14"/>
  <c r="B2010" i="14"/>
  <c r="D2010" i="14"/>
  <c r="B2011" i="14"/>
  <c r="D2011" i="14"/>
  <c r="B2012" i="14"/>
  <c r="D2012" i="14"/>
  <c r="B2013" i="14"/>
  <c r="D2013" i="14"/>
  <c r="B2014" i="14"/>
  <c r="D2014" i="14"/>
  <c r="B2015" i="14"/>
  <c r="D2015" i="14"/>
  <c r="B2016" i="14"/>
  <c r="D2016" i="14"/>
  <c r="B2017" i="14"/>
  <c r="D2017" i="14"/>
  <c r="B2018" i="14"/>
  <c r="D2018" i="14"/>
  <c r="B2019" i="14"/>
  <c r="D2019" i="14"/>
  <c r="B2020" i="14"/>
  <c r="D2020" i="14"/>
  <c r="B2021" i="14"/>
  <c r="D2021" i="14"/>
  <c r="B2022" i="14"/>
  <c r="D2022" i="14"/>
  <c r="B2023" i="14"/>
  <c r="D2023" i="14"/>
  <c r="B2024" i="14"/>
  <c r="D2024" i="14"/>
  <c r="B2025" i="14"/>
  <c r="D2025" i="14"/>
  <c r="B2026" i="14"/>
  <c r="D2026" i="14"/>
  <c r="B2027" i="14"/>
  <c r="D2027" i="14"/>
  <c r="B2028" i="14"/>
  <c r="D2028" i="14"/>
  <c r="B2029" i="14"/>
  <c r="D2029" i="14"/>
  <c r="B2030" i="14"/>
  <c r="D2030" i="14"/>
  <c r="B2031" i="14"/>
  <c r="D2031" i="14"/>
  <c r="B2032" i="14"/>
  <c r="D2032" i="14"/>
  <c r="B2033" i="14"/>
  <c r="D2033" i="14"/>
  <c r="B2034" i="14"/>
  <c r="D2034" i="14"/>
  <c r="B2035" i="14"/>
  <c r="D2035" i="14"/>
  <c r="B2036" i="14"/>
  <c r="D2036" i="14"/>
  <c r="B2037" i="14"/>
  <c r="D2037" i="14"/>
  <c r="B2038" i="14"/>
  <c r="D2038" i="14"/>
  <c r="B2039" i="14"/>
  <c r="D2039" i="14"/>
  <c r="B2040" i="14"/>
  <c r="D2040" i="14"/>
  <c r="B2041" i="14"/>
  <c r="D2041" i="14"/>
  <c r="B2042" i="14"/>
  <c r="D2042" i="14"/>
  <c r="B2043" i="14"/>
  <c r="D2043" i="14"/>
  <c r="B2044" i="14"/>
  <c r="D2044" i="14"/>
  <c r="B2045" i="14"/>
  <c r="D2045" i="14"/>
  <c r="B2046" i="14"/>
  <c r="D2046" i="14"/>
  <c r="B2047" i="14"/>
  <c r="D2047" i="14"/>
  <c r="B2048" i="14"/>
  <c r="D2048" i="14"/>
  <c r="B2049" i="14"/>
  <c r="D2049" i="14"/>
  <c r="B2050" i="14"/>
  <c r="D2050" i="14"/>
  <c r="B2051" i="14"/>
  <c r="D2051" i="14"/>
  <c r="B2052" i="14"/>
  <c r="D2052" i="14"/>
  <c r="B2053" i="14"/>
  <c r="D2053" i="14"/>
  <c r="B2054" i="14"/>
  <c r="D2054" i="14"/>
  <c r="B2055" i="14"/>
  <c r="D2055" i="14"/>
  <c r="B2056" i="14"/>
  <c r="D2056" i="14"/>
  <c r="B2057" i="14"/>
  <c r="D2057" i="14"/>
  <c r="B2058" i="14"/>
  <c r="D2058" i="14"/>
  <c r="B2059" i="14"/>
  <c r="D2059" i="14"/>
  <c r="B2060" i="14"/>
  <c r="D2060" i="14"/>
  <c r="B2061" i="14"/>
  <c r="D2061" i="14"/>
  <c r="B2062" i="14"/>
  <c r="D2062" i="14"/>
  <c r="B2063" i="14"/>
  <c r="D2063" i="14"/>
  <c r="B2064" i="14"/>
  <c r="D2064" i="14"/>
  <c r="B2065" i="14"/>
  <c r="D2065" i="14"/>
  <c r="B2066" i="14"/>
  <c r="D2066" i="14"/>
  <c r="B2067" i="14"/>
  <c r="D2067" i="14"/>
  <c r="B2068" i="14"/>
  <c r="D2068" i="14"/>
  <c r="B2069" i="14"/>
  <c r="D2069" i="14"/>
  <c r="B2070" i="14"/>
  <c r="D2070" i="14"/>
  <c r="B2071" i="14"/>
  <c r="D2071" i="14"/>
  <c r="B2072" i="14"/>
  <c r="D2072" i="14"/>
  <c r="B2073" i="14"/>
  <c r="D2073" i="14"/>
  <c r="B2074" i="14"/>
  <c r="D2074" i="14"/>
  <c r="B2075" i="14"/>
  <c r="D2075" i="14"/>
  <c r="B2076" i="14"/>
  <c r="D2076" i="14"/>
  <c r="B2077" i="14"/>
  <c r="D2077" i="14"/>
  <c r="B2078" i="14"/>
  <c r="D2078" i="14"/>
  <c r="B2079" i="14"/>
  <c r="D2079" i="14"/>
  <c r="B2080" i="14"/>
  <c r="D2080" i="14"/>
  <c r="B2081" i="14"/>
  <c r="D2081" i="14"/>
  <c r="B2082" i="14"/>
  <c r="D2082" i="14"/>
  <c r="B2083" i="14"/>
  <c r="D2083" i="14"/>
  <c r="B2084" i="14"/>
  <c r="D2084" i="14"/>
  <c r="B2085" i="14"/>
  <c r="D2085" i="14"/>
  <c r="B2086" i="14"/>
  <c r="D2086" i="14"/>
  <c r="B2087" i="14"/>
  <c r="D2087" i="14"/>
  <c r="B2088" i="14"/>
  <c r="D2088" i="14"/>
  <c r="B2089" i="14"/>
  <c r="D2089" i="14"/>
  <c r="B2090" i="14"/>
  <c r="D2090" i="14"/>
  <c r="B2091" i="14"/>
  <c r="D2091" i="14"/>
  <c r="B2092" i="14"/>
  <c r="D2092" i="14"/>
  <c r="B2093" i="14"/>
  <c r="D2093" i="14"/>
  <c r="B2094" i="14"/>
  <c r="D2094" i="14"/>
  <c r="B2095" i="14"/>
  <c r="D2095" i="14"/>
  <c r="B2096" i="14"/>
  <c r="D2096" i="14"/>
  <c r="B2097" i="14"/>
  <c r="D2097" i="14"/>
  <c r="B2098" i="14"/>
  <c r="D2098" i="14"/>
  <c r="B2099" i="14"/>
  <c r="D2099" i="14"/>
  <c r="B2100" i="14"/>
  <c r="D2100" i="14"/>
  <c r="B2101" i="14"/>
  <c r="D2101" i="14"/>
  <c r="B2102" i="14"/>
  <c r="D2102" i="14"/>
  <c r="B2103" i="14"/>
  <c r="D2103" i="14"/>
  <c r="B2104" i="14"/>
  <c r="D2104" i="14"/>
  <c r="B2105" i="14"/>
  <c r="D2105" i="14"/>
  <c r="B2106" i="14"/>
  <c r="D2106" i="14"/>
  <c r="B2107" i="14"/>
  <c r="D2107" i="14"/>
  <c r="B2108" i="14"/>
  <c r="D2108" i="14"/>
  <c r="B2109" i="14"/>
  <c r="D2109" i="14"/>
  <c r="B2110" i="14"/>
  <c r="D2110" i="14"/>
  <c r="B2111" i="14"/>
  <c r="D2111" i="14"/>
  <c r="B2112" i="14"/>
  <c r="D2112" i="14"/>
  <c r="B2113" i="14"/>
  <c r="D2113" i="14"/>
  <c r="B2114" i="14"/>
  <c r="D2114" i="14"/>
  <c r="B2115" i="14"/>
  <c r="D2115" i="14"/>
  <c r="B2116" i="14"/>
  <c r="D2116" i="14"/>
  <c r="B2117" i="14"/>
  <c r="D2117" i="14"/>
  <c r="B2118" i="14"/>
  <c r="D2118" i="14"/>
  <c r="B2119" i="14"/>
  <c r="D2119" i="14"/>
  <c r="B2120" i="14"/>
  <c r="D2120" i="14"/>
  <c r="B2121" i="14"/>
  <c r="D2121" i="14"/>
  <c r="B2122" i="14"/>
  <c r="D2122" i="14"/>
  <c r="B2123" i="14"/>
  <c r="D2123" i="14"/>
  <c r="B2124" i="14"/>
  <c r="D2124" i="14"/>
  <c r="B2125" i="14"/>
  <c r="D2125" i="14"/>
  <c r="B2126" i="14"/>
  <c r="D2126" i="14"/>
  <c r="B2127" i="14"/>
  <c r="D2127" i="14"/>
  <c r="B2128" i="14"/>
  <c r="D2128" i="14"/>
  <c r="B2129" i="14"/>
  <c r="D2129" i="14"/>
  <c r="B2130" i="14"/>
  <c r="D2130" i="14"/>
  <c r="B2131" i="14"/>
  <c r="D2131" i="14"/>
  <c r="B2132" i="14"/>
  <c r="D2132" i="14"/>
  <c r="B2133" i="14"/>
  <c r="D2133" i="14"/>
  <c r="B2134" i="14"/>
  <c r="D2134" i="14"/>
  <c r="B2135" i="14"/>
  <c r="D2135" i="14"/>
  <c r="B2136" i="14"/>
  <c r="D2136" i="14"/>
  <c r="B2137" i="14"/>
  <c r="D2137" i="14"/>
  <c r="B2138" i="14"/>
  <c r="D2138" i="14"/>
  <c r="B2139" i="14"/>
  <c r="D2139" i="14"/>
  <c r="B2140" i="14"/>
  <c r="D2140" i="14"/>
  <c r="B2141" i="14"/>
  <c r="D2141" i="14"/>
  <c r="B2142" i="14"/>
  <c r="D2142" i="14"/>
  <c r="B2143" i="14"/>
  <c r="D2143" i="14"/>
  <c r="B2144" i="14"/>
  <c r="D2144" i="14"/>
  <c r="B2145" i="14"/>
  <c r="D2145" i="14"/>
  <c r="B2146" i="14"/>
  <c r="D2146" i="14"/>
  <c r="B2147" i="14"/>
  <c r="D2147" i="14"/>
  <c r="B2148" i="14"/>
  <c r="D2148" i="14"/>
  <c r="B2149" i="14"/>
  <c r="D2149" i="14"/>
  <c r="B2150" i="14"/>
  <c r="D2150" i="14"/>
  <c r="B2151" i="14"/>
  <c r="D2151" i="14"/>
  <c r="B2152" i="14"/>
  <c r="D2152" i="14"/>
  <c r="B2153" i="14"/>
  <c r="D2153" i="14"/>
  <c r="B2154" i="14"/>
  <c r="D2154" i="14"/>
  <c r="B2155" i="14"/>
  <c r="D2155" i="14"/>
  <c r="B2156" i="14"/>
  <c r="D2156" i="14"/>
  <c r="B2157" i="14"/>
  <c r="D2157" i="14"/>
  <c r="B2158" i="14"/>
  <c r="D2158" i="14"/>
  <c r="B2159" i="14"/>
  <c r="D2159" i="14"/>
  <c r="B2160" i="14"/>
  <c r="D2160" i="14"/>
  <c r="B2161" i="14"/>
  <c r="D2161" i="14"/>
  <c r="B2162" i="14"/>
  <c r="D2162" i="14"/>
  <c r="B2163" i="14"/>
  <c r="D2163" i="14"/>
  <c r="B2164" i="14"/>
  <c r="D2164" i="14"/>
  <c r="B2165" i="14"/>
  <c r="D2165" i="14"/>
  <c r="B2166" i="14"/>
  <c r="D2166" i="14"/>
  <c r="B2167" i="14"/>
  <c r="D2167" i="14"/>
  <c r="B2168" i="14"/>
  <c r="D2168" i="14"/>
  <c r="B2169" i="14"/>
  <c r="D2169" i="14"/>
  <c r="B2170" i="14"/>
  <c r="D2170" i="14"/>
  <c r="B2171" i="14"/>
  <c r="D2171" i="14"/>
  <c r="B2172" i="14"/>
  <c r="D2172" i="14"/>
  <c r="B2173" i="14"/>
  <c r="D2173" i="14"/>
  <c r="B2174" i="14"/>
  <c r="D2174" i="14"/>
  <c r="B2175" i="14"/>
  <c r="D2175" i="14"/>
  <c r="B2176" i="14"/>
  <c r="D2176" i="14"/>
  <c r="B2177" i="14"/>
  <c r="D2177" i="14"/>
  <c r="B2178" i="14"/>
  <c r="D2178" i="14"/>
  <c r="B2179" i="14"/>
  <c r="D2179" i="14"/>
  <c r="B2180" i="14"/>
  <c r="D2180" i="14"/>
  <c r="B2181" i="14"/>
  <c r="D2181" i="14"/>
  <c r="B2182" i="14"/>
  <c r="D2182" i="14"/>
  <c r="B2183" i="14"/>
  <c r="D2183" i="14"/>
  <c r="B2184" i="14"/>
  <c r="D2184" i="14"/>
  <c r="B2185" i="14"/>
  <c r="D2185" i="14"/>
  <c r="B2186" i="14"/>
  <c r="D2186" i="14"/>
  <c r="B2187" i="14"/>
  <c r="D2187" i="14"/>
  <c r="B2188" i="14"/>
  <c r="D2188" i="14"/>
  <c r="B2189" i="14"/>
  <c r="D2189" i="14"/>
  <c r="B2190" i="14"/>
  <c r="D2190" i="14"/>
  <c r="B2191" i="14"/>
  <c r="D2191" i="14"/>
  <c r="B2192" i="14"/>
  <c r="D2192" i="14"/>
  <c r="B2193" i="14"/>
  <c r="D2193" i="14"/>
  <c r="B2194" i="14"/>
  <c r="D2194" i="14"/>
  <c r="B2195" i="14"/>
  <c r="D2195" i="14"/>
  <c r="B2196" i="14"/>
  <c r="D2196" i="14"/>
  <c r="B2197" i="14"/>
  <c r="D2197" i="14"/>
  <c r="B2198" i="14"/>
  <c r="D2198" i="14"/>
  <c r="B2199" i="14"/>
  <c r="D2199" i="14"/>
  <c r="B2200" i="14"/>
  <c r="D2200" i="14"/>
  <c r="B2201" i="14"/>
  <c r="D2201" i="14"/>
  <c r="B2202" i="14"/>
  <c r="D2202" i="14"/>
  <c r="B2203" i="14"/>
  <c r="D2203" i="14"/>
  <c r="B2204" i="14"/>
  <c r="D2204" i="14"/>
  <c r="B2205" i="14"/>
  <c r="D2205" i="14"/>
  <c r="B2206" i="14"/>
  <c r="D2206" i="14"/>
  <c r="B2207" i="14"/>
  <c r="D2207" i="14"/>
  <c r="B2208" i="14"/>
  <c r="D2208" i="14"/>
  <c r="B2209" i="14"/>
  <c r="D2209" i="14"/>
  <c r="B2210" i="14"/>
  <c r="D2210" i="14"/>
  <c r="B2211" i="14"/>
  <c r="D2211" i="14"/>
  <c r="B2212" i="14"/>
  <c r="D2212" i="14"/>
  <c r="B2213" i="14"/>
  <c r="D2213" i="14"/>
  <c r="B2214" i="14"/>
  <c r="D2214" i="14"/>
  <c r="B2215" i="14"/>
  <c r="D2215" i="14"/>
  <c r="B2216" i="14"/>
  <c r="D2216" i="14"/>
  <c r="B2217" i="14"/>
  <c r="D2217" i="14"/>
  <c r="B2218" i="14"/>
  <c r="D2218" i="14"/>
  <c r="B2219" i="14"/>
  <c r="D2219" i="14"/>
  <c r="B2220" i="14"/>
  <c r="D2220" i="14"/>
  <c r="B2221" i="14"/>
  <c r="D2221" i="14"/>
  <c r="B2222" i="14"/>
  <c r="D2222" i="14"/>
  <c r="B2223" i="14"/>
  <c r="D2223" i="14"/>
  <c r="B2224" i="14"/>
  <c r="D2224" i="14"/>
  <c r="B2225" i="14"/>
  <c r="D2225" i="14"/>
  <c r="B2226" i="14"/>
  <c r="D2226" i="14"/>
  <c r="B2227" i="14"/>
  <c r="D2227" i="14"/>
  <c r="B2228" i="14"/>
  <c r="D2228" i="14"/>
  <c r="B2229" i="14"/>
  <c r="D2229" i="14"/>
  <c r="B2230" i="14"/>
  <c r="D2230" i="14"/>
  <c r="B2231" i="14"/>
  <c r="D2231" i="14"/>
  <c r="B2232" i="14"/>
  <c r="D2232" i="14"/>
  <c r="B2233" i="14"/>
  <c r="D2233" i="14"/>
  <c r="B2234" i="14"/>
  <c r="D2234" i="14"/>
  <c r="B2235" i="14"/>
  <c r="D2235" i="14"/>
  <c r="B2236" i="14"/>
  <c r="D2236" i="14"/>
  <c r="B2237" i="14"/>
  <c r="D2237" i="14"/>
  <c r="B2238" i="14"/>
  <c r="D2238" i="14"/>
  <c r="B2239" i="14"/>
  <c r="D2239" i="14"/>
  <c r="B2240" i="14"/>
  <c r="D2240" i="14"/>
  <c r="B2241" i="14"/>
  <c r="D2241" i="14"/>
  <c r="B2242" i="14"/>
  <c r="D2242" i="14"/>
  <c r="B2243" i="14"/>
  <c r="D2243" i="14"/>
  <c r="B2244" i="14"/>
  <c r="D2244" i="14"/>
  <c r="B2245" i="14"/>
  <c r="D2245" i="14"/>
  <c r="B2246" i="14"/>
  <c r="D2246" i="14"/>
  <c r="B2247" i="14"/>
  <c r="D2247" i="14"/>
  <c r="B2248" i="14"/>
  <c r="D2248" i="14"/>
  <c r="B2249" i="14"/>
  <c r="D2249" i="14"/>
  <c r="B2250" i="14"/>
  <c r="D2250" i="14"/>
  <c r="B2251" i="14"/>
  <c r="D2251" i="14"/>
  <c r="B2252" i="14"/>
  <c r="D2252" i="14"/>
  <c r="B2253" i="14"/>
  <c r="D2253" i="14"/>
  <c r="B2254" i="14"/>
  <c r="D2254" i="14"/>
  <c r="B2255" i="14"/>
  <c r="D2255" i="14"/>
  <c r="B2256" i="14"/>
  <c r="D2256" i="14"/>
  <c r="B2257" i="14"/>
  <c r="D2257" i="14"/>
  <c r="B2258" i="14"/>
  <c r="D2258" i="14"/>
  <c r="B2259" i="14"/>
  <c r="D2259" i="14"/>
  <c r="B2260" i="14"/>
  <c r="D2260" i="14"/>
  <c r="B2261" i="14"/>
  <c r="D2261" i="14"/>
  <c r="B2262" i="14"/>
  <c r="D2262" i="14"/>
  <c r="B2263" i="14"/>
  <c r="D2263" i="14"/>
  <c r="B2264" i="14"/>
  <c r="D2264" i="14"/>
  <c r="B2265" i="14"/>
  <c r="D2265" i="14"/>
  <c r="B2266" i="14"/>
  <c r="D2266" i="14"/>
  <c r="B2267" i="14"/>
  <c r="D2267" i="14"/>
  <c r="B2268" i="14"/>
  <c r="D2268" i="14"/>
  <c r="B2269" i="14"/>
  <c r="D2269" i="14"/>
  <c r="B2270" i="14"/>
  <c r="D2270" i="14"/>
  <c r="B2271" i="14"/>
  <c r="D2271" i="14"/>
  <c r="B2272" i="14"/>
  <c r="D2272" i="14"/>
  <c r="B2273" i="14"/>
  <c r="D2273" i="14"/>
  <c r="B2274" i="14"/>
  <c r="D2274" i="14"/>
  <c r="B2275" i="14"/>
  <c r="D2275" i="14"/>
  <c r="B2276" i="14"/>
  <c r="D2276" i="14"/>
  <c r="B2277" i="14"/>
  <c r="D2277" i="14"/>
  <c r="B2278" i="14"/>
  <c r="D2278" i="14"/>
  <c r="B2279" i="14"/>
  <c r="D2279" i="14"/>
  <c r="B2280" i="14"/>
  <c r="D2280" i="14"/>
  <c r="B2281" i="14"/>
  <c r="D2281" i="14"/>
  <c r="B2282" i="14"/>
  <c r="D2282" i="14"/>
  <c r="B2283" i="14"/>
  <c r="D2283" i="14"/>
  <c r="B2284" i="14"/>
  <c r="D2284" i="14"/>
  <c r="B2285" i="14"/>
  <c r="D2285" i="14"/>
  <c r="B2286" i="14"/>
  <c r="D2286" i="14"/>
  <c r="B2287" i="14"/>
  <c r="D2287" i="14"/>
  <c r="B2288" i="14"/>
  <c r="D2288" i="14"/>
  <c r="B2289" i="14"/>
  <c r="D2289" i="14"/>
  <c r="B2290" i="14"/>
  <c r="D2290" i="14"/>
  <c r="B2291" i="14"/>
  <c r="D2291" i="14"/>
  <c r="B2292" i="14"/>
  <c r="D2292" i="14"/>
  <c r="B2293" i="14"/>
  <c r="D2293" i="14"/>
  <c r="B2294" i="14"/>
  <c r="D2294" i="14"/>
  <c r="B2295" i="14"/>
  <c r="D2295" i="14"/>
  <c r="B2296" i="14"/>
  <c r="D2296" i="14"/>
  <c r="B2297" i="14"/>
  <c r="D2297" i="14"/>
  <c r="B2298" i="14"/>
  <c r="D2298" i="14"/>
  <c r="B2299" i="14"/>
  <c r="D2299" i="14"/>
  <c r="B2300" i="14"/>
  <c r="D2300" i="14"/>
  <c r="B2301" i="14"/>
  <c r="D2301" i="14"/>
  <c r="B2302" i="14"/>
  <c r="D2302" i="14"/>
  <c r="B2303" i="14"/>
  <c r="D2303" i="14"/>
  <c r="B2304" i="14"/>
  <c r="D2304" i="14"/>
  <c r="B2305" i="14"/>
  <c r="D2305" i="14"/>
  <c r="B2306" i="14"/>
  <c r="D2306" i="14"/>
  <c r="B2307" i="14"/>
  <c r="D2307" i="14"/>
  <c r="B2308" i="14"/>
  <c r="D2308" i="14"/>
  <c r="B2309" i="14"/>
  <c r="D2309" i="14"/>
  <c r="B2310" i="14"/>
  <c r="D2310" i="14"/>
  <c r="B2311" i="14"/>
  <c r="D2311" i="14"/>
  <c r="B2312" i="14"/>
  <c r="D2312" i="14"/>
  <c r="B2313" i="14"/>
  <c r="D2313" i="14"/>
  <c r="B2314" i="14"/>
  <c r="D2314" i="14"/>
  <c r="B2315" i="14"/>
  <c r="D2315" i="14"/>
  <c r="B2316" i="14"/>
  <c r="D2316" i="14"/>
  <c r="B2317" i="14"/>
  <c r="D2317" i="14"/>
  <c r="B2318" i="14"/>
  <c r="D2318" i="14"/>
  <c r="B2319" i="14"/>
  <c r="D2319" i="14"/>
  <c r="B2320" i="14"/>
  <c r="D2320" i="14"/>
  <c r="B2321" i="14"/>
  <c r="D2321" i="14"/>
  <c r="B2322" i="14"/>
  <c r="D2322" i="14"/>
  <c r="B2323" i="14"/>
  <c r="D2323" i="14"/>
  <c r="B2324" i="14"/>
  <c r="D2324" i="14"/>
  <c r="B2325" i="14"/>
  <c r="D2325" i="14"/>
  <c r="B2326" i="14"/>
  <c r="D2326" i="14"/>
  <c r="B2327" i="14"/>
  <c r="D2327" i="14"/>
  <c r="B2328" i="14"/>
  <c r="D2328" i="14"/>
  <c r="B2329" i="14"/>
  <c r="D2329" i="14"/>
  <c r="B2330" i="14"/>
  <c r="D2330" i="14"/>
  <c r="B2331" i="14"/>
  <c r="D2331" i="14"/>
  <c r="B2332" i="14"/>
  <c r="D2332" i="14"/>
  <c r="B2333" i="14"/>
  <c r="D2333" i="14"/>
  <c r="B2334" i="14"/>
  <c r="D2334" i="14"/>
  <c r="B2335" i="14"/>
  <c r="D2335" i="14"/>
  <c r="B2336" i="14"/>
  <c r="D2336" i="14"/>
  <c r="B2337" i="14"/>
  <c r="D2337" i="14"/>
  <c r="B2338" i="14"/>
  <c r="D2338" i="14"/>
  <c r="B2339" i="14"/>
  <c r="D2339" i="14"/>
  <c r="B2340" i="14"/>
  <c r="D2340" i="14"/>
  <c r="B2341" i="14"/>
  <c r="D2341" i="14"/>
  <c r="B2342" i="14"/>
  <c r="D2342" i="14"/>
  <c r="B2343" i="14"/>
  <c r="D2343" i="14"/>
  <c r="B2344" i="14"/>
  <c r="D2344" i="14"/>
  <c r="B2345" i="14"/>
  <c r="D2345" i="14"/>
  <c r="B2346" i="14"/>
  <c r="D2346" i="14"/>
  <c r="B2347" i="14"/>
  <c r="D2347" i="14"/>
  <c r="B2348" i="14"/>
  <c r="D2348" i="14"/>
  <c r="B2349" i="14"/>
  <c r="D2349" i="14"/>
  <c r="B2350" i="14"/>
  <c r="D2350" i="14"/>
  <c r="B2351" i="14"/>
  <c r="D2351" i="14"/>
  <c r="B2352" i="14"/>
  <c r="D2352" i="14"/>
  <c r="B2353" i="14"/>
  <c r="D2353" i="14"/>
  <c r="B2354" i="14"/>
  <c r="D2354" i="14"/>
  <c r="B2355" i="14"/>
  <c r="D2355" i="14"/>
  <c r="B2356" i="14"/>
  <c r="D2356" i="14"/>
  <c r="B2357" i="14"/>
  <c r="D2357" i="14"/>
  <c r="B2358" i="14"/>
  <c r="D2358" i="14"/>
  <c r="B2359" i="14"/>
  <c r="D2359" i="14"/>
  <c r="B2360" i="14"/>
  <c r="D2360" i="14"/>
  <c r="B2361" i="14"/>
  <c r="D2361" i="14"/>
  <c r="B2362" i="14"/>
  <c r="D2362" i="14"/>
  <c r="B2363" i="14"/>
  <c r="D2363" i="14"/>
  <c r="B2364" i="14"/>
  <c r="D2364" i="14"/>
  <c r="B2365" i="14"/>
  <c r="D2365" i="14"/>
  <c r="B2366" i="14"/>
  <c r="D2366" i="14"/>
  <c r="B2367" i="14"/>
  <c r="D2367" i="14"/>
  <c r="B2368" i="14"/>
  <c r="D2368" i="14"/>
  <c r="B2369" i="14"/>
  <c r="D2369" i="14"/>
  <c r="B2370" i="14"/>
  <c r="D2370" i="14"/>
  <c r="B2371" i="14"/>
  <c r="D2371" i="14"/>
  <c r="B2372" i="14"/>
  <c r="D2372" i="14"/>
  <c r="B2373" i="14"/>
  <c r="D2373" i="14"/>
  <c r="B2374" i="14"/>
  <c r="D2374" i="14"/>
  <c r="B2375" i="14"/>
  <c r="D2375" i="14"/>
  <c r="B2376" i="14"/>
  <c r="D2376" i="14"/>
  <c r="B2377" i="14"/>
  <c r="D2377" i="14"/>
  <c r="B2378" i="14"/>
  <c r="D2378" i="14"/>
  <c r="B2379" i="14"/>
  <c r="D2379" i="14"/>
  <c r="B2380" i="14"/>
  <c r="D2380" i="14"/>
  <c r="B2381" i="14"/>
  <c r="D2381" i="14"/>
  <c r="B2382" i="14"/>
  <c r="D2382" i="14"/>
  <c r="B2383" i="14"/>
  <c r="D2383" i="14"/>
  <c r="B2384" i="14"/>
  <c r="D2384" i="14"/>
  <c r="B2385" i="14"/>
  <c r="D2385" i="14"/>
  <c r="B2386" i="14"/>
  <c r="D2386" i="14"/>
  <c r="B2387" i="14"/>
  <c r="D2387" i="14"/>
  <c r="B2388" i="14"/>
  <c r="D2388" i="14"/>
  <c r="B2389" i="14"/>
  <c r="D2389" i="14"/>
  <c r="B2390" i="14"/>
  <c r="D2390" i="14"/>
  <c r="B2391" i="14"/>
  <c r="D2391" i="14"/>
  <c r="B2392" i="14"/>
  <c r="D2392" i="14"/>
  <c r="B2393" i="14"/>
  <c r="D2393" i="14"/>
  <c r="B2394" i="14"/>
  <c r="D2394" i="14"/>
  <c r="B2395" i="14"/>
  <c r="D2395" i="14"/>
  <c r="B2396" i="14"/>
  <c r="D2396" i="14"/>
  <c r="B2397" i="14"/>
  <c r="D2397" i="14"/>
  <c r="B2398" i="14"/>
  <c r="D2398" i="14"/>
  <c r="B2399" i="14"/>
  <c r="D2399" i="14"/>
  <c r="B2400" i="14"/>
  <c r="D2400" i="14"/>
  <c r="B2401" i="14"/>
  <c r="D2401" i="14"/>
  <c r="B2402" i="14"/>
  <c r="D2402" i="14"/>
  <c r="B2403" i="14"/>
  <c r="D2403" i="14"/>
  <c r="B2404" i="14"/>
  <c r="D2404" i="14"/>
  <c r="B2405" i="14"/>
  <c r="D2405" i="14"/>
  <c r="B2406" i="14"/>
  <c r="D2406" i="14"/>
  <c r="B2407" i="14"/>
  <c r="D2407" i="14"/>
  <c r="B2408" i="14"/>
  <c r="D2408" i="14"/>
  <c r="B2409" i="14"/>
  <c r="D2409" i="14"/>
  <c r="B2410" i="14"/>
  <c r="D2410" i="14"/>
  <c r="B2411" i="14"/>
  <c r="D2411" i="14"/>
  <c r="B2412" i="14"/>
  <c r="D2412" i="14"/>
  <c r="B2413" i="14"/>
  <c r="D2413" i="14"/>
  <c r="B2414" i="14"/>
  <c r="D2414" i="14"/>
  <c r="B2415" i="14"/>
  <c r="D2415" i="14"/>
  <c r="B2416" i="14"/>
  <c r="D2416" i="14"/>
  <c r="B2417" i="14"/>
  <c r="D2417" i="14"/>
  <c r="B2418" i="14"/>
  <c r="D2418" i="14"/>
  <c r="B2419" i="14"/>
  <c r="D2419" i="14"/>
  <c r="B2420" i="14"/>
  <c r="D2420" i="14"/>
  <c r="B2421" i="14"/>
  <c r="D2421" i="14"/>
  <c r="B2422" i="14"/>
  <c r="D2422" i="14"/>
  <c r="B2423" i="14"/>
  <c r="D2423" i="14"/>
  <c r="B2424" i="14"/>
  <c r="D2424" i="14"/>
  <c r="B2425" i="14"/>
  <c r="D2425" i="14"/>
  <c r="B2426" i="14"/>
  <c r="D2426" i="14"/>
  <c r="B2427" i="14"/>
  <c r="D2427" i="14"/>
  <c r="B2428" i="14"/>
  <c r="D2428" i="14"/>
  <c r="B2429" i="14"/>
  <c r="D2429" i="14"/>
  <c r="B2430" i="14"/>
  <c r="D2430" i="14"/>
  <c r="B2431" i="14"/>
  <c r="D2431" i="14"/>
  <c r="B2432" i="14"/>
  <c r="D2432" i="14"/>
  <c r="B2433" i="14"/>
  <c r="D2433" i="14"/>
  <c r="B2434" i="14"/>
  <c r="D2434" i="14"/>
  <c r="B2435" i="14"/>
  <c r="D2435" i="14"/>
  <c r="B2436" i="14"/>
  <c r="D2436" i="14"/>
  <c r="B2437" i="14"/>
  <c r="D2437" i="14"/>
  <c r="B2438" i="14"/>
  <c r="D2438" i="14"/>
  <c r="B2439" i="14"/>
  <c r="D2439" i="14"/>
  <c r="B2440" i="14"/>
  <c r="D2440" i="14"/>
  <c r="B2441" i="14"/>
  <c r="D2441" i="14"/>
  <c r="B2442" i="14"/>
  <c r="D2442" i="14"/>
  <c r="B2443" i="14"/>
  <c r="D2443" i="14"/>
  <c r="B2444" i="14"/>
  <c r="D2444" i="14"/>
  <c r="B2445" i="14"/>
  <c r="D2445" i="14"/>
  <c r="B2446" i="14"/>
  <c r="D2446" i="14"/>
  <c r="B2447" i="14"/>
  <c r="D2447" i="14"/>
  <c r="B2448" i="14"/>
  <c r="D2448" i="14"/>
  <c r="B2449" i="14"/>
  <c r="D2449" i="14"/>
  <c r="B2450" i="14"/>
  <c r="D2450" i="14"/>
  <c r="B2451" i="14"/>
  <c r="D2451" i="14"/>
  <c r="B2452" i="14"/>
  <c r="D2452" i="14"/>
  <c r="B2453" i="14"/>
  <c r="D2453" i="14"/>
  <c r="B2454" i="14"/>
  <c r="D2454" i="14"/>
  <c r="B2455" i="14"/>
  <c r="D2455" i="14"/>
  <c r="B2456" i="14"/>
  <c r="D2456" i="14"/>
  <c r="B2457" i="14"/>
  <c r="D2457" i="14"/>
  <c r="B2458" i="14"/>
  <c r="D2458" i="14"/>
  <c r="B2459" i="14"/>
  <c r="D2459" i="14"/>
  <c r="B2460" i="14"/>
  <c r="D2460" i="14"/>
  <c r="B2461" i="14"/>
  <c r="D2461" i="14"/>
  <c r="B2462" i="14"/>
  <c r="D2462" i="14"/>
  <c r="B2463" i="14"/>
  <c r="D2463" i="14"/>
  <c r="B2464" i="14"/>
  <c r="D2464" i="14"/>
  <c r="B2465" i="14"/>
  <c r="D2465" i="14"/>
  <c r="B2466" i="14"/>
  <c r="D2466" i="14"/>
  <c r="B2467" i="14"/>
  <c r="D2467" i="14"/>
  <c r="B2468" i="14"/>
  <c r="D2468" i="14"/>
  <c r="B2469" i="14"/>
  <c r="D2469" i="14"/>
  <c r="B2470" i="14"/>
  <c r="D2470" i="14"/>
  <c r="B2471" i="14"/>
  <c r="D2471" i="14"/>
  <c r="B2472" i="14"/>
  <c r="D2472" i="14"/>
  <c r="B2473" i="14"/>
  <c r="D2473" i="14"/>
  <c r="B2474" i="14"/>
  <c r="D2474" i="14"/>
  <c r="B2475" i="14"/>
  <c r="D2475" i="14"/>
  <c r="B2476" i="14"/>
  <c r="D2476" i="14"/>
  <c r="B2477" i="14"/>
  <c r="D2477" i="14"/>
  <c r="B2478" i="14"/>
  <c r="D2478" i="14"/>
  <c r="B2479" i="14"/>
  <c r="D2479" i="14"/>
  <c r="B2480" i="14"/>
  <c r="D2480" i="14"/>
  <c r="B2481" i="14"/>
  <c r="D2481" i="14"/>
  <c r="B2482" i="14"/>
  <c r="D2482" i="14"/>
  <c r="B2483" i="14"/>
  <c r="D2483" i="14"/>
  <c r="B2484" i="14"/>
  <c r="D2484" i="14"/>
  <c r="B2485" i="14"/>
  <c r="D2485" i="14"/>
  <c r="B2486" i="14"/>
  <c r="D2486" i="14"/>
  <c r="B2487" i="14"/>
  <c r="D2487" i="14"/>
  <c r="B2488" i="14"/>
  <c r="D2488" i="14"/>
  <c r="B2489" i="14"/>
  <c r="D2489" i="14"/>
  <c r="B2490" i="14"/>
  <c r="D2490" i="14"/>
  <c r="B2491" i="14"/>
  <c r="D2491" i="14"/>
  <c r="B2492" i="14"/>
  <c r="D2492" i="14"/>
  <c r="B2493" i="14"/>
  <c r="D2493" i="14"/>
  <c r="B2494" i="14"/>
  <c r="D2494" i="14"/>
  <c r="B2495" i="14"/>
  <c r="D2495" i="14"/>
  <c r="B2496" i="14"/>
  <c r="D2496" i="14"/>
  <c r="B2497" i="14"/>
  <c r="D2497" i="14"/>
  <c r="B2498" i="14"/>
  <c r="D2498" i="14"/>
  <c r="B2499" i="14"/>
  <c r="D2499" i="14"/>
  <c r="B2500" i="14"/>
  <c r="D2500" i="14"/>
  <c r="B2501" i="14"/>
  <c r="D2501" i="14"/>
  <c r="B2502" i="14"/>
  <c r="D2502" i="14"/>
  <c r="B2503" i="14"/>
  <c r="D2503" i="14"/>
  <c r="B2504" i="14"/>
  <c r="D2504" i="14"/>
  <c r="B2505" i="14"/>
  <c r="D2505" i="14"/>
  <c r="B2506" i="14"/>
  <c r="D2506" i="14"/>
  <c r="B2507" i="14"/>
  <c r="D2507" i="14"/>
  <c r="B2508" i="14"/>
  <c r="D2508" i="14"/>
  <c r="B2509" i="14"/>
  <c r="D2509" i="14"/>
  <c r="B2510" i="14"/>
  <c r="D2510" i="14"/>
  <c r="B2511" i="14"/>
  <c r="D2511" i="14"/>
  <c r="B2512" i="14"/>
  <c r="D2512" i="14"/>
  <c r="B2513" i="14"/>
  <c r="D2513" i="14"/>
  <c r="B2514" i="14"/>
  <c r="D2514" i="14"/>
  <c r="B2515" i="14"/>
  <c r="D2515" i="14"/>
  <c r="B2516" i="14"/>
  <c r="D2516" i="14"/>
  <c r="B2517" i="14"/>
  <c r="D2517" i="14"/>
  <c r="B2518" i="14"/>
  <c r="D2518" i="14"/>
  <c r="B2519" i="14"/>
  <c r="D2519" i="14"/>
  <c r="B2520" i="14"/>
  <c r="D2520" i="14"/>
  <c r="B2521" i="14"/>
  <c r="D2521" i="14"/>
  <c r="B2522" i="14"/>
  <c r="D2522" i="14"/>
  <c r="B2523" i="14"/>
  <c r="D2523" i="14"/>
  <c r="B2524" i="14"/>
  <c r="D2524" i="14"/>
  <c r="B2525" i="14"/>
  <c r="D2525" i="14"/>
  <c r="B2526" i="14"/>
  <c r="D2526" i="14"/>
  <c r="B2527" i="14"/>
  <c r="D2527" i="14"/>
  <c r="B2528" i="14"/>
  <c r="D2528" i="14"/>
  <c r="B2529" i="14"/>
  <c r="D2529" i="14"/>
  <c r="B2530" i="14"/>
  <c r="D2530" i="14"/>
  <c r="B2531" i="14"/>
  <c r="D2531" i="14"/>
  <c r="B2532" i="14"/>
  <c r="D2532" i="14"/>
  <c r="B2533" i="14"/>
  <c r="D2533" i="14"/>
  <c r="B2534" i="14"/>
  <c r="D2534" i="14"/>
  <c r="B2535" i="14"/>
  <c r="D2535" i="14"/>
  <c r="B2536" i="14"/>
  <c r="D2536" i="14"/>
  <c r="B2537" i="14"/>
  <c r="D2537" i="14"/>
  <c r="B2538" i="14"/>
  <c r="D2538" i="14"/>
  <c r="B2539" i="14"/>
  <c r="D2539" i="14"/>
  <c r="B2540" i="14"/>
  <c r="D2540" i="14"/>
  <c r="B2541" i="14"/>
  <c r="D2541" i="14"/>
  <c r="B2542" i="14"/>
  <c r="D2542" i="14"/>
  <c r="B2543" i="14"/>
  <c r="D2543" i="14"/>
  <c r="B2544" i="14"/>
  <c r="D2544" i="14"/>
  <c r="B2545" i="14"/>
  <c r="D2545" i="14"/>
  <c r="B2546" i="14"/>
  <c r="D2546" i="14"/>
  <c r="B2547" i="14"/>
  <c r="D2547" i="14"/>
  <c r="B2548" i="14"/>
  <c r="D2548" i="14"/>
  <c r="B2549" i="14"/>
  <c r="D2549" i="14"/>
  <c r="B2550" i="14"/>
  <c r="D2550" i="14"/>
  <c r="B2551" i="14"/>
  <c r="D2551" i="14"/>
  <c r="B2552" i="14"/>
  <c r="D2552" i="14"/>
  <c r="B2553" i="14"/>
  <c r="D2553" i="14"/>
  <c r="B2554" i="14"/>
  <c r="D2554" i="14"/>
  <c r="B2555" i="14"/>
  <c r="D2555" i="14"/>
  <c r="B2556" i="14"/>
  <c r="D2556" i="14"/>
  <c r="B2557" i="14"/>
  <c r="D2557" i="14"/>
  <c r="B2558" i="14"/>
  <c r="D2558" i="14"/>
  <c r="B2559" i="14"/>
  <c r="D2559" i="14"/>
  <c r="B2560" i="14"/>
  <c r="D2560" i="14"/>
  <c r="B2561" i="14"/>
  <c r="D2561" i="14"/>
  <c r="B2562" i="14"/>
  <c r="D2562" i="14"/>
  <c r="B2563" i="14"/>
  <c r="D2563" i="14"/>
  <c r="B2564" i="14"/>
  <c r="D2564" i="14"/>
  <c r="B2565" i="14"/>
  <c r="D2565" i="14"/>
  <c r="B2566" i="14"/>
  <c r="D2566" i="14"/>
  <c r="B2567" i="14"/>
  <c r="D2567" i="14"/>
  <c r="B2568" i="14"/>
  <c r="D2568" i="14"/>
  <c r="B2569" i="14"/>
  <c r="D2569" i="14"/>
  <c r="B2570" i="14"/>
  <c r="D2570" i="14"/>
  <c r="B2571" i="14"/>
  <c r="D2571" i="14"/>
  <c r="B2572" i="14"/>
  <c r="D2572" i="14"/>
  <c r="B2573" i="14"/>
  <c r="D2573" i="14"/>
  <c r="B2574" i="14"/>
  <c r="D2574" i="14"/>
  <c r="B2575" i="14"/>
  <c r="D2575" i="14"/>
  <c r="B2576" i="14"/>
  <c r="D2576" i="14"/>
  <c r="B2577" i="14"/>
  <c r="D2577" i="14"/>
  <c r="B2578" i="14"/>
  <c r="D2578" i="14"/>
  <c r="B2579" i="14"/>
  <c r="D2579" i="14"/>
  <c r="B2580" i="14"/>
  <c r="D2580" i="14"/>
  <c r="B2581" i="14"/>
  <c r="D2581" i="14"/>
  <c r="B2582" i="14"/>
  <c r="D2582" i="14"/>
  <c r="B2583" i="14"/>
  <c r="D2583" i="14"/>
  <c r="B2584" i="14"/>
  <c r="D2584" i="14"/>
  <c r="B2585" i="14"/>
  <c r="D2585" i="14"/>
  <c r="B2586" i="14"/>
  <c r="D2586" i="14"/>
  <c r="B2587" i="14"/>
  <c r="D2587" i="14"/>
  <c r="B2588" i="14"/>
  <c r="D2588" i="14"/>
  <c r="B2589" i="14"/>
  <c r="D2589" i="14"/>
  <c r="B2590" i="14"/>
  <c r="D2590" i="14"/>
  <c r="B2591" i="14"/>
  <c r="D2591" i="14"/>
  <c r="B2592" i="14"/>
  <c r="D2592" i="14"/>
  <c r="B2593" i="14"/>
  <c r="D2593" i="14"/>
  <c r="B2594" i="14"/>
  <c r="D2594" i="14"/>
  <c r="B2595" i="14"/>
  <c r="D2595" i="14"/>
  <c r="B2596" i="14"/>
  <c r="D2596" i="14"/>
  <c r="B2597" i="14"/>
  <c r="D2597" i="14"/>
  <c r="B2598" i="14"/>
  <c r="D2598" i="14"/>
  <c r="B2599" i="14"/>
  <c r="D2599" i="14"/>
  <c r="B2600" i="14"/>
  <c r="D2600" i="14"/>
  <c r="B2601" i="14"/>
  <c r="D2601" i="14"/>
  <c r="B2602" i="14"/>
  <c r="D2602" i="14"/>
  <c r="B2603" i="14"/>
  <c r="D2603" i="14"/>
  <c r="B2604" i="14"/>
  <c r="D2604" i="14"/>
  <c r="B2605" i="14"/>
  <c r="D2605" i="14"/>
  <c r="B2606" i="14"/>
  <c r="D2606" i="14"/>
  <c r="B2607" i="14"/>
  <c r="D2607" i="14"/>
  <c r="B2608" i="14"/>
  <c r="D2608" i="14"/>
  <c r="B2609" i="14"/>
  <c r="D2609" i="14"/>
  <c r="B2610" i="14"/>
  <c r="D2610" i="14"/>
  <c r="B2611" i="14"/>
  <c r="D2611" i="14"/>
  <c r="B2612" i="14"/>
  <c r="D2612" i="14"/>
  <c r="B2613" i="14"/>
  <c r="D2613" i="14"/>
  <c r="B2614" i="14"/>
  <c r="D2614" i="14"/>
  <c r="B2615" i="14"/>
  <c r="D2615" i="14"/>
  <c r="B2616" i="14"/>
  <c r="D2616" i="14"/>
  <c r="B2617" i="14"/>
  <c r="D2617" i="14"/>
  <c r="B2618" i="14"/>
  <c r="D2618" i="14"/>
  <c r="B2619" i="14"/>
  <c r="D2619" i="14"/>
  <c r="B2620" i="14"/>
  <c r="D2620" i="14"/>
  <c r="B2621" i="14"/>
  <c r="D2621" i="14"/>
  <c r="B2622" i="14"/>
  <c r="D2622" i="14"/>
  <c r="B2623" i="14"/>
  <c r="D2623" i="14"/>
  <c r="B2624" i="14"/>
  <c r="D2624" i="14"/>
  <c r="B2625" i="14"/>
  <c r="D2625" i="14"/>
  <c r="B2626" i="14"/>
  <c r="D2626" i="14"/>
  <c r="B2627" i="14"/>
  <c r="D2627" i="14"/>
  <c r="B2628" i="14"/>
  <c r="D2628" i="14"/>
  <c r="B2629" i="14"/>
  <c r="D2629" i="14"/>
  <c r="B2630" i="14"/>
  <c r="D2630" i="14"/>
  <c r="B2631" i="14"/>
  <c r="D2631" i="14"/>
  <c r="B2632" i="14"/>
  <c r="D2632" i="14"/>
  <c r="B2633" i="14"/>
  <c r="D2633" i="14"/>
  <c r="B2634" i="14"/>
  <c r="D2634" i="14"/>
  <c r="B2635" i="14"/>
  <c r="D2635" i="14"/>
  <c r="B2636" i="14"/>
  <c r="D2636" i="14"/>
  <c r="B2637" i="14"/>
  <c r="D2637" i="14"/>
  <c r="B2638" i="14"/>
  <c r="D2638" i="14"/>
  <c r="B2639" i="14"/>
  <c r="D2639" i="14"/>
  <c r="B2640" i="14"/>
  <c r="D2640" i="14"/>
  <c r="B2641" i="14"/>
  <c r="D2641" i="14"/>
  <c r="B2642" i="14"/>
  <c r="D2642" i="14"/>
  <c r="B2643" i="14"/>
  <c r="D2643" i="14"/>
  <c r="B2644" i="14"/>
  <c r="D2644" i="14"/>
  <c r="B2645" i="14"/>
  <c r="D2645" i="14"/>
  <c r="B2646" i="14"/>
  <c r="D2646" i="14"/>
  <c r="B2647" i="14"/>
  <c r="D2647" i="14"/>
  <c r="B2648" i="14"/>
  <c r="D2648" i="14"/>
  <c r="B2649" i="14"/>
  <c r="D2649" i="14"/>
  <c r="B2650" i="14"/>
  <c r="D2650" i="14"/>
  <c r="B2651" i="14"/>
  <c r="D2651" i="14"/>
  <c r="B2652" i="14"/>
  <c r="D2652" i="14"/>
  <c r="B2653" i="14"/>
  <c r="D2653" i="14"/>
  <c r="B2654" i="14"/>
  <c r="D2654" i="14"/>
  <c r="B2655" i="14"/>
  <c r="D2655" i="14"/>
  <c r="B2656" i="14"/>
  <c r="D2656" i="14"/>
  <c r="B2657" i="14"/>
  <c r="D2657" i="14"/>
  <c r="B2658" i="14"/>
  <c r="D2658" i="14"/>
  <c r="B2659" i="14"/>
  <c r="D2659" i="14"/>
  <c r="B2660" i="14"/>
  <c r="D2660" i="14"/>
  <c r="B2661" i="14"/>
  <c r="D2661" i="14"/>
  <c r="B2662" i="14"/>
  <c r="D2662" i="14"/>
  <c r="B2663" i="14"/>
  <c r="D2663" i="14"/>
  <c r="B2664" i="14"/>
  <c r="D2664" i="14"/>
  <c r="B2665" i="14"/>
  <c r="D2665" i="14"/>
  <c r="B2666" i="14"/>
  <c r="D2666" i="14"/>
  <c r="B2667" i="14"/>
  <c r="D2667" i="14"/>
  <c r="B2668" i="14"/>
  <c r="D2668" i="14"/>
  <c r="B2669" i="14"/>
  <c r="D2669" i="14"/>
  <c r="B2670" i="14"/>
  <c r="D2670" i="14"/>
  <c r="B2671" i="14"/>
  <c r="D2671" i="14"/>
  <c r="B2672" i="14"/>
  <c r="D2672" i="14"/>
  <c r="B2673" i="14"/>
  <c r="D2673" i="14"/>
  <c r="B2674" i="14"/>
  <c r="D2674" i="14"/>
  <c r="B2675" i="14"/>
  <c r="D2675" i="14"/>
  <c r="B2676" i="14"/>
  <c r="D2676" i="14"/>
  <c r="B2677" i="14"/>
  <c r="D2677" i="14"/>
  <c r="B2678" i="14"/>
  <c r="D2678" i="14"/>
  <c r="B2679" i="14"/>
  <c r="D2679" i="14"/>
  <c r="B2680" i="14"/>
  <c r="D2680" i="14"/>
  <c r="B2681" i="14"/>
  <c r="D2681" i="14"/>
  <c r="B2682" i="14"/>
  <c r="D2682" i="14"/>
  <c r="B2683" i="14"/>
  <c r="D2683" i="14"/>
  <c r="B2684" i="14"/>
  <c r="D2684" i="14"/>
  <c r="B2685" i="14"/>
  <c r="D2685" i="14"/>
  <c r="B2686" i="14"/>
  <c r="D2686" i="14"/>
  <c r="B2687" i="14"/>
  <c r="D2687" i="14"/>
  <c r="B2688" i="14"/>
  <c r="D2688" i="14"/>
  <c r="B2689" i="14"/>
  <c r="D2689" i="14"/>
  <c r="B2690" i="14"/>
  <c r="D2690" i="14"/>
  <c r="B2691" i="14"/>
  <c r="D2691" i="14"/>
  <c r="B2692" i="14"/>
  <c r="D2692" i="14"/>
  <c r="B2693" i="14"/>
  <c r="D2693" i="14"/>
  <c r="B2694" i="14"/>
  <c r="D2694" i="14"/>
  <c r="B2695" i="14"/>
  <c r="D2695" i="14"/>
  <c r="B2696" i="14"/>
  <c r="D2696" i="14"/>
  <c r="B2697" i="14"/>
  <c r="D2697" i="14"/>
  <c r="B2698" i="14"/>
  <c r="D2698" i="14"/>
  <c r="B2699" i="14"/>
  <c r="D2699" i="14"/>
  <c r="B2700" i="14"/>
  <c r="D2700" i="14"/>
  <c r="B2701" i="14"/>
  <c r="D2701" i="14"/>
  <c r="B2702" i="14"/>
  <c r="D2702" i="14"/>
  <c r="B2703" i="14"/>
  <c r="D2703" i="14"/>
  <c r="B2704" i="14"/>
  <c r="D2704" i="14"/>
  <c r="B2705" i="14"/>
  <c r="D2705" i="14"/>
  <c r="B2706" i="14"/>
  <c r="D2706" i="14"/>
  <c r="B2707" i="14"/>
  <c r="D2707" i="14"/>
  <c r="B2708" i="14"/>
  <c r="D2708" i="14"/>
  <c r="B2709" i="14"/>
  <c r="D2709" i="14"/>
  <c r="B2710" i="14"/>
  <c r="D2710" i="14"/>
  <c r="B2711" i="14"/>
  <c r="D2711" i="14"/>
  <c r="B2712" i="14"/>
  <c r="D2712" i="14"/>
  <c r="B2713" i="14"/>
  <c r="D2713" i="14"/>
  <c r="B2714" i="14"/>
  <c r="D2714" i="14"/>
  <c r="B2715" i="14"/>
  <c r="D2715" i="14"/>
  <c r="B2716" i="14"/>
  <c r="D2716" i="14"/>
  <c r="B2717" i="14"/>
  <c r="D2717" i="14"/>
  <c r="B2718" i="14"/>
  <c r="D2718" i="14"/>
  <c r="B2719" i="14"/>
  <c r="D2719" i="14"/>
  <c r="B2720" i="14"/>
  <c r="D2720" i="14"/>
  <c r="B2721" i="14"/>
  <c r="D2721" i="14"/>
  <c r="B2722" i="14"/>
  <c r="D2722" i="14"/>
  <c r="B2723" i="14"/>
  <c r="D2723" i="14"/>
  <c r="B2724" i="14"/>
  <c r="D2724" i="14"/>
  <c r="B2725" i="14"/>
  <c r="D2725" i="14"/>
  <c r="B2726" i="14"/>
  <c r="D2726" i="14"/>
  <c r="B2727" i="14"/>
  <c r="D2727" i="14"/>
  <c r="B2728" i="14"/>
  <c r="D2728" i="14"/>
  <c r="B2729" i="14"/>
  <c r="D2729" i="14"/>
  <c r="B2730" i="14"/>
  <c r="D2730" i="14"/>
  <c r="B2731" i="14"/>
  <c r="D2731" i="14"/>
  <c r="B2732" i="14"/>
  <c r="D2732" i="14"/>
  <c r="B2733" i="14"/>
  <c r="D2733" i="14"/>
  <c r="B2734" i="14"/>
  <c r="D2734" i="14"/>
  <c r="B2735" i="14"/>
  <c r="D2735" i="14"/>
  <c r="B2736" i="14"/>
  <c r="D2736" i="14"/>
  <c r="B2737" i="14"/>
  <c r="D2737" i="14"/>
  <c r="B2738" i="14"/>
  <c r="D2738" i="14"/>
  <c r="B2739" i="14"/>
  <c r="D2739" i="14"/>
  <c r="B2740" i="14"/>
  <c r="D2740" i="14"/>
  <c r="B2741" i="14"/>
  <c r="D2741" i="14"/>
  <c r="B2742" i="14"/>
  <c r="D2742" i="14"/>
  <c r="B2743" i="14"/>
  <c r="D2743" i="14"/>
  <c r="B2744" i="14"/>
  <c r="D2744" i="14"/>
  <c r="B12" i="14"/>
  <c r="D12" i="14"/>
  <c r="B13" i="14"/>
  <c r="D13" i="14"/>
  <c r="B14" i="14"/>
  <c r="D14" i="14"/>
  <c r="B15" i="14"/>
  <c r="D15" i="14"/>
  <c r="B16" i="14"/>
  <c r="D16" i="14"/>
  <c r="B17" i="14"/>
  <c r="D17" i="14"/>
  <c r="B18" i="14"/>
  <c r="D18" i="14"/>
  <c r="B19" i="14"/>
  <c r="D19" i="14"/>
  <c r="B20" i="14"/>
  <c r="D20" i="14"/>
  <c r="B21" i="14"/>
  <c r="D21" i="14"/>
  <c r="B22" i="14"/>
  <c r="D22" i="14"/>
  <c r="B23" i="14"/>
  <c r="D23" i="14"/>
  <c r="B24" i="14"/>
  <c r="D24" i="14"/>
  <c r="B25" i="14"/>
  <c r="D25" i="14"/>
  <c r="B26" i="14"/>
  <c r="D26" i="14"/>
  <c r="B27" i="14"/>
  <c r="D27" i="14"/>
  <c r="B28" i="14"/>
  <c r="D28" i="14"/>
  <c r="B29" i="14"/>
  <c r="D29" i="14"/>
  <c r="B30" i="14"/>
  <c r="D30" i="14"/>
  <c r="B31" i="14"/>
  <c r="D31" i="14"/>
  <c r="B7" i="14"/>
  <c r="D7" i="14"/>
  <c r="B8" i="14"/>
  <c r="D8" i="14"/>
  <c r="B9" i="14"/>
  <c r="D9" i="14"/>
  <c r="B10" i="14"/>
  <c r="D10" i="14"/>
  <c r="B11" i="14"/>
  <c r="D11" i="14"/>
  <c r="D6" i="14"/>
  <c r="B6" i="14"/>
  <c r="D5" i="14"/>
  <c r="B5" i="14"/>
  <c r="E10" i="14" l="1"/>
  <c r="E29" i="14"/>
  <c r="E23" i="14"/>
  <c r="E17" i="14"/>
  <c r="E2738" i="14"/>
  <c r="E2732" i="14"/>
  <c r="E2726" i="14"/>
  <c r="E2720" i="14"/>
  <c r="E2714" i="14"/>
  <c r="E2702" i="14"/>
  <c r="E2696" i="14"/>
  <c r="E2690" i="14"/>
  <c r="E2684" i="14"/>
  <c r="E2678" i="14"/>
  <c r="E2672" i="14"/>
  <c r="E2666" i="14"/>
  <c r="E2660" i="14"/>
  <c r="E2654" i="14"/>
  <c r="E2648" i="14"/>
  <c r="E2642" i="14"/>
  <c r="E2636" i="14"/>
  <c r="E2630" i="14"/>
  <c r="E2618" i="14"/>
  <c r="E2612" i="14"/>
  <c r="E2606" i="14"/>
  <c r="E2600" i="14"/>
  <c r="E2594" i="14"/>
  <c r="E2588" i="14"/>
  <c r="E2582" i="14"/>
  <c r="E2576" i="14"/>
  <c r="E2570" i="14"/>
  <c r="E2564" i="14"/>
  <c r="E2558" i="14"/>
  <c r="E2552" i="14"/>
  <c r="E2546" i="14"/>
  <c r="E2540" i="14"/>
  <c r="E2534" i="14"/>
  <c r="E2528" i="14"/>
  <c r="E2522" i="14"/>
  <c r="E2516" i="14"/>
  <c r="E2510" i="14"/>
  <c r="E2504" i="14"/>
  <c r="E2498" i="14"/>
  <c r="E1298" i="14"/>
  <c r="E1292" i="14"/>
  <c r="E1286" i="14"/>
  <c r="E1280" i="14"/>
  <c r="E1274" i="14"/>
  <c r="E1268" i="14"/>
  <c r="E1262" i="14"/>
  <c r="E1256" i="14"/>
  <c r="E1250" i="14"/>
  <c r="E1244" i="14"/>
  <c r="E1238" i="14"/>
  <c r="E1232" i="14"/>
  <c r="E1226" i="14"/>
  <c r="E1220" i="14"/>
  <c r="E1214" i="14"/>
  <c r="E1208" i="14"/>
  <c r="E1202" i="14"/>
  <c r="E1196" i="14"/>
  <c r="E1190" i="14"/>
  <c r="E1184" i="14"/>
  <c r="E1178" i="14"/>
  <c r="E1172" i="14"/>
  <c r="E1166" i="14"/>
  <c r="E1160" i="14"/>
  <c r="E1154" i="14"/>
  <c r="E1148" i="14"/>
  <c r="E1142" i="14"/>
  <c r="C871" i="14"/>
  <c r="C769" i="14"/>
  <c r="C763" i="14"/>
  <c r="C757" i="14"/>
  <c r="C751" i="14"/>
  <c r="C745" i="14"/>
  <c r="C739" i="14"/>
  <c r="C733" i="14"/>
  <c r="C727" i="14"/>
  <c r="C721" i="14"/>
  <c r="C715" i="14"/>
  <c r="C709" i="14"/>
  <c r="C703" i="14"/>
  <c r="C697" i="14"/>
  <c r="C691" i="14"/>
  <c r="C685" i="14"/>
  <c r="C679" i="14"/>
  <c r="C673" i="14"/>
  <c r="C667" i="14"/>
  <c r="C661" i="14"/>
  <c r="C655" i="14"/>
  <c r="C649" i="14"/>
  <c r="C643" i="14"/>
  <c r="C637" i="14"/>
  <c r="C631" i="14"/>
  <c r="C625" i="14"/>
  <c r="C619" i="14"/>
  <c r="C613" i="14"/>
  <c r="C607" i="14"/>
  <c r="C601" i="14"/>
  <c r="C595" i="14"/>
  <c r="C589" i="14"/>
  <c r="C583" i="14"/>
  <c r="C577" i="14"/>
  <c r="C571" i="14"/>
  <c r="C565" i="14"/>
  <c r="C559" i="14"/>
  <c r="C553" i="14"/>
  <c r="C547" i="14"/>
  <c r="C541" i="14"/>
  <c r="C535" i="14"/>
  <c r="C529" i="14"/>
  <c r="C523" i="14"/>
  <c r="C517" i="14"/>
  <c r="C397" i="14"/>
  <c r="C11" i="14"/>
  <c r="C30" i="14"/>
  <c r="E1136" i="14"/>
  <c r="E1130" i="14"/>
  <c r="E1124" i="14"/>
  <c r="E1118" i="14"/>
  <c r="E1112" i="14"/>
  <c r="E1106" i="14"/>
  <c r="E1100" i="14"/>
  <c r="E1094" i="14"/>
  <c r="E1088" i="14"/>
  <c r="E1082" i="14"/>
  <c r="E1076" i="14"/>
  <c r="E1070" i="14"/>
  <c r="E1064" i="14"/>
  <c r="E1058" i="14"/>
  <c r="E1052" i="14"/>
  <c r="E1046" i="14"/>
  <c r="E1040" i="14"/>
  <c r="E1034" i="14"/>
  <c r="E1028" i="14"/>
  <c r="E1022" i="14"/>
  <c r="E1016" i="14"/>
  <c r="E1010" i="14"/>
  <c r="E1004" i="14"/>
  <c r="E998" i="14"/>
  <c r="E992" i="14"/>
  <c r="E986" i="14"/>
  <c r="E980" i="14"/>
  <c r="E974" i="14"/>
  <c r="E968" i="14"/>
  <c r="E962" i="14"/>
  <c r="E956" i="14"/>
  <c r="E950" i="14"/>
  <c r="E944" i="14"/>
  <c r="E938" i="14"/>
  <c r="E932" i="14"/>
  <c r="E926" i="14"/>
  <c r="E920" i="14"/>
  <c r="E914" i="14"/>
  <c r="E908" i="14"/>
  <c r="E902" i="14"/>
  <c r="E896" i="14"/>
  <c r="E890" i="14"/>
  <c r="E884" i="14"/>
  <c r="E878" i="14"/>
  <c r="E872" i="14"/>
  <c r="E866" i="14"/>
  <c r="E860" i="14"/>
  <c r="E854" i="14"/>
  <c r="E848" i="14"/>
  <c r="E842" i="14"/>
  <c r="E836" i="14"/>
  <c r="E830" i="14"/>
  <c r="E824" i="14"/>
  <c r="E818" i="14"/>
  <c r="E812" i="14"/>
  <c r="E806" i="14"/>
  <c r="E800" i="14"/>
  <c r="E794" i="14"/>
  <c r="E788" i="14"/>
  <c r="E782" i="14"/>
  <c r="E776" i="14"/>
  <c r="E770" i="14"/>
  <c r="E764" i="14"/>
  <c r="E758" i="14"/>
  <c r="E752" i="14"/>
  <c r="E746" i="14"/>
  <c r="E740" i="14"/>
  <c r="E734" i="14"/>
  <c r="E728" i="14"/>
  <c r="E722" i="14"/>
  <c r="E716" i="14"/>
  <c r="E710" i="14"/>
  <c r="E704" i="14"/>
  <c r="E698" i="14"/>
  <c r="E692" i="14"/>
  <c r="E686" i="14"/>
  <c r="E680" i="14"/>
  <c r="E674" i="14"/>
  <c r="E668" i="14"/>
  <c r="E662" i="14"/>
  <c r="E656" i="14"/>
  <c r="E650" i="14"/>
  <c r="E644" i="14"/>
  <c r="E638" i="14"/>
  <c r="E632" i="14"/>
  <c r="C767" i="14"/>
  <c r="C413" i="14"/>
  <c r="C401" i="14"/>
  <c r="C395" i="14"/>
  <c r="C389" i="14"/>
  <c r="C365" i="14"/>
  <c r="C353" i="14"/>
  <c r="C347" i="14"/>
  <c r="C341" i="14"/>
  <c r="C335" i="14"/>
  <c r="C329" i="14"/>
  <c r="C323" i="14"/>
  <c r="C317" i="14"/>
  <c r="C311" i="14"/>
  <c r="C305" i="14"/>
  <c r="C299" i="14"/>
  <c r="C293" i="14"/>
  <c r="C287" i="14"/>
  <c r="C281" i="14"/>
  <c r="C275" i="14"/>
  <c r="C269" i="14"/>
  <c r="C263" i="14"/>
  <c r="C257" i="14"/>
  <c r="C251" i="14"/>
  <c r="C2567" i="14"/>
  <c r="E7" i="14"/>
  <c r="C26" i="14"/>
  <c r="C20" i="14"/>
  <c r="C14" i="14"/>
  <c r="C2741" i="14"/>
  <c r="C2735" i="14"/>
  <c r="C2729" i="14"/>
  <c r="C2723" i="14"/>
  <c r="C2717" i="14"/>
  <c r="C2711" i="14"/>
  <c r="C2705" i="14"/>
  <c r="C2699" i="14"/>
  <c r="C2693" i="14"/>
  <c r="C2687" i="14"/>
  <c r="C2681" i="14"/>
  <c r="C2675" i="14"/>
  <c r="C2669" i="14"/>
  <c r="C2663" i="14"/>
  <c r="C2657" i="14"/>
  <c r="C2651" i="14"/>
  <c r="C2645" i="14"/>
  <c r="C2639" i="14"/>
  <c r="C2633" i="14"/>
  <c r="C2627" i="14"/>
  <c r="C2621" i="14"/>
  <c r="C2615" i="14"/>
  <c r="C2609" i="14"/>
  <c r="C2603" i="14"/>
  <c r="C2597" i="14"/>
  <c r="C2591" i="14"/>
  <c r="C2585" i="14"/>
  <c r="C2579" i="14"/>
  <c r="C2573" i="14"/>
  <c r="C2561" i="14"/>
  <c r="C2555" i="14"/>
  <c r="C2549" i="14"/>
  <c r="C2543" i="14"/>
  <c r="C2537" i="14"/>
  <c r="C2531" i="14"/>
  <c r="C2525" i="14"/>
  <c r="C2519" i="14"/>
  <c r="C2513" i="14"/>
  <c r="C2507" i="14"/>
  <c r="C2501" i="14"/>
  <c r="C2495" i="14"/>
  <c r="C2489" i="14"/>
  <c r="C2483" i="14"/>
  <c r="C2477" i="14"/>
  <c r="C2471" i="14"/>
  <c r="C2465" i="14"/>
  <c r="C2459" i="14"/>
  <c r="C2453" i="14"/>
  <c r="C2447" i="14"/>
  <c r="C2441" i="14"/>
  <c r="C2435" i="14"/>
  <c r="C2429" i="14"/>
  <c r="C2423" i="14"/>
  <c r="C2417" i="14"/>
  <c r="C2411" i="14"/>
  <c r="C2405" i="14"/>
  <c r="C2399" i="14"/>
  <c r="C2393" i="14"/>
  <c r="C2387" i="14"/>
  <c r="C2381" i="14"/>
  <c r="C2375" i="14"/>
  <c r="C2369" i="14"/>
  <c r="C2363" i="14"/>
  <c r="C2357" i="14"/>
  <c r="C2351" i="14"/>
  <c r="C2345" i="14"/>
  <c r="C2339" i="14"/>
  <c r="C2333" i="14"/>
  <c r="C2327" i="14"/>
  <c r="C2321" i="14"/>
  <c r="C2315" i="14"/>
  <c r="C2309" i="14"/>
  <c r="C2303" i="14"/>
  <c r="C2297" i="14"/>
  <c r="C2291" i="14"/>
  <c r="C2285" i="14"/>
  <c r="C2279" i="14"/>
  <c r="C2267" i="14"/>
  <c r="C2261" i="14"/>
  <c r="C2255" i="14"/>
  <c r="C2249" i="14"/>
  <c r="C2243" i="14"/>
  <c r="C2237" i="14"/>
  <c r="C2231" i="14"/>
  <c r="C2225" i="14"/>
  <c r="C2219" i="14"/>
  <c r="C2213" i="14"/>
  <c r="C2207" i="14"/>
  <c r="C2201" i="14"/>
  <c r="C2195" i="14"/>
  <c r="C2189" i="14"/>
  <c r="C2183" i="14"/>
  <c r="C2177" i="14"/>
  <c r="C2171" i="14"/>
  <c r="C2165" i="14"/>
  <c r="C2159" i="14"/>
  <c r="C2153" i="14"/>
  <c r="C2147" i="14"/>
  <c r="C2141" i="14"/>
  <c r="C2135" i="14"/>
  <c r="C2129" i="14"/>
  <c r="C2123" i="14"/>
  <c r="C2117" i="14"/>
  <c r="C2111" i="14"/>
  <c r="C2105" i="14"/>
  <c r="C2099" i="14"/>
  <c r="C2093" i="14"/>
  <c r="C2087" i="14"/>
  <c r="C2081" i="14"/>
  <c r="C2075" i="14"/>
  <c r="C2069" i="14"/>
  <c r="C2063" i="14"/>
  <c r="C2057" i="14"/>
  <c r="C2051" i="14"/>
  <c r="C2045" i="14"/>
  <c r="C2039" i="14"/>
  <c r="C2033" i="14"/>
  <c r="C2027" i="14"/>
  <c r="C2021" i="14"/>
  <c r="C2015" i="14"/>
  <c r="C2009" i="14"/>
  <c r="C2003" i="14"/>
  <c r="C1997" i="14"/>
  <c r="C1991" i="14"/>
  <c r="C1985" i="14"/>
  <c r="C1979" i="14"/>
  <c r="C1973" i="14"/>
  <c r="C1967" i="14"/>
  <c r="C1961" i="14"/>
  <c r="C1955" i="14"/>
  <c r="C1949" i="14"/>
  <c r="C1943" i="14"/>
  <c r="C1937" i="14"/>
  <c r="C1931" i="14"/>
  <c r="C1925" i="14"/>
  <c r="C1919" i="14"/>
  <c r="C1913" i="14"/>
  <c r="C1907" i="14"/>
  <c r="C1901" i="14"/>
  <c r="C1895" i="14"/>
  <c r="C1889" i="14"/>
  <c r="C1883" i="14"/>
  <c r="C1877" i="14"/>
  <c r="C1871" i="14"/>
  <c r="C1865" i="14"/>
  <c r="C1859" i="14"/>
  <c r="C1853" i="14"/>
  <c r="C1847" i="14"/>
  <c r="C1841" i="14"/>
  <c r="C1835" i="14"/>
  <c r="C1829" i="14"/>
  <c r="C1823" i="14"/>
  <c r="C1817" i="14"/>
  <c r="C1811" i="14"/>
  <c r="C1805" i="14"/>
  <c r="C1799" i="14"/>
  <c r="C1793" i="14"/>
  <c r="C1787" i="14"/>
  <c r="C1781" i="14"/>
  <c r="C1775" i="14"/>
  <c r="C1769" i="14"/>
  <c r="C1763" i="14"/>
  <c r="C1757" i="14"/>
  <c r="C1751" i="14"/>
  <c r="C1745" i="14"/>
  <c r="C1739" i="14"/>
  <c r="C1733" i="14"/>
  <c r="C1727" i="14"/>
  <c r="C1721" i="14"/>
  <c r="C1715" i="14"/>
  <c r="C1709" i="14"/>
  <c r="C1703" i="14"/>
  <c r="C1697" i="14"/>
  <c r="C1691" i="14"/>
  <c r="C1685" i="14"/>
  <c r="C1679" i="14"/>
  <c r="C1673" i="14"/>
  <c r="C1667" i="14"/>
  <c r="C1661" i="14"/>
  <c r="C1655" i="14"/>
  <c r="C1649" i="14"/>
  <c r="C1643" i="14"/>
  <c r="C1637" i="14"/>
  <c r="C1631" i="14"/>
  <c r="C1625" i="14"/>
  <c r="C1619" i="14"/>
  <c r="C1613" i="14"/>
  <c r="C1607" i="14"/>
  <c r="C1601" i="14"/>
  <c r="C1595" i="14"/>
  <c r="C1589" i="14"/>
  <c r="C1583" i="14"/>
  <c r="C1577" i="14"/>
  <c r="C1571" i="14"/>
  <c r="C1565" i="14"/>
  <c r="C1559" i="14"/>
  <c r="C1553" i="14"/>
  <c r="C1547" i="14"/>
  <c r="C1541" i="14"/>
  <c r="C1535" i="14"/>
  <c r="C1529" i="14"/>
  <c r="C1523" i="14"/>
  <c r="C1517" i="14"/>
  <c r="C1511" i="14"/>
  <c r="C1505" i="14"/>
  <c r="C1499" i="14"/>
  <c r="C1493" i="14"/>
  <c r="C1487" i="14"/>
  <c r="C1481" i="14"/>
  <c r="C1475" i="14"/>
  <c r="C1469" i="14"/>
  <c r="C1463" i="14"/>
  <c r="C1457" i="14"/>
  <c r="C1451" i="14"/>
  <c r="C1445" i="14"/>
  <c r="C1439" i="14"/>
  <c r="C1433" i="14"/>
  <c r="C1427" i="14"/>
  <c r="C1421" i="14"/>
  <c r="C1415" i="14"/>
  <c r="C1409" i="14"/>
  <c r="C1403" i="14"/>
  <c r="C1397" i="14"/>
  <c r="C1391" i="14"/>
  <c r="C1385" i="14"/>
  <c r="C1379" i="14"/>
  <c r="C1373" i="14"/>
  <c r="C1367" i="14"/>
  <c r="C1361" i="14"/>
  <c r="C1355" i="14"/>
  <c r="C1349" i="14"/>
  <c r="C1343" i="14"/>
  <c r="C1337" i="14"/>
  <c r="C1331" i="14"/>
  <c r="C1325" i="14"/>
  <c r="C1319" i="14"/>
  <c r="C1313" i="14"/>
  <c r="C1307" i="14"/>
  <c r="C1301" i="14"/>
  <c r="C1295" i="14"/>
  <c r="C1289" i="14"/>
  <c r="C1283" i="14"/>
  <c r="C1277" i="14"/>
  <c r="C1271" i="14"/>
  <c r="C1265" i="14"/>
  <c r="C1259" i="14"/>
  <c r="C1253" i="14"/>
  <c r="C1247" i="14"/>
  <c r="C1241" i="14"/>
  <c r="C1235" i="14"/>
  <c r="C1229" i="14"/>
  <c r="C1223" i="14"/>
  <c r="C1217" i="14"/>
  <c r="C1211" i="14"/>
  <c r="C1205" i="14"/>
  <c r="C1199" i="14"/>
  <c r="C1193" i="14"/>
  <c r="C1187" i="14"/>
  <c r="C1181" i="14"/>
  <c r="C1175" i="14"/>
  <c r="C1169" i="14"/>
  <c r="C1163" i="14"/>
  <c r="C1157" i="14"/>
  <c r="C1151" i="14"/>
  <c r="C1145" i="14"/>
  <c r="C1139" i="14"/>
  <c r="C1133" i="14"/>
  <c r="C1127" i="14"/>
  <c r="C1121" i="14"/>
  <c r="C1115" i="14"/>
  <c r="C1109" i="14"/>
  <c r="C1103" i="14"/>
  <c r="C1097" i="14"/>
  <c r="C1091" i="14"/>
  <c r="C1085" i="14"/>
  <c r="C1079" i="14"/>
  <c r="C1073" i="14"/>
  <c r="C1067" i="14"/>
  <c r="C1061" i="14"/>
  <c r="C1055" i="14"/>
  <c r="C1049" i="14"/>
  <c r="C1043" i="14"/>
  <c r="C1037" i="14"/>
  <c r="C935" i="14"/>
  <c r="C845" i="14"/>
  <c r="E626" i="14"/>
  <c r="E620" i="14"/>
  <c r="E614" i="14"/>
  <c r="E608" i="14"/>
  <c r="E602" i="14"/>
  <c r="E596" i="14"/>
  <c r="E590" i="14"/>
  <c r="E584" i="14"/>
  <c r="E578" i="14"/>
  <c r="E572" i="14"/>
  <c r="E566" i="14"/>
  <c r="E560" i="14"/>
  <c r="E554" i="14"/>
  <c r="E548" i="14"/>
  <c r="E542" i="14"/>
  <c r="E536" i="14"/>
  <c r="E530" i="14"/>
  <c r="E524" i="14"/>
  <c r="E518" i="14"/>
  <c r="E512" i="14"/>
  <c r="E506" i="14"/>
  <c r="E500" i="14"/>
  <c r="E494" i="14"/>
  <c r="E488" i="14"/>
  <c r="E482" i="14"/>
  <c r="E476" i="14"/>
  <c r="E470" i="14"/>
  <c r="E464" i="14"/>
  <c r="E458" i="14"/>
  <c r="E452" i="14"/>
  <c r="E446" i="14"/>
  <c r="E440" i="14"/>
  <c r="E434" i="14"/>
  <c r="E428" i="14"/>
  <c r="E422" i="14"/>
  <c r="E416" i="14"/>
  <c r="E410" i="14"/>
  <c r="E404" i="14"/>
  <c r="E398" i="14"/>
  <c r="E392" i="14"/>
  <c r="E386" i="14"/>
  <c r="E380" i="14"/>
  <c r="E374" i="14"/>
  <c r="E368" i="14"/>
  <c r="E362" i="14"/>
  <c r="E356" i="14"/>
  <c r="E350" i="14"/>
  <c r="E344" i="14"/>
  <c r="E338" i="14"/>
  <c r="E332" i="14"/>
  <c r="E326" i="14"/>
  <c r="E320" i="14"/>
  <c r="E314" i="14"/>
  <c r="E308" i="14"/>
  <c r="E302" i="14"/>
  <c r="E296" i="14"/>
  <c r="E290" i="14"/>
  <c r="E284" i="14"/>
  <c r="E278" i="14"/>
  <c r="E272" i="14"/>
  <c r="E266" i="14"/>
  <c r="E260" i="14"/>
  <c r="E254" i="14"/>
  <c r="E248" i="14"/>
  <c r="E242" i="14"/>
  <c r="E236" i="14"/>
  <c r="E230" i="14"/>
  <c r="E224" i="14"/>
  <c r="E218" i="14"/>
  <c r="E212" i="14"/>
  <c r="E206" i="14"/>
  <c r="E200" i="14"/>
  <c r="E194" i="14"/>
  <c r="E188" i="14"/>
  <c r="E182" i="14"/>
  <c r="E176" i="14"/>
  <c r="E170" i="14"/>
  <c r="E164" i="14"/>
  <c r="E158" i="14"/>
  <c r="E152" i="14"/>
  <c r="E146" i="14"/>
  <c r="E140" i="14"/>
  <c r="E134" i="14"/>
  <c r="E128" i="14"/>
  <c r="E122" i="14"/>
  <c r="C98" i="14"/>
  <c r="C24" i="14"/>
  <c r="C18" i="14"/>
  <c r="C2733" i="14"/>
  <c r="C2727" i="14"/>
  <c r="C2721" i="14"/>
  <c r="C2715" i="14"/>
  <c r="C2709" i="14"/>
  <c r="C2703" i="14"/>
  <c r="C2697" i="14"/>
  <c r="C2691" i="14"/>
  <c r="C2685" i="14"/>
  <c r="C2679" i="14"/>
  <c r="C2673" i="14"/>
  <c r="C2667" i="14"/>
  <c r="C2661" i="14"/>
  <c r="C10" i="14"/>
  <c r="C23" i="14"/>
  <c r="C17" i="14"/>
  <c r="C2738" i="14"/>
  <c r="C2732" i="14"/>
  <c r="C2726" i="14"/>
  <c r="C2720" i="14"/>
  <c r="C2714" i="14"/>
  <c r="C2708" i="14"/>
  <c r="C2702" i="14"/>
  <c r="C2696" i="14"/>
  <c r="C2690" i="14"/>
  <c r="C2684" i="14"/>
  <c r="C2678" i="14"/>
  <c r="C2672" i="14"/>
  <c r="C2666" i="14"/>
  <c r="C2660" i="14"/>
  <c r="C2654" i="14"/>
  <c r="C2648" i="14"/>
  <c r="C2642" i="14"/>
  <c r="C2636" i="14"/>
  <c r="C2630" i="14"/>
  <c r="C2624" i="14"/>
  <c r="C2618" i="14"/>
  <c r="C2612" i="14"/>
  <c r="C2606" i="14"/>
  <c r="C2600" i="14"/>
  <c r="C2594" i="14"/>
  <c r="C2588" i="14"/>
  <c r="C2582" i="14"/>
  <c r="C2576" i="14"/>
  <c r="C2570" i="14"/>
  <c r="C2564" i="14"/>
  <c r="C122" i="14"/>
  <c r="C116" i="14"/>
  <c r="C110" i="14"/>
  <c r="C104" i="14"/>
  <c r="C92" i="14"/>
  <c r="C86" i="14"/>
  <c r="C80" i="14"/>
  <c r="C74" i="14"/>
  <c r="C68" i="14"/>
  <c r="C62" i="14"/>
  <c r="C56" i="14"/>
  <c r="C50" i="14"/>
  <c r="C44" i="14"/>
  <c r="C38" i="14"/>
  <c r="C29" i="14"/>
  <c r="C7" i="14"/>
  <c r="C1031" i="14"/>
  <c r="C245" i="14"/>
  <c r="C239" i="14"/>
  <c r="C233" i="14"/>
  <c r="C227" i="14"/>
  <c r="C221" i="14"/>
  <c r="C215" i="14"/>
  <c r="C209" i="14"/>
  <c r="C203" i="14"/>
  <c r="C197" i="14"/>
  <c r="C191" i="14"/>
  <c r="C185" i="14"/>
  <c r="C179" i="14"/>
  <c r="C173" i="14"/>
  <c r="C167" i="14"/>
  <c r="C161" i="14"/>
  <c r="C155" i="14"/>
  <c r="C149" i="14"/>
  <c r="C143" i="14"/>
  <c r="C137" i="14"/>
  <c r="C131" i="14"/>
  <c r="C125" i="14"/>
  <c r="C119" i="14"/>
  <c r="C113" i="14"/>
  <c r="C107" i="14"/>
  <c r="C101" i="14"/>
  <c r="E2188" i="14"/>
  <c r="E1888" i="14"/>
  <c r="E1882" i="14"/>
  <c r="E1876" i="14"/>
  <c r="E1870" i="14"/>
  <c r="E1840" i="14"/>
  <c r="E1834" i="14"/>
  <c r="E1828" i="14"/>
  <c r="E1822" i="14"/>
  <c r="E1816" i="14"/>
  <c r="E1810" i="14"/>
  <c r="E1804" i="14"/>
  <c r="E1798" i="14"/>
  <c r="E2733" i="14"/>
  <c r="E2715" i="14"/>
  <c r="E2709" i="14"/>
  <c r="E2703" i="14"/>
  <c r="E2697" i="14"/>
  <c r="E2691" i="14"/>
  <c r="E2685" i="14"/>
  <c r="E2679" i="14"/>
  <c r="E2673" i="14"/>
  <c r="E2667" i="14"/>
  <c r="E2661" i="14"/>
  <c r="E2655" i="14"/>
  <c r="E2649" i="14"/>
  <c r="E2643" i="14"/>
  <c r="E2637" i="14"/>
  <c r="E2631" i="14"/>
  <c r="E2625" i="14"/>
  <c r="E2619" i="14"/>
  <c r="E2613" i="14"/>
  <c r="E2607" i="14"/>
  <c r="E2601" i="14"/>
  <c r="E2595" i="14"/>
  <c r="E2589" i="14"/>
  <c r="E2583" i="14"/>
  <c r="E2577" i="14"/>
  <c r="E2571" i="14"/>
  <c r="E2565" i="14"/>
  <c r="E2559" i="14"/>
  <c r="E2553" i="14"/>
  <c r="E2547" i="14"/>
  <c r="E2541" i="14"/>
  <c r="E2535" i="14"/>
  <c r="E2529" i="14"/>
  <c r="E2523" i="14"/>
  <c r="E2517" i="14"/>
  <c r="E2511" i="14"/>
  <c r="E2505" i="14"/>
  <c r="E2499" i="14"/>
  <c r="E2744" i="14"/>
  <c r="E2745" i="14"/>
  <c r="C2744" i="14"/>
  <c r="C2745" i="14"/>
  <c r="E13" i="14"/>
  <c r="E2728" i="14"/>
  <c r="E31" i="14"/>
  <c r="E25" i="14"/>
  <c r="E19" i="14"/>
  <c r="E2740" i="14"/>
  <c r="E2722" i="14"/>
  <c r="E2493" i="14"/>
  <c r="E2487" i="14"/>
  <c r="E2481" i="14"/>
  <c r="E2475" i="14"/>
  <c r="E2469" i="14"/>
  <c r="E2463" i="14"/>
  <c r="E2457" i="14"/>
  <c r="E2451" i="14"/>
  <c r="E2445" i="14"/>
  <c r="E2439" i="14"/>
  <c r="E2433" i="14"/>
  <c r="E2427" i="14"/>
  <c r="E2421" i="14"/>
  <c r="E2415" i="14"/>
  <c r="E2409" i="14"/>
  <c r="E2403" i="14"/>
  <c r="E2397" i="14"/>
  <c r="E2391" i="14"/>
  <c r="E2385" i="14"/>
  <c r="E2379" i="14"/>
  <c r="E2373" i="14"/>
  <c r="E2367" i="14"/>
  <c r="E2361" i="14"/>
  <c r="E2355" i="14"/>
  <c r="E2349" i="14"/>
  <c r="E2343" i="14"/>
  <c r="E2337" i="14"/>
  <c r="E2331" i="14"/>
  <c r="E2325" i="14"/>
  <c r="E2319" i="14"/>
  <c r="E2313" i="14"/>
  <c r="E2307" i="14"/>
  <c r="E2301" i="14"/>
  <c r="E2295" i="14"/>
  <c r="E2289" i="14"/>
  <c r="E2283" i="14"/>
  <c r="E2277" i="14"/>
  <c r="E2271" i="14"/>
  <c r="E2265" i="14"/>
  <c r="E2259" i="14"/>
  <c r="E2253" i="14"/>
  <c r="E2247" i="14"/>
  <c r="E2241" i="14"/>
  <c r="E2235" i="14"/>
  <c r="E2229" i="14"/>
  <c r="E2223" i="14"/>
  <c r="E2217" i="14"/>
  <c r="E2211" i="14"/>
  <c r="E2205" i="14"/>
  <c r="E2199" i="14"/>
  <c r="E2193" i="14"/>
  <c r="E2187" i="14"/>
  <c r="E2181" i="14"/>
  <c r="E2175" i="14"/>
  <c r="E2169" i="14"/>
  <c r="E2163" i="14"/>
  <c r="E2157" i="14"/>
  <c r="E2151" i="14"/>
  <c r="E2145" i="14"/>
  <c r="E2139" i="14"/>
  <c r="E2133" i="14"/>
  <c r="E2127" i="14"/>
  <c r="E2121" i="14"/>
  <c r="E2115" i="14"/>
  <c r="E2109" i="14"/>
  <c r="E2103" i="14"/>
  <c r="E2097" i="14"/>
  <c r="E2091" i="14"/>
  <c r="E2085" i="14"/>
  <c r="E2079" i="14"/>
  <c r="E2073" i="14"/>
  <c r="E2067" i="14"/>
  <c r="E2061" i="14"/>
  <c r="E2055" i="14"/>
  <c r="E2049" i="14"/>
  <c r="E2043" i="14"/>
  <c r="E2037" i="14"/>
  <c r="E2031" i="14"/>
  <c r="E2025" i="14"/>
  <c r="E2019" i="14"/>
  <c r="E2013" i="14"/>
  <c r="E2007" i="14"/>
  <c r="E2001" i="14"/>
  <c r="E1995" i="14"/>
  <c r="E1989" i="14"/>
  <c r="E1983" i="14"/>
  <c r="E1977" i="14"/>
  <c r="E1971" i="14"/>
  <c r="E1965" i="14"/>
  <c r="E1959" i="14"/>
  <c r="E1953" i="14"/>
  <c r="E1947" i="14"/>
  <c r="E1941" i="14"/>
  <c r="E1935" i="14"/>
  <c r="E1929" i="14"/>
  <c r="E1923" i="14"/>
  <c r="E1917" i="14"/>
  <c r="E1911" i="14"/>
  <c r="E1905" i="14"/>
  <c r="E1899" i="14"/>
  <c r="E1893" i="14"/>
  <c r="E2716" i="14"/>
  <c r="E2704" i="14"/>
  <c r="E2692" i="14"/>
  <c r="E2674" i="14"/>
  <c r="E2662" i="14"/>
  <c r="E2650" i="14"/>
  <c r="E2638" i="14"/>
  <c r="E2626" i="14"/>
  <c r="E2614" i="14"/>
  <c r="E2602" i="14"/>
  <c r="E2590" i="14"/>
  <c r="E2578" i="14"/>
  <c r="E2566" i="14"/>
  <c r="E2554" i="14"/>
  <c r="E2542" i="14"/>
  <c r="E2530" i="14"/>
  <c r="E2518" i="14"/>
  <c r="E2500" i="14"/>
  <c r="E2488" i="14"/>
  <c r="E2476" i="14"/>
  <c r="E2452" i="14"/>
  <c r="E2440" i="14"/>
  <c r="E2422" i="14"/>
  <c r="E2410" i="14"/>
  <c r="E2392" i="14"/>
  <c r="E2380" i="14"/>
  <c r="E2368" i="14"/>
  <c r="E2356" i="14"/>
  <c r="E2344" i="14"/>
  <c r="E2332" i="14"/>
  <c r="E2320" i="14"/>
  <c r="E2302" i="14"/>
  <c r="E2290" i="14"/>
  <c r="E2278" i="14"/>
  <c r="E2230" i="14"/>
  <c r="E2224" i="14"/>
  <c r="E2218" i="14"/>
  <c r="E2212" i="14"/>
  <c r="E2206" i="14"/>
  <c r="E2200" i="14"/>
  <c r="E2194" i="14"/>
  <c r="E2182" i="14"/>
  <c r="E2176" i="14"/>
  <c r="E2170" i="14"/>
  <c r="E2164" i="14"/>
  <c r="E2158" i="14"/>
  <c r="E2152" i="14"/>
  <c r="E2146" i="14"/>
  <c r="E2140" i="14"/>
  <c r="E2134" i="14"/>
  <c r="E2128" i="14"/>
  <c r="E2122" i="14"/>
  <c r="E2116" i="14"/>
  <c r="E2110" i="14"/>
  <c r="E2104" i="14"/>
  <c r="E2098" i="14"/>
  <c r="E2092" i="14"/>
  <c r="E2086" i="14"/>
  <c r="E2080" i="14"/>
  <c r="E2074" i="14"/>
  <c r="E2068" i="14"/>
  <c r="E2062" i="14"/>
  <c r="E2026" i="14"/>
  <c r="E2020" i="14"/>
  <c r="E2014" i="14"/>
  <c r="E2008" i="14"/>
  <c r="E2002" i="14"/>
  <c r="E1996" i="14"/>
  <c r="E1990" i="14"/>
  <c r="E1984" i="14"/>
  <c r="E1978" i="14"/>
  <c r="E1972" i="14"/>
  <c r="E1966" i="14"/>
  <c r="E1960" i="14"/>
  <c r="E1954" i="14"/>
  <c r="E1948" i="14"/>
  <c r="E1942" i="14"/>
  <c r="E1936" i="14"/>
  <c r="E1930" i="14"/>
  <c r="E1924" i="14"/>
  <c r="E1918" i="14"/>
  <c r="E1912" i="14"/>
  <c r="E1906" i="14"/>
  <c r="E1900" i="14"/>
  <c r="E1894" i="14"/>
  <c r="E2710" i="14"/>
  <c r="E2698" i="14"/>
  <c r="E2686" i="14"/>
  <c r="E2680" i="14"/>
  <c r="E2668" i="14"/>
  <c r="E2656" i="14"/>
  <c r="E2644" i="14"/>
  <c r="E2632" i="14"/>
  <c r="E2620" i="14"/>
  <c r="E2608" i="14"/>
  <c r="E2596" i="14"/>
  <c r="E2584" i="14"/>
  <c r="E2572" i="14"/>
  <c r="E2560" i="14"/>
  <c r="E2548" i="14"/>
  <c r="E2536" i="14"/>
  <c r="E2524" i="14"/>
  <c r="E2512" i="14"/>
  <c r="E2506" i="14"/>
  <c r="E2482" i="14"/>
  <c r="E2470" i="14"/>
  <c r="E2458" i="14"/>
  <c r="E2446" i="14"/>
  <c r="E2434" i="14"/>
  <c r="E2428" i="14"/>
  <c r="E2416" i="14"/>
  <c r="E2404" i="14"/>
  <c r="E2398" i="14"/>
  <c r="E2386" i="14"/>
  <c r="E2374" i="14"/>
  <c r="E2362" i="14"/>
  <c r="E2350" i="14"/>
  <c r="E2338" i="14"/>
  <c r="E2326" i="14"/>
  <c r="E2314" i="14"/>
  <c r="E2308" i="14"/>
  <c r="E2296" i="14"/>
  <c r="E2284" i="14"/>
  <c r="E2272" i="14"/>
  <c r="E1887" i="14"/>
  <c r="E1881" i="14"/>
  <c r="E1875" i="14"/>
  <c r="E1869" i="14"/>
  <c r="E1863" i="14"/>
  <c r="E1857" i="14"/>
  <c r="E1851" i="14"/>
  <c r="E1845" i="14"/>
  <c r="E1839" i="14"/>
  <c r="E1833" i="14"/>
  <c r="E1827" i="14"/>
  <c r="E1821" i="14"/>
  <c r="E1815" i="14"/>
  <c r="E1809" i="14"/>
  <c r="E1803" i="14"/>
  <c r="E1797" i="14"/>
  <c r="E1791" i="14"/>
  <c r="E1785" i="14"/>
  <c r="E1779" i="14"/>
  <c r="E1773" i="14"/>
  <c r="E1767" i="14"/>
  <c r="E1761" i="14"/>
  <c r="E1755" i="14"/>
  <c r="E1749" i="14"/>
  <c r="E1743" i="14"/>
  <c r="E1737" i="14"/>
  <c r="E1731" i="14"/>
  <c r="E1725" i="14"/>
  <c r="E1719" i="14"/>
  <c r="E1713" i="14"/>
  <c r="E1707" i="14"/>
  <c r="E1701" i="14"/>
  <c r="E1695" i="14"/>
  <c r="E1689" i="14"/>
  <c r="E1683" i="14"/>
  <c r="E1677" i="14"/>
  <c r="E1671" i="14"/>
  <c r="E1665" i="14"/>
  <c r="E1659" i="14"/>
  <c r="E1653" i="14"/>
  <c r="E1647" i="14"/>
  <c r="E1641" i="14"/>
  <c r="E1635" i="14"/>
  <c r="E1629" i="14"/>
  <c r="E1623" i="14"/>
  <c r="E1617" i="14"/>
  <c r="E1611" i="14"/>
  <c r="E1605" i="14"/>
  <c r="E1599" i="14"/>
  <c r="E1593" i="14"/>
  <c r="E1587" i="14"/>
  <c r="E1581" i="14"/>
  <c r="E1575" i="14"/>
  <c r="E1569" i="14"/>
  <c r="E1563" i="14"/>
  <c r="E1557" i="14"/>
  <c r="E1551" i="14"/>
  <c r="E1545" i="14"/>
  <c r="E1539" i="14"/>
  <c r="E1533" i="14"/>
  <c r="E1527" i="14"/>
  <c r="E1521" i="14"/>
  <c r="E1515" i="14"/>
  <c r="E1509" i="14"/>
  <c r="E1503" i="14"/>
  <c r="E1497" i="14"/>
  <c r="E1491" i="14"/>
  <c r="E1485" i="14"/>
  <c r="E1479" i="14"/>
  <c r="E1473" i="14"/>
  <c r="E1467" i="14"/>
  <c r="E1461" i="14"/>
  <c r="E1455" i="14"/>
  <c r="E1449" i="14"/>
  <c r="E1443" i="14"/>
  <c r="E1437" i="14"/>
  <c r="E1431" i="14"/>
  <c r="E1425" i="14"/>
  <c r="E1419" i="14"/>
  <c r="E1413" i="14"/>
  <c r="E1407" i="14"/>
  <c r="E1401" i="14"/>
  <c r="E1395" i="14"/>
  <c r="E1389" i="14"/>
  <c r="E117" i="14"/>
  <c r="E1792" i="14"/>
  <c r="E1786" i="14"/>
  <c r="E1780" i="14"/>
  <c r="E1774" i="14"/>
  <c r="E1768" i="14"/>
  <c r="E1762" i="14"/>
  <c r="E1756" i="14"/>
  <c r="E1750" i="14"/>
  <c r="E1744" i="14"/>
  <c r="E1738" i="14"/>
  <c r="E1732" i="14"/>
  <c r="E1726" i="14"/>
  <c r="E1720" i="14"/>
  <c r="E1714" i="14"/>
  <c r="E1708" i="14"/>
  <c r="E1702" i="14"/>
  <c r="E1696" i="14"/>
  <c r="E1672" i="14"/>
  <c r="E1666" i="14"/>
  <c r="E1660" i="14"/>
  <c r="E1654" i="14"/>
  <c r="E1648" i="14"/>
  <c r="E1642" i="14"/>
  <c r="E1636" i="14"/>
  <c r="E1630" i="14"/>
  <c r="E1624" i="14"/>
  <c r="E1618" i="14"/>
  <c r="E1612" i="14"/>
  <c r="E1606" i="14"/>
  <c r="E1600" i="14"/>
  <c r="E1594" i="14"/>
  <c r="E1588" i="14"/>
  <c r="E1582" i="14"/>
  <c r="E1576" i="14"/>
  <c r="E1570" i="14"/>
  <c r="E1564" i="14"/>
  <c r="E1558" i="14"/>
  <c r="E1552" i="14"/>
  <c r="E1546" i="14"/>
  <c r="E1540" i="14"/>
  <c r="E1516" i="14"/>
  <c r="E1510" i="14"/>
  <c r="E1504" i="14"/>
  <c r="E1498" i="14"/>
  <c r="E1492" i="14"/>
  <c r="E1486" i="14"/>
  <c r="E1480" i="14"/>
  <c r="E1474" i="14"/>
  <c r="E1468" i="14"/>
  <c r="E1462" i="14"/>
  <c r="E1456" i="14"/>
  <c r="E1450" i="14"/>
  <c r="E1444" i="14"/>
  <c r="E1438" i="14"/>
  <c r="E1432" i="14"/>
  <c r="E1426" i="14"/>
  <c r="E1420" i="14"/>
  <c r="E1414" i="14"/>
  <c r="E1408" i="14"/>
  <c r="E1402" i="14"/>
  <c r="E1396" i="14"/>
  <c r="E82" i="14"/>
  <c r="E76" i="14"/>
  <c r="E70" i="14"/>
  <c r="E64" i="14"/>
  <c r="E58" i="14"/>
  <c r="E52" i="14"/>
  <c r="E46" i="14"/>
  <c r="E40" i="14"/>
  <c r="E34" i="14"/>
  <c r="E2727" i="14"/>
  <c r="C2739" i="14"/>
  <c r="C2558" i="14"/>
  <c r="C2552" i="14"/>
  <c r="C2546" i="14"/>
  <c r="C2540" i="14"/>
  <c r="C2534" i="14"/>
  <c r="C2528" i="14"/>
  <c r="C2522" i="14"/>
  <c r="C2516" i="14"/>
  <c r="C2510" i="14"/>
  <c r="C2504" i="14"/>
  <c r="C2498" i="14"/>
  <c r="C2492" i="14"/>
  <c r="C2486" i="14"/>
  <c r="C2480" i="14"/>
  <c r="C2474" i="14"/>
  <c r="C2468" i="14"/>
  <c r="C2462" i="14"/>
  <c r="C2456" i="14"/>
  <c r="C2450" i="14"/>
  <c r="C2444" i="14"/>
  <c r="C2438" i="14"/>
  <c r="C2432" i="14"/>
  <c r="C2426" i="14"/>
  <c r="C2420" i="14"/>
  <c r="C2414" i="14"/>
  <c r="C2408" i="14"/>
  <c r="C2402" i="14"/>
  <c r="C2396" i="14"/>
  <c r="C2390" i="14"/>
  <c r="C2384" i="14"/>
  <c r="C2378" i="14"/>
  <c r="C2372" i="14"/>
  <c r="C2366" i="14"/>
  <c r="C2360" i="14"/>
  <c r="C2354" i="14"/>
  <c r="C2348" i="14"/>
  <c r="C2342" i="14"/>
  <c r="C2336" i="14"/>
  <c r="C2330" i="14"/>
  <c r="C2324" i="14"/>
  <c r="C2318" i="14"/>
  <c r="C2312" i="14"/>
  <c r="C2306" i="14"/>
  <c r="C2300" i="14"/>
  <c r="C2294" i="14"/>
  <c r="C2288" i="14"/>
  <c r="C2282" i="14"/>
  <c r="C2276" i="14"/>
  <c r="C2270" i="14"/>
  <c r="C2264" i="14"/>
  <c r="C2258" i="14"/>
  <c r="C2252" i="14"/>
  <c r="C2246" i="14"/>
  <c r="C2240" i="14"/>
  <c r="C2234" i="14"/>
  <c r="C2228" i="14"/>
  <c r="C2222" i="14"/>
  <c r="C2216" i="14"/>
  <c r="C2210" i="14"/>
  <c r="C2204" i="14"/>
  <c r="C2198" i="14"/>
  <c r="C2192" i="14"/>
  <c r="C2186" i="14"/>
  <c r="C2180" i="14"/>
  <c r="C2174" i="14"/>
  <c r="C2168" i="14"/>
  <c r="C2162" i="14"/>
  <c r="C2156" i="14"/>
  <c r="C2150" i="14"/>
  <c r="C2144" i="14"/>
  <c r="C2138" i="14"/>
  <c r="C2132" i="14"/>
  <c r="C2126" i="14"/>
  <c r="C2120" i="14"/>
  <c r="C2114" i="14"/>
  <c r="C2108" i="14"/>
  <c r="C2102" i="14"/>
  <c r="C2096" i="14"/>
  <c r="C2090" i="14"/>
  <c r="C2084" i="14"/>
  <c r="C2078" i="14"/>
  <c r="C2072" i="14"/>
  <c r="C2066" i="14"/>
  <c r="C2060" i="14"/>
  <c r="C2054" i="14"/>
  <c r="C2048" i="14"/>
  <c r="C2042" i="14"/>
  <c r="C2036" i="14"/>
  <c r="C2030" i="14"/>
  <c r="C2024" i="14"/>
  <c r="C2018" i="14"/>
  <c r="C2012" i="14"/>
  <c r="C2006" i="14"/>
  <c r="C2000" i="14"/>
  <c r="C1994" i="14"/>
  <c r="C1988" i="14"/>
  <c r="C1982" i="14"/>
  <c r="C1976" i="14"/>
  <c r="C1970" i="14"/>
  <c r="C1964" i="14"/>
  <c r="C1958" i="14"/>
  <c r="C1952" i="14"/>
  <c r="C1946" i="14"/>
  <c r="C1940" i="14"/>
  <c r="C1934" i="14"/>
  <c r="C1928" i="14"/>
  <c r="C1922" i="14"/>
  <c r="C1916" i="14"/>
  <c r="C1910" i="14"/>
  <c r="C1904" i="14"/>
  <c r="C1898" i="14"/>
  <c r="C1892" i="14"/>
  <c r="C1886" i="14"/>
  <c r="C1880" i="14"/>
  <c r="C1874" i="14"/>
  <c r="C1868" i="14"/>
  <c r="C1862" i="14"/>
  <c r="C1856" i="14"/>
  <c r="C1850" i="14"/>
  <c r="C1844" i="14"/>
  <c r="C1838" i="14"/>
  <c r="C1832" i="14"/>
  <c r="C1826" i="14"/>
  <c r="C1820" i="14"/>
  <c r="C1814" i="14"/>
  <c r="C1808" i="14"/>
  <c r="C1802" i="14"/>
  <c r="C1796" i="14"/>
  <c r="C1790" i="14"/>
  <c r="C1784" i="14"/>
  <c r="C1778" i="14"/>
  <c r="C1772" i="14"/>
  <c r="C1766" i="14"/>
  <c r="C1760" i="14"/>
  <c r="C1754" i="14"/>
  <c r="C1748" i="14"/>
  <c r="C1742" i="14"/>
  <c r="C1736" i="14"/>
  <c r="C1730" i="14"/>
  <c r="C1724" i="14"/>
  <c r="C1718" i="14"/>
  <c r="C1712" i="14"/>
  <c r="C1706" i="14"/>
  <c r="C1700" i="14"/>
  <c r="C1694" i="14"/>
  <c r="C1688" i="14"/>
  <c r="C1682" i="14"/>
  <c r="C1676" i="14"/>
  <c r="C1670" i="14"/>
  <c r="C1664" i="14"/>
  <c r="C1658" i="14"/>
  <c r="C1652" i="14"/>
  <c r="C1646" i="14"/>
  <c r="C1640" i="14"/>
  <c r="C1634" i="14"/>
  <c r="C1628" i="14"/>
  <c r="C1622" i="14"/>
  <c r="C1616" i="14"/>
  <c r="C1610" i="14"/>
  <c r="C1604" i="14"/>
  <c r="C1598" i="14"/>
  <c r="C1592" i="14"/>
  <c r="C1586" i="14"/>
  <c r="C1580" i="14"/>
  <c r="C1574" i="14"/>
  <c r="C1568" i="14"/>
  <c r="C1562" i="14"/>
  <c r="C1556" i="14"/>
  <c r="C1550" i="14"/>
  <c r="C1544" i="14"/>
  <c r="E1383" i="14"/>
  <c r="E1377" i="14"/>
  <c r="E1371" i="14"/>
  <c r="E1365" i="14"/>
  <c r="E1359" i="14"/>
  <c r="E1353" i="14"/>
  <c r="E1347" i="14"/>
  <c r="E1341" i="14"/>
  <c r="E1335" i="14"/>
  <c r="E1329" i="14"/>
  <c r="E1323" i="14"/>
  <c r="E1317" i="14"/>
  <c r="E1311" i="14"/>
  <c r="E1305" i="14"/>
  <c r="E1299" i="14"/>
  <c r="E1293" i="14"/>
  <c r="E1287" i="14"/>
  <c r="E1281" i="14"/>
  <c r="E1275" i="14"/>
  <c r="E1269" i="14"/>
  <c r="E1263" i="14"/>
  <c r="E1257" i="14"/>
  <c r="E1251" i="14"/>
  <c r="E1245" i="14"/>
  <c r="E1239" i="14"/>
  <c r="E1233" i="14"/>
  <c r="E1227" i="14"/>
  <c r="E1221" i="14"/>
  <c r="E1215" i="14"/>
  <c r="E1209" i="14"/>
  <c r="E1203" i="14"/>
  <c r="E1197" i="14"/>
  <c r="E1191" i="14"/>
  <c r="E1185" i="14"/>
  <c r="E1179" i="14"/>
  <c r="E1173" i="14"/>
  <c r="E1167" i="14"/>
  <c r="E1161" i="14"/>
  <c r="E1155" i="14"/>
  <c r="E1149" i="14"/>
  <c r="E1143" i="14"/>
  <c r="E1137" i="14"/>
  <c r="E1131" i="14"/>
  <c r="E1125" i="14"/>
  <c r="E1119" i="14"/>
  <c r="E1113" i="14"/>
  <c r="E1107" i="14"/>
  <c r="E1101" i="14"/>
  <c r="E1095" i="14"/>
  <c r="E1089" i="14"/>
  <c r="E1083" i="14"/>
  <c r="E1077" i="14"/>
  <c r="E1071" i="14"/>
  <c r="E1065" i="14"/>
  <c r="E1059" i="14"/>
  <c r="E1053" i="14"/>
  <c r="E1047" i="14"/>
  <c r="E1041" i="14"/>
  <c r="E1035" i="14"/>
  <c r="E1029" i="14"/>
  <c r="E1023" i="14"/>
  <c r="C1538" i="14"/>
  <c r="C1532" i="14"/>
  <c r="C1526" i="14"/>
  <c r="C1520" i="14"/>
  <c r="C1514" i="14"/>
  <c r="C1508" i="14"/>
  <c r="C1502" i="14"/>
  <c r="C1496" i="14"/>
  <c r="C1490" i="14"/>
  <c r="C1484" i="14"/>
  <c r="C1478" i="14"/>
  <c r="C1472" i="14"/>
  <c r="C1466" i="14"/>
  <c r="C1460" i="14"/>
  <c r="C1454" i="14"/>
  <c r="C1448" i="14"/>
  <c r="C1442" i="14"/>
  <c r="C1436" i="14"/>
  <c r="C1430" i="14"/>
  <c r="C1424" i="14"/>
  <c r="C1418" i="14"/>
  <c r="C1412" i="14"/>
  <c r="C1406" i="14"/>
  <c r="C1400" i="14"/>
  <c r="C1394" i="14"/>
  <c r="C1388" i="14"/>
  <c r="C1382" i="14"/>
  <c r="C1376" i="14"/>
  <c r="C1370" i="14"/>
  <c r="C1364" i="14"/>
  <c r="C1358" i="14"/>
  <c r="C1352" i="14"/>
  <c r="C1346" i="14"/>
  <c r="C1340" i="14"/>
  <c r="C1334" i="14"/>
  <c r="C1328" i="14"/>
  <c r="C1322" i="14"/>
  <c r="C1316" i="14"/>
  <c r="C1310" i="14"/>
  <c r="C1304" i="14"/>
  <c r="C1298" i="14"/>
  <c r="C1292" i="14"/>
  <c r="C1286" i="14"/>
  <c r="C1280" i="14"/>
  <c r="C1274" i="14"/>
  <c r="C1268" i="14"/>
  <c r="C1262" i="14"/>
  <c r="C1256" i="14"/>
  <c r="C1250" i="14"/>
  <c r="C1244" i="14"/>
  <c r="C1238" i="14"/>
  <c r="C1232" i="14"/>
  <c r="C1226" i="14"/>
  <c r="C1220" i="14"/>
  <c r="C1214" i="14"/>
  <c r="C1208" i="14"/>
  <c r="C1202" i="14"/>
  <c r="C1196" i="14"/>
  <c r="C1190" i="14"/>
  <c r="C1184" i="14"/>
  <c r="C1178" i="14"/>
  <c r="C1172" i="14"/>
  <c r="C1166" i="14"/>
  <c r="C1160" i="14"/>
  <c r="C1154" i="14"/>
  <c r="C1148" i="14"/>
  <c r="C1142" i="14"/>
  <c r="C1136" i="14"/>
  <c r="C1130" i="14"/>
  <c r="C1124" i="14"/>
  <c r="C1118" i="14"/>
  <c r="C1112" i="14"/>
  <c r="C1106" i="14"/>
  <c r="C1100" i="14"/>
  <c r="C1094" i="14"/>
  <c r="C1088" i="14"/>
  <c r="C1082" i="14"/>
  <c r="C1076" i="14"/>
  <c r="C1070" i="14"/>
  <c r="C1064" i="14"/>
  <c r="C1058" i="14"/>
  <c r="C1052" i="14"/>
  <c r="C1046" i="14"/>
  <c r="C1040" i="14"/>
  <c r="C1034" i="14"/>
  <c r="E359" i="14"/>
  <c r="E353" i="14"/>
  <c r="E347" i="14"/>
  <c r="E341" i="14"/>
  <c r="E335" i="14"/>
  <c r="E329" i="14"/>
  <c r="E323" i="14"/>
  <c r="E317" i="14"/>
  <c r="E311" i="14"/>
  <c r="E305" i="14"/>
  <c r="E299" i="14"/>
  <c r="E293" i="14"/>
  <c r="E287" i="14"/>
  <c r="E281" i="14"/>
  <c r="E275" i="14"/>
  <c r="E269" i="14"/>
  <c r="E263" i="14"/>
  <c r="E257" i="14"/>
  <c r="E251" i="14"/>
  <c r="E245" i="14"/>
  <c r="E239" i="14"/>
  <c r="E233" i="14"/>
  <c r="E227" i="14"/>
  <c r="E221" i="14"/>
  <c r="E215" i="14"/>
  <c r="E209" i="14"/>
  <c r="E203" i="14"/>
  <c r="E197" i="14"/>
  <c r="E191" i="14"/>
  <c r="E185" i="14"/>
  <c r="E179" i="14"/>
  <c r="E173" i="14"/>
  <c r="E167" i="14"/>
  <c r="E161" i="14"/>
  <c r="E155" i="14"/>
  <c r="E149" i="14"/>
  <c r="E143" i="14"/>
  <c r="E137" i="14"/>
  <c r="E131" i="14"/>
  <c r="E125" i="14"/>
  <c r="E119" i="14"/>
  <c r="E113" i="14"/>
  <c r="E107" i="14"/>
  <c r="E101" i="14"/>
  <c r="E95" i="14"/>
  <c r="E89" i="14"/>
  <c r="E83" i="14"/>
  <c r="E77" i="14"/>
  <c r="E71" i="14"/>
  <c r="E65" i="14"/>
  <c r="E59" i="14"/>
  <c r="E53" i="14"/>
  <c r="E47" i="14"/>
  <c r="E41" i="14"/>
  <c r="E35" i="14"/>
  <c r="C95" i="14"/>
  <c r="C89" i="14"/>
  <c r="C83" i="14"/>
  <c r="C77" i="14"/>
  <c r="C71" i="14"/>
  <c r="C65" i="14"/>
  <c r="C59" i="14"/>
  <c r="C53" i="14"/>
  <c r="C47" i="14"/>
  <c r="C41" i="14"/>
  <c r="C35" i="14"/>
  <c r="E1017" i="14"/>
  <c r="E1011" i="14"/>
  <c r="E1005" i="14"/>
  <c r="E999" i="14"/>
  <c r="E993" i="14"/>
  <c r="E987" i="14"/>
  <c r="E981" i="14"/>
  <c r="E975" i="14"/>
  <c r="E969" i="14"/>
  <c r="E963" i="14"/>
  <c r="E957" i="14"/>
  <c r="E951" i="14"/>
  <c r="E945" i="14"/>
  <c r="E939" i="14"/>
  <c r="E933" i="14"/>
  <c r="E927" i="14"/>
  <c r="E921" i="14"/>
  <c r="E915" i="14"/>
  <c r="E909" i="14"/>
  <c r="E903" i="14"/>
  <c r="E897" i="14"/>
  <c r="E891" i="14"/>
  <c r="E885" i="14"/>
  <c r="E879" i="14"/>
  <c r="E873" i="14"/>
  <c r="E867" i="14"/>
  <c r="E861" i="14"/>
  <c r="E855" i="14"/>
  <c r="E849" i="14"/>
  <c r="E843" i="14"/>
  <c r="E837" i="14"/>
  <c r="E831" i="14"/>
  <c r="E825" i="14"/>
  <c r="E819" i="14"/>
  <c r="E813" i="14"/>
  <c r="E807" i="14"/>
  <c r="E801" i="14"/>
  <c r="E795" i="14"/>
  <c r="E789" i="14"/>
  <c r="E783" i="14"/>
  <c r="E777" i="14"/>
  <c r="E771" i="14"/>
  <c r="E765" i="14"/>
  <c r="E759" i="14"/>
  <c r="E753" i="14"/>
  <c r="E747" i="14"/>
  <c r="E741" i="14"/>
  <c r="E735" i="14"/>
  <c r="E729" i="14"/>
  <c r="E723" i="14"/>
  <c r="E717" i="14"/>
  <c r="E711" i="14"/>
  <c r="E705" i="14"/>
  <c r="E699" i="14"/>
  <c r="E693" i="14"/>
  <c r="E687" i="14"/>
  <c r="E681" i="14"/>
  <c r="E675" i="14"/>
  <c r="E669" i="14"/>
  <c r="E663" i="14"/>
  <c r="E657" i="14"/>
  <c r="E651" i="14"/>
  <c r="E645" i="14"/>
  <c r="E639" i="14"/>
  <c r="E633" i="14"/>
  <c r="E627" i="14"/>
  <c r="E621" i="14"/>
  <c r="E615" i="14"/>
  <c r="E609" i="14"/>
  <c r="E603" i="14"/>
  <c r="E597" i="14"/>
  <c r="E591" i="14"/>
  <c r="E585" i="14"/>
  <c r="E579" i="14"/>
  <c r="E573" i="14"/>
  <c r="E567" i="14"/>
  <c r="E561" i="14"/>
  <c r="E555" i="14"/>
  <c r="E549" i="14"/>
  <c r="E543" i="14"/>
  <c r="E537" i="14"/>
  <c r="E531" i="14"/>
  <c r="E525" i="14"/>
  <c r="E519" i="14"/>
  <c r="E111" i="14"/>
  <c r="C58" i="14"/>
  <c r="C1028" i="14"/>
  <c r="C1022" i="14"/>
  <c r="C1016" i="14"/>
  <c r="C1010" i="14"/>
  <c r="C1004" i="14"/>
  <c r="C998" i="14"/>
  <c r="C992" i="14"/>
  <c r="C554" i="14"/>
  <c r="C548" i="14"/>
  <c r="C542" i="14"/>
  <c r="C536" i="14"/>
  <c r="C530" i="14"/>
  <c r="C524" i="14"/>
  <c r="C518" i="14"/>
  <c r="C422" i="14"/>
  <c r="C416" i="14"/>
  <c r="C410" i="14"/>
  <c r="C404" i="14"/>
  <c r="C398" i="14"/>
  <c r="C392" i="14"/>
  <c r="C386" i="14"/>
  <c r="C380" i="14"/>
  <c r="C374" i="14"/>
  <c r="C368" i="14"/>
  <c r="C362" i="14"/>
  <c r="C356" i="14"/>
  <c r="C350" i="14"/>
  <c r="C344" i="14"/>
  <c r="C338" i="14"/>
  <c r="C332" i="14"/>
  <c r="C326" i="14"/>
  <c r="C320" i="14"/>
  <c r="C314" i="14"/>
  <c r="C308" i="14"/>
  <c r="C302" i="14"/>
  <c r="C296" i="14"/>
  <c r="C290" i="14"/>
  <c r="C284" i="14"/>
  <c r="C278" i="14"/>
  <c r="C272" i="14"/>
  <c r="C266" i="14"/>
  <c r="C260" i="14"/>
  <c r="C254" i="14"/>
  <c r="C248" i="14"/>
  <c r="C242" i="14"/>
  <c r="C236" i="14"/>
  <c r="C230" i="14"/>
  <c r="C224" i="14"/>
  <c r="C218" i="14"/>
  <c r="C212" i="14"/>
  <c r="C206" i="14"/>
  <c r="C200" i="14"/>
  <c r="C194" i="14"/>
  <c r="C188" i="14"/>
  <c r="C182" i="14"/>
  <c r="C170" i="14"/>
  <c r="C164" i="14"/>
  <c r="C158" i="14"/>
  <c r="C152" i="14"/>
  <c r="C146" i="14"/>
  <c r="C140" i="14"/>
  <c r="C134" i="14"/>
  <c r="C128" i="14"/>
  <c r="E26" i="14"/>
  <c r="E20" i="14"/>
  <c r="E14" i="14"/>
  <c r="E2735" i="14"/>
  <c r="E2729" i="14"/>
  <c r="E2723" i="14"/>
  <c r="E2717" i="14"/>
  <c r="E2711" i="14"/>
  <c r="E2705" i="14"/>
  <c r="E2699" i="14"/>
  <c r="E2693" i="14"/>
  <c r="E2687" i="14"/>
  <c r="E2681" i="14"/>
  <c r="E2675" i="14"/>
  <c r="E2669" i="14"/>
  <c r="E2663" i="14"/>
  <c r="E2657" i="14"/>
  <c r="E2651" i="14"/>
  <c r="E2645" i="14"/>
  <c r="E2639" i="14"/>
  <c r="E2633" i="14"/>
  <c r="E2627" i="14"/>
  <c r="E2621" i="14"/>
  <c r="E2615" i="14"/>
  <c r="E2609" i="14"/>
  <c r="E2603" i="14"/>
  <c r="E2597" i="14"/>
  <c r="E2591" i="14"/>
  <c r="E2585" i="14"/>
  <c r="E2579" i="14"/>
  <c r="E2573" i="14"/>
  <c r="E2567" i="14"/>
  <c r="E2561" i="14"/>
  <c r="E2555" i="14"/>
  <c r="E2549" i="14"/>
  <c r="E2543" i="14"/>
  <c r="E2537" i="14"/>
  <c r="E2531" i="14"/>
  <c r="E2525" i="14"/>
  <c r="E2519" i="14"/>
  <c r="E2513" i="14"/>
  <c r="E2507" i="14"/>
  <c r="E2501" i="14"/>
  <c r="E2495" i="14"/>
  <c r="E2489" i="14"/>
  <c r="E2483" i="14"/>
  <c r="E2477" i="14"/>
  <c r="E2471" i="14"/>
  <c r="E2465" i="14"/>
  <c r="E2459" i="14"/>
  <c r="E2453" i="14"/>
  <c r="E2447" i="14"/>
  <c r="E2441" i="14"/>
  <c r="E2435" i="14"/>
  <c r="E2429" i="14"/>
  <c r="E2423" i="14"/>
  <c r="E2417" i="14"/>
  <c r="E2411" i="14"/>
  <c r="E2405" i="14"/>
  <c r="E2399" i="14"/>
  <c r="E2393" i="14"/>
  <c r="E2387" i="14"/>
  <c r="E2381" i="14"/>
  <c r="E2375" i="14"/>
  <c r="E2369" i="14"/>
  <c r="E2363" i="14"/>
  <c r="E2357" i="14"/>
  <c r="E2351" i="14"/>
  <c r="E2345" i="14"/>
  <c r="E2339" i="14"/>
  <c r="E2333" i="14"/>
  <c r="E2327" i="14"/>
  <c r="E2315" i="14"/>
  <c r="E2309" i="14"/>
  <c r="C2458" i="14"/>
  <c r="C2452" i="14"/>
  <c r="C2446" i="14"/>
  <c r="C2440" i="14"/>
  <c r="C2434" i="14"/>
  <c r="C2422" i="14"/>
  <c r="C2416" i="14"/>
  <c r="C2410" i="14"/>
  <c r="C2404" i="14"/>
  <c r="C2398" i="14"/>
  <c r="C2392" i="14"/>
  <c r="C2386" i="14"/>
  <c r="C2380" i="14"/>
  <c r="C2374" i="14"/>
  <c r="C2368" i="14"/>
  <c r="C2362" i="14"/>
  <c r="C2356" i="14"/>
  <c r="C2350" i="14"/>
  <c r="C2344" i="14"/>
  <c r="C2338" i="14"/>
  <c r="C2332" i="14"/>
  <c r="C2326" i="14"/>
  <c r="C2320" i="14"/>
  <c r="C2314" i="14"/>
  <c r="C2308" i="14"/>
  <c r="C2302" i="14"/>
  <c r="C2296" i="14"/>
  <c r="C2290" i="14"/>
  <c r="C2284" i="14"/>
  <c r="C2278" i="14"/>
  <c r="C2272" i="14"/>
  <c r="C2230" i="14"/>
  <c r="C2224" i="14"/>
  <c r="C2218" i="14"/>
  <c r="C2212" i="14"/>
  <c r="C2206" i="14"/>
  <c r="C2200" i="14"/>
  <c r="C2194" i="14"/>
  <c r="C2188" i="14"/>
  <c r="C2182" i="14"/>
  <c r="C2176" i="14"/>
  <c r="C2170" i="14"/>
  <c r="C2164" i="14"/>
  <c r="C2158" i="14"/>
  <c r="C2152" i="14"/>
  <c r="C2146" i="14"/>
  <c r="C2140" i="14"/>
  <c r="C2134" i="14"/>
  <c r="C2128" i="14"/>
  <c r="C2122" i="14"/>
  <c r="C2116" i="14"/>
  <c r="C2110" i="14"/>
  <c r="C2104" i="14"/>
  <c r="C2098" i="14"/>
  <c r="C2092" i="14"/>
  <c r="C2086" i="14"/>
  <c r="C2080" i="14"/>
  <c r="C2074" i="14"/>
  <c r="C2068" i="14"/>
  <c r="C2062" i="14"/>
  <c r="C2655" i="14"/>
  <c r="C2649" i="14"/>
  <c r="C2643" i="14"/>
  <c r="C2637" i="14"/>
  <c r="C2631" i="14"/>
  <c r="C2625" i="14"/>
  <c r="C2619" i="14"/>
  <c r="C2613" i="14"/>
  <c r="C2607" i="14"/>
  <c r="C2601" i="14"/>
  <c r="C2595" i="14"/>
  <c r="C2589" i="14"/>
  <c r="C2583" i="14"/>
  <c r="C2577" i="14"/>
  <c r="C2571" i="14"/>
  <c r="C2565" i="14"/>
  <c r="C2559" i="14"/>
  <c r="C2553" i="14"/>
  <c r="C2547" i="14"/>
  <c r="C2541" i="14"/>
  <c r="C2535" i="14"/>
  <c r="C2529" i="14"/>
  <c r="C2523" i="14"/>
  <c r="C2517" i="14"/>
  <c r="C2511" i="14"/>
  <c r="C2505" i="14"/>
  <c r="C2499" i="14"/>
  <c r="C2493" i="14"/>
  <c r="C2487" i="14"/>
  <c r="C2481" i="14"/>
  <c r="C2475" i="14"/>
  <c r="C2469" i="14"/>
  <c r="C2463" i="14"/>
  <c r="C2451" i="14"/>
  <c r="C2445" i="14"/>
  <c r="C2439" i="14"/>
  <c r="C2433" i="14"/>
  <c r="C2427" i="14"/>
  <c r="C2421" i="14"/>
  <c r="C2415" i="14"/>
  <c r="C2409" i="14"/>
  <c r="C2403" i="14"/>
  <c r="C2397" i="14"/>
  <c r="C2391" i="14"/>
  <c r="C2385" i="14"/>
  <c r="C2379" i="14"/>
  <c r="C2373" i="14"/>
  <c r="C2367" i="14"/>
  <c r="C2361" i="14"/>
  <c r="C2355" i="14"/>
  <c r="C2349" i="14"/>
  <c r="C2343" i="14"/>
  <c r="C2337" i="14"/>
  <c r="C2331" i="14"/>
  <c r="C2325" i="14"/>
  <c r="C2319" i="14"/>
  <c r="C2313" i="14"/>
  <c r="C2307" i="14"/>
  <c r="C2301" i="14"/>
  <c r="C2295" i="14"/>
  <c r="C2289" i="14"/>
  <c r="C2283" i="14"/>
  <c r="C2277" i="14"/>
  <c r="C2271" i="14"/>
  <c r="C2265" i="14"/>
  <c r="C2259" i="14"/>
  <c r="C2253" i="14"/>
  <c r="C2247" i="14"/>
  <c r="C2241" i="14"/>
  <c r="C2235" i="14"/>
  <c r="C2229" i="14"/>
  <c r="C2223" i="14"/>
  <c r="C2217" i="14"/>
  <c r="C2211" i="14"/>
  <c r="C2205" i="14"/>
  <c r="C2199" i="14"/>
  <c r="C2193" i="14"/>
  <c r="C2187" i="14"/>
  <c r="C2181" i="14"/>
  <c r="C2175" i="14"/>
  <c r="C2169" i="14"/>
  <c r="C2163" i="14"/>
  <c r="C2157" i="14"/>
  <c r="C2151" i="14"/>
  <c r="C2145" i="14"/>
  <c r="C2139" i="14"/>
  <c r="C2133" i="14"/>
  <c r="C2127" i="14"/>
  <c r="C2121" i="14"/>
  <c r="C2115" i="14"/>
  <c r="C2109" i="14"/>
  <c r="C2103" i="14"/>
  <c r="C2097" i="14"/>
  <c r="C2091" i="14"/>
  <c r="C2085" i="14"/>
  <c r="C2079" i="14"/>
  <c r="C2073" i="14"/>
  <c r="C2067" i="14"/>
  <c r="C2061" i="14"/>
  <c r="C2055" i="14"/>
  <c r="C2049" i="14"/>
  <c r="C2043" i="14"/>
  <c r="C2037" i="14"/>
  <c r="C2031" i="14"/>
  <c r="C2025" i="14"/>
  <c r="E2624" i="14"/>
  <c r="E2492" i="14"/>
  <c r="E2486" i="14"/>
  <c r="E2480" i="14"/>
  <c r="E2474" i="14"/>
  <c r="E2468" i="14"/>
  <c r="E2462" i="14"/>
  <c r="E2456" i="14"/>
  <c r="E2450" i="14"/>
  <c r="E2444" i="14"/>
  <c r="E2438" i="14"/>
  <c r="E2432" i="14"/>
  <c r="E2426" i="14"/>
  <c r="E2420" i="14"/>
  <c r="E2414" i="14"/>
  <c r="E2408" i="14"/>
  <c r="E2402" i="14"/>
  <c r="E2396" i="14"/>
  <c r="E2390" i="14"/>
  <c r="E2384" i="14"/>
  <c r="E2378" i="14"/>
  <c r="E2372" i="14"/>
  <c r="E2366" i="14"/>
  <c r="E2360" i="14"/>
  <c r="E2354" i="14"/>
  <c r="E2348" i="14"/>
  <c r="E2342" i="14"/>
  <c r="E2336" i="14"/>
  <c r="E2330" i="14"/>
  <c r="E2324" i="14"/>
  <c r="E2318" i="14"/>
  <c r="E2312" i="14"/>
  <c r="E2306" i="14"/>
  <c r="E2300" i="14"/>
  <c r="E2294" i="14"/>
  <c r="E2288" i="14"/>
  <c r="E2282" i="14"/>
  <c r="E2276" i="14"/>
  <c r="E2270" i="14"/>
  <c r="E2264" i="14"/>
  <c r="E2258" i="14"/>
  <c r="E2252" i="14"/>
  <c r="E2246" i="14"/>
  <c r="E2240" i="14"/>
  <c r="E2234" i="14"/>
  <c r="E2228" i="14"/>
  <c r="E2222" i="14"/>
  <c r="E2216" i="14"/>
  <c r="E2210" i="14"/>
  <c r="E2204" i="14"/>
  <c r="E2198" i="14"/>
  <c r="E2192" i="14"/>
  <c r="E2186" i="14"/>
  <c r="E2180" i="14"/>
  <c r="E2174" i="14"/>
  <c r="E2168" i="14"/>
  <c r="E2162" i="14"/>
  <c r="E2156" i="14"/>
  <c r="E2150" i="14"/>
  <c r="E2144" i="14"/>
  <c r="E2138" i="14"/>
  <c r="E2132" i="14"/>
  <c r="E2126" i="14"/>
  <c r="E2120" i="14"/>
  <c r="E2114" i="14"/>
  <c r="E2108" i="14"/>
  <c r="E2102" i="14"/>
  <c r="E2096" i="14"/>
  <c r="E2090" i="14"/>
  <c r="E2084" i="14"/>
  <c r="E2078" i="14"/>
  <c r="E2072" i="14"/>
  <c r="E2066" i="14"/>
  <c r="E2060" i="14"/>
  <c r="E2054" i="14"/>
  <c r="E2048" i="14"/>
  <c r="E2042" i="14"/>
  <c r="E2036" i="14"/>
  <c r="E2030" i="14"/>
  <c r="E2024" i="14"/>
  <c r="E2708" i="14"/>
  <c r="E2464" i="14"/>
  <c r="E2721" i="14"/>
  <c r="C2019" i="14"/>
  <c r="C2013" i="14"/>
  <c r="C2007" i="14"/>
  <c r="C2001" i="14"/>
  <c r="C1995" i="14"/>
  <c r="C1989" i="14"/>
  <c r="C1983" i="14"/>
  <c r="C1977" i="14"/>
  <c r="C1971" i="14"/>
  <c r="C1965" i="14"/>
  <c r="C1959" i="14"/>
  <c r="C1953" i="14"/>
  <c r="C1947" i="14"/>
  <c r="C1941" i="14"/>
  <c r="C1935" i="14"/>
  <c r="C1929" i="14"/>
  <c r="C1923" i="14"/>
  <c r="C1917" i="14"/>
  <c r="C1911" i="14"/>
  <c r="C1905" i="14"/>
  <c r="C1899" i="14"/>
  <c r="C1893" i="14"/>
  <c r="C1887" i="14"/>
  <c r="C1881" i="14"/>
  <c r="C1875" i="14"/>
  <c r="C1869" i="14"/>
  <c r="C1863" i="14"/>
  <c r="C1857" i="14"/>
  <c r="C1851" i="14"/>
  <c r="C1845" i="14"/>
  <c r="C1839" i="14"/>
  <c r="C1833" i="14"/>
  <c r="C1827" i="14"/>
  <c r="C1821" i="14"/>
  <c r="C1815" i="14"/>
  <c r="C1809" i="14"/>
  <c r="C1803" i="14"/>
  <c r="C1797" i="14"/>
  <c r="C1791" i="14"/>
  <c r="C1785" i="14"/>
  <c r="C1779" i="14"/>
  <c r="C1773" i="14"/>
  <c r="C1767" i="14"/>
  <c r="C1761" i="14"/>
  <c r="C1755" i="14"/>
  <c r="C1749" i="14"/>
  <c r="C1743" i="14"/>
  <c r="C1737" i="14"/>
  <c r="C1731" i="14"/>
  <c r="C1725" i="14"/>
  <c r="C1719" i="14"/>
  <c r="C1713" i="14"/>
  <c r="C1707" i="14"/>
  <c r="C1701" i="14"/>
  <c r="C1695" i="14"/>
  <c r="C1689" i="14"/>
  <c r="C1683" i="14"/>
  <c r="C1677" i="14"/>
  <c r="C1671" i="14"/>
  <c r="C1665" i="14"/>
  <c r="C1659" i="14"/>
  <c r="C1653" i="14"/>
  <c r="C1647" i="14"/>
  <c r="C1641" i="14"/>
  <c r="C1635" i="14"/>
  <c r="C1629" i="14"/>
  <c r="C1623" i="14"/>
  <c r="C1617" i="14"/>
  <c r="C1611" i="14"/>
  <c r="C1605" i="14"/>
  <c r="C1599" i="14"/>
  <c r="C1593" i="14"/>
  <c r="C1587" i="14"/>
  <c r="C1581" i="14"/>
  <c r="C1575" i="14"/>
  <c r="C1569" i="14"/>
  <c r="C1563" i="14"/>
  <c r="C1557" i="14"/>
  <c r="C1551" i="14"/>
  <c r="C1545" i="14"/>
  <c r="C1539" i="14"/>
  <c r="C1533" i="14"/>
  <c r="C1527" i="14"/>
  <c r="C1521" i="14"/>
  <c r="C1515" i="14"/>
  <c r="E2018" i="14"/>
  <c r="E2012" i="14"/>
  <c r="E2006" i="14"/>
  <c r="E2000" i="14"/>
  <c r="E1994" i="14"/>
  <c r="E1988" i="14"/>
  <c r="E1982" i="14"/>
  <c r="E1976" i="14"/>
  <c r="E1970" i="14"/>
  <c r="E1964" i="14"/>
  <c r="E1958" i="14"/>
  <c r="E1952" i="14"/>
  <c r="E1946" i="14"/>
  <c r="E1940" i="14"/>
  <c r="E1934" i="14"/>
  <c r="E1928" i="14"/>
  <c r="E1922" i="14"/>
  <c r="E1916" i="14"/>
  <c r="E1910" i="14"/>
  <c r="E1904" i="14"/>
  <c r="E1898" i="14"/>
  <c r="E1892" i="14"/>
  <c r="E1886" i="14"/>
  <c r="E1880" i="14"/>
  <c r="E1874" i="14"/>
  <c r="E1868" i="14"/>
  <c r="E1862" i="14"/>
  <c r="E1856" i="14"/>
  <c r="E1850" i="14"/>
  <c r="E1844" i="14"/>
  <c r="E1838" i="14"/>
  <c r="E1832" i="14"/>
  <c r="E1826" i="14"/>
  <c r="E1820" i="14"/>
  <c r="E1814" i="14"/>
  <c r="E1808" i="14"/>
  <c r="E1802" i="14"/>
  <c r="E1796" i="14"/>
  <c r="E1790" i="14"/>
  <c r="E1784" i="14"/>
  <c r="E1778" i="14"/>
  <c r="E1772" i="14"/>
  <c r="E1766" i="14"/>
  <c r="E1760" i="14"/>
  <c r="E1754" i="14"/>
  <c r="E1748" i="14"/>
  <c r="E1742" i="14"/>
  <c r="E1736" i="14"/>
  <c r="E1730" i="14"/>
  <c r="E1724" i="14"/>
  <c r="E1718" i="14"/>
  <c r="E1712" i="14"/>
  <c r="E1706" i="14"/>
  <c r="E1700" i="14"/>
  <c r="E1694" i="14"/>
  <c r="E1688" i="14"/>
  <c r="E1682" i="14"/>
  <c r="E1676" i="14"/>
  <c r="E1670" i="14"/>
  <c r="E1664" i="14"/>
  <c r="E1658" i="14"/>
  <c r="E1652" i="14"/>
  <c r="E1646" i="14"/>
  <c r="E1640" i="14"/>
  <c r="E1634" i="14"/>
  <c r="E1628" i="14"/>
  <c r="E1622" i="14"/>
  <c r="E1616" i="14"/>
  <c r="E1610" i="14"/>
  <c r="E1604" i="14"/>
  <c r="E1598" i="14"/>
  <c r="E1592" i="14"/>
  <c r="E1586" i="14"/>
  <c r="E1580" i="14"/>
  <c r="E1574" i="14"/>
  <c r="E1568" i="14"/>
  <c r="E1562" i="14"/>
  <c r="E1556" i="14"/>
  <c r="E1550" i="14"/>
  <c r="E1544" i="14"/>
  <c r="E1538" i="14"/>
  <c r="E1532" i="14"/>
  <c r="E1526" i="14"/>
  <c r="E1520" i="14"/>
  <c r="E1514" i="14"/>
  <c r="C1509" i="14"/>
  <c r="C1503" i="14"/>
  <c r="C1497" i="14"/>
  <c r="C1491" i="14"/>
  <c r="C1485" i="14"/>
  <c r="C1479" i="14"/>
  <c r="C1473" i="14"/>
  <c r="C1467" i="14"/>
  <c r="C1461" i="14"/>
  <c r="C1455" i="14"/>
  <c r="C1449" i="14"/>
  <c r="C1443" i="14"/>
  <c r="C1437" i="14"/>
  <c r="C1431" i="14"/>
  <c r="C1425" i="14"/>
  <c r="C1419" i="14"/>
  <c r="C1413" i="14"/>
  <c r="C1407" i="14"/>
  <c r="C1401" i="14"/>
  <c r="C1395" i="14"/>
  <c r="C1389" i="14"/>
  <c r="C1383" i="14"/>
  <c r="C1377" i="14"/>
  <c r="C1371" i="14"/>
  <c r="C1365" i="14"/>
  <c r="C1359" i="14"/>
  <c r="C1353" i="14"/>
  <c r="C1347" i="14"/>
  <c r="C1341" i="14"/>
  <c r="C1335" i="14"/>
  <c r="C1329" i="14"/>
  <c r="C1323" i="14"/>
  <c r="C1317" i="14"/>
  <c r="C1311" i="14"/>
  <c r="C1305" i="14"/>
  <c r="C1299" i="14"/>
  <c r="C1293" i="14"/>
  <c r="C1287" i="14"/>
  <c r="C1281" i="14"/>
  <c r="C1275" i="14"/>
  <c r="C1269" i="14"/>
  <c r="C1263" i="14"/>
  <c r="C1257" i="14"/>
  <c r="C1251" i="14"/>
  <c r="C1245" i="14"/>
  <c r="C1239" i="14"/>
  <c r="C1233" i="14"/>
  <c r="C1227" i="14"/>
  <c r="C1221" i="14"/>
  <c r="C1215" i="14"/>
  <c r="C1209" i="14"/>
  <c r="C1203" i="14"/>
  <c r="C1197" i="14"/>
  <c r="C1191" i="14"/>
  <c r="C1185" i="14"/>
  <c r="C1179" i="14"/>
  <c r="C1173" i="14"/>
  <c r="C1167" i="14"/>
  <c r="C1161" i="14"/>
  <c r="C1155" i="14"/>
  <c r="C1149" i="14"/>
  <c r="C1143" i="14"/>
  <c r="C1137" i="14"/>
  <c r="C1131" i="14"/>
  <c r="C1125" i="14"/>
  <c r="C1119" i="14"/>
  <c r="C1113" i="14"/>
  <c r="C1107" i="14"/>
  <c r="C1101" i="14"/>
  <c r="C1095" i="14"/>
  <c r="C1089" i="14"/>
  <c r="C1083" i="14"/>
  <c r="C1077" i="14"/>
  <c r="C1071" i="14"/>
  <c r="C1065" i="14"/>
  <c r="C1059" i="14"/>
  <c r="C1053" i="14"/>
  <c r="C1047" i="14"/>
  <c r="C1041" i="14"/>
  <c r="C1035" i="14"/>
  <c r="C1029" i="14"/>
  <c r="C1023" i="14"/>
  <c r="C1017" i="14"/>
  <c r="C1011" i="14"/>
  <c r="C1005" i="14"/>
  <c r="E1508" i="14"/>
  <c r="E1502" i="14"/>
  <c r="E1496" i="14"/>
  <c r="E1490" i="14"/>
  <c r="E1484" i="14"/>
  <c r="E1478" i="14"/>
  <c r="E1472" i="14"/>
  <c r="E1466" i="14"/>
  <c r="E1460" i="14"/>
  <c r="E1454" i="14"/>
  <c r="E1448" i="14"/>
  <c r="E1442" i="14"/>
  <c r="E1436" i="14"/>
  <c r="E1430" i="14"/>
  <c r="E1424" i="14"/>
  <c r="E1418" i="14"/>
  <c r="E1412" i="14"/>
  <c r="E1406" i="14"/>
  <c r="E1400" i="14"/>
  <c r="E1394" i="14"/>
  <c r="E1388" i="14"/>
  <c r="E1382" i="14"/>
  <c r="E1376" i="14"/>
  <c r="E1370" i="14"/>
  <c r="E1364" i="14"/>
  <c r="E1358" i="14"/>
  <c r="E1352" i="14"/>
  <c r="E1346" i="14"/>
  <c r="E1340" i="14"/>
  <c r="E1334" i="14"/>
  <c r="E1328" i="14"/>
  <c r="E1322" i="14"/>
  <c r="E1316" i="14"/>
  <c r="E1310" i="14"/>
  <c r="E1304" i="14"/>
  <c r="C986" i="14"/>
  <c r="C980" i="14"/>
  <c r="E401" i="14"/>
  <c r="E395" i="14"/>
  <c r="E389" i="14"/>
  <c r="E383" i="14"/>
  <c r="E377" i="14"/>
  <c r="E371" i="14"/>
  <c r="E365" i="14"/>
  <c r="C148" i="14"/>
  <c r="C34" i="14"/>
  <c r="E105" i="14"/>
  <c r="E99" i="14"/>
  <c r="E93" i="14"/>
  <c r="E87" i="14"/>
  <c r="E81" i="14"/>
  <c r="C999" i="14"/>
  <c r="C993" i="14"/>
  <c r="C987" i="14"/>
  <c r="C981" i="14"/>
  <c r="C975" i="14"/>
  <c r="C969" i="14"/>
  <c r="C963" i="14"/>
  <c r="C957" i="14"/>
  <c r="C951" i="14"/>
  <c r="C945" i="14"/>
  <c r="C939" i="14"/>
  <c r="C933" i="14"/>
  <c r="C927" i="14"/>
  <c r="C921" i="14"/>
  <c r="C915" i="14"/>
  <c r="C909" i="14"/>
  <c r="C903" i="14"/>
  <c r="C897" i="14"/>
  <c r="C891" i="14"/>
  <c r="C885" i="14"/>
  <c r="C879" i="14"/>
  <c r="C873" i="14"/>
  <c r="C867" i="14"/>
  <c r="C861" i="14"/>
  <c r="C855" i="14"/>
  <c r="C849" i="14"/>
  <c r="C843" i="14"/>
  <c r="C837" i="14"/>
  <c r="C831" i="14"/>
  <c r="C825" i="14"/>
  <c r="C819" i="14"/>
  <c r="C813" i="14"/>
  <c r="C807" i="14"/>
  <c r="C801" i="14"/>
  <c r="C795" i="14"/>
  <c r="C789" i="14"/>
  <c r="C783" i="14"/>
  <c r="C777" i="14"/>
  <c r="C771" i="14"/>
  <c r="C765" i="14"/>
  <c r="C759" i="14"/>
  <c r="C753" i="14"/>
  <c r="C747" i="14"/>
  <c r="C741" i="14"/>
  <c r="C735" i="14"/>
  <c r="C729" i="14"/>
  <c r="C723" i="14"/>
  <c r="C717" i="14"/>
  <c r="C711" i="14"/>
  <c r="C705" i="14"/>
  <c r="C699" i="14"/>
  <c r="C693" i="14"/>
  <c r="C687" i="14"/>
  <c r="C681" i="14"/>
  <c r="C675" i="14"/>
  <c r="C669" i="14"/>
  <c r="C663" i="14"/>
  <c r="C657" i="14"/>
  <c r="C651" i="14"/>
  <c r="C645" i="14"/>
  <c r="C639" i="14"/>
  <c r="C633" i="14"/>
  <c r="C627" i="14"/>
  <c r="E116" i="14"/>
  <c r="C974" i="14"/>
  <c r="C968" i="14"/>
  <c r="C962" i="14"/>
  <c r="C956" i="14"/>
  <c r="C950" i="14"/>
  <c r="C944" i="14"/>
  <c r="C938" i="14"/>
  <c r="C932" i="14"/>
  <c r="C926" i="14"/>
  <c r="C920" i="14"/>
  <c r="C914" i="14"/>
  <c r="C908" i="14"/>
  <c r="C902" i="14"/>
  <c r="C896" i="14"/>
  <c r="C890" i="14"/>
  <c r="C884" i="14"/>
  <c r="C878" i="14"/>
  <c r="C872" i="14"/>
  <c r="C866" i="14"/>
  <c r="C860" i="14"/>
  <c r="C854" i="14"/>
  <c r="C848" i="14"/>
  <c r="C842" i="14"/>
  <c r="C836" i="14"/>
  <c r="C830" i="14"/>
  <c r="C824" i="14"/>
  <c r="C818" i="14"/>
  <c r="C812" i="14"/>
  <c r="C806" i="14"/>
  <c r="C800" i="14"/>
  <c r="C794" i="14"/>
  <c r="C788" i="14"/>
  <c r="C782" i="14"/>
  <c r="C776" i="14"/>
  <c r="C770" i="14"/>
  <c r="C764" i="14"/>
  <c r="C758" i="14"/>
  <c r="C752" i="14"/>
  <c r="C746" i="14"/>
  <c r="C740" i="14"/>
  <c r="C734" i="14"/>
  <c r="C728" i="14"/>
  <c r="C722" i="14"/>
  <c r="C716" i="14"/>
  <c r="C710" i="14"/>
  <c r="C704" i="14"/>
  <c r="C698" i="14"/>
  <c r="C692" i="14"/>
  <c r="C686" i="14"/>
  <c r="C680" i="14"/>
  <c r="C674" i="14"/>
  <c r="C668" i="14"/>
  <c r="C662" i="14"/>
  <c r="C656" i="14"/>
  <c r="C650" i="14"/>
  <c r="C644" i="14"/>
  <c r="C638" i="14"/>
  <c r="C632" i="14"/>
  <c r="C626" i="14"/>
  <c r="C620" i="14"/>
  <c r="C614" i="14"/>
  <c r="C608" i="14"/>
  <c r="C602" i="14"/>
  <c r="C596" i="14"/>
  <c r="C590" i="14"/>
  <c r="C584" i="14"/>
  <c r="C578" i="14"/>
  <c r="C572" i="14"/>
  <c r="C566" i="14"/>
  <c r="C560" i="14"/>
  <c r="C512" i="14"/>
  <c r="C506" i="14"/>
  <c r="C500" i="14"/>
  <c r="C494" i="14"/>
  <c r="C488" i="14"/>
  <c r="C482" i="14"/>
  <c r="C476" i="14"/>
  <c r="C470" i="14"/>
  <c r="C464" i="14"/>
  <c r="C458" i="14"/>
  <c r="C452" i="14"/>
  <c r="C446" i="14"/>
  <c r="C440" i="14"/>
  <c r="C434" i="14"/>
  <c r="C428" i="14"/>
  <c r="C414" i="14"/>
  <c r="C372" i="14"/>
  <c r="C366" i="14"/>
  <c r="C360" i="14"/>
  <c r="C354" i="14"/>
  <c r="C348" i="14"/>
  <c r="C342" i="14"/>
  <c r="C336" i="14"/>
  <c r="C330" i="14"/>
  <c r="C324" i="14"/>
  <c r="C318" i="14"/>
  <c r="C312" i="14"/>
  <c r="C306" i="14"/>
  <c r="C300" i="14"/>
  <c r="C294" i="14"/>
  <c r="C288" i="14"/>
  <c r="C282" i="14"/>
  <c r="C276" i="14"/>
  <c r="C270" i="14"/>
  <c r="C264" i="14"/>
  <c r="C258" i="14"/>
  <c r="C252" i="14"/>
  <c r="C246" i="14"/>
  <c r="C240" i="14"/>
  <c r="C234" i="14"/>
  <c r="C228" i="14"/>
  <c r="C222" i="14"/>
  <c r="C216" i="14"/>
  <c r="C210" i="14"/>
  <c r="C204" i="14"/>
  <c r="C198" i="14"/>
  <c r="C192" i="14"/>
  <c r="C186" i="14"/>
  <c r="C180" i="14"/>
  <c r="C174" i="14"/>
  <c r="C168" i="14"/>
  <c r="C162" i="14"/>
  <c r="C156" i="14"/>
  <c r="C150" i="14"/>
  <c r="C144" i="14"/>
  <c r="C138" i="14"/>
  <c r="C132" i="14"/>
  <c r="C126" i="14"/>
  <c r="C120" i="14"/>
  <c r="C114" i="14"/>
  <c r="C108" i="14"/>
  <c r="C102" i="14"/>
  <c r="C96" i="14"/>
  <c r="C90" i="14"/>
  <c r="C84" i="14"/>
  <c r="C78" i="14"/>
  <c r="C72" i="14"/>
  <c r="C66" i="14"/>
  <c r="C60" i="14"/>
  <c r="C54" i="14"/>
  <c r="C48" i="14"/>
  <c r="C42" i="14"/>
  <c r="C36" i="14"/>
  <c r="E2321" i="14"/>
  <c r="E2303" i="14"/>
  <c r="E2297" i="14"/>
  <c r="E2291" i="14"/>
  <c r="E2285" i="14"/>
  <c r="E2279" i="14"/>
  <c r="E2273" i="14"/>
  <c r="E2267" i="14"/>
  <c r="E2261" i="14"/>
  <c r="E2255" i="14"/>
  <c r="E2249" i="14"/>
  <c r="E2243" i="14"/>
  <c r="E2237" i="14"/>
  <c r="E2231" i="14"/>
  <c r="E2225" i="14"/>
  <c r="E2219" i="14"/>
  <c r="E2213" i="14"/>
  <c r="E2207" i="14"/>
  <c r="E2201" i="14"/>
  <c r="E2195" i="14"/>
  <c r="E2189" i="14"/>
  <c r="E2183" i="14"/>
  <c r="E2177" i="14"/>
  <c r="E2171" i="14"/>
  <c r="E2165" i="14"/>
  <c r="E2159" i="14"/>
  <c r="E2153" i="14"/>
  <c r="E2147" i="14"/>
  <c r="E2141" i="14"/>
  <c r="E2135" i="14"/>
  <c r="E2129" i="14"/>
  <c r="E2123" i="14"/>
  <c r="E2117" i="14"/>
  <c r="E2111" i="14"/>
  <c r="E2105" i="14"/>
  <c r="E2099" i="14"/>
  <c r="E2093" i="14"/>
  <c r="E2087" i="14"/>
  <c r="E2081" i="14"/>
  <c r="E2075" i="14"/>
  <c r="E2069" i="14"/>
  <c r="E2063" i="14"/>
  <c r="E2057" i="14"/>
  <c r="E2051" i="14"/>
  <c r="E2045" i="14"/>
  <c r="E2039" i="14"/>
  <c r="E2033" i="14"/>
  <c r="E2027" i="14"/>
  <c r="E2021" i="14"/>
  <c r="E2015" i="14"/>
  <c r="E2009" i="14"/>
  <c r="E2003" i="14"/>
  <c r="E1997" i="14"/>
  <c r="E1991" i="14"/>
  <c r="E1985" i="14"/>
  <c r="E1979" i="14"/>
  <c r="E1973" i="14"/>
  <c r="E1967" i="14"/>
  <c r="E1961" i="14"/>
  <c r="E1955" i="14"/>
  <c r="E1949" i="14"/>
  <c r="E1943" i="14"/>
  <c r="E1937" i="14"/>
  <c r="E1931" i="14"/>
  <c r="E1925" i="14"/>
  <c r="E1919" i="14"/>
  <c r="E1913" i="14"/>
  <c r="E1907" i="14"/>
  <c r="E1901" i="14"/>
  <c r="E1895" i="14"/>
  <c r="E1889" i="14"/>
  <c r="E1883" i="14"/>
  <c r="E1877" i="14"/>
  <c r="E1871" i="14"/>
  <c r="E1865" i="14"/>
  <c r="E1859" i="14"/>
  <c r="E1853" i="14"/>
  <c r="E1847" i="14"/>
  <c r="E1841" i="14"/>
  <c r="E1835" i="14"/>
  <c r="E1829" i="14"/>
  <c r="E1823" i="14"/>
  <c r="E1817" i="14"/>
  <c r="E1811" i="14"/>
  <c r="E1805" i="14"/>
  <c r="E1799" i="14"/>
  <c r="E1793" i="14"/>
  <c r="E1787" i="14"/>
  <c r="E1781" i="14"/>
  <c r="E1775" i="14"/>
  <c r="E1769" i="14"/>
  <c r="E1763" i="14"/>
  <c r="E1757" i="14"/>
  <c r="E1751" i="14"/>
  <c r="E1745" i="14"/>
  <c r="E1739" i="14"/>
  <c r="E1733" i="14"/>
  <c r="E1727" i="14"/>
  <c r="E1721" i="14"/>
  <c r="E1715" i="14"/>
  <c r="E1709" i="14"/>
  <c r="E1703" i="14"/>
  <c r="E1697" i="14"/>
  <c r="E1691" i="14"/>
  <c r="E1685" i="14"/>
  <c r="E1679" i="14"/>
  <c r="E1673" i="14"/>
  <c r="E1667" i="14"/>
  <c r="E1661" i="14"/>
  <c r="E1655" i="14"/>
  <c r="E1649" i="14"/>
  <c r="C2026" i="14"/>
  <c r="C2020" i="14"/>
  <c r="C2014" i="14"/>
  <c r="C2008" i="14"/>
  <c r="C2002" i="14"/>
  <c r="C1996" i="14"/>
  <c r="C1990" i="14"/>
  <c r="C1984" i="14"/>
  <c r="C1978" i="14"/>
  <c r="C1972" i="14"/>
  <c r="C1966" i="14"/>
  <c r="C1960" i="14"/>
  <c r="C1954" i="14"/>
  <c r="C1948" i="14"/>
  <c r="C1942" i="14"/>
  <c r="C1936" i="14"/>
  <c r="C1930" i="14"/>
  <c r="C1924" i="14"/>
  <c r="C1918" i="14"/>
  <c r="C1912" i="14"/>
  <c r="C1906" i="14"/>
  <c r="C1900" i="14"/>
  <c r="C1894" i="14"/>
  <c r="C1888" i="14"/>
  <c r="C1882" i="14"/>
  <c r="C1876" i="14"/>
  <c r="C1870" i="14"/>
  <c r="C1840" i="14"/>
  <c r="C1834" i="14"/>
  <c r="C1828" i="14"/>
  <c r="C1822" i="14"/>
  <c r="C1816" i="14"/>
  <c r="C1810" i="14"/>
  <c r="C1804" i="14"/>
  <c r="C1798" i="14"/>
  <c r="C1792" i="14"/>
  <c r="C1786" i="14"/>
  <c r="C1780" i="14"/>
  <c r="C1774" i="14"/>
  <c r="C1768" i="14"/>
  <c r="C1762" i="14"/>
  <c r="C1756" i="14"/>
  <c r="C1750" i="14"/>
  <c r="C1744" i="14"/>
  <c r="C1738" i="14"/>
  <c r="C1732" i="14"/>
  <c r="C1726" i="14"/>
  <c r="C1720" i="14"/>
  <c r="C1714" i="14"/>
  <c r="C1708" i="14"/>
  <c r="C1702" i="14"/>
  <c r="C1696" i="14"/>
  <c r="C1690" i="14"/>
  <c r="C1684" i="14"/>
  <c r="C1678" i="14"/>
  <c r="C1672" i="14"/>
  <c r="C1666" i="14"/>
  <c r="C1660" i="14"/>
  <c r="C1654" i="14"/>
  <c r="C1648" i="14"/>
  <c r="C1642" i="14"/>
  <c r="C1636" i="14"/>
  <c r="C1630" i="14"/>
  <c r="C1624" i="14"/>
  <c r="C1618" i="14"/>
  <c r="C1612" i="14"/>
  <c r="C1606" i="14"/>
  <c r="C1600" i="14"/>
  <c r="C1594" i="14"/>
  <c r="C1588" i="14"/>
  <c r="C1582" i="14"/>
  <c r="C1576" i="14"/>
  <c r="C1570" i="14"/>
  <c r="C1564" i="14"/>
  <c r="C1558" i="14"/>
  <c r="C1552" i="14"/>
  <c r="C1546" i="14"/>
  <c r="C1540" i="14"/>
  <c r="E2494" i="14"/>
  <c r="C2273" i="14"/>
  <c r="E2706" i="14"/>
  <c r="E2700" i="14"/>
  <c r="E2694" i="14"/>
  <c r="E2688" i="14"/>
  <c r="E2682" i="14"/>
  <c r="E2676" i="14"/>
  <c r="E2670" i="14"/>
  <c r="E2664" i="14"/>
  <c r="E2658" i="14"/>
  <c r="E2652" i="14"/>
  <c r="E2646" i="14"/>
  <c r="E2640" i="14"/>
  <c r="E2634" i="14"/>
  <c r="E2628" i="14"/>
  <c r="E2622" i="14"/>
  <c r="E2616" i="14"/>
  <c r="E2610" i="14"/>
  <c r="E2604" i="14"/>
  <c r="E2598" i="14"/>
  <c r="E2592" i="14"/>
  <c r="E2586" i="14"/>
  <c r="E2580" i="14"/>
  <c r="E2574" i="14"/>
  <c r="E2568" i="14"/>
  <c r="E2562" i="14"/>
  <c r="E2556" i="14"/>
  <c r="E2550" i="14"/>
  <c r="E2544" i="14"/>
  <c r="E2538" i="14"/>
  <c r="E2532" i="14"/>
  <c r="E2502" i="14"/>
  <c r="E2741" i="14"/>
  <c r="E2734" i="14"/>
  <c r="C2428" i="14"/>
  <c r="C2457" i="14"/>
  <c r="E8" i="14"/>
  <c r="E27" i="14"/>
  <c r="E21" i="14"/>
  <c r="E15" i="14"/>
  <c r="E2742" i="14"/>
  <c r="E2736" i="14"/>
  <c r="E2730" i="14"/>
  <c r="E2724" i="14"/>
  <c r="E2718" i="14"/>
  <c r="E2712" i="14"/>
  <c r="E1643" i="14"/>
  <c r="E1637" i="14"/>
  <c r="E1631" i="14"/>
  <c r="E1625" i="14"/>
  <c r="E1619" i="14"/>
  <c r="E1613" i="14"/>
  <c r="E1607" i="14"/>
  <c r="E1601" i="14"/>
  <c r="E1595" i="14"/>
  <c r="E1589" i="14"/>
  <c r="E1583" i="14"/>
  <c r="E1577" i="14"/>
  <c r="E1571" i="14"/>
  <c r="E1565" i="14"/>
  <c r="E1559" i="14"/>
  <c r="E1553" i="14"/>
  <c r="E1547" i="14"/>
  <c r="E1541" i="14"/>
  <c r="E1535" i="14"/>
  <c r="E1529" i="14"/>
  <c r="E1523" i="14"/>
  <c r="E1517" i="14"/>
  <c r="E1511" i="14"/>
  <c r="E1505" i="14"/>
  <c r="E1499" i="14"/>
  <c r="E1493" i="14"/>
  <c r="E1487" i="14"/>
  <c r="E1481" i="14"/>
  <c r="E1475" i="14"/>
  <c r="E1469" i="14"/>
  <c r="E1463" i="14"/>
  <c r="E1457" i="14"/>
  <c r="E1451" i="14"/>
  <c r="E1445" i="14"/>
  <c r="E1439" i="14"/>
  <c r="E1433" i="14"/>
  <c r="E1427" i="14"/>
  <c r="E1421" i="14"/>
  <c r="E1415" i="14"/>
  <c r="E1409" i="14"/>
  <c r="E1403" i="14"/>
  <c r="E1397" i="14"/>
  <c r="E1391" i="14"/>
  <c r="E1385" i="14"/>
  <c r="E1379" i="14"/>
  <c r="E1373" i="14"/>
  <c r="E1367" i="14"/>
  <c r="E1361" i="14"/>
  <c r="E1355" i="14"/>
  <c r="E1349" i="14"/>
  <c r="E1343" i="14"/>
  <c r="E1337" i="14"/>
  <c r="E1331" i="14"/>
  <c r="E1325" i="14"/>
  <c r="E1319" i="14"/>
  <c r="E1313" i="14"/>
  <c r="E1307" i="14"/>
  <c r="E1301" i="14"/>
  <c r="E1295" i="14"/>
  <c r="E1289" i="14"/>
  <c r="E1283" i="14"/>
  <c r="E1277" i="14"/>
  <c r="E1271" i="14"/>
  <c r="E1265" i="14"/>
  <c r="E1259" i="14"/>
  <c r="E1253" i="14"/>
  <c r="E1247" i="14"/>
  <c r="E1241" i="14"/>
  <c r="E1235" i="14"/>
  <c r="E1229" i="14"/>
  <c r="E1223" i="14"/>
  <c r="E1217" i="14"/>
  <c r="E1211" i="14"/>
  <c r="E1205" i="14"/>
  <c r="E1199" i="14"/>
  <c r="E1193" i="14"/>
  <c r="E1187" i="14"/>
  <c r="E1181" i="14"/>
  <c r="E1175" i="14"/>
  <c r="E1169" i="14"/>
  <c r="E1163" i="14"/>
  <c r="E1157" i="14"/>
  <c r="E1151" i="14"/>
  <c r="E1145" i="14"/>
  <c r="E1139" i="14"/>
  <c r="C1534" i="14"/>
  <c r="C1528" i="14"/>
  <c r="C1522" i="14"/>
  <c r="C1516" i="14"/>
  <c r="C1510" i="14"/>
  <c r="C1504" i="14"/>
  <c r="C1498" i="14"/>
  <c r="C1492" i="14"/>
  <c r="C1486" i="14"/>
  <c r="C1480" i="14"/>
  <c r="C1474" i="14"/>
  <c r="C1468" i="14"/>
  <c r="C1462" i="14"/>
  <c r="C1456" i="14"/>
  <c r="C1450" i="14"/>
  <c r="C1444" i="14"/>
  <c r="C1438" i="14"/>
  <c r="C1432" i="14"/>
  <c r="C1426" i="14"/>
  <c r="C1420" i="14"/>
  <c r="C1414" i="14"/>
  <c r="C1408" i="14"/>
  <c r="C1402" i="14"/>
  <c r="C1396" i="14"/>
  <c r="C1390" i="14"/>
  <c r="C1384" i="14"/>
  <c r="C1378" i="14"/>
  <c r="C1372" i="14"/>
  <c r="C1366" i="14"/>
  <c r="C1360" i="14"/>
  <c r="C1354" i="14"/>
  <c r="C1348" i="14"/>
  <c r="C1342" i="14"/>
  <c r="C1336" i="14"/>
  <c r="C1330" i="14"/>
  <c r="C1324" i="14"/>
  <c r="C1318" i="14"/>
  <c r="C1312" i="14"/>
  <c r="C1306" i="14"/>
  <c r="C1300" i="14"/>
  <c r="C1294" i="14"/>
  <c r="C1288" i="14"/>
  <c r="C1282" i="14"/>
  <c r="C1276" i="14"/>
  <c r="C1270" i="14"/>
  <c r="C1264" i="14"/>
  <c r="C1258" i="14"/>
  <c r="C1252" i="14"/>
  <c r="C1246" i="14"/>
  <c r="C1240" i="14"/>
  <c r="C1234" i="14"/>
  <c r="C1228" i="14"/>
  <c r="C1222" i="14"/>
  <c r="C1216" i="14"/>
  <c r="C1210" i="14"/>
  <c r="C1204" i="14"/>
  <c r="C1198" i="14"/>
  <c r="C1192" i="14"/>
  <c r="C1186" i="14"/>
  <c r="C1180" i="14"/>
  <c r="C1174" i="14"/>
  <c r="C1168" i="14"/>
  <c r="C1162" i="14"/>
  <c r="C1156" i="14"/>
  <c r="C1150" i="14"/>
  <c r="C1144" i="14"/>
  <c r="C1138" i="14"/>
  <c r="C1132" i="14"/>
  <c r="C1126" i="14"/>
  <c r="C1120" i="14"/>
  <c r="C1114" i="14"/>
  <c r="C1108" i="14"/>
  <c r="C1102" i="14"/>
  <c r="C1096" i="14"/>
  <c r="C1090" i="14"/>
  <c r="C1084" i="14"/>
  <c r="C1078" i="14"/>
  <c r="C1072" i="14"/>
  <c r="C1066" i="14"/>
  <c r="C1060" i="14"/>
  <c r="C1054" i="14"/>
  <c r="C1048" i="14"/>
  <c r="C1042" i="14"/>
  <c r="C1036" i="14"/>
  <c r="C1030" i="14"/>
  <c r="C1024" i="14"/>
  <c r="C1018" i="14"/>
  <c r="C1012" i="14"/>
  <c r="C1006" i="14"/>
  <c r="E1133" i="14"/>
  <c r="E1127" i="14"/>
  <c r="E1121" i="14"/>
  <c r="E1115" i="14"/>
  <c r="E1109" i="14"/>
  <c r="E1103" i="14"/>
  <c r="E1097" i="14"/>
  <c r="E1091" i="14"/>
  <c r="E1085" i="14"/>
  <c r="E1079" i="14"/>
  <c r="E1073" i="14"/>
  <c r="E1067" i="14"/>
  <c r="E1061" i="14"/>
  <c r="E1055" i="14"/>
  <c r="E1049" i="14"/>
  <c r="E1043" i="14"/>
  <c r="E1037" i="14"/>
  <c r="E1031" i="14"/>
  <c r="E1025" i="14"/>
  <c r="E1019" i="14"/>
  <c r="E1013" i="14"/>
  <c r="E1007" i="14"/>
  <c r="E1001" i="14"/>
  <c r="E995" i="14"/>
  <c r="E989" i="14"/>
  <c r="E983" i="14"/>
  <c r="E977" i="14"/>
  <c r="E971" i="14"/>
  <c r="E965" i="14"/>
  <c r="E959" i="14"/>
  <c r="E953" i="14"/>
  <c r="E947" i="14"/>
  <c r="E941" i="14"/>
  <c r="E935" i="14"/>
  <c r="E929" i="14"/>
  <c r="E923" i="14"/>
  <c r="E917" i="14"/>
  <c r="E911" i="14"/>
  <c r="E905" i="14"/>
  <c r="E899" i="14"/>
  <c r="E893" i="14"/>
  <c r="E887" i="14"/>
  <c r="E881" i="14"/>
  <c r="E875" i="14"/>
  <c r="E869" i="14"/>
  <c r="E863" i="14"/>
  <c r="E857" i="14"/>
  <c r="E851" i="14"/>
  <c r="E845" i="14"/>
  <c r="E839" i="14"/>
  <c r="E833" i="14"/>
  <c r="E827" i="14"/>
  <c r="C1025" i="14"/>
  <c r="C1019" i="14"/>
  <c r="C1013" i="14"/>
  <c r="C1007" i="14"/>
  <c r="C1001" i="14"/>
  <c r="C995" i="14"/>
  <c r="C989" i="14"/>
  <c r="C983" i="14"/>
  <c r="C977" i="14"/>
  <c r="C971" i="14"/>
  <c r="C965" i="14"/>
  <c r="C959" i="14"/>
  <c r="C953" i="14"/>
  <c r="C947" i="14"/>
  <c r="C941" i="14"/>
  <c r="C929" i="14"/>
  <c r="C923" i="14"/>
  <c r="C917" i="14"/>
  <c r="C911" i="14"/>
  <c r="C905" i="14"/>
  <c r="C899" i="14"/>
  <c r="C893" i="14"/>
  <c r="C887" i="14"/>
  <c r="C881" i="14"/>
  <c r="C875" i="14"/>
  <c r="C869" i="14"/>
  <c r="C863" i="14"/>
  <c r="C857" i="14"/>
  <c r="C851" i="14"/>
  <c r="C839" i="14"/>
  <c r="C833" i="14"/>
  <c r="C827" i="14"/>
  <c r="C821" i="14"/>
  <c r="C815" i="14"/>
  <c r="C809" i="14"/>
  <c r="C803" i="14"/>
  <c r="C797" i="14"/>
  <c r="C791" i="14"/>
  <c r="C785" i="14"/>
  <c r="C779" i="14"/>
  <c r="C773" i="14"/>
  <c r="C1000" i="14"/>
  <c r="C994" i="14"/>
  <c r="C988" i="14"/>
  <c r="C982" i="14"/>
  <c r="C976" i="14"/>
  <c r="C970" i="14"/>
  <c r="C964" i="14"/>
  <c r="C958" i="14"/>
  <c r="C952" i="14"/>
  <c r="C946" i="14"/>
  <c r="C940" i="14"/>
  <c r="C934" i="14"/>
  <c r="C928" i="14"/>
  <c r="C922" i="14"/>
  <c r="C916" i="14"/>
  <c r="C910" i="14"/>
  <c r="C904" i="14"/>
  <c r="C898" i="14"/>
  <c r="C892" i="14"/>
  <c r="C886" i="14"/>
  <c r="C880" i="14"/>
  <c r="C874" i="14"/>
  <c r="C868" i="14"/>
  <c r="C862" i="14"/>
  <c r="C856" i="14"/>
  <c r="C850" i="14"/>
  <c r="C844" i="14"/>
  <c r="C838" i="14"/>
  <c r="C832" i="14"/>
  <c r="C826" i="14"/>
  <c r="C820" i="14"/>
  <c r="C814" i="14"/>
  <c r="C808" i="14"/>
  <c r="C802" i="14"/>
  <c r="C796" i="14"/>
  <c r="C790" i="14"/>
  <c r="C784" i="14"/>
  <c r="C778" i="14"/>
  <c r="C772" i="14"/>
  <c r="C766" i="14"/>
  <c r="C760" i="14"/>
  <c r="C754" i="14"/>
  <c r="C748" i="14"/>
  <c r="C742" i="14"/>
  <c r="C736" i="14"/>
  <c r="C730" i="14"/>
  <c r="C724" i="14"/>
  <c r="C718" i="14"/>
  <c r="C712" i="14"/>
  <c r="C706" i="14"/>
  <c r="C700" i="14"/>
  <c r="C694" i="14"/>
  <c r="C688" i="14"/>
  <c r="C682" i="14"/>
  <c r="C676" i="14"/>
  <c r="C670" i="14"/>
  <c r="C664" i="14"/>
  <c r="C658" i="14"/>
  <c r="C652" i="14"/>
  <c r="C646" i="14"/>
  <c r="C640" i="14"/>
  <c r="C634" i="14"/>
  <c r="C628" i="14"/>
  <c r="C622" i="14"/>
  <c r="C616" i="14"/>
  <c r="C610" i="14"/>
  <c r="C604" i="14"/>
  <c r="C598" i="14"/>
  <c r="C592" i="14"/>
  <c r="C586" i="14"/>
  <c r="C580" i="14"/>
  <c r="C574" i="14"/>
  <c r="C568" i="14"/>
  <c r="C562" i="14"/>
  <c r="C556" i="14"/>
  <c r="C550" i="14"/>
  <c r="C544" i="14"/>
  <c r="C538" i="14"/>
  <c r="C532" i="14"/>
  <c r="C526" i="14"/>
  <c r="C520" i="14"/>
  <c r="C514" i="14"/>
  <c r="C508" i="14"/>
  <c r="C502" i="14"/>
  <c r="C496" i="14"/>
  <c r="E703" i="14"/>
  <c r="E697" i="14"/>
  <c r="E691" i="14"/>
  <c r="E685" i="14"/>
  <c r="E679" i="14"/>
  <c r="E673" i="14"/>
  <c r="E667" i="14"/>
  <c r="E661" i="14"/>
  <c r="E655" i="14"/>
  <c r="E649" i="14"/>
  <c r="E643" i="14"/>
  <c r="E637" i="14"/>
  <c r="E631" i="14"/>
  <c r="E625" i="14"/>
  <c r="E619" i="14"/>
  <c r="E613" i="14"/>
  <c r="E607" i="14"/>
  <c r="E601" i="14"/>
  <c r="E595" i="14"/>
  <c r="E589" i="14"/>
  <c r="E583" i="14"/>
  <c r="E577" i="14"/>
  <c r="E571" i="14"/>
  <c r="E565" i="14"/>
  <c r="E559" i="14"/>
  <c r="E553" i="14"/>
  <c r="E547" i="14"/>
  <c r="E541" i="14"/>
  <c r="E828" i="14"/>
  <c r="E822" i="14"/>
  <c r="E816" i="14"/>
  <c r="E810" i="14"/>
  <c r="E804" i="14"/>
  <c r="E798" i="14"/>
  <c r="E792" i="14"/>
  <c r="E786" i="14"/>
  <c r="E780" i="14"/>
  <c r="E774" i="14"/>
  <c r="E768" i="14"/>
  <c r="E762" i="14"/>
  <c r="E756" i="14"/>
  <c r="E750" i="14"/>
  <c r="E744" i="14"/>
  <c r="E738" i="14"/>
  <c r="E732" i="14"/>
  <c r="E726" i="14"/>
  <c r="E720" i="14"/>
  <c r="E714" i="14"/>
  <c r="E708" i="14"/>
  <c r="E702" i="14"/>
  <c r="E696" i="14"/>
  <c r="E690" i="14"/>
  <c r="E684" i="14"/>
  <c r="E678" i="14"/>
  <c r="E672" i="14"/>
  <c r="E666" i="14"/>
  <c r="E660" i="14"/>
  <c r="E654" i="14"/>
  <c r="E648" i="14"/>
  <c r="E642" i="14"/>
  <c r="E636" i="14"/>
  <c r="E630" i="14"/>
  <c r="E624" i="14"/>
  <c r="E618" i="14"/>
  <c r="E612" i="14"/>
  <c r="E606" i="14"/>
  <c r="E600" i="14"/>
  <c r="E594" i="14"/>
  <c r="E588" i="14"/>
  <c r="E582" i="14"/>
  <c r="E576" i="14"/>
  <c r="E570" i="14"/>
  <c r="E564" i="14"/>
  <c r="E558" i="14"/>
  <c r="E552" i="14"/>
  <c r="E546" i="14"/>
  <c r="E540" i="14"/>
  <c r="E534" i="14"/>
  <c r="E528" i="14"/>
  <c r="E522" i="14"/>
  <c r="E516" i="14"/>
  <c r="C768" i="14"/>
  <c r="C678" i="14"/>
  <c r="C558" i="14"/>
  <c r="C528" i="14"/>
  <c r="E510" i="14"/>
  <c r="E504" i="14"/>
  <c r="E498" i="14"/>
  <c r="E492" i="14"/>
  <c r="E486" i="14"/>
  <c r="E480" i="14"/>
  <c r="E474" i="14"/>
  <c r="E468" i="14"/>
  <c r="E462" i="14"/>
  <c r="E456" i="14"/>
  <c r="E450" i="14"/>
  <c r="E444" i="14"/>
  <c r="E438" i="14"/>
  <c r="E432" i="14"/>
  <c r="E426" i="14"/>
  <c r="E420" i="14"/>
  <c r="E414" i="14"/>
  <c r="E408" i="14"/>
  <c r="E402" i="14"/>
  <c r="E396" i="14"/>
  <c r="E390" i="14"/>
  <c r="E384" i="14"/>
  <c r="E378" i="14"/>
  <c r="E372" i="14"/>
  <c r="E366" i="14"/>
  <c r="E360" i="14"/>
  <c r="E354" i="14"/>
  <c r="E348" i="14"/>
  <c r="E342" i="14"/>
  <c r="E336" i="14"/>
  <c r="E330" i="14"/>
  <c r="E324" i="14"/>
  <c r="E318" i="14"/>
  <c r="E312" i="14"/>
  <c r="E306" i="14"/>
  <c r="E300" i="14"/>
  <c r="E294" i="14"/>
  <c r="E288" i="14"/>
  <c r="E282" i="14"/>
  <c r="E276" i="14"/>
  <c r="E270" i="14"/>
  <c r="E264" i="14"/>
  <c r="E258" i="14"/>
  <c r="E252" i="14"/>
  <c r="E246" i="14"/>
  <c r="E240" i="14"/>
  <c r="E234" i="14"/>
  <c r="E228" i="14"/>
  <c r="E222" i="14"/>
  <c r="E216" i="14"/>
  <c r="E210" i="14"/>
  <c r="E204" i="14"/>
  <c r="E198" i="14"/>
  <c r="E192" i="14"/>
  <c r="E186" i="14"/>
  <c r="E180" i="14"/>
  <c r="E174" i="14"/>
  <c r="E168" i="14"/>
  <c r="E162" i="14"/>
  <c r="E156" i="14"/>
  <c r="E150" i="14"/>
  <c r="E144" i="14"/>
  <c r="E138" i="14"/>
  <c r="E132" i="14"/>
  <c r="E126" i="14"/>
  <c r="E120" i="14"/>
  <c r="E114" i="14"/>
  <c r="E108" i="14"/>
  <c r="E102" i="14"/>
  <c r="E96" i="14"/>
  <c r="E90" i="14"/>
  <c r="E84" i="14"/>
  <c r="E78" i="14"/>
  <c r="E72" i="14"/>
  <c r="E66" i="14"/>
  <c r="E60" i="14"/>
  <c r="E54" i="14"/>
  <c r="E48" i="14"/>
  <c r="E42" i="14"/>
  <c r="E36" i="14"/>
  <c r="C383" i="14"/>
  <c r="C377" i="14"/>
  <c r="C371" i="14"/>
  <c r="C359" i="14"/>
  <c r="C109" i="14"/>
  <c r="C490" i="14"/>
  <c r="C484" i="14"/>
  <c r="C478" i="14"/>
  <c r="C472" i="14"/>
  <c r="C466" i="14"/>
  <c r="C460" i="14"/>
  <c r="C454" i="14"/>
  <c r="C448" i="14"/>
  <c r="C442" i="14"/>
  <c r="C436" i="14"/>
  <c r="C430" i="14"/>
  <c r="C424" i="14"/>
  <c r="C418" i="14"/>
  <c r="C412" i="14"/>
  <c r="C406" i="14"/>
  <c r="C400" i="14"/>
  <c r="C394" i="14"/>
  <c r="C346" i="14"/>
  <c r="C298" i="14"/>
  <c r="C208" i="14"/>
  <c r="C202" i="14"/>
  <c r="C196" i="14"/>
  <c r="C190" i="14"/>
  <c r="C184" i="14"/>
  <c r="C178" i="14"/>
  <c r="C172" i="14"/>
  <c r="C166" i="14"/>
  <c r="C160" i="14"/>
  <c r="C154" i="14"/>
  <c r="C142" i="14"/>
  <c r="C136" i="14"/>
  <c r="C130" i="14"/>
  <c r="C124" i="14"/>
  <c r="C118" i="14"/>
  <c r="C112" i="14"/>
  <c r="C106" i="14"/>
  <c r="C100" i="14"/>
  <c r="C94" i="14"/>
  <c r="C88" i="14"/>
  <c r="C82" i="14"/>
  <c r="C76" i="14"/>
  <c r="C52" i="14"/>
  <c r="C40" i="14"/>
  <c r="E513" i="14"/>
  <c r="E507" i="14"/>
  <c r="E501" i="14"/>
  <c r="E495" i="14"/>
  <c r="E489" i="14"/>
  <c r="E483" i="14"/>
  <c r="E477" i="14"/>
  <c r="E471" i="14"/>
  <c r="E465" i="14"/>
  <c r="E459" i="14"/>
  <c r="E453" i="14"/>
  <c r="E447" i="14"/>
  <c r="E441" i="14"/>
  <c r="E435" i="14"/>
  <c r="E429" i="14"/>
  <c r="E423" i="14"/>
  <c r="E417" i="14"/>
  <c r="E411" i="14"/>
  <c r="E405" i="14"/>
  <c r="E399" i="14"/>
  <c r="E393" i="14"/>
  <c r="E387" i="14"/>
  <c r="E381" i="14"/>
  <c r="E375" i="14"/>
  <c r="E369" i="14"/>
  <c r="E363" i="14"/>
  <c r="E357" i="14"/>
  <c r="E351" i="14"/>
  <c r="E345" i="14"/>
  <c r="E339" i="14"/>
  <c r="E333" i="14"/>
  <c r="E327" i="14"/>
  <c r="E321" i="14"/>
  <c r="E315" i="14"/>
  <c r="E309" i="14"/>
  <c r="E303" i="14"/>
  <c r="E297" i="14"/>
  <c r="E291" i="14"/>
  <c r="E285" i="14"/>
  <c r="E279" i="14"/>
  <c r="E273" i="14"/>
  <c r="E267" i="14"/>
  <c r="E535" i="14"/>
  <c r="E529" i="14"/>
  <c r="E523" i="14"/>
  <c r="E517" i="14"/>
  <c r="E511" i="14"/>
  <c r="E505" i="14"/>
  <c r="E499" i="14"/>
  <c r="E493" i="14"/>
  <c r="E487" i="14"/>
  <c r="E481" i="14"/>
  <c r="E475" i="14"/>
  <c r="E469" i="14"/>
  <c r="E463" i="14"/>
  <c r="E457" i="14"/>
  <c r="E451" i="14"/>
  <c r="E445" i="14"/>
  <c r="E439" i="14"/>
  <c r="E433" i="14"/>
  <c r="E427" i="14"/>
  <c r="E421" i="14"/>
  <c r="E415" i="14"/>
  <c r="E409" i="14"/>
  <c r="E403" i="14"/>
  <c r="E397" i="14"/>
  <c r="E391" i="14"/>
  <c r="E385" i="14"/>
  <c r="E379" i="14"/>
  <c r="E373" i="14"/>
  <c r="E367" i="14"/>
  <c r="E361" i="14"/>
  <c r="E355" i="14"/>
  <c r="E349" i="14"/>
  <c r="E343" i="14"/>
  <c r="E337" i="14"/>
  <c r="E331" i="14"/>
  <c r="E325" i="14"/>
  <c r="E319" i="14"/>
  <c r="E313" i="14"/>
  <c r="E307" i="14"/>
  <c r="E301" i="14"/>
  <c r="E295" i="14"/>
  <c r="E289" i="14"/>
  <c r="E283" i="14"/>
  <c r="E277" i="14"/>
  <c r="E271" i="14"/>
  <c r="E265" i="14"/>
  <c r="E259" i="14"/>
  <c r="E253" i="14"/>
  <c r="E247" i="14"/>
  <c r="E241" i="14"/>
  <c r="E235" i="14"/>
  <c r="E229" i="14"/>
  <c r="E223" i="14"/>
  <c r="E217" i="14"/>
  <c r="E211" i="14"/>
  <c r="E205" i="14"/>
  <c r="E199" i="14"/>
  <c r="E193" i="14"/>
  <c r="E187" i="14"/>
  <c r="E181" i="14"/>
  <c r="E175" i="14"/>
  <c r="E169" i="14"/>
  <c r="E163" i="14"/>
  <c r="E157" i="14"/>
  <c r="E151" i="14"/>
  <c r="E145" i="14"/>
  <c r="E139" i="14"/>
  <c r="E133" i="14"/>
  <c r="E127" i="14"/>
  <c r="E121" i="14"/>
  <c r="E115" i="14"/>
  <c r="E109" i="14"/>
  <c r="E103" i="14"/>
  <c r="E97" i="14"/>
  <c r="E91" i="14"/>
  <c r="E85" i="14"/>
  <c r="E79" i="14"/>
  <c r="E73" i="14"/>
  <c r="E67" i="14"/>
  <c r="E61" i="14"/>
  <c r="E55" i="14"/>
  <c r="E49" i="14"/>
  <c r="E43" i="14"/>
  <c r="E37" i="14"/>
  <c r="C511" i="14"/>
  <c r="C505" i="14"/>
  <c r="C499" i="14"/>
  <c r="C493" i="14"/>
  <c r="C487" i="14"/>
  <c r="C481" i="14"/>
  <c r="C475" i="14"/>
  <c r="C469" i="14"/>
  <c r="C463" i="14"/>
  <c r="C457" i="14"/>
  <c r="C451" i="14"/>
  <c r="C445" i="14"/>
  <c r="C439" i="14"/>
  <c r="C433" i="14"/>
  <c r="C427" i="14"/>
  <c r="C421" i="14"/>
  <c r="C415" i="14"/>
  <c r="C409" i="14"/>
  <c r="C403" i="14"/>
  <c r="C391" i="14"/>
  <c r="C385" i="14"/>
  <c r="C379" i="14"/>
  <c r="C373" i="14"/>
  <c r="C367" i="14"/>
  <c r="C361" i="14"/>
  <c r="C355" i="14"/>
  <c r="C349" i="14"/>
  <c r="C343" i="14"/>
  <c r="C337" i="14"/>
  <c r="C331" i="14"/>
  <c r="C325" i="14"/>
  <c r="C319" i="14"/>
  <c r="C313" i="14"/>
  <c r="C307" i="14"/>
  <c r="C301" i="14"/>
  <c r="C295" i="14"/>
  <c r="C289" i="14"/>
  <c r="C283" i="14"/>
  <c r="C277" i="14"/>
  <c r="C271" i="14"/>
  <c r="C265" i="14"/>
  <c r="C259" i="14"/>
  <c r="C253" i="14"/>
  <c r="C247" i="14"/>
  <c r="C241" i="14"/>
  <c r="C235" i="14"/>
  <c r="C229" i="14"/>
  <c r="C223" i="14"/>
  <c r="C217" i="14"/>
  <c r="C211" i="14"/>
  <c r="C205" i="14"/>
  <c r="C199" i="14"/>
  <c r="C193" i="14"/>
  <c r="C187" i="14"/>
  <c r="C181" i="14"/>
  <c r="C175" i="14"/>
  <c r="C169" i="14"/>
  <c r="C163" i="14"/>
  <c r="C157" i="14"/>
  <c r="C151" i="14"/>
  <c r="C145" i="14"/>
  <c r="C139" i="14"/>
  <c r="C133" i="14"/>
  <c r="C127" i="14"/>
  <c r="C121" i="14"/>
  <c r="C115" i="14"/>
  <c r="C103" i="14"/>
  <c r="C97" i="14"/>
  <c r="C91" i="14"/>
  <c r="C85" i="14"/>
  <c r="C79" i="14"/>
  <c r="C73" i="14"/>
  <c r="C67" i="14"/>
  <c r="C61" i="14"/>
  <c r="C55" i="14"/>
  <c r="C49" i="14"/>
  <c r="C43" i="14"/>
  <c r="C37" i="14"/>
  <c r="E2707" i="14"/>
  <c r="C2521" i="14"/>
  <c r="E2496" i="14"/>
  <c r="E2490" i="14"/>
  <c r="E2484" i="14"/>
  <c r="E2478" i="14"/>
  <c r="E2472" i="14"/>
  <c r="E2466" i="14"/>
  <c r="E2460" i="14"/>
  <c r="E2526" i="14"/>
  <c r="E2520" i="14"/>
  <c r="E2514" i="14"/>
  <c r="E2508" i="14"/>
  <c r="C8" i="14"/>
  <c r="C27" i="14"/>
  <c r="C21" i="14"/>
  <c r="C15" i="14"/>
  <c r="C2742" i="14"/>
  <c r="C2736" i="14"/>
  <c r="C2730" i="14"/>
  <c r="C2724" i="14"/>
  <c r="C2718" i="14"/>
  <c r="C2712" i="14"/>
  <c r="C2706" i="14"/>
  <c r="C2700" i="14"/>
  <c r="C2694" i="14"/>
  <c r="C2688" i="14"/>
  <c r="C2682" i="14"/>
  <c r="C2676" i="14"/>
  <c r="C2670" i="14"/>
  <c r="C2664" i="14"/>
  <c r="C2658" i="14"/>
  <c r="C2652" i="14"/>
  <c r="C2646" i="14"/>
  <c r="C2640" i="14"/>
  <c r="C2634" i="14"/>
  <c r="C2628" i="14"/>
  <c r="C2622" i="14"/>
  <c r="C2616" i="14"/>
  <c r="C2610" i="14"/>
  <c r="C2604" i="14"/>
  <c r="C2598" i="14"/>
  <c r="C2592" i="14"/>
  <c r="C2586" i="14"/>
  <c r="C2580" i="14"/>
  <c r="C2574" i="14"/>
  <c r="C2568" i="14"/>
  <c r="C2562" i="14"/>
  <c r="C2556" i="14"/>
  <c r="C2550" i="14"/>
  <c r="C2544" i="14"/>
  <c r="C2538" i="14"/>
  <c r="C2532" i="14"/>
  <c r="C2526" i="14"/>
  <c r="C2520" i="14"/>
  <c r="C2514" i="14"/>
  <c r="C2508" i="14"/>
  <c r="C2502" i="14"/>
  <c r="C2496" i="14"/>
  <c r="C2490" i="14"/>
  <c r="C2484" i="14"/>
  <c r="C2478" i="14"/>
  <c r="C2472" i="14"/>
  <c r="C2466" i="14"/>
  <c r="C2460" i="14"/>
  <c r="C2454" i="14"/>
  <c r="C2448" i="14"/>
  <c r="C2442" i="14"/>
  <c r="C2436" i="14"/>
  <c r="C2430" i="14"/>
  <c r="C2424" i="14"/>
  <c r="C2418" i="14"/>
  <c r="C2412" i="14"/>
  <c r="C2406" i="14"/>
  <c r="C2400" i="14"/>
  <c r="C2394" i="14"/>
  <c r="C2388" i="14"/>
  <c r="C2382" i="14"/>
  <c r="C2376" i="14"/>
  <c r="C2370" i="14"/>
  <c r="C2364" i="14"/>
  <c r="C2358" i="14"/>
  <c r="C2352" i="14"/>
  <c r="C2346" i="14"/>
  <c r="C2340" i="14"/>
  <c r="C2334" i="14"/>
  <c r="C2328" i="14"/>
  <c r="C2322" i="14"/>
  <c r="C2316" i="14"/>
  <c r="C2310" i="14"/>
  <c r="C2304" i="14"/>
  <c r="C2298" i="14"/>
  <c r="C2292" i="14"/>
  <c r="C1746" i="14"/>
  <c r="C6" i="14"/>
  <c r="E6" i="14"/>
  <c r="C31" i="14"/>
  <c r="C25" i="14"/>
  <c r="C19" i="14"/>
  <c r="C13" i="14"/>
  <c r="C2740" i="14"/>
  <c r="C2734" i="14"/>
  <c r="C2728" i="14"/>
  <c r="C2722" i="14"/>
  <c r="C2716" i="14"/>
  <c r="C2710" i="14"/>
  <c r="C2704" i="14"/>
  <c r="C2698" i="14"/>
  <c r="C2692" i="14"/>
  <c r="C2686" i="14"/>
  <c r="C2680" i="14"/>
  <c r="C2674" i="14"/>
  <c r="C2668" i="14"/>
  <c r="C2662" i="14"/>
  <c r="C2656" i="14"/>
  <c r="C2650" i="14"/>
  <c r="C2644" i="14"/>
  <c r="C2638" i="14"/>
  <c r="C2632" i="14"/>
  <c r="C2626" i="14"/>
  <c r="C2620" i="14"/>
  <c r="C2614" i="14"/>
  <c r="C2608" i="14"/>
  <c r="C2602" i="14"/>
  <c r="C2596" i="14"/>
  <c r="C2590" i="14"/>
  <c r="C2584" i="14"/>
  <c r="C2578" i="14"/>
  <c r="C2572" i="14"/>
  <c r="C2566" i="14"/>
  <c r="C2560" i="14"/>
  <c r="C2554" i="14"/>
  <c r="C2548" i="14"/>
  <c r="C2542" i="14"/>
  <c r="C2536" i="14"/>
  <c r="C2530" i="14"/>
  <c r="C2524" i="14"/>
  <c r="C2518" i="14"/>
  <c r="C2512" i="14"/>
  <c r="C2506" i="14"/>
  <c r="C2500" i="14"/>
  <c r="E11" i="14"/>
  <c r="E30" i="14"/>
  <c r="E24" i="14"/>
  <c r="E18" i="14"/>
  <c r="E12" i="14"/>
  <c r="E2739" i="14"/>
  <c r="C12" i="14"/>
  <c r="E2454" i="14"/>
  <c r="E2448" i="14"/>
  <c r="E2442" i="14"/>
  <c r="E2436" i="14"/>
  <c r="E2430" i="14"/>
  <c r="E2424" i="14"/>
  <c r="E2418" i="14"/>
  <c r="E2412" i="14"/>
  <c r="E2406" i="14"/>
  <c r="E2400" i="14"/>
  <c r="E2394" i="14"/>
  <c r="E2388" i="14"/>
  <c r="E2382" i="14"/>
  <c r="E2376" i="14"/>
  <c r="E2370" i="14"/>
  <c r="E2364" i="14"/>
  <c r="E2358" i="14"/>
  <c r="E2352" i="14"/>
  <c r="E2346" i="14"/>
  <c r="E2340" i="14"/>
  <c r="E2334" i="14"/>
  <c r="E2328" i="14"/>
  <c r="E2322" i="14"/>
  <c r="E2316" i="14"/>
  <c r="E2310" i="14"/>
  <c r="E2304" i="14"/>
  <c r="E2298" i="14"/>
  <c r="E2292" i="14"/>
  <c r="E2286" i="14"/>
  <c r="E2280" i="14"/>
  <c r="E2274" i="14"/>
  <c r="E2268" i="14"/>
  <c r="E2262" i="14"/>
  <c r="E2256" i="14"/>
  <c r="E2250" i="14"/>
  <c r="E2244" i="14"/>
  <c r="E2238" i="14"/>
  <c r="E2232" i="14"/>
  <c r="E2226" i="14"/>
  <c r="E2220" i="14"/>
  <c r="E2214" i="14"/>
  <c r="E2208" i="14"/>
  <c r="E2202" i="14"/>
  <c r="E2196" i="14"/>
  <c r="E2190" i="14"/>
  <c r="E2184" i="14"/>
  <c r="E2178" i="14"/>
  <c r="E2172" i="14"/>
  <c r="E2166" i="14"/>
  <c r="E2160" i="14"/>
  <c r="E2154" i="14"/>
  <c r="E2148" i="14"/>
  <c r="E2142" i="14"/>
  <c r="E2136" i="14"/>
  <c r="E2130" i="14"/>
  <c r="E2124" i="14"/>
  <c r="E2118" i="14"/>
  <c r="E2112" i="14"/>
  <c r="E2106" i="14"/>
  <c r="E2100" i="14"/>
  <c r="E2094" i="14"/>
  <c r="E2088" i="14"/>
  <c r="E2082" i="14"/>
  <c r="E2076" i="14"/>
  <c r="E2070" i="14"/>
  <c r="E2064" i="14"/>
  <c r="E2058" i="14"/>
  <c r="E2052" i="14"/>
  <c r="E2046" i="14"/>
  <c r="E2040" i="14"/>
  <c r="E2034" i="14"/>
  <c r="E2028" i="14"/>
  <c r="E2022" i="14"/>
  <c r="E2016" i="14"/>
  <c r="E2010" i="14"/>
  <c r="E2004" i="14"/>
  <c r="E1998" i="14"/>
  <c r="E1992" i="14"/>
  <c r="E1986" i="14"/>
  <c r="E1980" i="14"/>
  <c r="E1974" i="14"/>
  <c r="E1968" i="14"/>
  <c r="E1962" i="14"/>
  <c r="E1956" i="14"/>
  <c r="E1950" i="14"/>
  <c r="E1944" i="14"/>
  <c r="E1938" i="14"/>
  <c r="E1932" i="14"/>
  <c r="E1926" i="14"/>
  <c r="E1920" i="14"/>
  <c r="E1914" i="14"/>
  <c r="E1908" i="14"/>
  <c r="E1902" i="14"/>
  <c r="E1896" i="14"/>
  <c r="E1890" i="14"/>
  <c r="E1884" i="14"/>
  <c r="E1878" i="14"/>
  <c r="E1872" i="14"/>
  <c r="E1866" i="14"/>
  <c r="E1860" i="14"/>
  <c r="E1854" i="14"/>
  <c r="E1848" i="14"/>
  <c r="E1842" i="14"/>
  <c r="E1836" i="14"/>
  <c r="E1830" i="14"/>
  <c r="E1824" i="14"/>
  <c r="E1818" i="14"/>
  <c r="E1812" i="14"/>
  <c r="E1806" i="14"/>
  <c r="E1800" i="14"/>
  <c r="E1794" i="14"/>
  <c r="E1788" i="14"/>
  <c r="E1782" i="14"/>
  <c r="E1776" i="14"/>
  <c r="E1770" i="14"/>
  <c r="E1764" i="14"/>
  <c r="E1758" i="14"/>
  <c r="E1752" i="14"/>
  <c r="E1746" i="14"/>
  <c r="E1740" i="14"/>
  <c r="E1734" i="14"/>
  <c r="E1728" i="14"/>
  <c r="E1722" i="14"/>
  <c r="E1716" i="14"/>
  <c r="E1710" i="14"/>
  <c r="E1704" i="14"/>
  <c r="E1698" i="14"/>
  <c r="E1692" i="14"/>
  <c r="E1686" i="14"/>
  <c r="E1680" i="14"/>
  <c r="E1674" i="14"/>
  <c r="E1668" i="14"/>
  <c r="E1662" i="14"/>
  <c r="E1656" i="14"/>
  <c r="E1650" i="14"/>
  <c r="E1644" i="14"/>
  <c r="E1638" i="14"/>
  <c r="E1632" i="14"/>
  <c r="C2286" i="14"/>
  <c r="C2280" i="14"/>
  <c r="C2274" i="14"/>
  <c r="C2268" i="14"/>
  <c r="C2262" i="14"/>
  <c r="C2256" i="14"/>
  <c r="C2250" i="14"/>
  <c r="C2244" i="14"/>
  <c r="C2238" i="14"/>
  <c r="C2232" i="14"/>
  <c r="C2226" i="14"/>
  <c r="C2220" i="14"/>
  <c r="C2214" i="14"/>
  <c r="C2208" i="14"/>
  <c r="C2202" i="14"/>
  <c r="C2196" i="14"/>
  <c r="C2190" i="14"/>
  <c r="C2184" i="14"/>
  <c r="C2178" i="14"/>
  <c r="C2172" i="14"/>
  <c r="C2166" i="14"/>
  <c r="C2160" i="14"/>
  <c r="C2154" i="14"/>
  <c r="C2148" i="14"/>
  <c r="C2142" i="14"/>
  <c r="C2136" i="14"/>
  <c r="C2130" i="14"/>
  <c r="C2124" i="14"/>
  <c r="C2118" i="14"/>
  <c r="C2112" i="14"/>
  <c r="C2106" i="14"/>
  <c r="C2100" i="14"/>
  <c r="C2094" i="14"/>
  <c r="C2088" i="14"/>
  <c r="C2082" i="14"/>
  <c r="C2076" i="14"/>
  <c r="C2070" i="14"/>
  <c r="C2064" i="14"/>
  <c r="C2058" i="14"/>
  <c r="C2052" i="14"/>
  <c r="C2046" i="14"/>
  <c r="C2040" i="14"/>
  <c r="C2034" i="14"/>
  <c r="C2028" i="14"/>
  <c r="C2022" i="14"/>
  <c r="C2016" i="14"/>
  <c r="C2010" i="14"/>
  <c r="C2004" i="14"/>
  <c r="C1998" i="14"/>
  <c r="C1992" i="14"/>
  <c r="C1986" i="14"/>
  <c r="C1980" i="14"/>
  <c r="C1974" i="14"/>
  <c r="C1968" i="14"/>
  <c r="C1962" i="14"/>
  <c r="C1956" i="14"/>
  <c r="C1950" i="14"/>
  <c r="C1944" i="14"/>
  <c r="C1938" i="14"/>
  <c r="C1932" i="14"/>
  <c r="C1926" i="14"/>
  <c r="C1920" i="14"/>
  <c r="C1914" i="14"/>
  <c r="C1908" i="14"/>
  <c r="C1902" i="14"/>
  <c r="C1896" i="14"/>
  <c r="C1890" i="14"/>
  <c r="C1884" i="14"/>
  <c r="C1878" i="14"/>
  <c r="C1872" i="14"/>
  <c r="C1866" i="14"/>
  <c r="C1860" i="14"/>
  <c r="C1854" i="14"/>
  <c r="C1848" i="14"/>
  <c r="C1842" i="14"/>
  <c r="C1836" i="14"/>
  <c r="C1830" i="14"/>
  <c r="C1824" i="14"/>
  <c r="C1818" i="14"/>
  <c r="C1812" i="14"/>
  <c r="C1806" i="14"/>
  <c r="C1800" i="14"/>
  <c r="C1794" i="14"/>
  <c r="C1788" i="14"/>
  <c r="C1782" i="14"/>
  <c r="C1776" i="14"/>
  <c r="C1770" i="14"/>
  <c r="C1764" i="14"/>
  <c r="C1758" i="14"/>
  <c r="C1752" i="14"/>
  <c r="C1740" i="14"/>
  <c r="C1734" i="14"/>
  <c r="C1728" i="14"/>
  <c r="C1722" i="14"/>
  <c r="C1716" i="14"/>
  <c r="C1710" i="14"/>
  <c r="C1704" i="14"/>
  <c r="C1698" i="14"/>
  <c r="C1692" i="14"/>
  <c r="C1686" i="14"/>
  <c r="C1680" i="14"/>
  <c r="C1674" i="14"/>
  <c r="C1668" i="14"/>
  <c r="C1662" i="14"/>
  <c r="C1656" i="14"/>
  <c r="C1650" i="14"/>
  <c r="C1644" i="14"/>
  <c r="C1638" i="14"/>
  <c r="C1632" i="14"/>
  <c r="C1626" i="14"/>
  <c r="C1620" i="14"/>
  <c r="C1614" i="14"/>
  <c r="C1608" i="14"/>
  <c r="C1602" i="14"/>
  <c r="C1596" i="14"/>
  <c r="C1590" i="14"/>
  <c r="C1584" i="14"/>
  <c r="C1578" i="14"/>
  <c r="C1572" i="14"/>
  <c r="C1566" i="14"/>
  <c r="C1560" i="14"/>
  <c r="C1554" i="14"/>
  <c r="C1548" i="14"/>
  <c r="C1542" i="14"/>
  <c r="C1536" i="14"/>
  <c r="C1530" i="14"/>
  <c r="C1524" i="14"/>
  <c r="C1518" i="14"/>
  <c r="C1512" i="14"/>
  <c r="C1506" i="14"/>
  <c r="C1500" i="14"/>
  <c r="C1494" i="14"/>
  <c r="C1488" i="14"/>
  <c r="C1482" i="14"/>
  <c r="C1476" i="14"/>
  <c r="C1470" i="14"/>
  <c r="C1464" i="14"/>
  <c r="C1458" i="14"/>
  <c r="C1452" i="14"/>
  <c r="C1446" i="14"/>
  <c r="C1440" i="14"/>
  <c r="C1434" i="14"/>
  <c r="C1428" i="14"/>
  <c r="C1422" i="14"/>
  <c r="C1416" i="14"/>
  <c r="C1410" i="14"/>
  <c r="C1404" i="14"/>
  <c r="C1398" i="14"/>
  <c r="C1392" i="14"/>
  <c r="C1386" i="14"/>
  <c r="C1380" i="14"/>
  <c r="C1374" i="14"/>
  <c r="C1368" i="14"/>
  <c r="C1362" i="14"/>
  <c r="C1356" i="14"/>
  <c r="C1350" i="14"/>
  <c r="C1344" i="14"/>
  <c r="C1338" i="14"/>
  <c r="C1332" i="14"/>
  <c r="C1326" i="14"/>
  <c r="C1320" i="14"/>
  <c r="C1314" i="14"/>
  <c r="C1308" i="14"/>
  <c r="C1302" i="14"/>
  <c r="C1296" i="14"/>
  <c r="C1290" i="14"/>
  <c r="C1284" i="14"/>
  <c r="C1278" i="14"/>
  <c r="C1116" i="14"/>
  <c r="E2266" i="14"/>
  <c r="E2260" i="14"/>
  <c r="E2254" i="14"/>
  <c r="E2248" i="14"/>
  <c r="E2242" i="14"/>
  <c r="E2236" i="14"/>
  <c r="E2056" i="14"/>
  <c r="E2050" i="14"/>
  <c r="E2044" i="14"/>
  <c r="E2038" i="14"/>
  <c r="E2032" i="14"/>
  <c r="E1864" i="14"/>
  <c r="E1858" i="14"/>
  <c r="E1852" i="14"/>
  <c r="E1846" i="14"/>
  <c r="E1690" i="14"/>
  <c r="E1684" i="14"/>
  <c r="E1678" i="14"/>
  <c r="E1534" i="14"/>
  <c r="E1528" i="14"/>
  <c r="E1522" i="14"/>
  <c r="E1390" i="14"/>
  <c r="E1384" i="14"/>
  <c r="E1378" i="14"/>
  <c r="E1372" i="14"/>
  <c r="E1366" i="14"/>
  <c r="E1360" i="14"/>
  <c r="E1354" i="14"/>
  <c r="E1348" i="14"/>
  <c r="E1342" i="14"/>
  <c r="E1336" i="14"/>
  <c r="E1330" i="14"/>
  <c r="E1324" i="14"/>
  <c r="E1318" i="14"/>
  <c r="E1312" i="14"/>
  <c r="E1306" i="14"/>
  <c r="E1300" i="14"/>
  <c r="E1294" i="14"/>
  <c r="E1288" i="14"/>
  <c r="C2494" i="14"/>
  <c r="C2488" i="14"/>
  <c r="C2482" i="14"/>
  <c r="C2476" i="14"/>
  <c r="C2470" i="14"/>
  <c r="C2464" i="14"/>
  <c r="C2266" i="14"/>
  <c r="C2260" i="14"/>
  <c r="C2254" i="14"/>
  <c r="C2248" i="14"/>
  <c r="C2242" i="14"/>
  <c r="C2236" i="14"/>
  <c r="C2056" i="14"/>
  <c r="C2050" i="14"/>
  <c r="C2044" i="14"/>
  <c r="C2038" i="14"/>
  <c r="C2032" i="14"/>
  <c r="C1864" i="14"/>
  <c r="C1858" i="14"/>
  <c r="C1852" i="14"/>
  <c r="C1846" i="14"/>
  <c r="E2701" i="14"/>
  <c r="E2695" i="14"/>
  <c r="E2689" i="14"/>
  <c r="E2683" i="14"/>
  <c r="E2677" i="14"/>
  <c r="E2671" i="14"/>
  <c r="E2665" i="14"/>
  <c r="E2659" i="14"/>
  <c r="E2653" i="14"/>
  <c r="E2647" i="14"/>
  <c r="E2641" i="14"/>
  <c r="E2635" i="14"/>
  <c r="E2629" i="14"/>
  <c r="E2623" i="14"/>
  <c r="E2617" i="14"/>
  <c r="E2611" i="14"/>
  <c r="E2605" i="14"/>
  <c r="E2599" i="14"/>
  <c r="E2593" i="14"/>
  <c r="E2587" i="14"/>
  <c r="E2581" i="14"/>
  <c r="E2575" i="14"/>
  <c r="E2569" i="14"/>
  <c r="E2563" i="14"/>
  <c r="E2557" i="14"/>
  <c r="E2551" i="14"/>
  <c r="E2545" i="14"/>
  <c r="E2539" i="14"/>
  <c r="E2533" i="14"/>
  <c r="E2527" i="14"/>
  <c r="E2521" i="14"/>
  <c r="E2515" i="14"/>
  <c r="E2509" i="14"/>
  <c r="E2503" i="14"/>
  <c r="E2497" i="14"/>
  <c r="E2491" i="14"/>
  <c r="E2485" i="14"/>
  <c r="E2479" i="14"/>
  <c r="E2473" i="14"/>
  <c r="E2467" i="14"/>
  <c r="E2461" i="14"/>
  <c r="E2455" i="14"/>
  <c r="E2449" i="14"/>
  <c r="E2443" i="14"/>
  <c r="E2437" i="14"/>
  <c r="E2431" i="14"/>
  <c r="E2425" i="14"/>
  <c r="E2419" i="14"/>
  <c r="E2413" i="14"/>
  <c r="E2407" i="14"/>
  <c r="E2401" i="14"/>
  <c r="E2395" i="14"/>
  <c r="E2389" i="14"/>
  <c r="E2383" i="14"/>
  <c r="E2377" i="14"/>
  <c r="E2371" i="14"/>
  <c r="E2365" i="14"/>
  <c r="E2359" i="14"/>
  <c r="E2353" i="14"/>
  <c r="E2347" i="14"/>
  <c r="E2341" i="14"/>
  <c r="E2335" i="14"/>
  <c r="E2329" i="14"/>
  <c r="E2323" i="14"/>
  <c r="E2317" i="14"/>
  <c r="E2311" i="14"/>
  <c r="E2305" i="14"/>
  <c r="E2299" i="14"/>
  <c r="E2293" i="14"/>
  <c r="E2287" i="14"/>
  <c r="E2281" i="14"/>
  <c r="E2275" i="14"/>
  <c r="E2269" i="14"/>
  <c r="E2263" i="14"/>
  <c r="E2257" i="14"/>
  <c r="E2251" i="14"/>
  <c r="E2245" i="14"/>
  <c r="E2239" i="14"/>
  <c r="E2233" i="14"/>
  <c r="E2227" i="14"/>
  <c r="E2221" i="14"/>
  <c r="E2215" i="14"/>
  <c r="E2209" i="14"/>
  <c r="E2203" i="14"/>
  <c r="E2197" i="14"/>
  <c r="E2191" i="14"/>
  <c r="E2185" i="14"/>
  <c r="E2179" i="14"/>
  <c r="E2173" i="14"/>
  <c r="E2167" i="14"/>
  <c r="E2161" i="14"/>
  <c r="E2155" i="14"/>
  <c r="E2149" i="14"/>
  <c r="E2143" i="14"/>
  <c r="E2137" i="14"/>
  <c r="E2131" i="14"/>
  <c r="E2125" i="14"/>
  <c r="E2119" i="14"/>
  <c r="E2113" i="14"/>
  <c r="E2107" i="14"/>
  <c r="E2101" i="14"/>
  <c r="E2095" i="14"/>
  <c r="E2089" i="14"/>
  <c r="E2083" i="14"/>
  <c r="E2077" i="14"/>
  <c r="E2071" i="14"/>
  <c r="E2065" i="14"/>
  <c r="E2059" i="14"/>
  <c r="E2053" i="14"/>
  <c r="E2047" i="14"/>
  <c r="E2041" i="14"/>
  <c r="E2035" i="14"/>
  <c r="E2029" i="14"/>
  <c r="E2023" i="14"/>
  <c r="E2017" i="14"/>
  <c r="E2011" i="14"/>
  <c r="E2005" i="14"/>
  <c r="E1999" i="14"/>
  <c r="E1993" i="14"/>
  <c r="E1987" i="14"/>
  <c r="E1981" i="14"/>
  <c r="E1975" i="14"/>
  <c r="E1969" i="14"/>
  <c r="E1963" i="14"/>
  <c r="E1957" i="14"/>
  <c r="E1951" i="14"/>
  <c r="E1945" i="14"/>
  <c r="E1939" i="14"/>
  <c r="E1933" i="14"/>
  <c r="E1927" i="14"/>
  <c r="E1921" i="14"/>
  <c r="E1915" i="14"/>
  <c r="E1909" i="14"/>
  <c r="E1903" i="14"/>
  <c r="E1897" i="14"/>
  <c r="E1891" i="14"/>
  <c r="E1885" i="14"/>
  <c r="E1879" i="14"/>
  <c r="E1873" i="14"/>
  <c r="E1867" i="14"/>
  <c r="E1861" i="14"/>
  <c r="E1855" i="14"/>
  <c r="E1849" i="14"/>
  <c r="E1843" i="14"/>
  <c r="E1837" i="14"/>
  <c r="E1831" i="14"/>
  <c r="E1825" i="14"/>
  <c r="E1819" i="14"/>
  <c r="E1813" i="14"/>
  <c r="E1807" i="14"/>
  <c r="E1801" i="14"/>
  <c r="E1795" i="14"/>
  <c r="E1789" i="14"/>
  <c r="E1783" i="14"/>
  <c r="E1777" i="14"/>
  <c r="E1771" i="14"/>
  <c r="E1765" i="14"/>
  <c r="E1759" i="14"/>
  <c r="E1753" i="14"/>
  <c r="E1747" i="14"/>
  <c r="E1741" i="14"/>
  <c r="E1735" i="14"/>
  <c r="E1729" i="14"/>
  <c r="E1723" i="14"/>
  <c r="E1717" i="14"/>
  <c r="E1711" i="14"/>
  <c r="E1705" i="14"/>
  <c r="E1699" i="14"/>
  <c r="E1693" i="14"/>
  <c r="E1687" i="14"/>
  <c r="E1681" i="14"/>
  <c r="E1675" i="14"/>
  <c r="E9" i="14"/>
  <c r="E28" i="14"/>
  <c r="E22" i="14"/>
  <c r="E16" i="14"/>
  <c r="E2743" i="14"/>
  <c r="E2737" i="14"/>
  <c r="E2731" i="14"/>
  <c r="E2725" i="14"/>
  <c r="E2719" i="14"/>
  <c r="E2713" i="14"/>
  <c r="C9" i="14"/>
  <c r="C28" i="14"/>
  <c r="C22" i="14"/>
  <c r="C16" i="14"/>
  <c r="C2743" i="14"/>
  <c r="C2737" i="14"/>
  <c r="C2731" i="14"/>
  <c r="C2725" i="14"/>
  <c r="C2719" i="14"/>
  <c r="C2713" i="14"/>
  <c r="C2707" i="14"/>
  <c r="C2701" i="14"/>
  <c r="C2695" i="14"/>
  <c r="C2689" i="14"/>
  <c r="C2683" i="14"/>
  <c r="C2677" i="14"/>
  <c r="C2671" i="14"/>
  <c r="C2665" i="14"/>
  <c r="C2659" i="14"/>
  <c r="C2653" i="14"/>
  <c r="C2647" i="14"/>
  <c r="C2641" i="14"/>
  <c r="C2635" i="14"/>
  <c r="C2629" i="14"/>
  <c r="C2623" i="14"/>
  <c r="C2617" i="14"/>
  <c r="C2611" i="14"/>
  <c r="C2605" i="14"/>
  <c r="C2599" i="14"/>
  <c r="C2593" i="14"/>
  <c r="C2587" i="14"/>
  <c r="C2581" i="14"/>
  <c r="C2575" i="14"/>
  <c r="C2569" i="14"/>
  <c r="C2563" i="14"/>
  <c r="C2557" i="14"/>
  <c r="C2551" i="14"/>
  <c r="C2545" i="14"/>
  <c r="C2539" i="14"/>
  <c r="C2533" i="14"/>
  <c r="C2527" i="14"/>
  <c r="C2515" i="14"/>
  <c r="C2509" i="14"/>
  <c r="C2503" i="14"/>
  <c r="C2497" i="14"/>
  <c r="C2491" i="14"/>
  <c r="C2485" i="14"/>
  <c r="C2479" i="14"/>
  <c r="C2473" i="14"/>
  <c r="C2467" i="14"/>
  <c r="C2461" i="14"/>
  <c r="C2455" i="14"/>
  <c r="C2449" i="14"/>
  <c r="C2443" i="14"/>
  <c r="C2437" i="14"/>
  <c r="C2431" i="14"/>
  <c r="C2425" i="14"/>
  <c r="C2419" i="14"/>
  <c r="C2413" i="14"/>
  <c r="C2407" i="14"/>
  <c r="C2401" i="14"/>
  <c r="C2395" i="14"/>
  <c r="C2389" i="14"/>
  <c r="C2383" i="14"/>
  <c r="C2377" i="14"/>
  <c r="C2371" i="14"/>
  <c r="C2365" i="14"/>
  <c r="C2359" i="14"/>
  <c r="C2353" i="14"/>
  <c r="C2347" i="14"/>
  <c r="C2341" i="14"/>
  <c r="C2335" i="14"/>
  <c r="C2329" i="14"/>
  <c r="C2323" i="14"/>
  <c r="C2317" i="14"/>
  <c r="C2311" i="14"/>
  <c r="C2305" i="14"/>
  <c r="C2299" i="14"/>
  <c r="C2293" i="14"/>
  <c r="C2287" i="14"/>
  <c r="C2281" i="14"/>
  <c r="C2275" i="14"/>
  <c r="C2269" i="14"/>
  <c r="C2263" i="14"/>
  <c r="C2257" i="14"/>
  <c r="C2251" i="14"/>
  <c r="C2245" i="14"/>
  <c r="C2239" i="14"/>
  <c r="C2233" i="14"/>
  <c r="C2227" i="14"/>
  <c r="C2221" i="14"/>
  <c r="C2215" i="14"/>
  <c r="C2209" i="14"/>
  <c r="C2203" i="14"/>
  <c r="C2197" i="14"/>
  <c r="C2191" i="14"/>
  <c r="C2185" i="14"/>
  <c r="C2179" i="14"/>
  <c r="C2173" i="14"/>
  <c r="C2167" i="14"/>
  <c r="C2161" i="14"/>
  <c r="C2155" i="14"/>
  <c r="C2149" i="14"/>
  <c r="C2143" i="14"/>
  <c r="C2137" i="14"/>
  <c r="C2131" i="14"/>
  <c r="C2125" i="14"/>
  <c r="C2119" i="14"/>
  <c r="C2113" i="14"/>
  <c r="C2107" i="14"/>
  <c r="C2101" i="14"/>
  <c r="C2095" i="14"/>
  <c r="C2089" i="14"/>
  <c r="C2083" i="14"/>
  <c r="C2077" i="14"/>
  <c r="C2071" i="14"/>
  <c r="C2065" i="14"/>
  <c r="C2059" i="14"/>
  <c r="C2053" i="14"/>
  <c r="C2047" i="14"/>
  <c r="C2041" i="14"/>
  <c r="C2035" i="14"/>
  <c r="C2029" i="14"/>
  <c r="C2023" i="14"/>
  <c r="C2017" i="14"/>
  <c r="C2011" i="14"/>
  <c r="C2005" i="14"/>
  <c r="C1999" i="14"/>
  <c r="C1993" i="14"/>
  <c r="C1987" i="14"/>
  <c r="C1981" i="14"/>
  <c r="C1975" i="14"/>
  <c r="C1969" i="14"/>
  <c r="C1963" i="14"/>
  <c r="C1957" i="14"/>
  <c r="C1951" i="14"/>
  <c r="C1945" i="14"/>
  <c r="C1939" i="14"/>
  <c r="C1933" i="14"/>
  <c r="C1927" i="14"/>
  <c r="C1921" i="14"/>
  <c r="C1915" i="14"/>
  <c r="C1909" i="14"/>
  <c r="C1903" i="14"/>
  <c r="C1897" i="14"/>
  <c r="C1891" i="14"/>
  <c r="C1885" i="14"/>
  <c r="C1879" i="14"/>
  <c r="C1873" i="14"/>
  <c r="C1867" i="14"/>
  <c r="C1861" i="14"/>
  <c r="C1855" i="14"/>
  <c r="C1849" i="14"/>
  <c r="C1843" i="14"/>
  <c r="C1837" i="14"/>
  <c r="C1831" i="14"/>
  <c r="C1825" i="14"/>
  <c r="C1819" i="14"/>
  <c r="C1813" i="14"/>
  <c r="C1807" i="14"/>
  <c r="C1801" i="14"/>
  <c r="C1795" i="14"/>
  <c r="C1789" i="14"/>
  <c r="C1783" i="14"/>
  <c r="C1777" i="14"/>
  <c r="C1771" i="14"/>
  <c r="C1765" i="14"/>
  <c r="C1759" i="14"/>
  <c r="C1753" i="14"/>
  <c r="C1747" i="14"/>
  <c r="C1741" i="14"/>
  <c r="C1735" i="14"/>
  <c r="C1729" i="14"/>
  <c r="C1723" i="14"/>
  <c r="C1717" i="14"/>
  <c r="C1711" i="14"/>
  <c r="C1705" i="14"/>
  <c r="C1699" i="14"/>
  <c r="C1693" i="14"/>
  <c r="C1687" i="14"/>
  <c r="C1681" i="14"/>
  <c r="C1675" i="14"/>
  <c r="C1327" i="14"/>
  <c r="E1626" i="14"/>
  <c r="E1620" i="14"/>
  <c r="E1614" i="14"/>
  <c r="E1608" i="14"/>
  <c r="E1602" i="14"/>
  <c r="E1596" i="14"/>
  <c r="E1590" i="14"/>
  <c r="E1584" i="14"/>
  <c r="E1578" i="14"/>
  <c r="E1572" i="14"/>
  <c r="E1566" i="14"/>
  <c r="E1560" i="14"/>
  <c r="E1554" i="14"/>
  <c r="E1548" i="14"/>
  <c r="E1542" i="14"/>
  <c r="E1536" i="14"/>
  <c r="E1530" i="14"/>
  <c r="E1524" i="14"/>
  <c r="E1518" i="14"/>
  <c r="E1512" i="14"/>
  <c r="E1506" i="14"/>
  <c r="E1500" i="14"/>
  <c r="E1494" i="14"/>
  <c r="E1488" i="14"/>
  <c r="E1482" i="14"/>
  <c r="E1476" i="14"/>
  <c r="E1470" i="14"/>
  <c r="E1464" i="14"/>
  <c r="E1458" i="14"/>
  <c r="E1452" i="14"/>
  <c r="E1446" i="14"/>
  <c r="E1440" i="14"/>
  <c r="E1434" i="14"/>
  <c r="E1428" i="14"/>
  <c r="E1422" i="14"/>
  <c r="E1416" i="14"/>
  <c r="E1410" i="14"/>
  <c r="E1404" i="14"/>
  <c r="E1398" i="14"/>
  <c r="E1392" i="14"/>
  <c r="E1386" i="14"/>
  <c r="E1380" i="14"/>
  <c r="E1374" i="14"/>
  <c r="E1368" i="14"/>
  <c r="E1362" i="14"/>
  <c r="E1356" i="14"/>
  <c r="E1350" i="14"/>
  <c r="E1344" i="14"/>
  <c r="E1338" i="14"/>
  <c r="E1332" i="14"/>
  <c r="E1326" i="14"/>
  <c r="E1320" i="14"/>
  <c r="E1314" i="14"/>
  <c r="E1308" i="14"/>
  <c r="E1302" i="14"/>
  <c r="E1296" i="14"/>
  <c r="E1290" i="14"/>
  <c r="E1284" i="14"/>
  <c r="E1278" i="14"/>
  <c r="E1272" i="14"/>
  <c r="E1266" i="14"/>
  <c r="E1260" i="14"/>
  <c r="E1254" i="14"/>
  <c r="E1248" i="14"/>
  <c r="E1242" i="14"/>
  <c r="E1236" i="14"/>
  <c r="E1230" i="14"/>
  <c r="E1224" i="14"/>
  <c r="E1218" i="14"/>
  <c r="E1212" i="14"/>
  <c r="E1206" i="14"/>
  <c r="E1200" i="14"/>
  <c r="E1194" i="14"/>
  <c r="E1188" i="14"/>
  <c r="E1182" i="14"/>
  <c r="E1176" i="14"/>
  <c r="E1170" i="14"/>
  <c r="E1164" i="14"/>
  <c r="E1158" i="14"/>
  <c r="E1152" i="14"/>
  <c r="E1146" i="14"/>
  <c r="E1140" i="14"/>
  <c r="E1134" i="14"/>
  <c r="E1128" i="14"/>
  <c r="E1122" i="14"/>
  <c r="E1116" i="14"/>
  <c r="E1110" i="14"/>
  <c r="E1104" i="14"/>
  <c r="E1098" i="14"/>
  <c r="E1092" i="14"/>
  <c r="E1086" i="14"/>
  <c r="E1080" i="14"/>
  <c r="E1074" i="14"/>
  <c r="E1068" i="14"/>
  <c r="E1062" i="14"/>
  <c r="E1056" i="14"/>
  <c r="E1050" i="14"/>
  <c r="E1044" i="14"/>
  <c r="E1038" i="14"/>
  <c r="E1032" i="14"/>
  <c r="E1026" i="14"/>
  <c r="E1020" i="14"/>
  <c r="E1014" i="14"/>
  <c r="E1008" i="14"/>
  <c r="E1002" i="14"/>
  <c r="E996" i="14"/>
  <c r="E990" i="14"/>
  <c r="E984" i="14"/>
  <c r="E978" i="14"/>
  <c r="E972" i="14"/>
  <c r="E966" i="14"/>
  <c r="E960" i="14"/>
  <c r="E954" i="14"/>
  <c r="E948" i="14"/>
  <c r="E942" i="14"/>
  <c r="E936" i="14"/>
  <c r="E930" i="14"/>
  <c r="E924" i="14"/>
  <c r="E918" i="14"/>
  <c r="E912" i="14"/>
  <c r="E906" i="14"/>
  <c r="E900" i="14"/>
  <c r="E894" i="14"/>
  <c r="E888" i="14"/>
  <c r="E882" i="14"/>
  <c r="E876" i="14"/>
  <c r="E870" i="14"/>
  <c r="E864" i="14"/>
  <c r="E858" i="14"/>
  <c r="E852" i="14"/>
  <c r="E846" i="14"/>
  <c r="E840" i="14"/>
  <c r="E834" i="14"/>
  <c r="C1272" i="14"/>
  <c r="C1266" i="14"/>
  <c r="C1260" i="14"/>
  <c r="C1254" i="14"/>
  <c r="C1248" i="14"/>
  <c r="C1242" i="14"/>
  <c r="C1236" i="14"/>
  <c r="C1230" i="14"/>
  <c r="C1224" i="14"/>
  <c r="C1218" i="14"/>
  <c r="C1212" i="14"/>
  <c r="C1206" i="14"/>
  <c r="C1200" i="14"/>
  <c r="C1194" i="14"/>
  <c r="C1188" i="14"/>
  <c r="C1182" i="14"/>
  <c r="C1176" i="14"/>
  <c r="C1170" i="14"/>
  <c r="C1164" i="14"/>
  <c r="C1158" i="14"/>
  <c r="C1152" i="14"/>
  <c r="C1146" i="14"/>
  <c r="C1140" i="14"/>
  <c r="C1134" i="14"/>
  <c r="C1128" i="14"/>
  <c r="C1122" i="14"/>
  <c r="C1110" i="14"/>
  <c r="C1104" i="14"/>
  <c r="C1098" i="14"/>
  <c r="C1092" i="14"/>
  <c r="C1086" i="14"/>
  <c r="C1080" i="14"/>
  <c r="C1074" i="14"/>
  <c r="C1068" i="14"/>
  <c r="C1062" i="14"/>
  <c r="C1056" i="14"/>
  <c r="C1050" i="14"/>
  <c r="C1044" i="14"/>
  <c r="C1038" i="14"/>
  <c r="C1032" i="14"/>
  <c r="C1026" i="14"/>
  <c r="C1020" i="14"/>
  <c r="C1014" i="14"/>
  <c r="C1008" i="14"/>
  <c r="C1002" i="14"/>
  <c r="C996" i="14"/>
  <c r="C990" i="14"/>
  <c r="C984" i="14"/>
  <c r="C978" i="14"/>
  <c r="C972" i="14"/>
  <c r="C966" i="14"/>
  <c r="C960" i="14"/>
  <c r="C954" i="14"/>
  <c r="C948" i="14"/>
  <c r="C942" i="14"/>
  <c r="C936" i="14"/>
  <c r="C930" i="14"/>
  <c r="C924" i="14"/>
  <c r="C918" i="14"/>
  <c r="C912" i="14"/>
  <c r="C906" i="14"/>
  <c r="C900" i="14"/>
  <c r="C894" i="14"/>
  <c r="C888" i="14"/>
  <c r="C882" i="14"/>
  <c r="C876" i="14"/>
  <c r="C870" i="14"/>
  <c r="C864" i="14"/>
  <c r="C858" i="14"/>
  <c r="C852" i="14"/>
  <c r="C846" i="14"/>
  <c r="C840" i="14"/>
  <c r="C834" i="14"/>
  <c r="C828" i="14"/>
  <c r="C822" i="14"/>
  <c r="C816" i="14"/>
  <c r="C810" i="14"/>
  <c r="C804" i="14"/>
  <c r="C798" i="14"/>
  <c r="C792" i="14"/>
  <c r="C786" i="14"/>
  <c r="C780" i="14"/>
  <c r="C774" i="14"/>
  <c r="E1282" i="14"/>
  <c r="E1276" i="14"/>
  <c r="E1270" i="14"/>
  <c r="E1264" i="14"/>
  <c r="E1258" i="14"/>
  <c r="E1252" i="14"/>
  <c r="E1246" i="14"/>
  <c r="E1240" i="14"/>
  <c r="E1234" i="14"/>
  <c r="E1228" i="14"/>
  <c r="E1222" i="14"/>
  <c r="E1216" i="14"/>
  <c r="E1210" i="14"/>
  <c r="E1204" i="14"/>
  <c r="E1198" i="14"/>
  <c r="E1192" i="14"/>
  <c r="E1186" i="14"/>
  <c r="E1180" i="14"/>
  <c r="E1174" i="14"/>
  <c r="E1168" i="14"/>
  <c r="E1162" i="14"/>
  <c r="E1156" i="14"/>
  <c r="E1150" i="14"/>
  <c r="E1144" i="14"/>
  <c r="E1138" i="14"/>
  <c r="E1132" i="14"/>
  <c r="E1126" i="14"/>
  <c r="E1120" i="14"/>
  <c r="E1114" i="14"/>
  <c r="E1108" i="14"/>
  <c r="E1102" i="14"/>
  <c r="E1096" i="14"/>
  <c r="E1090" i="14"/>
  <c r="E1084" i="14"/>
  <c r="E1078" i="14"/>
  <c r="E1072" i="14"/>
  <c r="E1066" i="14"/>
  <c r="E1060" i="14"/>
  <c r="E1054" i="14"/>
  <c r="E1048" i="14"/>
  <c r="E1042" i="14"/>
  <c r="E1036" i="14"/>
  <c r="E1030" i="14"/>
  <c r="E1024" i="14"/>
  <c r="E1018" i="14"/>
  <c r="E1012" i="14"/>
  <c r="E1006" i="14"/>
  <c r="E1000" i="14"/>
  <c r="E994" i="14"/>
  <c r="E988" i="14"/>
  <c r="E982" i="14"/>
  <c r="E976" i="14"/>
  <c r="E970" i="14"/>
  <c r="E964" i="14"/>
  <c r="E958" i="14"/>
  <c r="E952" i="14"/>
  <c r="E946" i="14"/>
  <c r="E940" i="14"/>
  <c r="E934" i="14"/>
  <c r="E928" i="14"/>
  <c r="E922" i="14"/>
  <c r="E916" i="14"/>
  <c r="E910" i="14"/>
  <c r="E904" i="14"/>
  <c r="E898" i="14"/>
  <c r="E892" i="14"/>
  <c r="E886" i="14"/>
  <c r="E880" i="14"/>
  <c r="E874" i="14"/>
  <c r="E868" i="14"/>
  <c r="E862" i="14"/>
  <c r="E856" i="14"/>
  <c r="E850" i="14"/>
  <c r="E844" i="14"/>
  <c r="E838" i="14"/>
  <c r="E832" i="14"/>
  <c r="E826" i="14"/>
  <c r="E820" i="14"/>
  <c r="E814" i="14"/>
  <c r="E808" i="14"/>
  <c r="E802" i="14"/>
  <c r="E796" i="14"/>
  <c r="E790" i="14"/>
  <c r="E784" i="14"/>
  <c r="E778" i="14"/>
  <c r="E772" i="14"/>
  <c r="E766" i="14"/>
  <c r="E760" i="14"/>
  <c r="E754" i="14"/>
  <c r="E748" i="14"/>
  <c r="E742" i="14"/>
  <c r="E736" i="14"/>
  <c r="E730" i="14"/>
  <c r="E724" i="14"/>
  <c r="E718" i="14"/>
  <c r="E712" i="14"/>
  <c r="E706" i="14"/>
  <c r="E700" i="14"/>
  <c r="E694" i="14"/>
  <c r="E688" i="14"/>
  <c r="E682" i="14"/>
  <c r="E676" i="14"/>
  <c r="E670" i="14"/>
  <c r="E664" i="14"/>
  <c r="E658" i="14"/>
  <c r="E652" i="14"/>
  <c r="E646" i="14"/>
  <c r="E640" i="14"/>
  <c r="E634" i="14"/>
  <c r="E628" i="14"/>
  <c r="E622" i="14"/>
  <c r="E616" i="14"/>
  <c r="E610" i="14"/>
  <c r="E604" i="14"/>
  <c r="E598" i="14"/>
  <c r="E592" i="14"/>
  <c r="E586" i="14"/>
  <c r="E580" i="14"/>
  <c r="E574" i="14"/>
  <c r="E568" i="14"/>
  <c r="E562" i="14"/>
  <c r="E556" i="14"/>
  <c r="E550" i="14"/>
  <c r="E544" i="14"/>
  <c r="E538" i="14"/>
  <c r="E532" i="14"/>
  <c r="E526" i="14"/>
  <c r="E520" i="14"/>
  <c r="E1669" i="14"/>
  <c r="E1663" i="14"/>
  <c r="E1657" i="14"/>
  <c r="E1651" i="14"/>
  <c r="E1645" i="14"/>
  <c r="E1639" i="14"/>
  <c r="E1633" i="14"/>
  <c r="E1627" i="14"/>
  <c r="E1621" i="14"/>
  <c r="E1615" i="14"/>
  <c r="E1609" i="14"/>
  <c r="E1603" i="14"/>
  <c r="E1597" i="14"/>
  <c r="E1591" i="14"/>
  <c r="E1585" i="14"/>
  <c r="E1579" i="14"/>
  <c r="E1573" i="14"/>
  <c r="E1567" i="14"/>
  <c r="E1561" i="14"/>
  <c r="E1555" i="14"/>
  <c r="E1549" i="14"/>
  <c r="E1543" i="14"/>
  <c r="E1537" i="14"/>
  <c r="E1531" i="14"/>
  <c r="E1525" i="14"/>
  <c r="E1519" i="14"/>
  <c r="E1513" i="14"/>
  <c r="E1507" i="14"/>
  <c r="E1501" i="14"/>
  <c r="E1495" i="14"/>
  <c r="E1489" i="14"/>
  <c r="E1483" i="14"/>
  <c r="E1477" i="14"/>
  <c r="E1471" i="14"/>
  <c r="E1465" i="14"/>
  <c r="E1459" i="14"/>
  <c r="E1453" i="14"/>
  <c r="E1447" i="14"/>
  <c r="E1441" i="14"/>
  <c r="E1435" i="14"/>
  <c r="E1429" i="14"/>
  <c r="E1423" i="14"/>
  <c r="E1417" i="14"/>
  <c r="E1411" i="14"/>
  <c r="E1405" i="14"/>
  <c r="E1399" i="14"/>
  <c r="E1393" i="14"/>
  <c r="E1387" i="14"/>
  <c r="E1381" i="14"/>
  <c r="E1375" i="14"/>
  <c r="E1369" i="14"/>
  <c r="E1363" i="14"/>
  <c r="E1357" i="14"/>
  <c r="E1351" i="14"/>
  <c r="E1345" i="14"/>
  <c r="E1339" i="14"/>
  <c r="E1333" i="14"/>
  <c r="E1327" i="14"/>
  <c r="E1321" i="14"/>
  <c r="E1315" i="14"/>
  <c r="E1309" i="14"/>
  <c r="E1303" i="14"/>
  <c r="E1297" i="14"/>
  <c r="E1291" i="14"/>
  <c r="E1285" i="14"/>
  <c r="E1279" i="14"/>
  <c r="E1273" i="14"/>
  <c r="E1267" i="14"/>
  <c r="E1261" i="14"/>
  <c r="E1255" i="14"/>
  <c r="E1249" i="14"/>
  <c r="E1243" i="14"/>
  <c r="E1237" i="14"/>
  <c r="E1231" i="14"/>
  <c r="E1225" i="14"/>
  <c r="E1219" i="14"/>
  <c r="E1213" i="14"/>
  <c r="E1207" i="14"/>
  <c r="E1201" i="14"/>
  <c r="E1195" i="14"/>
  <c r="E1189" i="14"/>
  <c r="E1183" i="14"/>
  <c r="E1177" i="14"/>
  <c r="E1171" i="14"/>
  <c r="E1165" i="14"/>
  <c r="E1159" i="14"/>
  <c r="E1153" i="14"/>
  <c r="E1147" i="14"/>
  <c r="E1141" i="14"/>
  <c r="E1135" i="14"/>
  <c r="E1129" i="14"/>
  <c r="E1123" i="14"/>
  <c r="E1117" i="14"/>
  <c r="E1111" i="14"/>
  <c r="E1105" i="14"/>
  <c r="E1099" i="14"/>
  <c r="E1093" i="14"/>
  <c r="E1087" i="14"/>
  <c r="E1081" i="14"/>
  <c r="E1075" i="14"/>
  <c r="E1069" i="14"/>
  <c r="E1063" i="14"/>
  <c r="E1057" i="14"/>
  <c r="E1051" i="14"/>
  <c r="E1045" i="14"/>
  <c r="E1039" i="14"/>
  <c r="E1033" i="14"/>
  <c r="E1027" i="14"/>
  <c r="E1021" i="14"/>
  <c r="E1015" i="14"/>
  <c r="E1009" i="14"/>
  <c r="E1003" i="14"/>
  <c r="E997" i="14"/>
  <c r="E991" i="14"/>
  <c r="E985" i="14"/>
  <c r="E979" i="14"/>
  <c r="E973" i="14"/>
  <c r="E967" i="14"/>
  <c r="E961" i="14"/>
  <c r="E955" i="14"/>
  <c r="E949" i="14"/>
  <c r="E943" i="14"/>
  <c r="E937" i="14"/>
  <c r="E931" i="14"/>
  <c r="E925" i="14"/>
  <c r="E919" i="14"/>
  <c r="E913" i="14"/>
  <c r="E907" i="14"/>
  <c r="E901" i="14"/>
  <c r="E895" i="14"/>
  <c r="E889" i="14"/>
  <c r="E883" i="14"/>
  <c r="E877" i="14"/>
  <c r="E871" i="14"/>
  <c r="E865" i="14"/>
  <c r="E859" i="14"/>
  <c r="E853" i="14"/>
  <c r="E847" i="14"/>
  <c r="E841" i="14"/>
  <c r="E835" i="14"/>
  <c r="E829" i="14"/>
  <c r="E823" i="14"/>
  <c r="E817" i="14"/>
  <c r="E811" i="14"/>
  <c r="E805" i="14"/>
  <c r="E799" i="14"/>
  <c r="E793" i="14"/>
  <c r="E787" i="14"/>
  <c r="E781" i="14"/>
  <c r="E775" i="14"/>
  <c r="E769" i="14"/>
  <c r="E763" i="14"/>
  <c r="E757" i="14"/>
  <c r="E751" i="14"/>
  <c r="E745" i="14"/>
  <c r="E739" i="14"/>
  <c r="E733" i="14"/>
  <c r="E727" i="14"/>
  <c r="E721" i="14"/>
  <c r="E715" i="14"/>
  <c r="E709" i="14"/>
  <c r="C1669" i="14"/>
  <c r="C1663" i="14"/>
  <c r="C1657" i="14"/>
  <c r="C1651" i="14"/>
  <c r="C1645" i="14"/>
  <c r="C1639" i="14"/>
  <c r="C1633" i="14"/>
  <c r="C1627" i="14"/>
  <c r="C1621" i="14"/>
  <c r="C1615" i="14"/>
  <c r="C1609" i="14"/>
  <c r="C1603" i="14"/>
  <c r="C1597" i="14"/>
  <c r="C1591" i="14"/>
  <c r="C1585" i="14"/>
  <c r="C1579" i="14"/>
  <c r="C1573" i="14"/>
  <c r="C1567" i="14"/>
  <c r="C1561" i="14"/>
  <c r="C1555" i="14"/>
  <c r="C1549" i="14"/>
  <c r="C1543" i="14"/>
  <c r="C1537" i="14"/>
  <c r="C1531" i="14"/>
  <c r="C1525" i="14"/>
  <c r="C1519" i="14"/>
  <c r="C1513" i="14"/>
  <c r="C1507" i="14"/>
  <c r="C1501" i="14"/>
  <c r="C1495" i="14"/>
  <c r="C1489" i="14"/>
  <c r="C1483" i="14"/>
  <c r="C1477" i="14"/>
  <c r="C1471" i="14"/>
  <c r="C1465" i="14"/>
  <c r="C1459" i="14"/>
  <c r="C1453" i="14"/>
  <c r="C1447" i="14"/>
  <c r="C1441" i="14"/>
  <c r="C1435" i="14"/>
  <c r="C1429" i="14"/>
  <c r="C1423" i="14"/>
  <c r="C1417" i="14"/>
  <c r="C1411" i="14"/>
  <c r="C1405" i="14"/>
  <c r="C1399" i="14"/>
  <c r="C1393" i="14"/>
  <c r="C1387" i="14"/>
  <c r="C1381" i="14"/>
  <c r="C1375" i="14"/>
  <c r="C1369" i="14"/>
  <c r="C1363" i="14"/>
  <c r="C1357" i="14"/>
  <c r="C1351" i="14"/>
  <c r="C1345" i="14"/>
  <c r="C1339" i="14"/>
  <c r="C1333" i="14"/>
  <c r="C1321" i="14"/>
  <c r="C1315" i="14"/>
  <c r="C1309" i="14"/>
  <c r="C1303" i="14"/>
  <c r="C1297" i="14"/>
  <c r="C1291" i="14"/>
  <c r="C1285" i="14"/>
  <c r="C1279" i="14"/>
  <c r="C1273" i="14"/>
  <c r="C1267" i="14"/>
  <c r="C1261" i="14"/>
  <c r="C1255" i="14"/>
  <c r="C1249" i="14"/>
  <c r="C1243" i="14"/>
  <c r="C1237" i="14"/>
  <c r="C1231" i="14"/>
  <c r="C1225" i="14"/>
  <c r="C1219" i="14"/>
  <c r="C1213" i="14"/>
  <c r="C1207" i="14"/>
  <c r="C1201" i="14"/>
  <c r="C1195" i="14"/>
  <c r="C1189" i="14"/>
  <c r="C1183" i="14"/>
  <c r="C1177" i="14"/>
  <c r="C1171" i="14"/>
  <c r="C1165" i="14"/>
  <c r="C1159" i="14"/>
  <c r="C1153" i="14"/>
  <c r="C1147" i="14"/>
  <c r="C1141" i="14"/>
  <c r="C1135" i="14"/>
  <c r="C1129" i="14"/>
  <c r="C1123" i="14"/>
  <c r="C1117" i="14"/>
  <c r="C1111" i="14"/>
  <c r="C1105" i="14"/>
  <c r="C1099" i="14"/>
  <c r="C1093" i="14"/>
  <c r="C1087" i="14"/>
  <c r="C1081" i="14"/>
  <c r="C1075" i="14"/>
  <c r="C1069" i="14"/>
  <c r="C1063" i="14"/>
  <c r="C1057" i="14"/>
  <c r="C1051" i="14"/>
  <c r="C1045" i="14"/>
  <c r="C1039" i="14"/>
  <c r="C1033" i="14"/>
  <c r="C1027" i="14"/>
  <c r="C1021" i="14"/>
  <c r="C1015" i="14"/>
  <c r="C1009" i="14"/>
  <c r="C1003" i="14"/>
  <c r="C997" i="14"/>
  <c r="C991" i="14"/>
  <c r="C985" i="14"/>
  <c r="C979" i="14"/>
  <c r="C973" i="14"/>
  <c r="C967" i="14"/>
  <c r="C961" i="14"/>
  <c r="C955" i="14"/>
  <c r="C949" i="14"/>
  <c r="C943" i="14"/>
  <c r="C937" i="14"/>
  <c r="C931" i="14"/>
  <c r="C925" i="14"/>
  <c r="C919" i="14"/>
  <c r="C913" i="14"/>
  <c r="C907" i="14"/>
  <c r="C901" i="14"/>
  <c r="C895" i="14"/>
  <c r="C889" i="14"/>
  <c r="C883" i="14"/>
  <c r="C877" i="14"/>
  <c r="C865" i="14"/>
  <c r="C859" i="14"/>
  <c r="C853" i="14"/>
  <c r="C847" i="14"/>
  <c r="C841" i="14"/>
  <c r="C835" i="14"/>
  <c r="C829" i="14"/>
  <c r="C823" i="14"/>
  <c r="C817" i="14"/>
  <c r="C811" i="14"/>
  <c r="C805" i="14"/>
  <c r="C799" i="14"/>
  <c r="C793" i="14"/>
  <c r="C787" i="14"/>
  <c r="C781" i="14"/>
  <c r="C775" i="14"/>
  <c r="C761" i="14"/>
  <c r="C755" i="14"/>
  <c r="C749" i="14"/>
  <c r="C743" i="14"/>
  <c r="C737" i="14"/>
  <c r="C731" i="14"/>
  <c r="C725" i="14"/>
  <c r="C719" i="14"/>
  <c r="C713" i="14"/>
  <c r="C707" i="14"/>
  <c r="C701" i="14"/>
  <c r="C695" i="14"/>
  <c r="C689" i="14"/>
  <c r="C683" i="14"/>
  <c r="C677" i="14"/>
  <c r="C671" i="14"/>
  <c r="C665" i="14"/>
  <c r="C659" i="14"/>
  <c r="C653" i="14"/>
  <c r="C647" i="14"/>
  <c r="C641" i="14"/>
  <c r="C635" i="14"/>
  <c r="C629" i="14"/>
  <c r="C623" i="14"/>
  <c r="C617" i="14"/>
  <c r="C611" i="14"/>
  <c r="C605" i="14"/>
  <c r="C599" i="14"/>
  <c r="C593" i="14"/>
  <c r="C587" i="14"/>
  <c r="C581" i="14"/>
  <c r="C575" i="14"/>
  <c r="C569" i="14"/>
  <c r="C563" i="14"/>
  <c r="C557" i="14"/>
  <c r="C551" i="14"/>
  <c r="C545" i="14"/>
  <c r="C539" i="14"/>
  <c r="C533" i="14"/>
  <c r="C527" i="14"/>
  <c r="C521" i="14"/>
  <c r="C515" i="14"/>
  <c r="C509" i="14"/>
  <c r="C503" i="14"/>
  <c r="C497" i="14"/>
  <c r="C491" i="14"/>
  <c r="C485" i="14"/>
  <c r="C479" i="14"/>
  <c r="C473" i="14"/>
  <c r="C467" i="14"/>
  <c r="C461" i="14"/>
  <c r="C455" i="14"/>
  <c r="C449" i="14"/>
  <c r="C443" i="14"/>
  <c r="C437" i="14"/>
  <c r="C431" i="14"/>
  <c r="C425" i="14"/>
  <c r="C419" i="14"/>
  <c r="C407" i="14"/>
  <c r="E514" i="14"/>
  <c r="E508" i="14"/>
  <c r="E502" i="14"/>
  <c r="E496" i="14"/>
  <c r="E490" i="14"/>
  <c r="E484" i="14"/>
  <c r="E478" i="14"/>
  <c r="E472" i="14"/>
  <c r="E466" i="14"/>
  <c r="E460" i="14"/>
  <c r="E454" i="14"/>
  <c r="E448" i="14"/>
  <c r="E442" i="14"/>
  <c r="E436" i="14"/>
  <c r="E430" i="14"/>
  <c r="E424" i="14"/>
  <c r="E418" i="14"/>
  <c r="E412" i="14"/>
  <c r="E406" i="14"/>
  <c r="E400" i="14"/>
  <c r="C621" i="14"/>
  <c r="C615" i="14"/>
  <c r="C609" i="14"/>
  <c r="C603" i="14"/>
  <c r="C597" i="14"/>
  <c r="C591" i="14"/>
  <c r="C585" i="14"/>
  <c r="C579" i="14"/>
  <c r="C573" i="14"/>
  <c r="C567" i="14"/>
  <c r="C561" i="14"/>
  <c r="C555" i="14"/>
  <c r="C549" i="14"/>
  <c r="C543" i="14"/>
  <c r="C537" i="14"/>
  <c r="C531" i="14"/>
  <c r="C525" i="14"/>
  <c r="C519" i="14"/>
  <c r="C513" i="14"/>
  <c r="C507" i="14"/>
  <c r="C501" i="14"/>
  <c r="C495" i="14"/>
  <c r="C489" i="14"/>
  <c r="C483" i="14"/>
  <c r="C477" i="14"/>
  <c r="C471" i="14"/>
  <c r="C465" i="14"/>
  <c r="C459" i="14"/>
  <c r="C453" i="14"/>
  <c r="C447" i="14"/>
  <c r="C441" i="14"/>
  <c r="C435" i="14"/>
  <c r="C429" i="14"/>
  <c r="C423" i="14"/>
  <c r="C417" i="14"/>
  <c r="C411" i="14"/>
  <c r="C405" i="14"/>
  <c r="C399" i="14"/>
  <c r="C393" i="14"/>
  <c r="C387" i="14"/>
  <c r="C381" i="14"/>
  <c r="C375" i="14"/>
  <c r="C369" i="14"/>
  <c r="C363" i="14"/>
  <c r="C357" i="14"/>
  <c r="C351" i="14"/>
  <c r="C345" i="14"/>
  <c r="C339" i="14"/>
  <c r="C333" i="14"/>
  <c r="C327" i="14"/>
  <c r="C321" i="14"/>
  <c r="C315" i="14"/>
  <c r="C309" i="14"/>
  <c r="C303" i="14"/>
  <c r="C297" i="14"/>
  <c r="C291" i="14"/>
  <c r="C285" i="14"/>
  <c r="C279" i="14"/>
  <c r="C273" i="14"/>
  <c r="C267" i="14"/>
  <c r="C261" i="14"/>
  <c r="C255" i="14"/>
  <c r="C249" i="14"/>
  <c r="C243" i="14"/>
  <c r="C237" i="14"/>
  <c r="C231" i="14"/>
  <c r="C225" i="14"/>
  <c r="C219" i="14"/>
  <c r="C213" i="14"/>
  <c r="C207" i="14"/>
  <c r="C141" i="14"/>
  <c r="C176" i="14"/>
  <c r="C177" i="14"/>
  <c r="C32" i="14"/>
  <c r="C274" i="14"/>
  <c r="C762" i="14"/>
  <c r="C756" i="14"/>
  <c r="C750" i="14"/>
  <c r="C744" i="14"/>
  <c r="C738" i="14"/>
  <c r="C732" i="14"/>
  <c r="C726" i="14"/>
  <c r="C720" i="14"/>
  <c r="C714" i="14"/>
  <c r="C708" i="14"/>
  <c r="C702" i="14"/>
  <c r="C696" i="14"/>
  <c r="C690" i="14"/>
  <c r="C684" i="14"/>
  <c r="C672" i="14"/>
  <c r="C666" i="14"/>
  <c r="C660" i="14"/>
  <c r="C654" i="14"/>
  <c r="C648" i="14"/>
  <c r="C642" i="14"/>
  <c r="C636" i="14"/>
  <c r="C630" i="14"/>
  <c r="C624" i="14"/>
  <c r="C618" i="14"/>
  <c r="C612" i="14"/>
  <c r="C606" i="14"/>
  <c r="C600" i="14"/>
  <c r="C594" i="14"/>
  <c r="C588" i="14"/>
  <c r="C582" i="14"/>
  <c r="C576" i="14"/>
  <c r="C570" i="14"/>
  <c r="C564" i="14"/>
  <c r="C552" i="14"/>
  <c r="C546" i="14"/>
  <c r="C540" i="14"/>
  <c r="C534" i="14"/>
  <c r="C522" i="14"/>
  <c r="C516" i="14"/>
  <c r="C510" i="14"/>
  <c r="C504" i="14"/>
  <c r="C498" i="14"/>
  <c r="C492" i="14"/>
  <c r="C486" i="14"/>
  <c r="C480" i="14"/>
  <c r="C474" i="14"/>
  <c r="C468" i="14"/>
  <c r="C462" i="14"/>
  <c r="C456" i="14"/>
  <c r="C450" i="14"/>
  <c r="C444" i="14"/>
  <c r="C438" i="14"/>
  <c r="C432" i="14"/>
  <c r="C426" i="14"/>
  <c r="C420" i="14"/>
  <c r="C408" i="14"/>
  <c r="C402" i="14"/>
  <c r="C396" i="14"/>
  <c r="C390" i="14"/>
  <c r="C384" i="14"/>
  <c r="C378" i="14"/>
  <c r="E821" i="14"/>
  <c r="E815" i="14"/>
  <c r="E809" i="14"/>
  <c r="E803" i="14"/>
  <c r="E797" i="14"/>
  <c r="E791" i="14"/>
  <c r="E785" i="14"/>
  <c r="E779" i="14"/>
  <c r="E773" i="14"/>
  <c r="E767" i="14"/>
  <c r="E761" i="14"/>
  <c r="E755" i="14"/>
  <c r="E749" i="14"/>
  <c r="E743" i="14"/>
  <c r="E737" i="14"/>
  <c r="E731" i="14"/>
  <c r="E725" i="14"/>
  <c r="E719" i="14"/>
  <c r="E713" i="14"/>
  <c r="E707" i="14"/>
  <c r="E701" i="14"/>
  <c r="E695" i="14"/>
  <c r="E689" i="14"/>
  <c r="E683" i="14"/>
  <c r="E677" i="14"/>
  <c r="E671" i="14"/>
  <c r="E665" i="14"/>
  <c r="E659" i="14"/>
  <c r="E653" i="14"/>
  <c r="E647" i="14"/>
  <c r="E641" i="14"/>
  <c r="E635" i="14"/>
  <c r="E629" i="14"/>
  <c r="E623" i="14"/>
  <c r="E617" i="14"/>
  <c r="E611" i="14"/>
  <c r="E605" i="14"/>
  <c r="E599" i="14"/>
  <c r="E593" i="14"/>
  <c r="E587" i="14"/>
  <c r="E581" i="14"/>
  <c r="E575" i="14"/>
  <c r="E569" i="14"/>
  <c r="E563" i="14"/>
  <c r="E557" i="14"/>
  <c r="E551" i="14"/>
  <c r="E545" i="14"/>
  <c r="E539" i="14"/>
  <c r="E533" i="14"/>
  <c r="E527" i="14"/>
  <c r="E521" i="14"/>
  <c r="E515" i="14"/>
  <c r="E509" i="14"/>
  <c r="E503" i="14"/>
  <c r="E497" i="14"/>
  <c r="E491" i="14"/>
  <c r="E485" i="14"/>
  <c r="E479" i="14"/>
  <c r="E473" i="14"/>
  <c r="E467" i="14"/>
  <c r="E461" i="14"/>
  <c r="E455" i="14"/>
  <c r="E449" i="14"/>
  <c r="E443" i="14"/>
  <c r="E437" i="14"/>
  <c r="E431" i="14"/>
  <c r="E425" i="14"/>
  <c r="E419" i="14"/>
  <c r="E413" i="14"/>
  <c r="E407" i="14"/>
  <c r="E261" i="14"/>
  <c r="E255" i="14"/>
  <c r="E249" i="14"/>
  <c r="E243" i="14"/>
  <c r="E237" i="14"/>
  <c r="E231" i="14"/>
  <c r="E225" i="14"/>
  <c r="E219" i="14"/>
  <c r="E213" i="14"/>
  <c r="E207" i="14"/>
  <c r="E201" i="14"/>
  <c r="E195" i="14"/>
  <c r="E189" i="14"/>
  <c r="E183" i="14"/>
  <c r="E177" i="14"/>
  <c r="E171" i="14"/>
  <c r="E165" i="14"/>
  <c r="E159" i="14"/>
  <c r="E153" i="14"/>
  <c r="E147" i="14"/>
  <c r="E141" i="14"/>
  <c r="E135" i="14"/>
  <c r="E129" i="14"/>
  <c r="E123" i="14"/>
  <c r="E394" i="14"/>
  <c r="E388" i="14"/>
  <c r="E382" i="14"/>
  <c r="E376" i="14"/>
  <c r="E370" i="14"/>
  <c r="E364" i="14"/>
  <c r="E358" i="14"/>
  <c r="E352" i="14"/>
  <c r="E346" i="14"/>
  <c r="E340" i="14"/>
  <c r="E334" i="14"/>
  <c r="E328" i="14"/>
  <c r="E322" i="14"/>
  <c r="E316" i="14"/>
  <c r="E310" i="14"/>
  <c r="E304" i="14"/>
  <c r="E298" i="14"/>
  <c r="E292" i="14"/>
  <c r="E286" i="14"/>
  <c r="E280" i="14"/>
  <c r="E274" i="14"/>
  <c r="E268" i="14"/>
  <c r="E262" i="14"/>
  <c r="E256" i="14"/>
  <c r="E250" i="14"/>
  <c r="E244" i="14"/>
  <c r="E238" i="14"/>
  <c r="E232" i="14"/>
  <c r="E226" i="14"/>
  <c r="E220" i="14"/>
  <c r="E214" i="14"/>
  <c r="E208" i="14"/>
  <c r="E202" i="14"/>
  <c r="E196" i="14"/>
  <c r="E190" i="14"/>
  <c r="E184" i="14"/>
  <c r="E178" i="14"/>
  <c r="E172" i="14"/>
  <c r="E166" i="14"/>
  <c r="E160" i="14"/>
  <c r="E154" i="14"/>
  <c r="E148" i="14"/>
  <c r="E142" i="14"/>
  <c r="E136" i="14"/>
  <c r="E130" i="14"/>
  <c r="E124" i="14"/>
  <c r="E118" i="14"/>
  <c r="E112" i="14"/>
  <c r="E106" i="14"/>
  <c r="E100" i="14"/>
  <c r="E94" i="14"/>
  <c r="E88" i="14"/>
  <c r="C388" i="14"/>
  <c r="C382" i="14"/>
  <c r="C376" i="14"/>
  <c r="C370" i="14"/>
  <c r="C364" i="14"/>
  <c r="C358" i="14"/>
  <c r="C352" i="14"/>
  <c r="C340" i="14"/>
  <c r="C334" i="14"/>
  <c r="C328" i="14"/>
  <c r="C322" i="14"/>
  <c r="C316" i="14"/>
  <c r="C310" i="14"/>
  <c r="C304" i="14"/>
  <c r="C292" i="14"/>
  <c r="C286" i="14"/>
  <c r="C280" i="14"/>
  <c r="C268" i="14"/>
  <c r="C262" i="14"/>
  <c r="C256" i="14"/>
  <c r="C250" i="14"/>
  <c r="C244" i="14"/>
  <c r="C238" i="14"/>
  <c r="C232" i="14"/>
  <c r="C226" i="14"/>
  <c r="C220" i="14"/>
  <c r="C214" i="14"/>
  <c r="C201" i="14"/>
  <c r="C195" i="14"/>
  <c r="C189" i="14"/>
  <c r="C183" i="14"/>
  <c r="C171" i="14"/>
  <c r="C165" i="14"/>
  <c r="C159" i="14"/>
  <c r="C153" i="14"/>
  <c r="C147" i="14"/>
  <c r="C135" i="14"/>
  <c r="C129" i="14"/>
  <c r="C123" i="14"/>
  <c r="C117" i="14"/>
  <c r="C111" i="14"/>
  <c r="C105" i="14"/>
  <c r="C99" i="14"/>
  <c r="C93" i="14"/>
  <c r="C87" i="14"/>
  <c r="C81" i="14"/>
  <c r="C75" i="14"/>
  <c r="C69" i="14"/>
  <c r="C63" i="14"/>
  <c r="C57" i="14"/>
  <c r="C51" i="14"/>
  <c r="C45" i="14"/>
  <c r="C39" i="14"/>
  <c r="C33" i="14"/>
  <c r="E110" i="14"/>
  <c r="E104" i="14"/>
  <c r="E98" i="14"/>
  <c r="E92" i="14"/>
  <c r="E86" i="14"/>
  <c r="E80" i="14"/>
  <c r="E74" i="14"/>
  <c r="E68" i="14"/>
  <c r="E62" i="14"/>
  <c r="E56" i="14"/>
  <c r="E50" i="14"/>
  <c r="E44" i="14"/>
  <c r="E38" i="14"/>
  <c r="E32" i="14"/>
  <c r="C70" i="14"/>
  <c r="C64" i="14"/>
  <c r="C46" i="14"/>
  <c r="E75" i="14"/>
  <c r="E69" i="14"/>
  <c r="E63" i="14"/>
  <c r="E57" i="14"/>
  <c r="E51" i="14"/>
  <c r="E45" i="14"/>
  <c r="E39" i="14"/>
  <c r="E33" i="14"/>
  <c r="B977" i="2" l="1"/>
  <c r="C978" i="2" s="1"/>
  <c r="D980" i="2" s="1"/>
  <c r="E977" i="2"/>
  <c r="G977" i="2"/>
  <c r="E224" i="12" l="1"/>
  <c r="B976" i="2"/>
  <c r="C977" i="2" s="1"/>
  <c r="E976" i="2"/>
  <c r="G976" i="2"/>
  <c r="E223" i="12" l="1"/>
  <c r="D979" i="2"/>
  <c r="C7" i="12"/>
  <c r="C8" i="12"/>
  <c r="C9" i="12"/>
  <c r="C10" i="12"/>
  <c r="C11"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C153" i="12"/>
  <c r="C154" i="12"/>
  <c r="C155" i="12"/>
  <c r="C156" i="12"/>
  <c r="C157" i="12"/>
  <c r="C158" i="12"/>
  <c r="C159" i="12"/>
  <c r="C160" i="12"/>
  <c r="C161" i="12"/>
  <c r="C162" i="12"/>
  <c r="C163" i="12"/>
  <c r="C164" i="12"/>
  <c r="C165" i="12"/>
  <c r="C166" i="12"/>
  <c r="C167" i="12"/>
  <c r="C168" i="12"/>
  <c r="C169" i="12"/>
  <c r="C170" i="12"/>
  <c r="C171" i="12"/>
  <c r="C172" i="12"/>
  <c r="C173" i="12"/>
  <c r="C174" i="12"/>
  <c r="C175" i="12"/>
  <c r="C176" i="12"/>
  <c r="C177" i="12"/>
  <c r="C178" i="12"/>
  <c r="C179" i="12"/>
  <c r="C180" i="12"/>
  <c r="C181" i="12"/>
  <c r="C182" i="12"/>
  <c r="C183" i="12"/>
  <c r="C184" i="12"/>
  <c r="C185" i="12"/>
  <c r="C186" i="12"/>
  <c r="C187" i="12"/>
  <c r="C188" i="12"/>
  <c r="C189" i="12"/>
  <c r="C190" i="12"/>
  <c r="C191" i="12"/>
  <c r="C192" i="12"/>
  <c r="C193" i="12"/>
  <c r="C194" i="12"/>
  <c r="C195" i="12"/>
  <c r="C196" i="12"/>
  <c r="C197" i="12"/>
  <c r="C198" i="12"/>
  <c r="C199" i="12"/>
  <c r="C200" i="12"/>
  <c r="C201" i="12"/>
  <c r="C202" i="12"/>
  <c r="C203" i="12"/>
  <c r="C204" i="12"/>
  <c r="C205" i="12"/>
  <c r="C206" i="12"/>
  <c r="C207" i="12"/>
  <c r="C208" i="12"/>
  <c r="C209" i="12"/>
  <c r="C210" i="12"/>
  <c r="C211" i="12"/>
  <c r="C212" i="12"/>
  <c r="C213" i="12"/>
  <c r="C214" i="12"/>
  <c r="C215" i="12"/>
  <c r="C216" i="12"/>
  <c r="C217" i="12"/>
  <c r="C218" i="12"/>
  <c r="C219" i="12"/>
  <c r="C220" i="12"/>
  <c r="C221" i="12"/>
  <c r="C222" i="12"/>
  <c r="C6" i="12"/>
  <c r="B975" i="2" l="1"/>
  <c r="C976" i="2" s="1"/>
  <c r="D978" i="2" s="1"/>
  <c r="E975" i="2"/>
  <c r="G975" i="2"/>
  <c r="B973" i="2" l="1"/>
  <c r="E973" i="2"/>
  <c r="G973" i="2"/>
  <c r="B974" i="2"/>
  <c r="E974" i="2"/>
  <c r="G974" i="2"/>
  <c r="C974" i="2" l="1"/>
  <c r="E220" i="12" s="1"/>
  <c r="C975" i="2"/>
  <c r="B972" i="2"/>
  <c r="C973" i="2" s="1"/>
  <c r="E219" i="12" s="1"/>
  <c r="E972" i="2"/>
  <c r="G972" i="2"/>
  <c r="D976" i="2" l="1"/>
  <c r="D977" i="2"/>
  <c r="E221" i="12"/>
  <c r="E222" i="12"/>
  <c r="D975" i="2"/>
  <c r="B971" i="2"/>
  <c r="C972" i="2" s="1"/>
  <c r="E971" i="2"/>
  <c r="G971" i="2"/>
  <c r="D974" i="2" l="1"/>
  <c r="E218" i="12"/>
  <c r="B970" i="2"/>
  <c r="C971" i="2" s="1"/>
  <c r="B969" i="2"/>
  <c r="B968" i="2"/>
  <c r="B967" i="2"/>
  <c r="E970" i="2"/>
  <c r="G970"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351" i="2"/>
  <c r="E352" i="2"/>
  <c r="E353" i="2"/>
  <c r="E354" i="2"/>
  <c r="E355" i="2"/>
  <c r="E356" i="2"/>
  <c r="E357" i="2"/>
  <c r="E358" i="2"/>
  <c r="E359" i="2"/>
  <c r="E360" i="2"/>
  <c r="E361" i="2"/>
  <c r="E362" i="2"/>
  <c r="E363" i="2"/>
  <c r="E364" i="2"/>
  <c r="E365" i="2"/>
  <c r="E366" i="2"/>
  <c r="E367" i="2"/>
  <c r="E368" i="2"/>
  <c r="E369" i="2"/>
  <c r="E370" i="2"/>
  <c r="E371" i="2"/>
  <c r="E372" i="2"/>
  <c r="E373" i="2"/>
  <c r="E374" i="2"/>
  <c r="E375" i="2"/>
  <c r="E376" i="2"/>
  <c r="E377" i="2"/>
  <c r="E378" i="2"/>
  <c r="E379" i="2"/>
  <c r="E380" i="2"/>
  <c r="E381" i="2"/>
  <c r="E382" i="2"/>
  <c r="E383" i="2"/>
  <c r="E384" i="2"/>
  <c r="E385" i="2"/>
  <c r="E386" i="2"/>
  <c r="E387" i="2"/>
  <c r="E388" i="2"/>
  <c r="E389" i="2"/>
  <c r="E390" i="2"/>
  <c r="E391" i="2"/>
  <c r="E392" i="2"/>
  <c r="E393" i="2"/>
  <c r="E394" i="2"/>
  <c r="E395" i="2"/>
  <c r="E396" i="2"/>
  <c r="E397" i="2"/>
  <c r="E398" i="2"/>
  <c r="E399" i="2"/>
  <c r="E400" i="2"/>
  <c r="E401" i="2"/>
  <c r="E402" i="2"/>
  <c r="E403" i="2"/>
  <c r="E404" i="2"/>
  <c r="E405" i="2"/>
  <c r="E406" i="2"/>
  <c r="E407" i="2"/>
  <c r="E408" i="2"/>
  <c r="E409" i="2"/>
  <c r="E410" i="2"/>
  <c r="E411" i="2"/>
  <c r="E412" i="2"/>
  <c r="E413" i="2"/>
  <c r="E414" i="2"/>
  <c r="E415" i="2"/>
  <c r="E416" i="2"/>
  <c r="E417" i="2"/>
  <c r="E418" i="2"/>
  <c r="E419" i="2"/>
  <c r="E420" i="2"/>
  <c r="E421" i="2"/>
  <c r="E422" i="2"/>
  <c r="E423" i="2"/>
  <c r="E424" i="2"/>
  <c r="E425" i="2"/>
  <c r="E426" i="2"/>
  <c r="E427" i="2"/>
  <c r="E428" i="2"/>
  <c r="E429" i="2"/>
  <c r="E430" i="2"/>
  <c r="E431" i="2"/>
  <c r="E432" i="2"/>
  <c r="E433" i="2"/>
  <c r="E434" i="2"/>
  <c r="E435" i="2"/>
  <c r="E436" i="2"/>
  <c r="E437" i="2"/>
  <c r="E438" i="2"/>
  <c r="E439" i="2"/>
  <c r="E440" i="2"/>
  <c r="E441" i="2"/>
  <c r="E442" i="2"/>
  <c r="E443" i="2"/>
  <c r="E444" i="2"/>
  <c r="E445" i="2"/>
  <c r="E446" i="2"/>
  <c r="E447" i="2"/>
  <c r="E448" i="2"/>
  <c r="E449" i="2"/>
  <c r="E450" i="2"/>
  <c r="E451" i="2"/>
  <c r="E452" i="2"/>
  <c r="E453" i="2"/>
  <c r="E454" i="2"/>
  <c r="E455" i="2"/>
  <c r="E456" i="2"/>
  <c r="E457" i="2"/>
  <c r="E458" i="2"/>
  <c r="E459" i="2"/>
  <c r="E460" i="2"/>
  <c r="E461" i="2"/>
  <c r="E462" i="2"/>
  <c r="E463" i="2"/>
  <c r="E464" i="2"/>
  <c r="E465" i="2"/>
  <c r="E466" i="2"/>
  <c r="E467" i="2"/>
  <c r="E468" i="2"/>
  <c r="E469" i="2"/>
  <c r="E470" i="2"/>
  <c r="E471" i="2"/>
  <c r="E472" i="2"/>
  <c r="E473" i="2"/>
  <c r="E474" i="2"/>
  <c r="E475" i="2"/>
  <c r="E476" i="2"/>
  <c r="E477" i="2"/>
  <c r="E478" i="2"/>
  <c r="E479" i="2"/>
  <c r="E480" i="2"/>
  <c r="E481" i="2"/>
  <c r="E482" i="2"/>
  <c r="E483" i="2"/>
  <c r="E484" i="2"/>
  <c r="E485" i="2"/>
  <c r="E486" i="2"/>
  <c r="E487" i="2"/>
  <c r="E488" i="2"/>
  <c r="E489" i="2"/>
  <c r="E490" i="2"/>
  <c r="E491" i="2"/>
  <c r="E492" i="2"/>
  <c r="E493" i="2"/>
  <c r="E494" i="2"/>
  <c r="E495" i="2"/>
  <c r="E496" i="2"/>
  <c r="E497" i="2"/>
  <c r="E498" i="2"/>
  <c r="E499" i="2"/>
  <c r="E500" i="2"/>
  <c r="E501" i="2"/>
  <c r="E502" i="2"/>
  <c r="E503" i="2"/>
  <c r="E504" i="2"/>
  <c r="E505" i="2"/>
  <c r="E506" i="2"/>
  <c r="E507" i="2"/>
  <c r="E508" i="2"/>
  <c r="E509" i="2"/>
  <c r="E510" i="2"/>
  <c r="E511" i="2"/>
  <c r="E512" i="2"/>
  <c r="E513" i="2"/>
  <c r="E514" i="2"/>
  <c r="E515" i="2"/>
  <c r="E516" i="2"/>
  <c r="E517" i="2"/>
  <c r="E518" i="2"/>
  <c r="E519" i="2"/>
  <c r="E520" i="2"/>
  <c r="E521" i="2"/>
  <c r="E522" i="2"/>
  <c r="E523" i="2"/>
  <c r="E524" i="2"/>
  <c r="E525" i="2"/>
  <c r="E526" i="2"/>
  <c r="E527" i="2"/>
  <c r="E528" i="2"/>
  <c r="E529" i="2"/>
  <c r="E530" i="2"/>
  <c r="E531" i="2"/>
  <c r="E532" i="2"/>
  <c r="E533" i="2"/>
  <c r="E534" i="2"/>
  <c r="E535" i="2"/>
  <c r="E536" i="2"/>
  <c r="E537" i="2"/>
  <c r="E538" i="2"/>
  <c r="E539" i="2"/>
  <c r="E540" i="2"/>
  <c r="E541" i="2"/>
  <c r="E542" i="2"/>
  <c r="E543" i="2"/>
  <c r="E544" i="2"/>
  <c r="E545" i="2"/>
  <c r="E546" i="2"/>
  <c r="E547" i="2"/>
  <c r="E548" i="2"/>
  <c r="E549" i="2"/>
  <c r="E550" i="2"/>
  <c r="E551" i="2"/>
  <c r="E552" i="2"/>
  <c r="E553" i="2"/>
  <c r="E554" i="2"/>
  <c r="E555" i="2"/>
  <c r="E556" i="2"/>
  <c r="E557" i="2"/>
  <c r="E558" i="2"/>
  <c r="E559" i="2"/>
  <c r="E560" i="2"/>
  <c r="E561" i="2"/>
  <c r="E562" i="2"/>
  <c r="E563" i="2"/>
  <c r="E564" i="2"/>
  <c r="E565" i="2"/>
  <c r="E566" i="2"/>
  <c r="E567" i="2"/>
  <c r="E568" i="2"/>
  <c r="E569" i="2"/>
  <c r="E570" i="2"/>
  <c r="E571" i="2"/>
  <c r="E572" i="2"/>
  <c r="E573" i="2"/>
  <c r="E574" i="2"/>
  <c r="E575" i="2"/>
  <c r="E576" i="2"/>
  <c r="E577" i="2"/>
  <c r="E578" i="2"/>
  <c r="E579" i="2"/>
  <c r="E580" i="2"/>
  <c r="E581" i="2"/>
  <c r="E582" i="2"/>
  <c r="E583" i="2"/>
  <c r="E584" i="2"/>
  <c r="E585" i="2"/>
  <c r="E586" i="2"/>
  <c r="E587" i="2"/>
  <c r="E588" i="2"/>
  <c r="E589" i="2"/>
  <c r="E590" i="2"/>
  <c r="E591" i="2"/>
  <c r="E592" i="2"/>
  <c r="E593" i="2"/>
  <c r="E594" i="2"/>
  <c r="E595" i="2"/>
  <c r="E596" i="2"/>
  <c r="E597" i="2"/>
  <c r="E598" i="2"/>
  <c r="E599" i="2"/>
  <c r="E600" i="2"/>
  <c r="E601" i="2"/>
  <c r="E602" i="2"/>
  <c r="E603" i="2"/>
  <c r="E604" i="2"/>
  <c r="E605" i="2"/>
  <c r="E606" i="2"/>
  <c r="E607" i="2"/>
  <c r="E608" i="2"/>
  <c r="E609" i="2"/>
  <c r="E610" i="2"/>
  <c r="E611" i="2"/>
  <c r="E612" i="2"/>
  <c r="E613" i="2"/>
  <c r="E614" i="2"/>
  <c r="E615" i="2"/>
  <c r="E616" i="2"/>
  <c r="E617" i="2"/>
  <c r="E618" i="2"/>
  <c r="E619" i="2"/>
  <c r="E620" i="2"/>
  <c r="E621" i="2"/>
  <c r="E622" i="2"/>
  <c r="E623" i="2"/>
  <c r="E624" i="2"/>
  <c r="E625" i="2"/>
  <c r="E626" i="2"/>
  <c r="E627" i="2"/>
  <c r="E628" i="2"/>
  <c r="E629" i="2"/>
  <c r="E630" i="2"/>
  <c r="E631" i="2"/>
  <c r="E632" i="2"/>
  <c r="E633" i="2"/>
  <c r="E634" i="2"/>
  <c r="E635" i="2"/>
  <c r="E636" i="2"/>
  <c r="E637" i="2"/>
  <c r="E638" i="2"/>
  <c r="E639" i="2"/>
  <c r="E640" i="2"/>
  <c r="E641" i="2"/>
  <c r="E642" i="2"/>
  <c r="E643" i="2"/>
  <c r="E644" i="2"/>
  <c r="E645" i="2"/>
  <c r="E646" i="2"/>
  <c r="E647" i="2"/>
  <c r="E648" i="2"/>
  <c r="E649" i="2"/>
  <c r="E650" i="2"/>
  <c r="E651" i="2"/>
  <c r="E652" i="2"/>
  <c r="E653" i="2"/>
  <c r="E654" i="2"/>
  <c r="E655" i="2"/>
  <c r="E656" i="2"/>
  <c r="E657" i="2"/>
  <c r="E658" i="2"/>
  <c r="E659" i="2"/>
  <c r="E660" i="2"/>
  <c r="E661" i="2"/>
  <c r="E662" i="2"/>
  <c r="E663" i="2"/>
  <c r="E664" i="2"/>
  <c r="E665" i="2"/>
  <c r="E666" i="2"/>
  <c r="E667" i="2"/>
  <c r="E668" i="2"/>
  <c r="E669" i="2"/>
  <c r="E670" i="2"/>
  <c r="E671" i="2"/>
  <c r="E672" i="2"/>
  <c r="E673" i="2"/>
  <c r="E674" i="2"/>
  <c r="E675" i="2"/>
  <c r="E676" i="2"/>
  <c r="E677" i="2"/>
  <c r="E678" i="2"/>
  <c r="E679" i="2"/>
  <c r="E680" i="2"/>
  <c r="E681" i="2"/>
  <c r="E682" i="2"/>
  <c r="E683" i="2"/>
  <c r="E684" i="2"/>
  <c r="E685" i="2"/>
  <c r="E686" i="2"/>
  <c r="E687" i="2"/>
  <c r="E688" i="2"/>
  <c r="E689" i="2"/>
  <c r="E690" i="2"/>
  <c r="E691" i="2"/>
  <c r="E692" i="2"/>
  <c r="E693" i="2"/>
  <c r="E694" i="2"/>
  <c r="E695" i="2"/>
  <c r="E696" i="2"/>
  <c r="E697" i="2"/>
  <c r="E698" i="2"/>
  <c r="E699" i="2"/>
  <c r="E700" i="2"/>
  <c r="E701" i="2"/>
  <c r="E702" i="2"/>
  <c r="E703" i="2"/>
  <c r="E704" i="2"/>
  <c r="E705" i="2"/>
  <c r="E706" i="2"/>
  <c r="E707" i="2"/>
  <c r="E708" i="2"/>
  <c r="E709" i="2"/>
  <c r="E710" i="2"/>
  <c r="E711" i="2"/>
  <c r="E712" i="2"/>
  <c r="E713" i="2"/>
  <c r="E714" i="2"/>
  <c r="E715" i="2"/>
  <c r="E716" i="2"/>
  <c r="E717" i="2"/>
  <c r="E718" i="2"/>
  <c r="E719" i="2"/>
  <c r="E720" i="2"/>
  <c r="E721" i="2"/>
  <c r="E722" i="2"/>
  <c r="E723" i="2"/>
  <c r="E724" i="2"/>
  <c r="E725" i="2"/>
  <c r="E726" i="2"/>
  <c r="E727" i="2"/>
  <c r="E728" i="2"/>
  <c r="E729" i="2"/>
  <c r="E730" i="2"/>
  <c r="E731" i="2"/>
  <c r="E732" i="2"/>
  <c r="E733" i="2"/>
  <c r="E734" i="2"/>
  <c r="E735" i="2"/>
  <c r="E736" i="2"/>
  <c r="E737" i="2"/>
  <c r="E738" i="2"/>
  <c r="E739" i="2"/>
  <c r="E740" i="2"/>
  <c r="E741" i="2"/>
  <c r="E742" i="2"/>
  <c r="E743" i="2"/>
  <c r="E744" i="2"/>
  <c r="E745" i="2"/>
  <c r="E746" i="2"/>
  <c r="E747" i="2"/>
  <c r="E748" i="2"/>
  <c r="E749" i="2"/>
  <c r="E750" i="2"/>
  <c r="E751" i="2"/>
  <c r="E752" i="2"/>
  <c r="E753" i="2"/>
  <c r="E754" i="2"/>
  <c r="E755" i="2"/>
  <c r="E756" i="2"/>
  <c r="E757" i="2"/>
  <c r="E758" i="2"/>
  <c r="E759" i="2"/>
  <c r="E760" i="2"/>
  <c r="E761" i="2"/>
  <c r="E762" i="2"/>
  <c r="E763" i="2"/>
  <c r="E764" i="2"/>
  <c r="E765" i="2"/>
  <c r="E766" i="2"/>
  <c r="E767" i="2"/>
  <c r="E768" i="2"/>
  <c r="E769" i="2"/>
  <c r="E770" i="2"/>
  <c r="E771" i="2"/>
  <c r="E772" i="2"/>
  <c r="E773" i="2"/>
  <c r="E774" i="2"/>
  <c r="E775" i="2"/>
  <c r="E776" i="2"/>
  <c r="E777" i="2"/>
  <c r="E778" i="2"/>
  <c r="E779" i="2"/>
  <c r="E780" i="2"/>
  <c r="E781" i="2"/>
  <c r="E782" i="2"/>
  <c r="E783" i="2"/>
  <c r="E784" i="2"/>
  <c r="E785" i="2"/>
  <c r="E786" i="2"/>
  <c r="E787" i="2"/>
  <c r="E788" i="2"/>
  <c r="E789" i="2"/>
  <c r="E790" i="2"/>
  <c r="E791" i="2"/>
  <c r="E792" i="2"/>
  <c r="E793" i="2"/>
  <c r="E794" i="2"/>
  <c r="E795" i="2"/>
  <c r="E796" i="2"/>
  <c r="E797" i="2"/>
  <c r="E798" i="2"/>
  <c r="E799" i="2"/>
  <c r="E800" i="2"/>
  <c r="E801" i="2"/>
  <c r="E802" i="2"/>
  <c r="E803" i="2"/>
  <c r="E804" i="2"/>
  <c r="E805" i="2"/>
  <c r="E806" i="2"/>
  <c r="E807" i="2"/>
  <c r="E808" i="2"/>
  <c r="E809" i="2"/>
  <c r="E810" i="2"/>
  <c r="E811" i="2"/>
  <c r="E812" i="2"/>
  <c r="E813" i="2"/>
  <c r="E814" i="2"/>
  <c r="E815" i="2"/>
  <c r="E816" i="2"/>
  <c r="E817" i="2"/>
  <c r="E818" i="2"/>
  <c r="E819" i="2"/>
  <c r="E820" i="2"/>
  <c r="E821" i="2"/>
  <c r="E822" i="2"/>
  <c r="E823" i="2"/>
  <c r="E824" i="2"/>
  <c r="E825" i="2"/>
  <c r="E826" i="2"/>
  <c r="E827" i="2"/>
  <c r="E828" i="2"/>
  <c r="E829" i="2"/>
  <c r="E830" i="2"/>
  <c r="E831" i="2"/>
  <c r="E832" i="2"/>
  <c r="E833" i="2"/>
  <c r="E834" i="2"/>
  <c r="E835" i="2"/>
  <c r="E836" i="2"/>
  <c r="E837" i="2"/>
  <c r="E838" i="2"/>
  <c r="E839" i="2"/>
  <c r="E840" i="2"/>
  <c r="E841" i="2"/>
  <c r="E842" i="2"/>
  <c r="E843" i="2"/>
  <c r="E844" i="2"/>
  <c r="E845" i="2"/>
  <c r="E846" i="2"/>
  <c r="E847" i="2"/>
  <c r="E848" i="2"/>
  <c r="E849" i="2"/>
  <c r="E850" i="2"/>
  <c r="E851" i="2"/>
  <c r="E852" i="2"/>
  <c r="E853" i="2"/>
  <c r="E854" i="2"/>
  <c r="E855" i="2"/>
  <c r="E856" i="2"/>
  <c r="E857" i="2"/>
  <c r="E858" i="2"/>
  <c r="E859" i="2"/>
  <c r="E860" i="2"/>
  <c r="E861" i="2"/>
  <c r="E862" i="2"/>
  <c r="E863" i="2"/>
  <c r="E864" i="2"/>
  <c r="E865" i="2"/>
  <c r="E866" i="2"/>
  <c r="E867" i="2"/>
  <c r="E868" i="2"/>
  <c r="E869" i="2"/>
  <c r="E870" i="2"/>
  <c r="E871" i="2"/>
  <c r="E872" i="2"/>
  <c r="E873" i="2"/>
  <c r="E874" i="2"/>
  <c r="E875" i="2"/>
  <c r="E876" i="2"/>
  <c r="E877" i="2"/>
  <c r="E878" i="2"/>
  <c r="E879" i="2"/>
  <c r="E880" i="2"/>
  <c r="E881" i="2"/>
  <c r="E882" i="2"/>
  <c r="E883" i="2"/>
  <c r="E884" i="2"/>
  <c r="E885" i="2"/>
  <c r="E886" i="2"/>
  <c r="E887" i="2"/>
  <c r="E888" i="2"/>
  <c r="E889" i="2"/>
  <c r="E890" i="2"/>
  <c r="E891" i="2"/>
  <c r="E892" i="2"/>
  <c r="E893" i="2"/>
  <c r="E894" i="2"/>
  <c r="E895" i="2"/>
  <c r="E896" i="2"/>
  <c r="E897" i="2"/>
  <c r="E898" i="2"/>
  <c r="E899" i="2"/>
  <c r="E900" i="2"/>
  <c r="E901" i="2"/>
  <c r="E902" i="2"/>
  <c r="E903" i="2"/>
  <c r="E904" i="2"/>
  <c r="E905" i="2"/>
  <c r="E906" i="2"/>
  <c r="E907" i="2"/>
  <c r="E908" i="2"/>
  <c r="E909" i="2"/>
  <c r="E910" i="2"/>
  <c r="E911" i="2"/>
  <c r="E912" i="2"/>
  <c r="E913" i="2"/>
  <c r="E914" i="2"/>
  <c r="E915" i="2"/>
  <c r="E916" i="2"/>
  <c r="E917" i="2"/>
  <c r="E918" i="2"/>
  <c r="E919" i="2"/>
  <c r="E920" i="2"/>
  <c r="E921" i="2"/>
  <c r="E922" i="2"/>
  <c r="E923" i="2"/>
  <c r="E924" i="2"/>
  <c r="E925" i="2"/>
  <c r="E926" i="2"/>
  <c r="E927" i="2"/>
  <c r="E928" i="2"/>
  <c r="E929" i="2"/>
  <c r="E930" i="2"/>
  <c r="E931" i="2"/>
  <c r="E932" i="2"/>
  <c r="E933" i="2"/>
  <c r="E934" i="2"/>
  <c r="E935" i="2"/>
  <c r="E936" i="2"/>
  <c r="E937" i="2"/>
  <c r="E938" i="2"/>
  <c r="E939" i="2"/>
  <c r="E940" i="2"/>
  <c r="E941" i="2"/>
  <c r="E942" i="2"/>
  <c r="E943" i="2"/>
  <c r="E944" i="2"/>
  <c r="E945" i="2"/>
  <c r="E946" i="2"/>
  <c r="E947" i="2"/>
  <c r="E948" i="2"/>
  <c r="E949" i="2"/>
  <c r="E950" i="2"/>
  <c r="E951" i="2"/>
  <c r="E952" i="2"/>
  <c r="E953" i="2"/>
  <c r="E954" i="2"/>
  <c r="E955" i="2"/>
  <c r="E956" i="2"/>
  <c r="E957" i="2"/>
  <c r="E958" i="2"/>
  <c r="E959" i="2"/>
  <c r="E960" i="2"/>
  <c r="E961" i="2"/>
  <c r="E962" i="2"/>
  <c r="E963" i="2"/>
  <c r="E964" i="2"/>
  <c r="E965" i="2"/>
  <c r="E966" i="2"/>
  <c r="E967" i="2"/>
  <c r="E968" i="2"/>
  <c r="E969" i="2"/>
  <c r="E120"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B502" i="2"/>
  <c r="B503" i="2"/>
  <c r="B504" i="2"/>
  <c r="B505" i="2"/>
  <c r="B506" i="2"/>
  <c r="B507" i="2"/>
  <c r="B508" i="2"/>
  <c r="B509" i="2"/>
  <c r="B510" i="2"/>
  <c r="B511" i="2"/>
  <c r="B512" i="2"/>
  <c r="B513" i="2"/>
  <c r="B514" i="2"/>
  <c r="B515" i="2"/>
  <c r="B516" i="2"/>
  <c r="B517" i="2"/>
  <c r="B518" i="2"/>
  <c r="B519" i="2"/>
  <c r="B520" i="2"/>
  <c r="B521" i="2"/>
  <c r="B522" i="2"/>
  <c r="B523" i="2"/>
  <c r="B524" i="2"/>
  <c r="B525" i="2"/>
  <c r="B526" i="2"/>
  <c r="B527" i="2"/>
  <c r="B528" i="2"/>
  <c r="B529" i="2"/>
  <c r="B530" i="2"/>
  <c r="B531" i="2"/>
  <c r="B532" i="2"/>
  <c r="B533" i="2"/>
  <c r="B534" i="2"/>
  <c r="B535" i="2"/>
  <c r="B536" i="2"/>
  <c r="B537" i="2"/>
  <c r="B538" i="2"/>
  <c r="B539" i="2"/>
  <c r="B540" i="2"/>
  <c r="B541" i="2"/>
  <c r="B542" i="2"/>
  <c r="B543" i="2"/>
  <c r="B544" i="2"/>
  <c r="B545" i="2"/>
  <c r="B546" i="2"/>
  <c r="B547" i="2"/>
  <c r="B548" i="2"/>
  <c r="B549" i="2"/>
  <c r="B550" i="2"/>
  <c r="B551" i="2"/>
  <c r="B552" i="2"/>
  <c r="B553" i="2"/>
  <c r="B554" i="2"/>
  <c r="B555" i="2"/>
  <c r="B556" i="2"/>
  <c r="B557" i="2"/>
  <c r="B558" i="2"/>
  <c r="B559" i="2"/>
  <c r="B560" i="2"/>
  <c r="B561" i="2"/>
  <c r="B562" i="2"/>
  <c r="B563" i="2"/>
  <c r="B564" i="2"/>
  <c r="B565" i="2"/>
  <c r="B566" i="2"/>
  <c r="B567" i="2"/>
  <c r="B568" i="2"/>
  <c r="B569" i="2"/>
  <c r="B570" i="2"/>
  <c r="B571" i="2"/>
  <c r="B572" i="2"/>
  <c r="B573" i="2"/>
  <c r="B574" i="2"/>
  <c r="B575" i="2"/>
  <c r="B576" i="2"/>
  <c r="B577" i="2"/>
  <c r="B578" i="2"/>
  <c r="B579" i="2"/>
  <c r="B580" i="2"/>
  <c r="B581" i="2"/>
  <c r="B582" i="2"/>
  <c r="B583" i="2"/>
  <c r="B584" i="2"/>
  <c r="B585" i="2"/>
  <c r="B586" i="2"/>
  <c r="B587" i="2"/>
  <c r="B588" i="2"/>
  <c r="B589" i="2"/>
  <c r="B590" i="2"/>
  <c r="B591" i="2"/>
  <c r="B592" i="2"/>
  <c r="B593" i="2"/>
  <c r="B594" i="2"/>
  <c r="B595" i="2"/>
  <c r="B596" i="2"/>
  <c r="B597" i="2"/>
  <c r="B598" i="2"/>
  <c r="B599" i="2"/>
  <c r="B600" i="2"/>
  <c r="B601" i="2"/>
  <c r="B602" i="2"/>
  <c r="B603" i="2"/>
  <c r="B604" i="2"/>
  <c r="B605" i="2"/>
  <c r="B606" i="2"/>
  <c r="B607" i="2"/>
  <c r="B608" i="2"/>
  <c r="B609" i="2"/>
  <c r="B610" i="2"/>
  <c r="B611" i="2"/>
  <c r="B612" i="2"/>
  <c r="B613" i="2"/>
  <c r="B614" i="2"/>
  <c r="B615" i="2"/>
  <c r="B616" i="2"/>
  <c r="B617" i="2"/>
  <c r="B618" i="2"/>
  <c r="B619" i="2"/>
  <c r="B620" i="2"/>
  <c r="B621" i="2"/>
  <c r="B622" i="2"/>
  <c r="B623" i="2"/>
  <c r="B624" i="2"/>
  <c r="B625" i="2"/>
  <c r="B626" i="2"/>
  <c r="B627" i="2"/>
  <c r="B628" i="2"/>
  <c r="B629" i="2"/>
  <c r="B630" i="2"/>
  <c r="B631" i="2"/>
  <c r="B632" i="2"/>
  <c r="B633" i="2"/>
  <c r="B634" i="2"/>
  <c r="B635" i="2"/>
  <c r="B636" i="2"/>
  <c r="B637" i="2"/>
  <c r="B638" i="2"/>
  <c r="B639" i="2"/>
  <c r="B640" i="2"/>
  <c r="B641" i="2"/>
  <c r="B642" i="2"/>
  <c r="B643" i="2"/>
  <c r="B644" i="2"/>
  <c r="B645" i="2"/>
  <c r="B646" i="2"/>
  <c r="B647" i="2"/>
  <c r="B648" i="2"/>
  <c r="B649" i="2"/>
  <c r="B650" i="2"/>
  <c r="B651" i="2"/>
  <c r="B652" i="2"/>
  <c r="B653" i="2"/>
  <c r="B654" i="2"/>
  <c r="B655" i="2"/>
  <c r="B656" i="2"/>
  <c r="B657" i="2"/>
  <c r="B658" i="2"/>
  <c r="B659" i="2"/>
  <c r="B660" i="2"/>
  <c r="B661" i="2"/>
  <c r="B662" i="2"/>
  <c r="B663" i="2"/>
  <c r="B664" i="2"/>
  <c r="B665" i="2"/>
  <c r="B666" i="2"/>
  <c r="B667" i="2"/>
  <c r="B668" i="2"/>
  <c r="B669" i="2"/>
  <c r="B670" i="2"/>
  <c r="B671" i="2"/>
  <c r="B672" i="2"/>
  <c r="B673" i="2"/>
  <c r="B674" i="2"/>
  <c r="B675" i="2"/>
  <c r="B676" i="2"/>
  <c r="B677" i="2"/>
  <c r="B678" i="2"/>
  <c r="B679" i="2"/>
  <c r="B680" i="2"/>
  <c r="B681" i="2"/>
  <c r="B682" i="2"/>
  <c r="B683" i="2"/>
  <c r="B684" i="2"/>
  <c r="B685" i="2"/>
  <c r="B686" i="2"/>
  <c r="B687" i="2"/>
  <c r="B688" i="2"/>
  <c r="B689" i="2"/>
  <c r="B690" i="2"/>
  <c r="B691" i="2"/>
  <c r="B692" i="2"/>
  <c r="B693" i="2"/>
  <c r="B694" i="2"/>
  <c r="B695" i="2"/>
  <c r="B696" i="2"/>
  <c r="B697" i="2"/>
  <c r="B698" i="2"/>
  <c r="B699" i="2"/>
  <c r="B700" i="2"/>
  <c r="B701" i="2"/>
  <c r="B702" i="2"/>
  <c r="B703" i="2"/>
  <c r="B704" i="2"/>
  <c r="B705" i="2"/>
  <c r="B706" i="2"/>
  <c r="B707" i="2"/>
  <c r="B708" i="2"/>
  <c r="B709" i="2"/>
  <c r="B710" i="2"/>
  <c r="B711" i="2"/>
  <c r="B712" i="2"/>
  <c r="B713" i="2"/>
  <c r="B714" i="2"/>
  <c r="B715" i="2"/>
  <c r="B716" i="2"/>
  <c r="B717" i="2"/>
  <c r="B718" i="2"/>
  <c r="B719" i="2"/>
  <c r="B720" i="2"/>
  <c r="B721" i="2"/>
  <c r="B722" i="2"/>
  <c r="B723" i="2"/>
  <c r="B724" i="2"/>
  <c r="B725" i="2"/>
  <c r="B726" i="2"/>
  <c r="B727" i="2"/>
  <c r="B728" i="2"/>
  <c r="B729" i="2"/>
  <c r="B730" i="2"/>
  <c r="B731" i="2"/>
  <c r="B732" i="2"/>
  <c r="B733" i="2"/>
  <c r="B734" i="2"/>
  <c r="B735" i="2"/>
  <c r="B736" i="2"/>
  <c r="B737" i="2"/>
  <c r="B738" i="2"/>
  <c r="B739" i="2"/>
  <c r="B740" i="2"/>
  <c r="B741" i="2"/>
  <c r="B742" i="2"/>
  <c r="B743" i="2"/>
  <c r="B744" i="2"/>
  <c r="B745" i="2"/>
  <c r="B746" i="2"/>
  <c r="B747" i="2"/>
  <c r="B748" i="2"/>
  <c r="B749" i="2"/>
  <c r="B750" i="2"/>
  <c r="B751" i="2"/>
  <c r="B752" i="2"/>
  <c r="B753" i="2"/>
  <c r="B754" i="2"/>
  <c r="B755" i="2"/>
  <c r="B756" i="2"/>
  <c r="B757" i="2"/>
  <c r="B758" i="2"/>
  <c r="B759" i="2"/>
  <c r="B760" i="2"/>
  <c r="B761" i="2"/>
  <c r="B762" i="2"/>
  <c r="B763" i="2"/>
  <c r="B764" i="2"/>
  <c r="B765" i="2"/>
  <c r="B766" i="2"/>
  <c r="B767" i="2"/>
  <c r="B768" i="2"/>
  <c r="B769" i="2"/>
  <c r="B770" i="2"/>
  <c r="B771" i="2"/>
  <c r="B772" i="2"/>
  <c r="B773" i="2"/>
  <c r="B774" i="2"/>
  <c r="B775" i="2"/>
  <c r="B776" i="2"/>
  <c r="B777" i="2"/>
  <c r="B778" i="2"/>
  <c r="B779" i="2"/>
  <c r="B780" i="2"/>
  <c r="B781" i="2"/>
  <c r="B782" i="2"/>
  <c r="B783" i="2"/>
  <c r="B784" i="2"/>
  <c r="B785" i="2"/>
  <c r="B786" i="2"/>
  <c r="B787" i="2"/>
  <c r="B788" i="2"/>
  <c r="B789" i="2"/>
  <c r="B790" i="2"/>
  <c r="B791" i="2"/>
  <c r="B792" i="2"/>
  <c r="B793" i="2"/>
  <c r="B794" i="2"/>
  <c r="B795" i="2"/>
  <c r="B796" i="2"/>
  <c r="B797" i="2"/>
  <c r="B798" i="2"/>
  <c r="B799" i="2"/>
  <c r="B800" i="2"/>
  <c r="B801" i="2"/>
  <c r="B802" i="2"/>
  <c r="B803" i="2"/>
  <c r="B804" i="2"/>
  <c r="B805" i="2"/>
  <c r="B806" i="2"/>
  <c r="B807" i="2"/>
  <c r="B808" i="2"/>
  <c r="B809" i="2"/>
  <c r="B810" i="2"/>
  <c r="B811" i="2"/>
  <c r="B812" i="2"/>
  <c r="B813" i="2"/>
  <c r="B814" i="2"/>
  <c r="B815" i="2"/>
  <c r="B816" i="2"/>
  <c r="B817" i="2"/>
  <c r="B818" i="2"/>
  <c r="B819" i="2"/>
  <c r="B820" i="2"/>
  <c r="B821" i="2"/>
  <c r="B822" i="2"/>
  <c r="B823" i="2"/>
  <c r="B824" i="2"/>
  <c r="B825" i="2"/>
  <c r="B826" i="2"/>
  <c r="B827" i="2"/>
  <c r="B828" i="2"/>
  <c r="B829" i="2"/>
  <c r="B830" i="2"/>
  <c r="B831" i="2"/>
  <c r="B832" i="2"/>
  <c r="B833" i="2"/>
  <c r="B834" i="2"/>
  <c r="B835" i="2"/>
  <c r="B836" i="2"/>
  <c r="B837" i="2"/>
  <c r="B838" i="2"/>
  <c r="B839" i="2"/>
  <c r="B840" i="2"/>
  <c r="B841" i="2"/>
  <c r="B842" i="2"/>
  <c r="B843" i="2"/>
  <c r="B844" i="2"/>
  <c r="B845" i="2"/>
  <c r="B846" i="2"/>
  <c r="B847" i="2"/>
  <c r="B848" i="2"/>
  <c r="B849" i="2"/>
  <c r="B850" i="2"/>
  <c r="B851" i="2"/>
  <c r="B852" i="2"/>
  <c r="B853" i="2"/>
  <c r="B854" i="2"/>
  <c r="B855" i="2"/>
  <c r="B856" i="2"/>
  <c r="B857" i="2"/>
  <c r="B858" i="2"/>
  <c r="B859" i="2"/>
  <c r="B860" i="2"/>
  <c r="B861" i="2"/>
  <c r="B862" i="2"/>
  <c r="B863" i="2"/>
  <c r="B864" i="2"/>
  <c r="B865" i="2"/>
  <c r="B866" i="2"/>
  <c r="B867" i="2"/>
  <c r="B868" i="2"/>
  <c r="B869" i="2"/>
  <c r="B870" i="2"/>
  <c r="B871" i="2"/>
  <c r="B872" i="2"/>
  <c r="B873" i="2"/>
  <c r="B874" i="2"/>
  <c r="B875" i="2"/>
  <c r="B876" i="2"/>
  <c r="B877" i="2"/>
  <c r="B878" i="2"/>
  <c r="B879" i="2"/>
  <c r="B880" i="2"/>
  <c r="B881" i="2"/>
  <c r="B882" i="2"/>
  <c r="B883" i="2"/>
  <c r="B884" i="2"/>
  <c r="B885" i="2"/>
  <c r="B886" i="2"/>
  <c r="B887" i="2"/>
  <c r="B888" i="2"/>
  <c r="B889" i="2"/>
  <c r="B890" i="2"/>
  <c r="B891" i="2"/>
  <c r="B892" i="2"/>
  <c r="B893" i="2"/>
  <c r="B894" i="2"/>
  <c r="B895" i="2"/>
  <c r="B896" i="2"/>
  <c r="B897" i="2"/>
  <c r="B898" i="2"/>
  <c r="B899" i="2"/>
  <c r="B900" i="2"/>
  <c r="B901" i="2"/>
  <c r="B902" i="2"/>
  <c r="B903" i="2"/>
  <c r="B904" i="2"/>
  <c r="B905" i="2"/>
  <c r="B906" i="2"/>
  <c r="B907" i="2"/>
  <c r="B908" i="2"/>
  <c r="B909" i="2"/>
  <c r="B910" i="2"/>
  <c r="B911" i="2"/>
  <c r="B912" i="2"/>
  <c r="B913" i="2"/>
  <c r="B914" i="2"/>
  <c r="B915" i="2"/>
  <c r="B916" i="2"/>
  <c r="B917" i="2"/>
  <c r="B918" i="2"/>
  <c r="B919" i="2"/>
  <c r="B920" i="2"/>
  <c r="B921" i="2"/>
  <c r="B922" i="2"/>
  <c r="B923" i="2"/>
  <c r="B924" i="2"/>
  <c r="B925" i="2"/>
  <c r="B926" i="2"/>
  <c r="B927" i="2"/>
  <c r="B928" i="2"/>
  <c r="B929" i="2"/>
  <c r="B930" i="2"/>
  <c r="B931" i="2"/>
  <c r="B932" i="2"/>
  <c r="B933" i="2"/>
  <c r="B934" i="2"/>
  <c r="B935" i="2"/>
  <c r="B936" i="2"/>
  <c r="B937" i="2"/>
  <c r="B938" i="2"/>
  <c r="B939" i="2"/>
  <c r="B940" i="2"/>
  <c r="B941" i="2"/>
  <c r="B942" i="2"/>
  <c r="B943" i="2"/>
  <c r="B944" i="2"/>
  <c r="B945" i="2"/>
  <c r="B946" i="2"/>
  <c r="B947" i="2"/>
  <c r="B948" i="2"/>
  <c r="B949" i="2"/>
  <c r="B950" i="2"/>
  <c r="B951" i="2"/>
  <c r="B952" i="2"/>
  <c r="B953" i="2"/>
  <c r="B954" i="2"/>
  <c r="B955" i="2"/>
  <c r="B956" i="2"/>
  <c r="B957" i="2"/>
  <c r="B958" i="2"/>
  <c r="B959" i="2"/>
  <c r="B960" i="2"/>
  <c r="B961" i="2"/>
  <c r="B962" i="2"/>
  <c r="B963" i="2"/>
  <c r="B964" i="2"/>
  <c r="B965" i="2"/>
  <c r="B966" i="2"/>
  <c r="C967" i="2" s="1"/>
  <c r="E213" i="12" s="1"/>
  <c r="C285" i="2" l="1"/>
  <c r="C963" i="2"/>
  <c r="E209" i="12" s="1"/>
  <c r="C97" i="2"/>
  <c r="C49" i="2"/>
  <c r="C952" i="2"/>
  <c r="E198" i="12" s="1"/>
  <c r="C916" i="2"/>
  <c r="E162" i="12" s="1"/>
  <c r="C892" i="2"/>
  <c r="E138" i="12" s="1"/>
  <c r="C880" i="2"/>
  <c r="E126" i="12" s="1"/>
  <c r="C868" i="2"/>
  <c r="E114" i="12" s="1"/>
  <c r="C856" i="2"/>
  <c r="E102" i="12" s="1"/>
  <c r="C844" i="2"/>
  <c r="E90" i="12" s="1"/>
  <c r="C832" i="2"/>
  <c r="E78" i="12" s="1"/>
  <c r="C181" i="2"/>
  <c r="C81" i="2"/>
  <c r="C962" i="2"/>
  <c r="E208" i="12" s="1"/>
  <c r="C950" i="2"/>
  <c r="E196" i="12" s="1"/>
  <c r="C938" i="2"/>
  <c r="E184" i="12" s="1"/>
  <c r="C926" i="2"/>
  <c r="E172" i="12" s="1"/>
  <c r="C914" i="2"/>
  <c r="E160" i="12" s="1"/>
  <c r="C902" i="2"/>
  <c r="E148" i="12" s="1"/>
  <c r="C890" i="2"/>
  <c r="E136" i="12" s="1"/>
  <c r="C878" i="2"/>
  <c r="E124" i="12" s="1"/>
  <c r="C866" i="2"/>
  <c r="E112" i="12" s="1"/>
  <c r="C854" i="2"/>
  <c r="E100" i="12" s="1"/>
  <c r="C842" i="2"/>
  <c r="E88" i="12" s="1"/>
  <c r="C830" i="2"/>
  <c r="E76" i="12" s="1"/>
  <c r="C818" i="2"/>
  <c r="E64" i="12" s="1"/>
  <c r="C806" i="2"/>
  <c r="E52" i="12" s="1"/>
  <c r="C782" i="2"/>
  <c r="E28" i="12" s="1"/>
  <c r="C770" i="2"/>
  <c r="E16" i="12" s="1"/>
  <c r="C734" i="2"/>
  <c r="C710" i="2"/>
  <c r="C674" i="2"/>
  <c r="C662" i="2"/>
  <c r="C614" i="2"/>
  <c r="C602" i="2"/>
  <c r="C590" i="2"/>
  <c r="C578" i="2"/>
  <c r="C542" i="2"/>
  <c r="C530" i="2"/>
  <c r="C494" i="2"/>
  <c r="C482" i="2"/>
  <c r="C470" i="2"/>
  <c r="C458" i="2"/>
  <c r="C422" i="2"/>
  <c r="C398" i="2"/>
  <c r="C362" i="2"/>
  <c r="C338" i="2"/>
  <c r="C314" i="2"/>
  <c r="C302" i="2"/>
  <c r="C278" i="2"/>
  <c r="C254" i="2"/>
  <c r="C230" i="2"/>
  <c r="C218" i="2"/>
  <c r="C206" i="2"/>
  <c r="C194" i="2"/>
  <c r="C170" i="2"/>
  <c r="C158" i="2"/>
  <c r="C146" i="2"/>
  <c r="C134" i="2"/>
  <c r="C86" i="2"/>
  <c r="C62" i="2"/>
  <c r="C50" i="2"/>
  <c r="C26" i="2"/>
  <c r="C738" i="2"/>
  <c r="C702" i="2"/>
  <c r="C666" i="2"/>
  <c r="C606" i="2"/>
  <c r="C354" i="2"/>
  <c r="C330" i="2"/>
  <c r="C282" i="2"/>
  <c r="C258" i="2"/>
  <c r="C222" i="2"/>
  <c r="C102" i="2"/>
  <c r="C78" i="2"/>
  <c r="C42" i="2"/>
  <c r="C30" i="2"/>
  <c r="C423" i="2"/>
  <c r="C253" i="2"/>
  <c r="C205" i="2"/>
  <c r="C193" i="2"/>
  <c r="C169" i="2"/>
  <c r="C133" i="2"/>
  <c r="C109" i="2"/>
  <c r="C61" i="2"/>
  <c r="C37" i="2"/>
  <c r="C25" i="2"/>
  <c r="C917" i="2"/>
  <c r="E163" i="12" s="1"/>
  <c r="C893" i="2"/>
  <c r="E139" i="12" s="1"/>
  <c r="C881" i="2"/>
  <c r="E127" i="12" s="1"/>
  <c r="C857" i="2"/>
  <c r="E103" i="12" s="1"/>
  <c r="C821" i="2"/>
  <c r="E67" i="12" s="1"/>
  <c r="C785" i="2"/>
  <c r="E31" i="12" s="1"/>
  <c r="C761" i="2"/>
  <c r="E7" i="12" s="1"/>
  <c r="C725" i="2"/>
  <c r="C689" i="2"/>
  <c r="C653" i="2"/>
  <c r="C617" i="2"/>
  <c r="C581" i="2"/>
  <c r="C557" i="2"/>
  <c r="C461" i="2"/>
  <c r="C389" i="2"/>
  <c r="C365" i="2"/>
  <c r="C353" i="2"/>
  <c r="C329" i="2"/>
  <c r="C317" i="2"/>
  <c r="C305" i="2"/>
  <c r="C281" i="2"/>
  <c r="C269" i="2"/>
  <c r="C245" i="2"/>
  <c r="C233" i="2"/>
  <c r="C221" i="2"/>
  <c r="C197" i="2"/>
  <c r="C149" i="2"/>
  <c r="C137" i="2"/>
  <c r="C101" i="2"/>
  <c r="C77" i="2"/>
  <c r="C65" i="2"/>
  <c r="C41" i="2"/>
  <c r="C29" i="2"/>
  <c r="C796" i="2"/>
  <c r="E42" i="12" s="1"/>
  <c r="C784" i="2"/>
  <c r="E30" i="12" s="1"/>
  <c r="C772" i="2"/>
  <c r="E18" i="12" s="1"/>
  <c r="C760" i="2"/>
  <c r="E6" i="12" s="1"/>
  <c r="C748" i="2"/>
  <c r="C736" i="2"/>
  <c r="C712" i="2"/>
  <c r="C688" i="2"/>
  <c r="C652" i="2"/>
  <c r="C616" i="2"/>
  <c r="C580" i="2"/>
  <c r="C556" i="2"/>
  <c r="C532" i="2"/>
  <c r="C508" i="2"/>
  <c r="C496" i="2"/>
  <c r="C484" i="2"/>
  <c r="C472" i="2"/>
  <c r="C460" i="2"/>
  <c r="C448" i="2"/>
  <c r="C436" i="2"/>
  <c r="C412" i="2"/>
  <c r="C400" i="2"/>
  <c r="C388" i="2"/>
  <c r="C376" i="2"/>
  <c r="C364" i="2"/>
  <c r="C352" i="2"/>
  <c r="C340" i="2"/>
  <c r="C328" i="2"/>
  <c r="C316" i="2"/>
  <c r="C304" i="2"/>
  <c r="C292" i="2"/>
  <c r="C280" i="2"/>
  <c r="C268" i="2"/>
  <c r="C256" i="2"/>
  <c r="C244" i="2"/>
  <c r="C232" i="2"/>
  <c r="C220" i="2"/>
  <c r="C208" i="2"/>
  <c r="C196" i="2"/>
  <c r="C184" i="2"/>
  <c r="C172" i="2"/>
  <c r="C160" i="2"/>
  <c r="C148" i="2"/>
  <c r="C136" i="2"/>
  <c r="C124" i="2"/>
  <c r="C112" i="2"/>
  <c r="C100" i="2"/>
  <c r="C88" i="2"/>
  <c r="C76" i="2"/>
  <c r="C64" i="2"/>
  <c r="C52" i="2"/>
  <c r="C40" i="2"/>
  <c r="C28" i="2"/>
  <c r="C16" i="2"/>
  <c r="C698" i="2"/>
  <c r="C639" i="2"/>
  <c r="C518" i="2"/>
  <c r="C434" i="2"/>
  <c r="C386" i="2"/>
  <c r="C111" i="2"/>
  <c r="C731" i="2"/>
  <c r="C925" i="2"/>
  <c r="E171" i="12" s="1"/>
  <c r="C853" i="2"/>
  <c r="E99" i="12" s="1"/>
  <c r="C805" i="2"/>
  <c r="E51" i="12" s="1"/>
  <c r="C781" i="2"/>
  <c r="E27" i="12" s="1"/>
  <c r="C733" i="2"/>
  <c r="C709" i="2"/>
  <c r="C673" i="2"/>
  <c r="C649" i="2"/>
  <c r="C637" i="2"/>
  <c r="C601" i="2"/>
  <c r="C577" i="2"/>
  <c r="C565" i="2"/>
  <c r="C541" i="2"/>
  <c r="C529" i="2"/>
  <c r="C505" i="2"/>
  <c r="C493" i="2"/>
  <c r="C469" i="2"/>
  <c r="C421" i="2"/>
  <c r="C397" i="2"/>
  <c r="C373" i="2"/>
  <c r="C361" i="2"/>
  <c r="C337" i="2"/>
  <c r="C313" i="2"/>
  <c r="C301" i="2"/>
  <c r="C277" i="2"/>
  <c r="C121" i="2"/>
  <c r="C638" i="2"/>
  <c r="C951" i="2"/>
  <c r="E197" i="12" s="1"/>
  <c r="C939" i="2"/>
  <c r="E185" i="12" s="1"/>
  <c r="C927" i="2"/>
  <c r="E173" i="12" s="1"/>
  <c r="C915" i="2"/>
  <c r="E161" i="12" s="1"/>
  <c r="C903" i="2"/>
  <c r="E149" i="12" s="1"/>
  <c r="C891" i="2"/>
  <c r="E137" i="12" s="1"/>
  <c r="C879" i="2"/>
  <c r="E125" i="12" s="1"/>
  <c r="C867" i="2"/>
  <c r="E113" i="12" s="1"/>
  <c r="C855" i="2"/>
  <c r="E101" i="12" s="1"/>
  <c r="C843" i="2"/>
  <c r="E89" i="12" s="1"/>
  <c r="C831" i="2"/>
  <c r="E77" i="12" s="1"/>
  <c r="C819" i="2"/>
  <c r="E65" i="12" s="1"/>
  <c r="C807" i="2"/>
  <c r="E53" i="12" s="1"/>
  <c r="C795" i="2"/>
  <c r="E41" i="12" s="1"/>
  <c r="C783" i="2"/>
  <c r="E29" i="12" s="1"/>
  <c r="C771" i="2"/>
  <c r="E17" i="12" s="1"/>
  <c r="C759" i="2"/>
  <c r="C747" i="2"/>
  <c r="C735" i="2"/>
  <c r="C723" i="2"/>
  <c r="C711" i="2"/>
  <c r="C699" i="2"/>
  <c r="C687" i="2"/>
  <c r="C675" i="2"/>
  <c r="C663" i="2"/>
  <c r="C651" i="2"/>
  <c r="C627" i="2"/>
  <c r="C615" i="2"/>
  <c r="C603" i="2"/>
  <c r="C591" i="2"/>
  <c r="C579" i="2"/>
  <c r="C567" i="2"/>
  <c r="C555" i="2"/>
  <c r="C543" i="2"/>
  <c r="C531" i="2"/>
  <c r="C519" i="2"/>
  <c r="C507" i="2"/>
  <c r="C495" i="2"/>
  <c r="C483" i="2"/>
  <c r="C471" i="2"/>
  <c r="C459" i="2"/>
  <c r="C447" i="2"/>
  <c r="C435" i="2"/>
  <c r="C411" i="2"/>
  <c r="C399" i="2"/>
  <c r="C387" i="2"/>
  <c r="C375" i="2"/>
  <c r="C363" i="2"/>
  <c r="C351" i="2"/>
  <c r="C339" i="2"/>
  <c r="C327" i="2"/>
  <c r="C315" i="2"/>
  <c r="C303" i="2"/>
  <c r="C291" i="2"/>
  <c r="C279" i="2"/>
  <c r="C267" i="2"/>
  <c r="C255" i="2"/>
  <c r="C243" i="2"/>
  <c r="C231" i="2"/>
  <c r="C219" i="2"/>
  <c r="C207" i="2"/>
  <c r="C195" i="2"/>
  <c r="C171" i="2"/>
  <c r="C159" i="2"/>
  <c r="C135" i="2"/>
  <c r="C87" i="2"/>
  <c r="C75" i="2"/>
  <c r="C63" i="2"/>
  <c r="C51" i="2"/>
  <c r="C27" i="2"/>
  <c r="C229" i="2"/>
  <c r="C157" i="2"/>
  <c r="C145" i="2"/>
  <c r="C85" i="2"/>
  <c r="C73" i="2"/>
  <c r="C13" i="2"/>
  <c r="C110" i="2"/>
  <c r="C173" i="2"/>
  <c r="C209" i="2"/>
  <c r="C185" i="2"/>
  <c r="C39" i="2"/>
  <c r="C15" i="2"/>
  <c r="C937" i="2"/>
  <c r="E183" i="12" s="1"/>
  <c r="C913" i="2"/>
  <c r="E159" i="12" s="1"/>
  <c r="C889" i="2"/>
  <c r="E135" i="12" s="1"/>
  <c r="C865" i="2"/>
  <c r="E111" i="12" s="1"/>
  <c r="C841" i="2"/>
  <c r="E87" i="12" s="1"/>
  <c r="C817" i="2"/>
  <c r="E63" i="12" s="1"/>
  <c r="C793" i="2"/>
  <c r="E39" i="12" s="1"/>
  <c r="C613" i="2"/>
  <c r="C481" i="2"/>
  <c r="C457" i="2"/>
  <c r="C433" i="2"/>
  <c r="C409" i="2"/>
  <c r="C959" i="2"/>
  <c r="E205" i="12" s="1"/>
  <c r="C923" i="2"/>
  <c r="E169" i="12" s="1"/>
  <c r="C887" i="2"/>
  <c r="E133" i="12" s="1"/>
  <c r="C863" i="2"/>
  <c r="E109" i="12" s="1"/>
  <c r="C839" i="2"/>
  <c r="E85" i="12" s="1"/>
  <c r="C767" i="2"/>
  <c r="E13" i="12" s="1"/>
  <c r="C743" i="2"/>
  <c r="C635" i="2"/>
  <c r="C611" i="2"/>
  <c r="C794" i="2"/>
  <c r="E40" i="12" s="1"/>
  <c r="C758" i="2"/>
  <c r="C746" i="2"/>
  <c r="C722" i="2"/>
  <c r="C686" i="2"/>
  <c r="C650" i="2"/>
  <c r="C626" i="2"/>
  <c r="C566" i="2"/>
  <c r="C554" i="2"/>
  <c r="C506" i="2"/>
  <c r="C446" i="2"/>
  <c r="C410" i="2"/>
  <c r="C350" i="2"/>
  <c r="C326" i="2"/>
  <c r="C290" i="2"/>
  <c r="C266" i="2"/>
  <c r="C74" i="2"/>
  <c r="C697" i="2"/>
  <c r="C769" i="2"/>
  <c r="E15" i="12" s="1"/>
  <c r="C661" i="2"/>
  <c r="C402" i="2"/>
  <c r="C114" i="2"/>
  <c r="C438" i="2"/>
  <c r="C374" i="2"/>
  <c r="C183" i="2"/>
  <c r="C123" i="2"/>
  <c r="C99" i="2"/>
  <c r="C942" i="2"/>
  <c r="E188" i="12" s="1"/>
  <c r="C113" i="2"/>
  <c r="C665" i="2"/>
  <c r="C629" i="2"/>
  <c r="C593" i="2"/>
  <c r="C485" i="2"/>
  <c r="C449" i="2"/>
  <c r="C425" i="2"/>
  <c r="C242" i="2"/>
  <c r="C147" i="2"/>
  <c r="C961" i="2"/>
  <c r="E207" i="12" s="1"/>
  <c r="C949" i="2"/>
  <c r="E195" i="12" s="1"/>
  <c r="C901" i="2"/>
  <c r="E147" i="12" s="1"/>
  <c r="C877" i="2"/>
  <c r="E123" i="12" s="1"/>
  <c r="C829" i="2"/>
  <c r="E75" i="12" s="1"/>
  <c r="C757" i="2"/>
  <c r="C721" i="2"/>
  <c r="C685" i="2"/>
  <c r="C625" i="2"/>
  <c r="C589" i="2"/>
  <c r="C553" i="2"/>
  <c r="C517" i="2"/>
  <c r="C445" i="2"/>
  <c r="C385" i="2"/>
  <c r="C349" i="2"/>
  <c r="C325" i="2"/>
  <c r="C289" i="2"/>
  <c r="C265" i="2"/>
  <c r="C241" i="2"/>
  <c r="C217" i="2"/>
  <c r="C576" i="2"/>
  <c r="C628" i="2"/>
  <c r="C664" i="2"/>
  <c r="C424" i="2"/>
  <c r="C745" i="2"/>
  <c r="C38" i="2"/>
  <c r="C401" i="2"/>
  <c r="C182" i="2"/>
  <c r="C297" i="2"/>
  <c r="C14" i="2"/>
  <c r="C98" i="2"/>
  <c r="C122" i="2"/>
  <c r="C894" i="2"/>
  <c r="E140" i="12" s="1"/>
  <c r="C858" i="2"/>
  <c r="E104" i="12" s="1"/>
  <c r="C822" i="2"/>
  <c r="E68" i="12" s="1"/>
  <c r="C630" i="2"/>
  <c r="C594" i="2"/>
  <c r="C558" i="2"/>
  <c r="C366" i="2"/>
  <c r="C318" i="2"/>
  <c r="C294" i="2"/>
  <c r="C246" i="2"/>
  <c r="C210" i="2"/>
  <c r="C186" i="2"/>
  <c r="C174" i="2"/>
  <c r="C150" i="2"/>
  <c r="C138" i="2"/>
  <c r="C66" i="2"/>
  <c r="C948" i="2"/>
  <c r="E194" i="12" s="1"/>
  <c r="C900" i="2"/>
  <c r="E146" i="12" s="1"/>
  <c r="C876" i="2"/>
  <c r="E122" i="12" s="1"/>
  <c r="C852" i="2"/>
  <c r="E98" i="12" s="1"/>
  <c r="C828" i="2"/>
  <c r="E74" i="12" s="1"/>
  <c r="C816" i="2"/>
  <c r="E62" i="12" s="1"/>
  <c r="C804" i="2"/>
  <c r="E50" i="12" s="1"/>
  <c r="C780" i="2"/>
  <c r="E26" i="12" s="1"/>
  <c r="C756" i="2"/>
  <c r="C732" i="2"/>
  <c r="C720" i="2"/>
  <c r="C708" i="2"/>
  <c r="C696" i="2"/>
  <c r="C672" i="2"/>
  <c r="C648" i="2"/>
  <c r="C624" i="2"/>
  <c r="C600" i="2"/>
  <c r="C588" i="2"/>
  <c r="C564" i="2"/>
  <c r="C540" i="2"/>
  <c r="C528" i="2"/>
  <c r="C516" i="2"/>
  <c r="C492" i="2"/>
  <c r="C468" i="2"/>
  <c r="C444" i="2"/>
  <c r="C432" i="2"/>
  <c r="C420" i="2"/>
  <c r="C408" i="2"/>
  <c r="C384" i="2"/>
  <c r="C360" i="2"/>
  <c r="C348" i="2"/>
  <c r="C336" i="2"/>
  <c r="C324" i="2"/>
  <c r="C312" i="2"/>
  <c r="C300" i="2"/>
  <c r="C288" i="2"/>
  <c r="C276" i="2"/>
  <c r="C264" i="2"/>
  <c r="C252" i="2"/>
  <c r="C240" i="2"/>
  <c r="C228" i="2"/>
  <c r="C204" i="2"/>
  <c r="C192" i="2"/>
  <c r="C180" i="2"/>
  <c r="C168" i="2"/>
  <c r="C144" i="2"/>
  <c r="C132" i="2"/>
  <c r="C120" i="2"/>
  <c r="C108" i="2"/>
  <c r="C96" i="2"/>
  <c r="C84" i="2"/>
  <c r="C72" i="2"/>
  <c r="C60" i="2"/>
  <c r="C48" i="2"/>
  <c r="C36" i="2"/>
  <c r="C24" i="2"/>
  <c r="C539" i="2"/>
  <c r="C671" i="2"/>
  <c r="C657" i="2"/>
  <c r="C501" i="2"/>
  <c r="C369" i="2"/>
  <c r="C213" i="2"/>
  <c r="C515" i="2"/>
  <c r="C707" i="2"/>
  <c r="C335" i="2"/>
  <c r="C924" i="2"/>
  <c r="E170" i="12" s="1"/>
  <c r="C964" i="2"/>
  <c r="E210" i="12" s="1"/>
  <c r="C35" i="2"/>
  <c r="C323" i="2"/>
  <c r="C695" i="2"/>
  <c r="C899" i="2"/>
  <c r="E145" i="12" s="1"/>
  <c r="C960" i="2"/>
  <c r="E206" i="12" s="1"/>
  <c r="C684" i="2"/>
  <c r="C636" i="2"/>
  <c r="C552" i="2"/>
  <c r="C575" i="2"/>
  <c r="C503" i="2"/>
  <c r="C479" i="2"/>
  <c r="C395" i="2"/>
  <c r="C371" i="2"/>
  <c r="C263" i="2"/>
  <c r="C215" i="2"/>
  <c r="C179" i="2"/>
  <c r="C155" i="2"/>
  <c r="C95" i="2"/>
  <c r="C928" i="2"/>
  <c r="E174" i="12" s="1"/>
  <c r="C820" i="2"/>
  <c r="E66" i="12" s="1"/>
  <c r="C808" i="2"/>
  <c r="E54" i="12" s="1"/>
  <c r="C724" i="2"/>
  <c r="C701" i="2"/>
  <c r="C676" i="2"/>
  <c r="C592" i="2"/>
  <c r="C568" i="2"/>
  <c r="C544" i="2"/>
  <c r="C521" i="2"/>
  <c r="C497" i="2"/>
  <c r="C156" i="2"/>
  <c r="C216" i="2"/>
  <c r="C372" i="2"/>
  <c r="C396" i="2"/>
  <c r="C504" i="2"/>
  <c r="C359" i="2"/>
  <c r="C443" i="2"/>
  <c r="C599" i="2"/>
  <c r="C779" i="2"/>
  <c r="E25" i="12" s="1"/>
  <c r="C803" i="2"/>
  <c r="E49" i="12" s="1"/>
  <c r="C119" i="2"/>
  <c r="C299" i="2"/>
  <c r="C467" i="2"/>
  <c r="C947" i="2"/>
  <c r="E193" i="12" s="1"/>
  <c r="C83" i="2"/>
  <c r="C563" i="2"/>
  <c r="C227" i="2"/>
  <c r="C287" i="2"/>
  <c r="C407" i="2"/>
  <c r="C431" i="2"/>
  <c r="C191" i="2"/>
  <c r="C47" i="2"/>
  <c r="C251" i="2"/>
  <c r="C456" i="2"/>
  <c r="C612" i="2"/>
  <c r="C744" i="2"/>
  <c r="C768" i="2"/>
  <c r="E14" i="12" s="1"/>
  <c r="C792" i="2"/>
  <c r="E38" i="12" s="1"/>
  <c r="C840" i="2"/>
  <c r="E86" i="12" s="1"/>
  <c r="C480" i="2"/>
  <c r="C520" i="2"/>
  <c r="C660" i="2"/>
  <c r="C700" i="2"/>
  <c r="C864" i="2"/>
  <c r="C888" i="2"/>
  <c r="E134" i="12" s="1"/>
  <c r="C912" i="2"/>
  <c r="E158" i="12" s="1"/>
  <c r="C936" i="2"/>
  <c r="E182" i="12" s="1"/>
  <c r="C935" i="2"/>
  <c r="E181" i="12" s="1"/>
  <c r="C911" i="2"/>
  <c r="E157" i="12" s="1"/>
  <c r="C875" i="2"/>
  <c r="E121" i="12" s="1"/>
  <c r="C851" i="2"/>
  <c r="E97" i="12" s="1"/>
  <c r="C827" i="2"/>
  <c r="E73" i="12" s="1"/>
  <c r="C815" i="2"/>
  <c r="E61" i="12" s="1"/>
  <c r="C791" i="2"/>
  <c r="E37" i="12" s="1"/>
  <c r="C755" i="2"/>
  <c r="C719" i="2"/>
  <c r="C683" i="2"/>
  <c r="C659" i="2"/>
  <c r="C647" i="2"/>
  <c r="C623" i="2"/>
  <c r="C587" i="2"/>
  <c r="C551" i="2"/>
  <c r="C527" i="2"/>
  <c r="C491" i="2"/>
  <c r="C455" i="2"/>
  <c r="C419" i="2"/>
  <c r="C383" i="2"/>
  <c r="C347" i="2"/>
  <c r="C311" i="2"/>
  <c r="C275" i="2"/>
  <c r="C239" i="2"/>
  <c r="C203" i="2"/>
  <c r="C167" i="2"/>
  <c r="C143" i="2"/>
  <c r="C131" i="2"/>
  <c r="C107" i="2"/>
  <c r="C71" i="2"/>
  <c r="C59" i="2"/>
  <c r="C23" i="2"/>
  <c r="C930" i="2"/>
  <c r="C918" i="2"/>
  <c r="C906" i="2"/>
  <c r="E152" i="12" s="1"/>
  <c r="C882" i="2"/>
  <c r="E128" i="12" s="1"/>
  <c r="C870" i="2"/>
  <c r="E116" i="12" s="1"/>
  <c r="C846" i="2"/>
  <c r="E92" i="12" s="1"/>
  <c r="C834" i="2"/>
  <c r="E80" i="12" s="1"/>
  <c r="C810" i="2"/>
  <c r="E56" i="12" s="1"/>
  <c r="C798" i="2"/>
  <c r="E44" i="12" s="1"/>
  <c r="C786" i="2"/>
  <c r="C774" i="2"/>
  <c r="E20" i="12" s="1"/>
  <c r="C762" i="2"/>
  <c r="C750" i="2"/>
  <c r="C726" i="2"/>
  <c r="C714" i="2"/>
  <c r="C690" i="2"/>
  <c r="C678" i="2"/>
  <c r="C654" i="2"/>
  <c r="C642" i="2"/>
  <c r="C618" i="2"/>
  <c r="C582" i="2"/>
  <c r="C570" i="2"/>
  <c r="C546" i="2"/>
  <c r="C534" i="2"/>
  <c r="C522" i="2"/>
  <c r="C510" i="2"/>
  <c r="C498" i="2"/>
  <c r="C486" i="2"/>
  <c r="C474" i="2"/>
  <c r="C462" i="2"/>
  <c r="C450" i="2"/>
  <c r="C426" i="2"/>
  <c r="C414" i="2"/>
  <c r="C390" i="2"/>
  <c r="C378" i="2"/>
  <c r="C342" i="2"/>
  <c r="C306" i="2"/>
  <c r="C953" i="2"/>
  <c r="E199" i="12" s="1"/>
  <c r="C941" i="2"/>
  <c r="E187" i="12" s="1"/>
  <c r="C929" i="2"/>
  <c r="E175" i="12" s="1"/>
  <c r="C905" i="2"/>
  <c r="E151" i="12" s="1"/>
  <c r="C869" i="2"/>
  <c r="E115" i="12" s="1"/>
  <c r="C845" i="2"/>
  <c r="E91" i="12" s="1"/>
  <c r="C833" i="2"/>
  <c r="E79" i="12" s="1"/>
  <c r="C809" i="2"/>
  <c r="E55" i="12" s="1"/>
  <c r="C797" i="2"/>
  <c r="C773" i="2"/>
  <c r="C749" i="2"/>
  <c r="C737" i="2"/>
  <c r="C713" i="2"/>
  <c r="C677" i="2"/>
  <c r="C641" i="2"/>
  <c r="C605" i="2"/>
  <c r="C545" i="2"/>
  <c r="C509" i="2"/>
  <c r="C473" i="2"/>
  <c r="C437" i="2"/>
  <c r="C413" i="2"/>
  <c r="C377" i="2"/>
  <c r="C341" i="2"/>
  <c r="C293" i="2"/>
  <c r="C257" i="2"/>
  <c r="C161" i="2"/>
  <c r="C125" i="2"/>
  <c r="C89" i="2"/>
  <c r="C53" i="2"/>
  <c r="C17" i="2"/>
  <c r="D973" i="2"/>
  <c r="E217" i="12"/>
  <c r="C573" i="2"/>
  <c r="C69" i="2"/>
  <c r="C873" i="2"/>
  <c r="E119" i="12" s="1"/>
  <c r="C789" i="2"/>
  <c r="E35" i="12" s="1"/>
  <c r="C585" i="2"/>
  <c r="C270" i="2"/>
  <c r="C234" i="2"/>
  <c r="C198" i="2"/>
  <c r="C162" i="2"/>
  <c r="C126" i="2"/>
  <c r="C90" i="2"/>
  <c r="C54" i="2"/>
  <c r="C18" i="2"/>
  <c r="C946" i="2"/>
  <c r="C934" i="2"/>
  <c r="C874" i="2"/>
  <c r="E120" i="12" s="1"/>
  <c r="C862" i="2"/>
  <c r="E108" i="12" s="1"/>
  <c r="C802" i="2"/>
  <c r="C790" i="2"/>
  <c r="E36" i="12" s="1"/>
  <c r="C730" i="2"/>
  <c r="C718" i="2"/>
  <c r="C658" i="2"/>
  <c r="C646" i="2"/>
  <c r="C586" i="2"/>
  <c r="C574" i="2"/>
  <c r="C514" i="2"/>
  <c r="C502" i="2"/>
  <c r="C442" i="2"/>
  <c r="C430" i="2"/>
  <c r="C370" i="2"/>
  <c r="C358" i="2"/>
  <c r="C298" i="2"/>
  <c r="C286" i="2"/>
  <c r="C226" i="2"/>
  <c r="C214" i="2"/>
  <c r="C154" i="2"/>
  <c r="C142" i="2"/>
  <c r="C82" i="2"/>
  <c r="C70" i="2"/>
  <c r="C940" i="2"/>
  <c r="C904" i="2"/>
  <c r="C640" i="2"/>
  <c r="C604" i="2"/>
  <c r="C569" i="2"/>
  <c r="C533" i="2"/>
  <c r="C860" i="2"/>
  <c r="E106" i="12" s="1"/>
  <c r="C788" i="2"/>
  <c r="E34" i="12" s="1"/>
  <c r="C716" i="2"/>
  <c r="C644" i="2"/>
  <c r="C572" i="2"/>
  <c r="C500" i="2"/>
  <c r="C428" i="2"/>
  <c r="C356" i="2"/>
  <c r="C284" i="2"/>
  <c r="C212" i="2"/>
  <c r="C140" i="2"/>
  <c r="C68" i="2"/>
  <c r="C954" i="2"/>
  <c r="C958" i="2"/>
  <c r="C957" i="2"/>
  <c r="E203" i="12" s="1"/>
  <c r="C922" i="2"/>
  <c r="E168" i="12" s="1"/>
  <c r="C921" i="2"/>
  <c r="E167" i="12" s="1"/>
  <c r="C910" i="2"/>
  <c r="E156" i="12" s="1"/>
  <c r="C909" i="2"/>
  <c r="E155" i="12" s="1"/>
  <c r="C898" i="2"/>
  <c r="C897" i="2"/>
  <c r="C886" i="2"/>
  <c r="C885" i="2"/>
  <c r="E131" i="12" s="1"/>
  <c r="C850" i="2"/>
  <c r="C849" i="2"/>
  <c r="E95" i="12" s="1"/>
  <c r="C838" i="2"/>
  <c r="C837" i="2"/>
  <c r="E83" i="12" s="1"/>
  <c r="C826" i="2"/>
  <c r="C825" i="2"/>
  <c r="E71" i="12" s="1"/>
  <c r="C814" i="2"/>
  <c r="C813" i="2"/>
  <c r="C778" i="2"/>
  <c r="C777" i="2"/>
  <c r="C766" i="2"/>
  <c r="C765" i="2"/>
  <c r="E11" i="12" s="1"/>
  <c r="C754" i="2"/>
  <c r="C753" i="2"/>
  <c r="C742" i="2"/>
  <c r="C741" i="2"/>
  <c r="C706" i="2"/>
  <c r="C705" i="2"/>
  <c r="C694" i="2"/>
  <c r="C693" i="2"/>
  <c r="C682" i="2"/>
  <c r="C681" i="2"/>
  <c r="C670" i="2"/>
  <c r="C669" i="2"/>
  <c r="C634" i="2"/>
  <c r="C633" i="2"/>
  <c r="C622" i="2"/>
  <c r="C621" i="2"/>
  <c r="C610" i="2"/>
  <c r="C609" i="2"/>
  <c r="C598" i="2"/>
  <c r="C597" i="2"/>
  <c r="C562" i="2"/>
  <c r="C561" i="2"/>
  <c r="C550" i="2"/>
  <c r="C549" i="2"/>
  <c r="C538" i="2"/>
  <c r="C537" i="2"/>
  <c r="C526" i="2"/>
  <c r="C525" i="2"/>
  <c r="C490" i="2"/>
  <c r="C489" i="2"/>
  <c r="C478" i="2"/>
  <c r="C477" i="2"/>
  <c r="C466" i="2"/>
  <c r="C465" i="2"/>
  <c r="C454" i="2"/>
  <c r="C453" i="2"/>
  <c r="C418" i="2"/>
  <c r="C417" i="2"/>
  <c r="C406" i="2"/>
  <c r="C405" i="2"/>
  <c r="C394" i="2"/>
  <c r="C393" i="2"/>
  <c r="C382" i="2"/>
  <c r="C381" i="2"/>
  <c r="C346" i="2"/>
  <c r="C345" i="2"/>
  <c r="C334" i="2"/>
  <c r="C333" i="2"/>
  <c r="C322" i="2"/>
  <c r="C321" i="2"/>
  <c r="C310" i="2"/>
  <c r="C309" i="2"/>
  <c r="C274" i="2"/>
  <c r="C273" i="2"/>
  <c r="C262" i="2"/>
  <c r="C261" i="2"/>
  <c r="C250" i="2"/>
  <c r="C249" i="2"/>
  <c r="C238" i="2"/>
  <c r="C237" i="2"/>
  <c r="C202" i="2"/>
  <c r="C201" i="2"/>
  <c r="C190" i="2"/>
  <c r="C189" i="2"/>
  <c r="C178" i="2"/>
  <c r="C177" i="2"/>
  <c r="C166" i="2"/>
  <c r="C165" i="2"/>
  <c r="C130" i="2"/>
  <c r="C129" i="2"/>
  <c r="C118" i="2"/>
  <c r="C117" i="2"/>
  <c r="C106" i="2"/>
  <c r="C105" i="2"/>
  <c r="C94" i="2"/>
  <c r="C93" i="2"/>
  <c r="C58" i="2"/>
  <c r="C57" i="2"/>
  <c r="C46" i="2"/>
  <c r="C45" i="2"/>
  <c r="C34" i="2"/>
  <c r="C33" i="2"/>
  <c r="C22" i="2"/>
  <c r="C21" i="2"/>
  <c r="C211" i="2"/>
  <c r="C499" i="2"/>
  <c r="C787" i="2"/>
  <c r="C956" i="2"/>
  <c r="E202" i="12" s="1"/>
  <c r="C955" i="2"/>
  <c r="C944" i="2"/>
  <c r="E190" i="12" s="1"/>
  <c r="C943" i="2"/>
  <c r="C932" i="2"/>
  <c r="E178" i="12" s="1"/>
  <c r="C931" i="2"/>
  <c r="E177" i="12" s="1"/>
  <c r="C920" i="2"/>
  <c r="E166" i="12" s="1"/>
  <c r="C919" i="2"/>
  <c r="C908" i="2"/>
  <c r="E154" i="12" s="1"/>
  <c r="C907" i="2"/>
  <c r="E153" i="12" s="1"/>
  <c r="C896" i="2"/>
  <c r="E142" i="12" s="1"/>
  <c r="C895" i="2"/>
  <c r="E141" i="12" s="1"/>
  <c r="C884" i="2"/>
  <c r="E130" i="12" s="1"/>
  <c r="C883" i="2"/>
  <c r="E129" i="12" s="1"/>
  <c r="C872" i="2"/>
  <c r="E118" i="12" s="1"/>
  <c r="C871" i="2"/>
  <c r="C848" i="2"/>
  <c r="E94" i="12" s="1"/>
  <c r="C847" i="2"/>
  <c r="E93" i="12" s="1"/>
  <c r="C836" i="2"/>
  <c r="C835" i="2"/>
  <c r="C824" i="2"/>
  <c r="C823" i="2"/>
  <c r="E69" i="12" s="1"/>
  <c r="C812" i="2"/>
  <c r="E58" i="12" s="1"/>
  <c r="C811" i="2"/>
  <c r="E57" i="12" s="1"/>
  <c r="C800" i="2"/>
  <c r="E46" i="12" s="1"/>
  <c r="C799" i="2"/>
  <c r="C776" i="2"/>
  <c r="E22" i="12" s="1"/>
  <c r="C775" i="2"/>
  <c r="C764" i="2"/>
  <c r="E10" i="12" s="1"/>
  <c r="C763" i="2"/>
  <c r="E9" i="12" s="1"/>
  <c r="C752" i="2"/>
  <c r="C751" i="2"/>
  <c r="C740" i="2"/>
  <c r="C739" i="2"/>
  <c r="C728" i="2"/>
  <c r="C727" i="2"/>
  <c r="C704" i="2"/>
  <c r="C703" i="2"/>
  <c r="C692" i="2"/>
  <c r="C691" i="2"/>
  <c r="C680" i="2"/>
  <c r="C679" i="2"/>
  <c r="C668" i="2"/>
  <c r="C667" i="2"/>
  <c r="C656" i="2"/>
  <c r="C655" i="2"/>
  <c r="C632" i="2"/>
  <c r="C631" i="2"/>
  <c r="C620" i="2"/>
  <c r="C619" i="2"/>
  <c r="C608" i="2"/>
  <c r="C607" i="2"/>
  <c r="C596" i="2"/>
  <c r="C595" i="2"/>
  <c r="C584" i="2"/>
  <c r="C583" i="2"/>
  <c r="C560" i="2"/>
  <c r="C559" i="2"/>
  <c r="C548" i="2"/>
  <c r="C547" i="2"/>
  <c r="C536" i="2"/>
  <c r="C535" i="2"/>
  <c r="C524" i="2"/>
  <c r="C523" i="2"/>
  <c r="C512" i="2"/>
  <c r="C511" i="2"/>
  <c r="C488" i="2"/>
  <c r="C487" i="2"/>
  <c r="C476" i="2"/>
  <c r="C475" i="2"/>
  <c r="C464" i="2"/>
  <c r="C463" i="2"/>
  <c r="C452" i="2"/>
  <c r="C451" i="2"/>
  <c r="C440" i="2"/>
  <c r="C439" i="2"/>
  <c r="C416" i="2"/>
  <c r="C415" i="2"/>
  <c r="C404" i="2"/>
  <c r="C403" i="2"/>
  <c r="C392" i="2"/>
  <c r="C391" i="2"/>
  <c r="C380" i="2"/>
  <c r="C379" i="2"/>
  <c r="C368" i="2"/>
  <c r="C367" i="2"/>
  <c r="C344" i="2"/>
  <c r="C343" i="2"/>
  <c r="C332" i="2"/>
  <c r="C331" i="2"/>
  <c r="C320" i="2"/>
  <c r="C319" i="2"/>
  <c r="C308" i="2"/>
  <c r="C307" i="2"/>
  <c r="C296" i="2"/>
  <c r="C295" i="2"/>
  <c r="C272" i="2"/>
  <c r="C271" i="2"/>
  <c r="C260" i="2"/>
  <c r="C259" i="2"/>
  <c r="C248" i="2"/>
  <c r="C247" i="2"/>
  <c r="C236" i="2"/>
  <c r="C235" i="2"/>
  <c r="C224" i="2"/>
  <c r="C223" i="2"/>
  <c r="C200" i="2"/>
  <c r="C199" i="2"/>
  <c r="C188" i="2"/>
  <c r="C187" i="2"/>
  <c r="C176" i="2"/>
  <c r="C175" i="2"/>
  <c r="C164" i="2"/>
  <c r="C163" i="2"/>
  <c r="C152" i="2"/>
  <c r="C151" i="2"/>
  <c r="C128" i="2"/>
  <c r="C127" i="2"/>
  <c r="C104" i="2"/>
  <c r="C103" i="2"/>
  <c r="C92" i="2"/>
  <c r="C91" i="2"/>
  <c r="C80" i="2"/>
  <c r="C79" i="2"/>
  <c r="C56" i="2"/>
  <c r="C55" i="2"/>
  <c r="C44" i="2"/>
  <c r="C43" i="2"/>
  <c r="C32" i="2"/>
  <c r="C31" i="2"/>
  <c r="C20" i="2"/>
  <c r="C19" i="2"/>
  <c r="C116" i="2"/>
  <c r="C115" i="2"/>
  <c r="C283" i="2"/>
  <c r="C571" i="2"/>
  <c r="C859" i="2"/>
  <c r="E105" i="12" s="1"/>
  <c r="C945" i="2"/>
  <c r="E191" i="12" s="1"/>
  <c r="C861" i="2"/>
  <c r="E107" i="12" s="1"/>
  <c r="C67" i="2"/>
  <c r="C355" i="2"/>
  <c r="C643" i="2"/>
  <c r="C933" i="2"/>
  <c r="E179" i="12" s="1"/>
  <c r="C153" i="2"/>
  <c r="C357" i="2"/>
  <c r="C441" i="2"/>
  <c r="C645" i="2"/>
  <c r="C729" i="2"/>
  <c r="C139" i="2"/>
  <c r="C427" i="2"/>
  <c r="C715" i="2"/>
  <c r="C141" i="2"/>
  <c r="C225" i="2"/>
  <c r="C429" i="2"/>
  <c r="C513" i="2"/>
  <c r="C717" i="2"/>
  <c r="C801" i="2"/>
  <c r="E47" i="12" s="1"/>
  <c r="C968" i="2"/>
  <c r="E214" i="12" s="1"/>
  <c r="C969" i="2"/>
  <c r="E215" i="12" s="1"/>
  <c r="C970" i="2"/>
  <c r="C965" i="2"/>
  <c r="C966" i="2"/>
  <c r="E212" i="12" s="1"/>
  <c r="D355" i="2" l="1"/>
  <c r="D125" i="2"/>
  <c r="D423" i="2"/>
  <c r="D317" i="2"/>
  <c r="D171" i="2"/>
  <c r="D160" i="2"/>
  <c r="D172" i="2"/>
  <c r="D472" i="2"/>
  <c r="D462" i="2"/>
  <c r="D137" i="2"/>
  <c r="D195" i="2"/>
  <c r="D473" i="2"/>
  <c r="D422" i="2"/>
  <c r="D316" i="2"/>
  <c r="D736" i="2"/>
  <c r="D305" i="2"/>
  <c r="D738" i="2"/>
  <c r="D150" i="2"/>
  <c r="D448" i="2"/>
  <c r="D207" i="2"/>
  <c r="D74" i="2"/>
  <c r="D674" i="2"/>
  <c r="D306" i="2"/>
  <c r="D591" i="2"/>
  <c r="D460" i="2"/>
  <c r="D712" i="2"/>
  <c r="D173" i="2"/>
  <c r="D223" i="2"/>
  <c r="D28" i="2"/>
  <c r="D893" i="2"/>
  <c r="D270" i="2"/>
  <c r="D710" i="2"/>
  <c r="D112" i="2"/>
  <c r="D30" i="2"/>
  <c r="D282" i="2"/>
  <c r="D138" i="2"/>
  <c r="D916" i="2"/>
  <c r="D194" i="2"/>
  <c r="D892" i="2"/>
  <c r="D206" i="2"/>
  <c r="D675" i="2"/>
  <c r="D366" i="2"/>
  <c r="D111" i="2"/>
  <c r="D136" i="2"/>
  <c r="D339" i="2"/>
  <c r="D690" i="2"/>
  <c r="D134" i="2"/>
  <c r="D615" i="2"/>
  <c r="D88" i="2"/>
  <c r="D135" i="2"/>
  <c r="D42" i="2"/>
  <c r="D484" i="2"/>
  <c r="D689" i="2"/>
  <c r="D283" i="2"/>
  <c r="D31" i="2"/>
  <c r="D354" i="2"/>
  <c r="D102" i="2"/>
  <c r="D198" i="2"/>
  <c r="D63" i="2"/>
  <c r="D304" i="2"/>
  <c r="D459" i="2"/>
  <c r="D616" i="2"/>
  <c r="D79" i="2"/>
  <c r="D50" i="2"/>
  <c r="D471" i="2"/>
  <c r="D232" i="2"/>
  <c r="D532" i="2"/>
  <c r="D424" i="2"/>
  <c r="D149" i="2"/>
  <c r="D483" i="2"/>
  <c r="D51" i="2"/>
  <c r="D399" i="2"/>
  <c r="D784" i="2"/>
  <c r="D258" i="2"/>
  <c r="D315" i="2"/>
  <c r="D436" i="2"/>
  <c r="D580" i="2"/>
  <c r="D858" i="2"/>
  <c r="D618" i="2"/>
  <c r="D362" i="2"/>
  <c r="D87" i="2"/>
  <c r="D461" i="2"/>
  <c r="D398" i="2"/>
  <c r="D62" i="2"/>
  <c r="D318" i="2"/>
  <c r="D639" i="2"/>
  <c r="D330" i="2"/>
  <c r="D746" i="2"/>
  <c r="D86" i="2"/>
  <c r="D340" i="2"/>
  <c r="D558" i="2"/>
  <c r="D387" i="2"/>
  <c r="D101" i="2"/>
  <c r="D748" i="2"/>
  <c r="D245" i="2"/>
  <c r="D388" i="2"/>
  <c r="D699" i="2"/>
  <c r="D617" i="2"/>
  <c r="D329" i="2"/>
  <c r="D161" i="2"/>
  <c r="D110" i="2"/>
  <c r="D328" i="2"/>
  <c r="D760" i="2"/>
  <c r="D41" i="2"/>
  <c r="D256" i="2"/>
  <c r="D557" i="2"/>
  <c r="D711" i="2"/>
  <c r="D303" i="2"/>
  <c r="D78" i="2"/>
  <c r="D222" i="2"/>
  <c r="D185" i="2"/>
  <c r="D662" i="2"/>
  <c r="D170" i="2"/>
  <c r="D917" i="2"/>
  <c r="D761" i="2"/>
  <c r="D390" i="2"/>
  <c r="D26" i="2"/>
  <c r="D485" i="2"/>
  <c r="D652" i="2"/>
  <c r="D66" i="2"/>
  <c r="D65" i="2"/>
  <c r="D269" i="2"/>
  <c r="D302" i="2"/>
  <c r="D77" i="2"/>
  <c r="D772" i="2"/>
  <c r="D785" i="2"/>
  <c r="D278" i="2"/>
  <c r="D857" i="2"/>
  <c r="D582" i="2"/>
  <c r="D246" i="2"/>
  <c r="D196" i="2"/>
  <c r="D496" i="2"/>
  <c r="D653" i="2"/>
  <c r="D543" i="2"/>
  <c r="D353" i="2"/>
  <c r="D509" i="2"/>
  <c r="D495" i="2"/>
  <c r="D234" i="2"/>
  <c r="D52" i="2"/>
  <c r="D832" i="2"/>
  <c r="D53" i="2"/>
  <c r="D654" i="2"/>
  <c r="D220" i="2"/>
  <c r="D365" i="2"/>
  <c r="D807" i="2"/>
  <c r="D638" i="2"/>
  <c r="D651" i="2"/>
  <c r="D497" i="2"/>
  <c r="D470" i="2"/>
  <c r="D208" i="2"/>
  <c r="D494" i="2"/>
  <c r="D664" i="2"/>
  <c r="D279" i="2"/>
  <c r="D735" i="2"/>
  <c r="D146" i="2"/>
  <c r="D734" i="2"/>
  <c r="D197" i="2"/>
  <c r="D783" i="2"/>
  <c r="D829" i="2"/>
  <c r="D541" i="2"/>
  <c r="D952" i="2"/>
  <c r="D940" i="2"/>
  <c r="D927" i="2"/>
  <c r="D818" i="2"/>
  <c r="D891" i="2"/>
  <c r="D37" i="2"/>
  <c r="D542" i="2"/>
  <c r="D231" i="2"/>
  <c r="D397" i="2"/>
  <c r="D566" i="2"/>
  <c r="D688" i="2"/>
  <c r="D352" i="2"/>
  <c r="D579" i="2"/>
  <c r="D376" i="2"/>
  <c r="D209" i="2"/>
  <c r="D337" i="2"/>
  <c r="D603" i="2"/>
  <c r="D61" i="2"/>
  <c r="D530" i="2"/>
  <c r="D627" i="2"/>
  <c r="D507" i="2"/>
  <c r="D396" i="2"/>
  <c r="D361" i="2"/>
  <c r="D663" i="2"/>
  <c r="D64" i="2"/>
  <c r="D435" i="2"/>
  <c r="D314" i="2"/>
  <c r="D601" i="2"/>
  <c r="D568" i="2"/>
  <c r="D578" i="2"/>
  <c r="D338" i="2"/>
  <c r="D565" i="2"/>
  <c r="D602" i="2"/>
  <c r="D868" i="2"/>
  <c r="D581" i="2"/>
  <c r="D114" i="2"/>
  <c r="D75" i="2"/>
  <c r="D159" i="2"/>
  <c r="D520" i="2"/>
  <c r="D881" i="2"/>
  <c r="D268" i="2"/>
  <c r="D723" i="2"/>
  <c r="D187" i="2"/>
  <c r="D864" i="2"/>
  <c r="D434" i="2"/>
  <c r="D39" i="2"/>
  <c r="D292" i="2"/>
  <c r="D747" i="2"/>
  <c r="D113" i="2"/>
  <c r="D76" i="2"/>
  <c r="D962" i="2"/>
  <c r="D928" i="2"/>
  <c r="D27" i="2"/>
  <c r="D400" i="2"/>
  <c r="D713" i="2"/>
  <c r="D519" i="2"/>
  <c r="D29" i="2"/>
  <c r="D544" i="2"/>
  <c r="D265" i="2"/>
  <c r="D758" i="2"/>
  <c r="D174" i="2"/>
  <c r="D449" i="2"/>
  <c r="D375" i="2"/>
  <c r="D854" i="2"/>
  <c r="D255" i="2"/>
  <c r="D280" i="2"/>
  <c r="D413" i="2"/>
  <c r="D592" i="2"/>
  <c r="D186" i="2"/>
  <c r="D124" i="2"/>
  <c r="D219" i="2"/>
  <c r="D687" i="2"/>
  <c r="D556" i="2"/>
  <c r="D531" i="2"/>
  <c r="D915" i="2"/>
  <c r="D377" i="2"/>
  <c r="D831" i="2"/>
  <c r="D364" i="2"/>
  <c r="D880" i="2"/>
  <c r="D437" i="2"/>
  <c r="D109" i="2"/>
  <c r="D676" i="2"/>
  <c r="D210" i="2"/>
  <c r="D99" i="2"/>
  <c r="D567" i="2"/>
  <c r="D939" i="2"/>
  <c r="D963" i="2"/>
  <c r="D855" i="2"/>
  <c r="D953" i="2"/>
  <c r="D819" i="2"/>
  <c r="D221" i="2"/>
  <c r="D844" i="2"/>
  <c r="D229" i="2"/>
  <c r="D15" i="2"/>
  <c r="D267" i="2"/>
  <c r="D759" i="2"/>
  <c r="D158" i="2"/>
  <c r="D386" i="2"/>
  <c r="D389" i="2"/>
  <c r="D411" i="2"/>
  <c r="D914" i="2"/>
  <c r="D951" i="2"/>
  <c r="D281" i="2"/>
  <c r="D363" i="2"/>
  <c r="D233" i="2"/>
  <c r="D856" i="2"/>
  <c r="D126" i="2"/>
  <c r="D17" i="2"/>
  <c r="D725" i="2"/>
  <c r="D230" i="2"/>
  <c r="D291" i="2"/>
  <c r="D841" i="2"/>
  <c r="D842" i="2"/>
  <c r="D100" i="2"/>
  <c r="D218" i="2"/>
  <c r="D650" i="2"/>
  <c r="D817" i="2"/>
  <c r="D123" i="2"/>
  <c r="D16" i="2"/>
  <c r="D667" i="2"/>
  <c r="D486" i="2"/>
  <c r="D867" i="2"/>
  <c r="D771" i="2"/>
  <c r="D698" i="2"/>
  <c r="D782" i="2"/>
  <c r="D806" i="2"/>
  <c r="D595" i="2"/>
  <c r="D721" i="2"/>
  <c r="D865" i="2"/>
  <c r="D521" i="2"/>
  <c r="D722" i="2"/>
  <c r="D555" i="2"/>
  <c r="D243" i="2"/>
  <c r="D613" i="2"/>
  <c r="D843" i="2"/>
  <c r="D926" i="2"/>
  <c r="D925" i="2"/>
  <c r="D830" i="2"/>
  <c r="D175" i="2"/>
  <c r="D264" i="2"/>
  <c r="D384" i="2"/>
  <c r="D600" i="2"/>
  <c r="D385" i="2"/>
  <c r="D757" i="2"/>
  <c r="D697" i="2"/>
  <c r="D673" i="2"/>
  <c r="D629" i="2"/>
  <c r="D493" i="2"/>
  <c r="D482" i="2"/>
  <c r="D866" i="2"/>
  <c r="D244" i="2"/>
  <c r="D665" i="2"/>
  <c r="D631" i="2"/>
  <c r="D412" i="2"/>
  <c r="D148" i="2"/>
  <c r="D666" i="2"/>
  <c r="D720" i="2"/>
  <c r="D374" i="2"/>
  <c r="D242" i="2"/>
  <c r="D410" i="2"/>
  <c r="D184" i="2"/>
  <c r="D890" i="2"/>
  <c r="D796" i="2"/>
  <c r="D961" i="2"/>
  <c r="D90" i="2"/>
  <c r="D554" i="2"/>
  <c r="D253" i="2"/>
  <c r="D402" i="2"/>
  <c r="D351" i="2"/>
  <c r="D147" i="2"/>
  <c r="D795" i="2"/>
  <c r="D360" i="2"/>
  <c r="D614" i="2"/>
  <c r="D637" i="2"/>
  <c r="D98" i="2"/>
  <c r="D266" i="2"/>
  <c r="D257" i="2"/>
  <c r="D794" i="2"/>
  <c r="D469" i="2"/>
  <c r="D498" i="2"/>
  <c r="D458" i="2"/>
  <c r="D686" i="2"/>
  <c r="D894" i="2"/>
  <c r="D60" i="2"/>
  <c r="D793" i="2"/>
  <c r="D447" i="2"/>
  <c r="D4" i="2"/>
  <c r="D450" i="2"/>
  <c r="D589" i="2"/>
  <c r="D577" i="2"/>
  <c r="D626" i="2"/>
  <c r="D545" i="2"/>
  <c r="D506" i="2"/>
  <c r="D508" i="2"/>
  <c r="D446" i="2"/>
  <c r="D3" i="2"/>
  <c r="D290" i="2"/>
  <c r="D420" i="2"/>
  <c r="D85" i="2"/>
  <c r="D73" i="2"/>
  <c r="D325" i="2"/>
  <c r="D5" i="2"/>
  <c r="D745" i="2"/>
  <c r="E110" i="12"/>
  <c r="D6" i="2"/>
  <c r="D902" i="2"/>
  <c r="D425" i="2"/>
  <c r="D254" i="2"/>
  <c r="D529" i="2"/>
  <c r="D901" i="2"/>
  <c r="D350" i="2"/>
  <c r="D241" i="2"/>
  <c r="D373" i="2"/>
  <c r="D929" i="2"/>
  <c r="D822" i="2"/>
  <c r="D372" i="2"/>
  <c r="D820" i="2"/>
  <c r="D97" i="2"/>
  <c r="D869" i="2"/>
  <c r="D217" i="2"/>
  <c r="D770" i="2"/>
  <c r="D846" i="2"/>
  <c r="D151" i="2"/>
  <c r="D672" i="2"/>
  <c r="D590" i="2"/>
  <c r="D327" i="2"/>
  <c r="D903" i="2"/>
  <c r="D628" i="2"/>
  <c r="D630" i="2"/>
  <c r="D427" i="2"/>
  <c r="D252" i="2"/>
  <c r="D625" i="2"/>
  <c r="D403" i="2"/>
  <c r="D649" i="2"/>
  <c r="D853" i="2"/>
  <c r="D89" i="2"/>
  <c r="D183" i="2"/>
  <c r="D84" i="2"/>
  <c r="D433" i="2"/>
  <c r="D326" i="2"/>
  <c r="D367" i="2"/>
  <c r="D144" i="2"/>
  <c r="D409" i="2"/>
  <c r="D588" i="2"/>
  <c r="D54" i="2"/>
  <c r="D182" i="2"/>
  <c r="D38" i="2"/>
  <c r="D879" i="2"/>
  <c r="D40" i="2"/>
  <c r="D769" i="2"/>
  <c r="D878" i="2"/>
  <c r="D401" i="2"/>
  <c r="D808" i="2"/>
  <c r="D199" i="2"/>
  <c r="D463" i="2"/>
  <c r="D744" i="2"/>
  <c r="D426" i="2"/>
  <c r="D809" i="2"/>
  <c r="D949" i="2"/>
  <c r="D938" i="2"/>
  <c r="D145" i="2"/>
  <c r="D505" i="2"/>
  <c r="D287" i="2"/>
  <c r="D205" i="2"/>
  <c r="D211" i="2"/>
  <c r="D68" i="2"/>
  <c r="D49" i="2"/>
  <c r="D122" i="2"/>
  <c r="D193" i="2"/>
  <c r="D421" i="2"/>
  <c r="D696" i="2"/>
  <c r="D517" i="2"/>
  <c r="D108" i="2"/>
  <c r="D169" i="2"/>
  <c r="D121" i="2"/>
  <c r="D468" i="2"/>
  <c r="D648" i="2"/>
  <c r="D518" i="2"/>
  <c r="D277" i="2"/>
  <c r="D157" i="2"/>
  <c r="D732" i="2"/>
  <c r="D445" i="2"/>
  <c r="D733" i="2"/>
  <c r="D276" i="2"/>
  <c r="D612" i="2"/>
  <c r="D708" i="2"/>
  <c r="D950" i="2"/>
  <c r="D371" i="2"/>
  <c r="D709" i="2"/>
  <c r="D301" i="2"/>
  <c r="D300" i="2"/>
  <c r="D313" i="2"/>
  <c r="D181" i="2"/>
  <c r="D349" i="2"/>
  <c r="D289" i="2"/>
  <c r="D25" i="2"/>
  <c r="D432" i="2"/>
  <c r="D324" i="2"/>
  <c r="D540" i="2"/>
  <c r="D756" i="2"/>
  <c r="D516" i="2"/>
  <c r="D133" i="2"/>
  <c r="D480" i="2"/>
  <c r="D18" i="2"/>
  <c r="D481" i="2"/>
  <c r="D834" i="2"/>
  <c r="D791" i="2"/>
  <c r="D312" i="2"/>
  <c r="D408" i="2"/>
  <c r="D443" i="2"/>
  <c r="D504" i="2"/>
  <c r="D444" i="2"/>
  <c r="D724" i="2"/>
  <c r="D845" i="2"/>
  <c r="D24" i="2"/>
  <c r="D336" i="2"/>
  <c r="D456" i="2"/>
  <c r="D833" i="2"/>
  <c r="D607" i="2"/>
  <c r="D156" i="2"/>
  <c r="D964" i="2"/>
  <c r="D821" i="2"/>
  <c r="D348" i="2"/>
  <c r="D564" i="2"/>
  <c r="D684" i="2"/>
  <c r="D702" i="2"/>
  <c r="D870" i="2"/>
  <c r="D643" i="2"/>
  <c r="D703" i="2"/>
  <c r="D905" i="2"/>
  <c r="D228" i="2"/>
  <c r="D660" i="2"/>
  <c r="D546" i="2"/>
  <c r="D120" i="2"/>
  <c r="D48" i="2"/>
  <c r="D700" i="2"/>
  <c r="D685" i="2"/>
  <c r="D701" i="2"/>
  <c r="D661" i="2"/>
  <c r="D96" i="2"/>
  <c r="D593" i="2"/>
  <c r="D594" i="2"/>
  <c r="D636" i="2"/>
  <c r="D781" i="2"/>
  <c r="D569" i="2"/>
  <c r="D726" i="2"/>
  <c r="D553" i="2"/>
  <c r="D457" i="2"/>
  <c r="D342" i="2"/>
  <c r="D522" i="2"/>
  <c r="D299" i="2"/>
  <c r="D889" i="2"/>
  <c r="D805" i="2"/>
  <c r="D192" i="2"/>
  <c r="D937" i="2"/>
  <c r="D204" i="2"/>
  <c r="D678" i="2"/>
  <c r="D431" i="2"/>
  <c r="D162" i="2"/>
  <c r="D882" i="2"/>
  <c r="D570" i="2"/>
  <c r="D912" i="2"/>
  <c r="D168" i="2"/>
  <c r="D913" i="2"/>
  <c r="D875" i="2"/>
  <c r="D876" i="2"/>
  <c r="D677" i="2"/>
  <c r="D503" i="2"/>
  <c r="D877" i="2"/>
  <c r="D487" i="2"/>
  <c r="D271" i="2"/>
  <c r="D47" i="2"/>
  <c r="D167" i="2"/>
  <c r="D263" i="2"/>
  <c r="D383" i="2"/>
  <c r="D599" i="2"/>
  <c r="D528" i="2"/>
  <c r="D69" i="2"/>
  <c r="D552" i="2"/>
  <c r="D259" i="2"/>
  <c r="D691" i="2"/>
  <c r="D604" i="2"/>
  <c r="D605" i="2"/>
  <c r="D215" i="2"/>
  <c r="D216" i="2"/>
  <c r="E32" i="12"/>
  <c r="D786" i="2"/>
  <c r="D438" i="2"/>
  <c r="E8" i="12"/>
  <c r="D762" i="2"/>
  <c r="D227" i="2"/>
  <c r="D587" i="2"/>
  <c r="D155" i="2"/>
  <c r="D933" i="2"/>
  <c r="D414" i="2"/>
  <c r="E164" i="12"/>
  <c r="D918" i="2"/>
  <c r="D749" i="2"/>
  <c r="D750" i="2"/>
  <c r="D641" i="2"/>
  <c r="D642" i="2"/>
  <c r="E43" i="12"/>
  <c r="D798" i="2"/>
  <c r="D797" i="2"/>
  <c r="D19" i="2"/>
  <c r="D379" i="2"/>
  <c r="D547" i="2"/>
  <c r="D294" i="2"/>
  <c r="D293" i="2"/>
  <c r="E19" i="12"/>
  <c r="D774" i="2"/>
  <c r="D773" i="2"/>
  <c r="D810" i="2"/>
  <c r="D439" i="2"/>
  <c r="D606" i="2"/>
  <c r="D378" i="2"/>
  <c r="E176" i="12"/>
  <c r="D930" i="2"/>
  <c r="D792" i="2"/>
  <c r="D307" i="2"/>
  <c r="D391" i="2"/>
  <c r="D214" i="2"/>
  <c r="D658" i="2"/>
  <c r="D583" i="2"/>
  <c r="D474" i="2"/>
  <c r="D534" i="2"/>
  <c r="D359" i="2"/>
  <c r="D575" i="2"/>
  <c r="D657" i="2"/>
  <c r="D714" i="2"/>
  <c r="D789" i="2"/>
  <c r="D510" i="2"/>
  <c r="D586" i="2"/>
  <c r="D524" i="2"/>
  <c r="D251" i="2"/>
  <c r="D347" i="2"/>
  <c r="D467" i="2"/>
  <c r="D563" i="2"/>
  <c r="D683" i="2"/>
  <c r="D948" i="2"/>
  <c r="E192" i="12"/>
  <c r="D823" i="2"/>
  <c r="D969" i="2"/>
  <c r="D341" i="2"/>
  <c r="D655" i="2"/>
  <c r="D213" i="2"/>
  <c r="D965" i="2"/>
  <c r="E211" i="12"/>
  <c r="D908" i="2"/>
  <c r="D828" i="2"/>
  <c r="E72" i="12"/>
  <c r="D936" i="2"/>
  <c r="E180" i="12"/>
  <c r="D824" i="2"/>
  <c r="E70" i="12"/>
  <c r="D787" i="2"/>
  <c r="E33" i="12"/>
  <c r="D960" i="2"/>
  <c r="E204" i="12"/>
  <c r="D835" i="2"/>
  <c r="E81" i="12"/>
  <c r="D919" i="2"/>
  <c r="E165" i="12"/>
  <c r="D499" i="2"/>
  <c r="D308" i="2"/>
  <c r="D840" i="2"/>
  <c r="E84" i="12"/>
  <c r="D576" i="2"/>
  <c r="D406" i="2"/>
  <c r="D838" i="2"/>
  <c r="E82" i="12"/>
  <c r="D852" i="2"/>
  <c r="E96" i="12"/>
  <c r="D904" i="2"/>
  <c r="E150" i="12"/>
  <c r="D737" i="2"/>
  <c r="D571" i="2"/>
  <c r="D250" i="2"/>
  <c r="D768" i="2"/>
  <c r="E12" i="12"/>
  <c r="D888" i="2"/>
  <c r="E132" i="12"/>
  <c r="D574" i="2"/>
  <c r="D942" i="2"/>
  <c r="E186" i="12"/>
  <c r="D343" i="2"/>
  <c r="D775" i="2"/>
  <c r="E21" i="12"/>
  <c r="D872" i="2"/>
  <c r="E117" i="12"/>
  <c r="D944" i="2"/>
  <c r="E189" i="12"/>
  <c r="D779" i="2"/>
  <c r="E23" i="12"/>
  <c r="D899" i="2"/>
  <c r="E143" i="12"/>
  <c r="D839" i="2"/>
  <c r="D533" i="2"/>
  <c r="D907" i="2"/>
  <c r="D972" i="2"/>
  <c r="E216" i="12"/>
  <c r="D780" i="2"/>
  <c r="E24" i="12"/>
  <c r="D900" i="2"/>
  <c r="E144" i="12"/>
  <c r="D535" i="2"/>
  <c r="D621" i="2"/>
  <c r="D799" i="2"/>
  <c r="E45" i="12"/>
  <c r="D955" i="2"/>
  <c r="E201" i="12"/>
  <c r="D815" i="2"/>
  <c r="E59" i="12"/>
  <c r="D804" i="2"/>
  <c r="E48" i="12"/>
  <c r="D816" i="2"/>
  <c r="E60" i="12"/>
  <c r="D954" i="2"/>
  <c r="E200" i="12"/>
  <c r="D369" i="2"/>
  <c r="D127" i="2"/>
  <c r="D619" i="2"/>
  <c r="D83" i="2"/>
  <c r="D623" i="2"/>
  <c r="D515" i="2"/>
  <c r="D947" i="2"/>
  <c r="D46" i="2"/>
  <c r="D767" i="2"/>
  <c r="D502" i="2"/>
  <c r="D598" i="2"/>
  <c r="D790" i="2"/>
  <c r="D82" i="2"/>
  <c r="D573" i="2"/>
  <c r="D345" i="2"/>
  <c r="D370" i="2"/>
  <c r="D189" i="2"/>
  <c r="D523" i="2"/>
  <c r="D814" i="2"/>
  <c r="D943" i="2"/>
  <c r="D803" i="2"/>
  <c r="D731" i="2"/>
  <c r="D862" i="2"/>
  <c r="D871" i="2"/>
  <c r="D718" i="2"/>
  <c r="D645" i="2"/>
  <c r="D286" i="2"/>
  <c r="D44" i="2"/>
  <c r="D320" i="2"/>
  <c r="D753" i="2"/>
  <c r="D107" i="2"/>
  <c r="D323" i="2"/>
  <c r="D419" i="2"/>
  <c r="D539" i="2"/>
  <c r="D635" i="2"/>
  <c r="D755" i="2"/>
  <c r="D851" i="2"/>
  <c r="D941" i="2"/>
  <c r="D56" i="2"/>
  <c r="D164" i="2"/>
  <c r="D416" i="2"/>
  <c r="D23" i="2"/>
  <c r="D239" i="2"/>
  <c r="D335" i="2"/>
  <c r="D671" i="2"/>
  <c r="D659" i="2"/>
  <c r="D288" i="2"/>
  <c r="D624" i="2"/>
  <c r="D716" i="2"/>
  <c r="D906" i="2"/>
  <c r="D298" i="2"/>
  <c r="D640" i="2"/>
  <c r="D859" i="2"/>
  <c r="D861" i="2"/>
  <c r="D860" i="2"/>
  <c r="D248" i="2"/>
  <c r="D247" i="2"/>
  <c r="D331" i="2"/>
  <c r="D333" i="2"/>
  <c r="D332" i="2"/>
  <c r="D512" i="2"/>
  <c r="D511" i="2"/>
  <c r="D513" i="2"/>
  <c r="D680" i="2"/>
  <c r="D679" i="2"/>
  <c r="D764" i="2"/>
  <c r="D763" i="2"/>
  <c r="D847" i="2"/>
  <c r="D848" i="2"/>
  <c r="D932" i="2"/>
  <c r="D931" i="2"/>
  <c r="D887" i="2"/>
  <c r="D885" i="2"/>
  <c r="D71" i="2"/>
  <c r="D72" i="2"/>
  <c r="D492" i="2"/>
  <c r="D491" i="2"/>
  <c r="D924" i="2"/>
  <c r="D922" i="2"/>
  <c r="D237" i="2"/>
  <c r="D201" i="2"/>
  <c r="D357" i="2"/>
  <c r="D766" i="2"/>
  <c r="D935" i="2"/>
  <c r="D116" i="2"/>
  <c r="D70" i="2"/>
  <c r="D863" i="2"/>
  <c r="D128" i="2"/>
  <c r="D310" i="2"/>
  <c r="D742" i="2"/>
  <c r="D788" i="2"/>
  <c r="D179" i="2"/>
  <c r="D358" i="2"/>
  <c r="D226" i="2"/>
  <c r="D154" i="2"/>
  <c r="D322" i="2"/>
  <c r="D754" i="2"/>
  <c r="D430" i="2"/>
  <c r="D669" i="2"/>
  <c r="D334" i="2"/>
  <c r="D453" i="2"/>
  <c r="D58" i="2"/>
  <c r="D418" i="2"/>
  <c r="D514" i="2"/>
  <c r="D647" i="2"/>
  <c r="D262" i="2"/>
  <c r="D346" i="2"/>
  <c r="D536" i="2"/>
  <c r="D43" i="2"/>
  <c r="D538" i="2"/>
  <c r="D356" i="2"/>
  <c r="D751" i="2"/>
  <c r="D500" i="2"/>
  <c r="D319" i="2"/>
  <c r="D850" i="2"/>
  <c r="D836" i="2"/>
  <c r="D235" i="2"/>
  <c r="D203" i="2"/>
  <c r="D238" i="2"/>
  <c r="D572" i="2"/>
  <c r="D501" i="2"/>
  <c r="D94" i="2"/>
  <c r="D455" i="2"/>
  <c r="D163" i="2"/>
  <c r="D177" i="2"/>
  <c r="D441" i="2"/>
  <c r="D526" i="2"/>
  <c r="D778" i="2"/>
  <c r="D873" i="2"/>
  <c r="D131" i="2"/>
  <c r="D240" i="2"/>
  <c r="D752" i="2"/>
  <c r="D92" i="2"/>
  <c r="D272" i="2"/>
  <c r="D452" i="2"/>
  <c r="D620" i="2"/>
  <c r="D800" i="2"/>
  <c r="D884" i="2"/>
  <c r="D956" i="2"/>
  <c r="D478" i="2"/>
  <c r="D415" i="2"/>
  <c r="D190" i="2"/>
  <c r="D596" i="2"/>
  <c r="D115" i="2"/>
  <c r="D132" i="2"/>
  <c r="D57" i="2"/>
  <c r="D489" i="2"/>
  <c r="D921" i="2"/>
  <c r="D417" i="2"/>
  <c r="D22" i="2"/>
  <c r="D106" i="2"/>
  <c r="D202" i="2"/>
  <c r="D634" i="2"/>
  <c r="D730" i="2"/>
  <c r="D55" i="2"/>
  <c r="D32" i="2"/>
  <c r="D224" i="2"/>
  <c r="D656" i="2"/>
  <c r="D740" i="2"/>
  <c r="D95" i="2"/>
  <c r="D191" i="2"/>
  <c r="D311" i="2"/>
  <c r="D407" i="2"/>
  <c r="D527" i="2"/>
  <c r="D743" i="2"/>
  <c r="D959" i="2"/>
  <c r="D874" i="2"/>
  <c r="D80" i="2"/>
  <c r="D176" i="2"/>
  <c r="D260" i="2"/>
  <c r="D440" i="2"/>
  <c r="D608" i="2"/>
  <c r="D693" i="2"/>
  <c r="D35" i="2"/>
  <c r="D681" i="2"/>
  <c r="D812" i="2"/>
  <c r="D382" i="2"/>
  <c r="D466" i="2"/>
  <c r="D550" i="2"/>
  <c r="D813" i="2"/>
  <c r="D898" i="2"/>
  <c r="D275" i="2"/>
  <c r="D395" i="2"/>
  <c r="D611" i="2"/>
  <c r="D707" i="2"/>
  <c r="D827" i="2"/>
  <c r="D477" i="2"/>
  <c r="D561" i="2"/>
  <c r="D142" i="2"/>
  <c r="D249" i="2"/>
  <c r="D451" i="2"/>
  <c r="D704" i="2"/>
  <c r="D188" i="2"/>
  <c r="D130" i="2"/>
  <c r="D562" i="2"/>
  <c r="D212" i="2"/>
  <c r="D225" i="2"/>
  <c r="D692" i="2"/>
  <c r="D717" i="2"/>
  <c r="D646" i="2"/>
  <c r="D152" i="2"/>
  <c r="D236" i="2"/>
  <c r="D321" i="2"/>
  <c r="D404" i="2"/>
  <c r="D488" i="2"/>
  <c r="D584" i="2"/>
  <c r="D668" i="2"/>
  <c r="D837" i="2"/>
  <c r="D920" i="2"/>
  <c r="D490" i="2"/>
  <c r="D801" i="2"/>
  <c r="D475" i="2"/>
  <c r="D429" i="2"/>
  <c r="D849" i="2"/>
  <c r="D119" i="2"/>
  <c r="D776" i="2"/>
  <c r="D777" i="2"/>
  <c r="D560" i="2"/>
  <c r="D923" i="2"/>
  <c r="D180" i="2"/>
  <c r="D826" i="2"/>
  <c r="D140" i="2"/>
  <c r="D104" i="2"/>
  <c r="D296" i="2"/>
  <c r="D465" i="2"/>
  <c r="D632" i="2"/>
  <c r="D728" i="2"/>
  <c r="D896" i="2"/>
  <c r="D825" i="2"/>
  <c r="D20" i="2"/>
  <c r="D609" i="2"/>
  <c r="D548" i="2"/>
  <c r="D394" i="2"/>
  <c r="D393" i="2"/>
  <c r="D633" i="2"/>
  <c r="D200" i="2"/>
  <c r="D802" i="2"/>
  <c r="D21" i="2"/>
  <c r="D103" i="2"/>
  <c r="D297" i="2"/>
  <c r="D585" i="2"/>
  <c r="D670" i="2"/>
  <c r="D765" i="2"/>
  <c r="D559" i="2"/>
  <c r="D295" i="2"/>
  <c r="D719" i="2"/>
  <c r="D476" i="2"/>
  <c r="D141" i="2"/>
  <c r="D285" i="2"/>
  <c r="D525" i="2"/>
  <c r="D945" i="2"/>
  <c r="D129" i="2"/>
  <c r="D551" i="2"/>
  <c r="D739" i="2"/>
  <c r="D67" i="2"/>
  <c r="D811" i="2"/>
  <c r="D153" i="2"/>
  <c r="D405" i="2"/>
  <c r="D934" i="2"/>
  <c r="D81" i="2"/>
  <c r="D178" i="2"/>
  <c r="D344" i="2"/>
  <c r="D442" i="2"/>
  <c r="D610" i="2"/>
  <c r="D694" i="2"/>
  <c r="D946" i="2"/>
  <c r="D34" i="2"/>
  <c r="D682" i="2"/>
  <c r="D139" i="2"/>
  <c r="D59" i="2"/>
  <c r="D549" i="2"/>
  <c r="D309" i="2"/>
  <c r="D392" i="2"/>
  <c r="D644" i="2"/>
  <c r="D118" i="2"/>
  <c r="D537" i="2"/>
  <c r="D957" i="2"/>
  <c r="D45" i="2"/>
  <c r="D165" i="2"/>
  <c r="D381" i="2"/>
  <c r="D380" i="2"/>
  <c r="D428" i="2"/>
  <c r="D274" i="2"/>
  <c r="D454" i="2"/>
  <c r="D622" i="2"/>
  <c r="D706" i="2"/>
  <c r="D886" i="2"/>
  <c r="D958" i="2"/>
  <c r="D479" i="2"/>
  <c r="D597" i="2"/>
  <c r="D695" i="2"/>
  <c r="D910" i="2"/>
  <c r="D705" i="2"/>
  <c r="D273" i="2"/>
  <c r="D261" i="2"/>
  <c r="D143" i="2"/>
  <c r="D36" i="2"/>
  <c r="D166" i="2"/>
  <c r="D464" i="2"/>
  <c r="D284" i="2"/>
  <c r="D909" i="2"/>
  <c r="D911" i="2"/>
  <c r="D33" i="2"/>
  <c r="D368" i="2"/>
  <c r="D741" i="2"/>
  <c r="D117" i="2"/>
  <c r="D727" i="2"/>
  <c r="D91" i="2"/>
  <c r="D105" i="2"/>
  <c r="D895" i="2"/>
  <c r="D715" i="2"/>
  <c r="D897" i="2"/>
  <c r="D729" i="2"/>
  <c r="D93" i="2"/>
  <c r="D968" i="2"/>
  <c r="D883" i="2"/>
  <c r="D971" i="2"/>
  <c r="D970" i="2"/>
  <c r="D966" i="2"/>
  <c r="D967" i="2"/>
  <c r="H6" i="12" l="1"/>
</calcChain>
</file>

<file path=xl/sharedStrings.xml><?xml version="1.0" encoding="utf-8"?>
<sst xmlns="http://schemas.openxmlformats.org/spreadsheetml/2006/main" count="393" uniqueCount="299">
  <si>
    <t>Date</t>
  </si>
  <si>
    <t>NFP</t>
  </si>
  <si>
    <t>Initial Claims</t>
  </si>
  <si>
    <t>Continued Claims</t>
  </si>
  <si>
    <t>PAYEMS</t>
  </si>
  <si>
    <t>All Employees: Total Nonfarm Payrolls, Thousands of Persons, Monthly, Seasonally Adjusted</t>
  </si>
  <si>
    <t>Frequency: Monthly</t>
  </si>
  <si>
    <t>Unemployment Rate</t>
  </si>
  <si>
    <t>3 months average</t>
  </si>
  <si>
    <t>GDP q/q %</t>
  </si>
  <si>
    <t>DATE</t>
  </si>
  <si>
    <t>CCSA</t>
  </si>
  <si>
    <t>ICSA</t>
  </si>
  <si>
    <t>UNRATE</t>
  </si>
  <si>
    <t>https://research.stlouisfed.org/useraccount/datalists</t>
  </si>
  <si>
    <t>Copy Weekly, Ending Saturday in Database F:H</t>
  </si>
  <si>
    <t>Copy Monthly in Database A:C</t>
  </si>
  <si>
    <t>CIVPART</t>
  </si>
  <si>
    <t>Participation Rate</t>
  </si>
  <si>
    <t>-175K</t>
  </si>
  <si>
    <t>-230K</t>
  </si>
  <si>
    <t>-203K</t>
  </si>
  <si>
    <t>-246K</t>
  </si>
  <si>
    <t>-261K</t>
  </si>
  <si>
    <t>-380K</t>
  </si>
  <si>
    <t>-361K</t>
  </si>
  <si>
    <t>-223K</t>
  </si>
  <si>
    <t>-69K</t>
  </si>
  <si>
    <t>-91K</t>
  </si>
  <si>
    <t>-70K</t>
  </si>
  <si>
    <t>ADP</t>
  </si>
  <si>
    <t>cell</t>
  </si>
  <si>
    <t xml:space="preserve">ADP </t>
  </si>
  <si>
    <t>http://www.adpemploymentreport.com/</t>
  </si>
  <si>
    <t>Var.</t>
  </si>
  <si>
    <t xml:space="preserve">Var. </t>
  </si>
  <si>
    <t>Create data on Fred</t>
  </si>
  <si>
    <t>U.S. Job Market</t>
  </si>
  <si>
    <t>Civilian Labor Force Participation Rate</t>
  </si>
  <si>
    <t>All Employees: Total Nonfarm Payrolls</t>
  </si>
  <si>
    <t>Civilian Unemployment Rate</t>
  </si>
  <si>
    <t>Continued Claims (Insured Unemployment)</t>
  </si>
  <si>
    <t>Monthly Change in k</t>
  </si>
  <si>
    <t>https://data.oecd.org/unemp/harmonised-unemployment-rate-hur.htm#indicator-chart</t>
  </si>
  <si>
    <t>Table</t>
  </si>
  <si>
    <t>monthly</t>
  </si>
  <si>
    <t>from beginning</t>
  </si>
  <si>
    <t>download</t>
  </si>
  <si>
    <t>Database</t>
  </si>
  <si>
    <t>AUS</t>
  </si>
  <si>
    <t>AUT</t>
  </si>
  <si>
    <t>BEL</t>
  </si>
  <si>
    <t>CAN</t>
  </si>
  <si>
    <t>CHL</t>
  </si>
  <si>
    <t>CZE</t>
  </si>
  <si>
    <t>DEU</t>
  </si>
  <si>
    <t>DNK</t>
  </si>
  <si>
    <t>ESP</t>
  </si>
  <si>
    <t>EST</t>
  </si>
  <si>
    <t>FIN</t>
  </si>
  <si>
    <t>FRA</t>
  </si>
  <si>
    <t>GBR</t>
  </si>
  <si>
    <t>GRC</t>
  </si>
  <si>
    <t>HUN</t>
  </si>
  <si>
    <t>IRL</t>
  </si>
  <si>
    <t>ISL</t>
  </si>
  <si>
    <t>ISR</t>
  </si>
  <si>
    <t>ITA</t>
  </si>
  <si>
    <t>JPN</t>
  </si>
  <si>
    <t>KOR</t>
  </si>
  <si>
    <t>LUX</t>
  </si>
  <si>
    <t>LVA</t>
  </si>
  <si>
    <t>MEX</t>
  </si>
  <si>
    <t>NLD</t>
  </si>
  <si>
    <t>NOR</t>
  </si>
  <si>
    <t>OECD</t>
  </si>
  <si>
    <t>POL</t>
  </si>
  <si>
    <t>PRT</t>
  </si>
  <si>
    <t>SVK</t>
  </si>
  <si>
    <t>SVN</t>
  </si>
  <si>
    <t>SWE</t>
  </si>
  <si>
    <t>TUR</t>
  </si>
  <si>
    <t>USA</t>
  </si>
  <si>
    <t>EA19</t>
  </si>
  <si>
    <t>G7</t>
  </si>
  <si>
    <t>US</t>
  </si>
  <si>
    <t>Eurozone</t>
  </si>
  <si>
    <t xml:space="preserve">Japan </t>
  </si>
  <si>
    <t>Germany</t>
  </si>
  <si>
    <t>France</t>
  </si>
  <si>
    <t>UK</t>
  </si>
  <si>
    <t xml:space="preserve">Italy </t>
  </si>
  <si>
    <t>Spain</t>
  </si>
  <si>
    <t>Sweden</t>
  </si>
  <si>
    <t>Mexico</t>
  </si>
  <si>
    <t>Canada</t>
  </si>
  <si>
    <t>Australia</t>
  </si>
  <si>
    <t xml:space="preserve">S Korea </t>
  </si>
  <si>
    <t>Greece</t>
  </si>
  <si>
    <t>Ireland</t>
  </si>
  <si>
    <t>Turkey</t>
  </si>
  <si>
    <t xml:space="preserve">Czech </t>
  </si>
  <si>
    <t>Poland</t>
  </si>
  <si>
    <t>https://tradingeconomics.com/country-list/unemployment-rate</t>
  </si>
  <si>
    <t>Max</t>
  </si>
  <si>
    <t>Min</t>
  </si>
  <si>
    <t>Average</t>
  </si>
  <si>
    <t>Avg. since 2010</t>
  </si>
  <si>
    <t>https://tradingeconomics.com/united-states/adp-employment-change</t>
  </si>
  <si>
    <t>https://uk.investing.com/economic-calendar/adp-nonfarm-employment-change-1</t>
  </si>
  <si>
    <t>Definition</t>
  </si>
  <si>
    <t>Process / TO DO LIST</t>
  </si>
  <si>
    <t>TO DO LIST</t>
  </si>
  <si>
    <t>Comments</t>
  </si>
  <si>
    <t>Job Market</t>
  </si>
  <si>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</si>
  <si>
    <t>World Job data</t>
  </si>
  <si>
    <t>Other data</t>
  </si>
  <si>
    <t>Summary</t>
  </si>
  <si>
    <t>Last</t>
  </si>
  <si>
    <t>CHE</t>
  </si>
  <si>
    <t>-138k</t>
  </si>
  <si>
    <t>-41k</t>
  </si>
  <si>
    <t>-21k</t>
  </si>
  <si>
    <t>12k</t>
  </si>
  <si>
    <t>-150k</t>
  </si>
  <si>
    <t>47k</t>
  </si>
  <si>
    <t>-11k</t>
  </si>
  <si>
    <t>-79k</t>
  </si>
  <si>
    <t>-113k</t>
  </si>
  <si>
    <t>26k</t>
  </si>
  <si>
    <t>-42k</t>
  </si>
  <si>
    <t>-8k</t>
  </si>
  <si>
    <t>-75k</t>
  </si>
  <si>
    <t>-25k</t>
  </si>
  <si>
    <t>28k</t>
  </si>
  <si>
    <t>-66k</t>
  </si>
  <si>
    <t>69k</t>
  </si>
  <si>
    <t>174k</t>
  </si>
  <si>
    <t>247k</t>
  </si>
  <si>
    <t>167k</t>
  </si>
  <si>
    <t>68k</t>
  </si>
  <si>
    <t>166k</t>
  </si>
  <si>
    <t>188k</t>
  </si>
  <si>
    <t>170k</t>
  </si>
  <si>
    <t>54k</t>
  </si>
  <si>
    <t>169k</t>
  </si>
  <si>
    <t>80k</t>
  </si>
  <si>
    <t>187k</t>
  </si>
  <si>
    <t>136k</t>
  </si>
  <si>
    <t>178k</t>
  </si>
  <si>
    <t>254k</t>
  </si>
  <si>
    <t>158k</t>
  </si>
  <si>
    <t>145k</t>
  </si>
  <si>
    <t>164k</t>
  </si>
  <si>
    <t>300k</t>
  </si>
  <si>
    <t>243k</t>
  </si>
  <si>
    <t>273k</t>
  </si>
  <si>
    <t>281k</t>
  </si>
  <si>
    <t>190k</t>
  </si>
  <si>
    <t>-35k</t>
  </si>
  <si>
    <t>134k</t>
  </si>
  <si>
    <t>253k</t>
  </si>
  <si>
    <t>225k</t>
  </si>
  <si>
    <t>296k</t>
  </si>
  <si>
    <t>360k</t>
  </si>
  <si>
    <t>208k</t>
  </si>
  <si>
    <t>175k</t>
  </si>
  <si>
    <t>106k</t>
  </si>
  <si>
    <t>123k</t>
  </si>
  <si>
    <t>185k</t>
  </si>
  <si>
    <t>58k</t>
  </si>
  <si>
    <t>109k</t>
  </si>
  <si>
    <t>-13k</t>
  </si>
  <si>
    <t>171k</t>
  </si>
  <si>
    <t>241k</t>
  </si>
  <si>
    <t>111k</t>
  </si>
  <si>
    <t>154k</t>
  </si>
  <si>
    <t>39k</t>
  </si>
  <si>
    <t>82k</t>
  </si>
  <si>
    <t>15k</t>
  </si>
  <si>
    <t>-27k</t>
  </si>
  <si>
    <t>23k</t>
  </si>
  <si>
    <t>44k</t>
  </si>
  <si>
    <t>118k</t>
  </si>
  <si>
    <t>-78k</t>
  </si>
  <si>
    <t>-181k</t>
  </si>
  <si>
    <t>-406k</t>
  </si>
  <si>
    <t>-409k</t>
  </si>
  <si>
    <t>-465k</t>
  </si>
  <si>
    <t>-416k</t>
  </si>
  <si>
    <t>-430k</t>
  </si>
  <si>
    <t>-489k</t>
  </si>
  <si>
    <t>-620k</t>
  </si>
  <si>
    <t>-510k</t>
  </si>
  <si>
    <t>-584k</t>
  </si>
  <si>
    <t>-706k</t>
  </si>
  <si>
    <t>-417k</t>
  </si>
  <si>
    <t>-325k</t>
  </si>
  <si>
    <t>-244k</t>
  </si>
  <si>
    <t>-334k</t>
  </si>
  <si>
    <t>-180k</t>
  </si>
  <si>
    <t>-212k</t>
  </si>
  <si>
    <t>-126k</t>
  </si>
  <si>
    <t>-114k</t>
  </si>
  <si>
    <t>-374k</t>
  </si>
  <si>
    <t>-137k</t>
  </si>
  <si>
    <t>-219k</t>
  </si>
  <si>
    <t>147k</t>
  </si>
  <si>
    <t>152k</t>
  </si>
  <si>
    <t>102k</t>
  </si>
  <si>
    <t>159k</t>
  </si>
  <si>
    <t>99k</t>
  </si>
  <si>
    <t>117k</t>
  </si>
  <si>
    <t>219k</t>
  </si>
  <si>
    <t>141k</t>
  </si>
  <si>
    <t>85k</t>
  </si>
  <si>
    <t>137k</t>
  </si>
  <si>
    <t>213k</t>
  </si>
  <si>
    <t>299k</t>
  </si>
  <si>
    <t>263k</t>
  </si>
  <si>
    <t>216k</t>
  </si>
  <si>
    <t>227k</t>
  </si>
  <si>
    <t>191k</t>
  </si>
  <si>
    <t>127k</t>
  </si>
  <si>
    <t>194k</t>
  </si>
  <si>
    <t>199k</t>
  </si>
  <si>
    <t>250k</t>
  </si>
  <si>
    <t>83k</t>
  </si>
  <si>
    <t>153k</t>
  </si>
  <si>
    <t>79k</t>
  </si>
  <si>
    <t>142k</t>
  </si>
  <si>
    <t>184k</t>
  </si>
  <si>
    <t>150k</t>
  </si>
  <si>
    <t>231k</t>
  </si>
  <si>
    <t>203k</t>
  </si>
  <si>
    <t>181k</t>
  </si>
  <si>
    <t>126k</t>
  </si>
  <si>
    <t>210k</t>
  </si>
  <si>
    <t>217k</t>
  </si>
  <si>
    <t>157k</t>
  </si>
  <si>
    <t>206k</t>
  </si>
  <si>
    <t>211k</t>
  </si>
  <si>
    <t>195k</t>
  </si>
  <si>
    <t>212k</t>
  </si>
  <si>
    <t>179k</t>
  </si>
  <si>
    <t>278k</t>
  </si>
  <si>
    <t>202k</t>
  </si>
  <si>
    <t>292k</t>
  </si>
  <si>
    <t>223k</t>
  </si>
  <si>
    <t>230k</t>
  </si>
  <si>
    <t>251k</t>
  </si>
  <si>
    <t>252k</t>
  </si>
  <si>
    <t>226k</t>
  </si>
  <si>
    <t>204k</t>
  </si>
  <si>
    <t>186k</t>
  </si>
  <si>
    <t>271k</t>
  </si>
  <si>
    <t>130k</t>
  </si>
  <si>
    <t>205k</t>
  </si>
  <si>
    <t>84k</t>
  </si>
  <si>
    <t>255k</t>
  </si>
  <si>
    <t>192k</t>
  </si>
  <si>
    <t>91k</t>
  </si>
  <si>
    <t>236k</t>
  </si>
  <si>
    <t>105k</t>
  </si>
  <si>
    <t>224k</t>
  </si>
  <si>
    <t>237k</t>
  </si>
  <si>
    <t>209k</t>
  </si>
  <si>
    <t>173k</t>
  </si>
  <si>
    <t>135k</t>
  </si>
  <si>
    <t>183k</t>
  </si>
  <si>
    <t>207k</t>
  </si>
  <si>
    <t>276k</t>
  </si>
  <si>
    <t>221k</t>
  </si>
  <si>
    <t>284k</t>
  </si>
  <si>
    <t>238k</t>
  </si>
  <si>
    <t>249k</t>
  </si>
  <si>
    <t>264k</t>
  </si>
  <si>
    <t>220k</t>
  </si>
  <si>
    <t>46k</t>
  </si>
  <si>
    <t>107k</t>
  </si>
  <si>
    <t>143k</t>
  </si>
  <si>
    <t>124k</t>
  </si>
  <si>
    <t>151k</t>
  </si>
  <si>
    <t xml:space="preserve"> -149k</t>
  </si>
  <si>
    <t>3065k</t>
  </si>
  <si>
    <t xml:space="preserve"> -19557k</t>
  </si>
  <si>
    <t>2369k</t>
  </si>
  <si>
    <t>428k</t>
  </si>
  <si>
    <t>749k</t>
  </si>
  <si>
    <t>365k</t>
  </si>
  <si>
    <t>307k</t>
  </si>
  <si>
    <t xml:space="preserve"> -123k</t>
  </si>
  <si>
    <t>517k</t>
  </si>
  <si>
    <t>742k</t>
  </si>
  <si>
    <t>978k</t>
  </si>
  <si>
    <t>692k</t>
  </si>
  <si>
    <t>330k</t>
  </si>
  <si>
    <t>374k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</si>
</sst>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
    <numFmt numFmtId="166" formatCode="#,##0.0"/>
  </numFmts>
  <fonts count="32" x14ac:knownFonts="1">
    <font>
      <sz val="11"/>
      <color theme="1"/>
      <name val="Calibri"/>
      <family val="2"/>
      <scheme val="minor"/>
    </font>
    <font>
      <sz val="10"/>
      <name val="Arial"/>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u/>
      <sz val="11"/>
      <color theme="10"/>
      <name val="Calibri"/>
      <family val="2"/>
      <scheme val="minor"/>
    </font>
    <font>
      <sz val="10"/>
      <name val="Arial"/>
      <family val="2"/>
    </font>
    <font>
      <sz val="11"/>
      <color theme="1"/>
      <name val="Calibri"/>
      <family val="2"/>
      <scheme val="minor"/>
    </font>
    <font>
      <sz val="10"/>
      <name val="Arial"/>
      <family val="2"/>
    </font>
    <font>
      <sz val="10"/>
      <name val="Arial"/>
      <family val="2"/>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b/>
      <sz val="11"/>
      <color indexed="9"/>
      <name val="Calibri"/>
      <family val="2"/>
    </font>
    <font>
      <b/>
      <sz val="11"/>
      <color rgb="FF00B0F0"/>
      <name val="Calibri"/>
      <family val="2"/>
      <scheme val="minor"/>
    </font>
    <font>
      <sz val="10"/>
      <name val="Arial"/>
      <family val="2"/>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2"/>
      </patternFill>
    </fill>
    <fill>
      <patternFill patternType="solid">
        <fgColor theme="4" tint="0.79998168889431442"/>
        <bgColor indexed="64"/>
      </patternFill>
    </fill>
  </fills>
  <borders count="3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s>
  <cellStyleXfs count="51">
    <xf numFmtId="0" fontId="0" fillId="0" borderId="0"/>
    <xf numFmtId="0" fontId="2" fillId="10" borderId="0" applyNumberFormat="0" applyBorder="0" applyAlignment="0" applyProtection="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11"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18" fillId="12" borderId="0" applyNumberFormat="0" applyBorder="0" applyAlignment="0" applyProtection="0"/>
    <xf numFmtId="0" fontId="18" fillId="16" borderId="0" applyNumberFormat="0" applyBorder="0" applyAlignment="0" applyProtection="0"/>
    <xf numFmtId="0" fontId="18" fillId="20" borderId="0" applyNumberFormat="0" applyBorder="0" applyAlignment="0" applyProtection="0"/>
    <xf numFmtId="0" fontId="18" fillId="24" borderId="0" applyNumberFormat="0" applyBorder="0" applyAlignment="0" applyProtection="0"/>
    <xf numFmtId="0" fontId="18" fillId="28" borderId="0" applyNumberFormat="0" applyBorder="0" applyAlignment="0" applyProtection="0"/>
    <xf numFmtId="0" fontId="18" fillId="32" borderId="0" applyNumberFormat="0" applyBorder="0" applyAlignment="0" applyProtection="0"/>
    <xf numFmtId="0" fontId="18" fillId="9" borderId="0" applyNumberFormat="0" applyBorder="0" applyAlignment="0" applyProtection="0"/>
    <xf numFmtId="0" fontId="18" fillId="13" borderId="0" applyNumberFormat="0" applyBorder="0" applyAlignment="0" applyProtection="0"/>
    <xf numFmtId="0" fontId="18" fillId="17" borderId="0" applyNumberFormat="0" applyBorder="0" applyAlignment="0" applyProtection="0"/>
    <xf numFmtId="0" fontId="18" fillId="21" borderId="0" applyNumberFormat="0" applyBorder="0" applyAlignment="0" applyProtection="0"/>
    <xf numFmtId="0" fontId="18" fillId="25" borderId="0" applyNumberFormat="0" applyBorder="0" applyAlignment="0" applyProtection="0"/>
    <xf numFmtId="0" fontId="18" fillId="29" borderId="0" applyNumberFormat="0" applyBorder="0" applyAlignment="0" applyProtection="0"/>
    <xf numFmtId="0" fontId="8" fillId="3" borderId="0" applyNumberFormat="0" applyBorder="0" applyAlignment="0" applyProtection="0"/>
    <xf numFmtId="0" fontId="12" fillId="6" borderId="4" applyNumberFormat="0" applyAlignment="0" applyProtection="0"/>
    <xf numFmtId="0" fontId="14" fillId="7" borderId="7" applyNumberFormat="0" applyAlignment="0" applyProtection="0"/>
    <xf numFmtId="0" fontId="16" fillId="0" borderId="0" applyNumberFormat="0" applyFill="0" applyBorder="0" applyAlignment="0" applyProtection="0"/>
    <xf numFmtId="0" fontId="7" fillId="2" borderId="0" applyNumberFormat="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10" fillId="5" borderId="4" applyNumberFormat="0" applyAlignment="0" applyProtection="0"/>
    <xf numFmtId="0" fontId="13" fillId="0" borderId="6" applyNumberFormat="0" applyFill="0" applyAlignment="0" applyProtection="0"/>
    <xf numFmtId="0" fontId="9" fillId="4" borderId="0" applyNumberFormat="0" applyBorder="0" applyAlignment="0" applyProtection="0"/>
    <xf numFmtId="0" fontId="2" fillId="8" borderId="8" applyNumberFormat="0" applyFont="0" applyAlignment="0" applyProtection="0"/>
    <xf numFmtId="0" fontId="11" fillId="6" borderId="5" applyNumberFormat="0" applyAlignment="0" applyProtection="0"/>
    <xf numFmtId="0" fontId="3" fillId="0" borderId="0" applyNumberFormat="0" applyFill="0" applyBorder="0" applyAlignment="0" applyProtection="0"/>
    <xf numFmtId="0" fontId="17" fillId="0" borderId="9" applyNumberFormat="0" applyFill="0" applyAlignment="0" applyProtection="0"/>
    <xf numFmtId="0" fontId="15" fillId="0" borderId="0" applyNumberFormat="0" applyFill="0" applyBorder="0" applyAlignment="0" applyProtection="0"/>
    <xf numFmtId="0" fontId="19" fillId="0" borderId="0"/>
    <xf numFmtId="0" fontId="1" fillId="0" borderId="0"/>
    <xf numFmtId="0" fontId="20" fillId="0" borderId="0" applyNumberFormat="0" applyFill="0" applyBorder="0" applyAlignment="0" applyProtection="0"/>
    <xf numFmtId="0" fontId="21" fillId="0" borderId="0"/>
    <xf numFmtId="0" fontId="23" fillId="0" borderId="0"/>
    <xf numFmtId="0" fontId="24" fillId="0" borderId="0"/>
    <xf numFmtId="0" fontId="29" fillId="39" borderId="0"/>
    <xf numFmtId="9" fontId="2" fillId="0" borderId="0" applyFont="0" applyFill="0" applyBorder="0" applyAlignment="0" applyProtection="0"/>
    <xf numFmtId="0" fontId="31" fillId="0" borderId="0"/>
  </cellStyleXfs>
  <cellXfs count="98">
    <xf numFmtId="0" fontId="0" fillId="0" borderId="0" xfId="0"/>
    <xf numFmtId="0" fontId="0" fillId="33" borderId="0" xfId="0" applyFill="1"/>
    <xf numFmtId="1" fontId="0" fillId="0" borderId="0" xfId="0" applyNumberFormat="1"/>
    <xf numFmtId="0" fontId="20" fillId="0" borderId="0" xfId="44"/>
    <xf numFmtId="0" fontId="0" fillId="0" borderId="0" xfId="0" applyAlignment="1">
      <alignment wrapText="1"/>
    </xf>
    <xf numFmtId="0" fontId="1" fillId="0" borderId="0" xfId="43"/>
    <xf numFmtId="0" fontId="0" fillId="0" borderId="0" xfId="0" applyAlignment="1">
      <alignment horizontal="center"/>
    </xf>
    <xf numFmtId="0" fontId="1" fillId="33" borderId="0" xfId="43" applyFill="1"/>
    <xf numFmtId="10" fontId="0" fillId="0" borderId="0" xfId="0" applyNumberFormat="1" applyAlignment="1">
      <alignment horizontal="center"/>
    </xf>
    <xf numFmtId="0" fontId="0" fillId="34" borderId="0" xfId="0" applyFill="1" applyAlignment="1">
      <alignment horizontal="center" wrapText="1"/>
    </xf>
    <xf numFmtId="17" fontId="0" fillId="0" borderId="0" xfId="0" applyNumberFormat="1"/>
    <xf numFmtId="0" fontId="25" fillId="0" borderId="10" xfId="0" applyFont="1" applyBorder="1"/>
    <xf numFmtId="0" fontId="26" fillId="35" borderId="10" xfId="0" applyFont="1" applyFill="1" applyBorder="1" applyAlignment="1">
      <alignment horizontal="center" textRotation="90"/>
    </xf>
    <xf numFmtId="0" fontId="26" fillId="36" borderId="10" xfId="0" applyFont="1" applyFill="1" applyBorder="1" applyAlignment="1">
      <alignment horizontal="center" textRotation="90"/>
    </xf>
    <xf numFmtId="0" fontId="26" fillId="37" borderId="10" xfId="0" applyFont="1" applyFill="1" applyBorder="1" applyAlignment="1">
      <alignment horizontal="center" textRotation="90"/>
    </xf>
    <xf numFmtId="0" fontId="26" fillId="38" borderId="10" xfId="0" applyFont="1" applyFill="1" applyBorder="1" applyAlignment="1">
      <alignment horizontal="center" textRotation="90"/>
    </xf>
    <xf numFmtId="0" fontId="27" fillId="38" borderId="10" xfId="0" applyFont="1" applyFill="1" applyBorder="1" applyAlignment="1">
      <alignment horizontal="center" vertical="center"/>
    </xf>
    <xf numFmtId="17" fontId="28" fillId="38" borderId="10" xfId="0" applyNumberFormat="1" applyFont="1" applyFill="1" applyBorder="1" applyAlignment="1">
      <alignment horizontal="left" vertical="top" wrapText="1"/>
    </xf>
    <xf numFmtId="2" fontId="25" fillId="0" borderId="10" xfId="0" applyNumberFormat="1" applyFont="1" applyBorder="1" applyAlignment="1">
      <alignment horizontal="center" vertical="center"/>
    </xf>
    <xf numFmtId="0" fontId="0" fillId="40" borderId="0" xfId="0" applyFill="1" applyAlignment="1">
      <alignment horizontal="center" wrapText="1"/>
    </xf>
    <xf numFmtId="10" fontId="0" fillId="40" borderId="0" xfId="0" applyNumberFormat="1" applyFill="1" applyAlignment="1">
      <alignment horizontal="center" wrapText="1"/>
    </xf>
    <xf numFmtId="0" fontId="0" fillId="33" borderId="0" xfId="0" applyFill="1" applyAlignment="1">
      <alignment horizontal="center"/>
    </xf>
    <xf numFmtId="10" fontId="0" fillId="33" borderId="0" xfId="0" applyNumberFormat="1" applyFill="1" applyAlignment="1">
      <alignment horizontal="center"/>
    </xf>
    <xf numFmtId="0" fontId="20" fillId="33" borderId="0" xfId="44" applyFill="1" applyAlignment="1">
      <alignment horizontal="center"/>
    </xf>
    <xf numFmtId="0" fontId="20" fillId="33" borderId="0" xfId="44" applyFill="1"/>
    <xf numFmtId="0" fontId="0" fillId="33" borderId="0" xfId="0" applyFill="1" applyAlignment="1">
      <alignment wrapText="1"/>
    </xf>
    <xf numFmtId="165" fontId="1" fillId="33" borderId="0" xfId="43" applyNumberFormat="1" applyFont="1" applyFill="1" applyBorder="1" applyAlignment="1" applyProtection="1"/>
    <xf numFmtId="0" fontId="0" fillId="33" borderId="10" xfId="0" applyFill="1" applyBorder="1" applyAlignment="1">
      <alignment horizontal="center"/>
    </xf>
    <xf numFmtId="3" fontId="0" fillId="33" borderId="10" xfId="0" applyNumberFormat="1" applyFill="1" applyBorder="1" applyAlignment="1">
      <alignment horizontal="center"/>
    </xf>
    <xf numFmtId="2" fontId="0" fillId="33" borderId="10" xfId="0" applyNumberFormat="1" applyFill="1" applyBorder="1" applyAlignment="1">
      <alignment horizontal="center"/>
    </xf>
    <xf numFmtId="3" fontId="0" fillId="33" borderId="12" xfId="0" applyNumberFormat="1" applyFill="1" applyBorder="1" applyAlignment="1">
      <alignment horizontal="center"/>
    </xf>
    <xf numFmtId="3" fontId="0" fillId="33" borderId="14" xfId="0" applyNumberFormat="1" applyFill="1" applyBorder="1" applyAlignment="1">
      <alignment horizontal="center"/>
    </xf>
    <xf numFmtId="2" fontId="0" fillId="33" borderId="14" xfId="0" applyNumberFormat="1" applyFill="1" applyBorder="1" applyAlignment="1">
      <alignment horizontal="center"/>
    </xf>
    <xf numFmtId="2" fontId="0" fillId="33" borderId="16" xfId="0" applyNumberFormat="1" applyFill="1" applyBorder="1" applyAlignment="1">
      <alignment horizontal="center"/>
    </xf>
    <xf numFmtId="0" fontId="0" fillId="33" borderId="11" xfId="0" applyFill="1" applyBorder="1" applyAlignment="1"/>
    <xf numFmtId="0" fontId="0" fillId="33" borderId="13" xfId="0" applyFill="1" applyBorder="1" applyAlignment="1"/>
    <xf numFmtId="0" fontId="0" fillId="33" borderId="15" xfId="0" applyFill="1" applyBorder="1" applyAlignment="1"/>
    <xf numFmtId="164" fontId="0" fillId="33" borderId="10" xfId="0" applyNumberFormat="1" applyFont="1" applyFill="1" applyBorder="1" applyAlignment="1" applyProtection="1">
      <alignment horizontal="center"/>
    </xf>
    <xf numFmtId="3" fontId="0" fillId="33" borderId="10" xfId="0" applyNumberFormat="1" applyFont="1" applyFill="1" applyBorder="1" applyAlignment="1" applyProtection="1">
      <alignment horizontal="center"/>
    </xf>
    <xf numFmtId="1" fontId="0" fillId="33" borderId="10" xfId="0" applyNumberFormat="1" applyFill="1" applyBorder="1" applyAlignment="1">
      <alignment horizontal="center"/>
    </xf>
    <xf numFmtId="10" fontId="0" fillId="33" borderId="10" xfId="0" applyNumberFormat="1" applyFill="1" applyBorder="1" applyAlignment="1">
      <alignment horizontal="center"/>
    </xf>
    <xf numFmtId="3" fontId="22" fillId="33" borderId="10" xfId="0" applyNumberFormat="1" applyFont="1" applyFill="1" applyBorder="1" applyAlignment="1" applyProtection="1">
      <alignment horizontal="center"/>
    </xf>
    <xf numFmtId="14" fontId="0" fillId="33" borderId="10" xfId="0" applyNumberFormat="1" applyFill="1" applyBorder="1"/>
    <xf numFmtId="3" fontId="0" fillId="41" borderId="10" xfId="0" applyNumberFormat="1" applyFont="1" applyFill="1" applyBorder="1" applyAlignment="1">
      <alignment horizontal="center"/>
    </xf>
    <xf numFmtId="2" fontId="0" fillId="40" borderId="0" xfId="0" applyNumberFormat="1" applyFill="1" applyAlignment="1">
      <alignment horizontal="center" wrapText="1"/>
    </xf>
    <xf numFmtId="2" fontId="0" fillId="33" borderId="0" xfId="0" applyNumberFormat="1" applyFill="1"/>
    <xf numFmtId="0" fontId="0" fillId="40" borderId="0" xfId="0" applyFill="1" applyAlignment="1">
      <alignment horizontal="center"/>
    </xf>
    <xf numFmtId="14" fontId="0" fillId="33" borderId="10" xfId="0" applyNumberFormat="1" applyFill="1" applyBorder="1" applyAlignment="1">
      <alignment horizontal="center"/>
    </xf>
    <xf numFmtId="0" fontId="0" fillId="33" borderId="10" xfId="0" applyNumberFormat="1" applyFill="1" applyBorder="1" applyAlignment="1">
      <alignment horizontal="center"/>
    </xf>
    <xf numFmtId="0" fontId="20" fillId="33" borderId="0" xfId="44" applyFill="1" applyAlignment="1">
      <alignment horizontal="left"/>
    </xf>
    <xf numFmtId="0" fontId="0" fillId="33" borderId="0" xfId="0" applyFill="1"/>
    <xf numFmtId="0" fontId="0" fillId="33" borderId="0" xfId="0" applyFill="1" applyAlignment="1">
      <alignment vertical="center"/>
    </xf>
    <xf numFmtId="0" fontId="17" fillId="33" borderId="0" xfId="0" applyFont="1" applyFill="1"/>
    <xf numFmtId="0" fontId="0" fillId="0" borderId="0" xfId="0" applyAlignment="1">
      <alignment vertical="center"/>
    </xf>
    <xf numFmtId="14" fontId="30" fillId="33" borderId="24" xfId="0" applyNumberFormat="1" applyFont="1" applyFill="1" applyBorder="1" applyAlignment="1">
      <alignment horizontal="center"/>
    </xf>
    <xf numFmtId="14" fontId="17" fillId="33" borderId="24" xfId="0" applyNumberFormat="1" applyFont="1" applyFill="1" applyBorder="1" applyAlignment="1">
      <alignment horizontal="center"/>
    </xf>
    <xf numFmtId="0" fontId="17" fillId="33" borderId="25" xfId="0" applyFont="1" applyFill="1" applyBorder="1" applyAlignment="1">
      <alignment horizontal="center"/>
    </xf>
    <xf numFmtId="0" fontId="17" fillId="33" borderId="26" xfId="0" applyFont="1" applyFill="1" applyBorder="1" applyAlignment="1">
      <alignment horizontal="center"/>
    </xf>
    <xf numFmtId="0" fontId="17" fillId="33" borderId="27" xfId="0" applyFont="1" applyFill="1" applyBorder="1" applyAlignment="1">
      <alignment horizontal="center"/>
    </xf>
    <xf numFmtId="3" fontId="0" fillId="33" borderId="28" xfId="0" applyNumberFormat="1" applyFill="1" applyBorder="1" applyAlignment="1">
      <alignment horizontal="center"/>
    </xf>
    <xf numFmtId="0" fontId="25" fillId="33" borderId="12" xfId="0" applyFont="1" applyFill="1" applyBorder="1" applyAlignment="1">
      <alignment horizontal="center"/>
    </xf>
    <xf numFmtId="0" fontId="25" fillId="33" borderId="14" xfId="0" applyFont="1" applyFill="1" applyBorder="1" applyAlignment="1">
      <alignment horizontal="center"/>
    </xf>
    <xf numFmtId="1" fontId="0" fillId="33" borderId="28" xfId="49" applyNumberFormat="1" applyFont="1" applyFill="1" applyBorder="1" applyAlignment="1">
      <alignment horizontal="center"/>
    </xf>
    <xf numFmtId="165" fontId="0" fillId="33" borderId="10" xfId="49" applyNumberFormat="1" applyFont="1" applyFill="1" applyBorder="1" applyAlignment="1">
      <alignment horizontal="center"/>
    </xf>
    <xf numFmtId="166" fontId="0" fillId="33" borderId="10" xfId="0" applyNumberFormat="1" applyFill="1" applyBorder="1" applyAlignment="1">
      <alignment horizontal="center"/>
    </xf>
    <xf numFmtId="166" fontId="0" fillId="33" borderId="29" xfId="0" applyNumberFormat="1" applyFill="1" applyBorder="1" applyAlignment="1">
      <alignment horizontal="center"/>
    </xf>
    <xf numFmtId="165" fontId="0" fillId="33" borderId="29" xfId="49" applyNumberFormat="1" applyFont="1" applyFill="1" applyBorder="1" applyAlignment="1">
      <alignment horizontal="center"/>
    </xf>
    <xf numFmtId="0" fontId="25" fillId="33" borderId="16" xfId="0" applyFont="1" applyFill="1" applyBorder="1" applyAlignment="1">
      <alignment horizontal="center" vertical="center"/>
    </xf>
    <xf numFmtId="0" fontId="0" fillId="0" borderId="0" xfId="0"/>
    <xf numFmtId="0" fontId="0" fillId="0" borderId="0" xfId="0"/>
    <xf numFmtId="0" fontId="0" fillId="0" borderId="0" xfId="0"/>
    <xf numFmtId="3" fontId="0" fillId="33" borderId="0" xfId="0" applyNumberFormat="1" applyFill="1"/>
    <xf numFmtId="164" fontId="0" fillId="0" borderId="0" xfId="0" applyNumberFormat="1"/>
    <xf numFmtId="165" fontId="0" fillId="0" borderId="0" xfId="0" applyNumberFormat="1"/>
    <xf numFmtId="1" fontId="0" fillId="33" borderId="0" xfId="0" applyNumberFormat="1" applyFill="1"/>
    <xf numFmtId="0" fontId="17" fillId="33" borderId="11" xfId="0" applyFont="1" applyFill="1" applyBorder="1" applyAlignment="1">
      <alignment wrapText="1"/>
    </xf>
    <xf numFmtId="0" fontId="0" fillId="33" borderId="28" xfId="0" applyFill="1" applyBorder="1" applyAlignment="1">
      <alignment wrapText="1"/>
    </xf>
    <xf numFmtId="0" fontId="17" fillId="33" borderId="13" xfId="0" applyFont="1" applyFill="1" applyBorder="1" applyAlignment="1">
      <alignment wrapText="1"/>
    </xf>
    <xf numFmtId="0" fontId="0" fillId="33" borderId="10" xfId="0" applyFont="1" applyFill="1" applyBorder="1" applyAlignment="1">
      <alignment wrapText="1"/>
    </xf>
    <xf numFmtId="0" fontId="17" fillId="33" borderId="15" xfId="0" applyFont="1" applyFill="1" applyBorder="1" applyAlignment="1">
      <alignment wrapText="1"/>
    </xf>
    <xf numFmtId="0" fontId="17" fillId="33" borderId="29" xfId="0" applyFont="1" applyFill="1" applyBorder="1" applyAlignment="1">
      <alignment wrapText="1"/>
    </xf>
    <xf numFmtId="0" fontId="17" fillId="33" borderId="0" xfId="0" applyFont="1" applyFill="1" applyAlignment="1">
      <alignment horizontal="center" vertical="center"/>
    </xf>
    <xf numFmtId="0" fontId="17" fillId="33" borderId="17" xfId="0" applyFont="1" applyFill="1" applyBorder="1" applyAlignment="1">
      <alignment horizontal="center" vertical="center"/>
    </xf>
    <xf numFmtId="0" fontId="14" fillId="40" borderId="18" xfId="0" applyFont="1" applyFill="1"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17" fillId="42" borderId="21" xfId="0" applyFont="1" applyFill="1"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17" fillId="42" borderId="22" xfId="0" applyFont="1" applyFill="1" applyBorder="1" applyAlignment="1">
      <alignment horizontal="center"/>
    </xf>
    <xf numFmtId="0" fontId="17" fillId="42" borderId="23" xfId="0" applyFont="1" applyFill="1" applyBorder="1" applyAlignment="1">
      <alignment horizontal="center"/>
    </xf>
    <xf numFmtId="0" fontId="0" fillId="33" borderId="0" xfId="0" applyFill="1" applyAlignment="1">
      <alignment wrapText="1"/>
    </xf>
    <xf numFmtId="0" fontId="0" fillId="0" borderId="0" xfId="0" applyAlignment="1">
      <alignment wrapText="1"/>
    </xf>
    <xf numFmtId="0" fontId="0" fillId="0" borderId="0" xfId="0" applyAlignment="1"/>
    <xf numFmtId="0" fontId="0" fillId="33" borderId="0" xfId="0" applyFill="1"/>
    <xf numFmtId="0" fontId="0" fillId="0" borderId="0" xfId="0"/>
    <xf numFmtId="0" fontId="0" fillId="42" borderId="22" xfId="0" applyFill="1" applyBorder="1" applyAlignment="1">
      <alignment horizontal="center"/>
    </xf>
    <xf numFmtId="0" fontId="0" fillId="42" borderId="23" xfId="0" applyFill="1" applyBorder="1" applyAlignment="1">
      <alignment horizontal="center"/>
    </xf>
  </cellXfs>
  <cellStyles count="51">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blp_column_header" xfId="48" xr:uid="{06C8306F-7EFA-4094-9F83-40864F84B557}"/>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44" builtinId="8"/>
    <cellStyle name="Input" xfId="34" builtinId="20" customBuiltin="1"/>
    <cellStyle name="Linked Cell" xfId="35" builtinId="24" customBuiltin="1"/>
    <cellStyle name="Neutral" xfId="36" builtinId="28" customBuiltin="1"/>
    <cellStyle name="Normal" xfId="0" builtinId="0"/>
    <cellStyle name="Normal 2" xfId="42" xr:uid="{00000000-0005-0000-0000-000027000000}"/>
    <cellStyle name="Normal 3" xfId="43" xr:uid="{00000000-0005-0000-0000-000028000000}"/>
    <cellStyle name="Normal 4" xfId="45" xr:uid="{00000000-0005-0000-0000-000029000000}"/>
    <cellStyle name="Normal 5" xfId="46" xr:uid="{00000000-0005-0000-0000-000035000000}"/>
    <cellStyle name="Normal 6" xfId="47" xr:uid="{B3607D03-2F80-48AA-A875-FFA837A0833E}"/>
    <cellStyle name="Normal 7" xfId="50" xr:uid="{2B3F1D49-9D94-4D92-88D8-6CF1508C2209}"/>
    <cellStyle name="Note" xfId="37" builtinId="10" customBuiltin="1"/>
    <cellStyle name="Output" xfId="38" builtinId="21" customBuiltin="1"/>
    <cellStyle name="Per cent" xfId="49" builtinId="5"/>
    <cellStyle name="Title" xfId="39" builtinId="15" customBuiltin="1"/>
    <cellStyle name="Total" xfId="40" builtinId="25" customBuiltin="1"/>
    <cellStyle name="Warning Text" xfId="41" builtinId="11" customBuiltin="1"/>
  </cellStyles>
  <dxfs count="25">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dxf>
    <dxf>
      <fill>
        <patternFill>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dd/mm/yyyy"/>
      <fill>
        <patternFill>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scheme val="none"/>
      </font>
      <numFmt numFmtId="164" formatCode="yyyy\-mm\-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14" formatCode="0.00%"/>
      <fill>
        <patternFill patternType="solid">
          <fgColor indexed="64"/>
          <bgColor theme="0"/>
        </patternFill>
      </fill>
      <alignment horizontal="center" vertical="bottom"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1"/>
        <color theme="1"/>
        <name val="Calibri"/>
        <scheme val="minor"/>
      </font>
      <numFmt numFmtId="164" formatCode="yyyy\-mm\-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round/>
            </a:ln>
            <a:effectLst/>
          </c:spPr>
          <c:marker>
            <c:symbol val="none"/>
          </c:marker>
          <c:cat>
            <c:numRef>
              <c:f>NFP!$A$120:$A$1006</c:f>
              <c:numCache>
                <c:formatCode>yyyy\-mm\-dd</c:formatCode>
                <c:ptCount val="88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numCache>
            </c:numRef>
          </c:cat>
          <c:val>
            <c:numRef>
              <c:f>NFP!$E$120:$E$1006</c:f>
              <c:numCache>
                <c:formatCode>General</c:formatCode>
                <c:ptCount val="887"/>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numCache>
            </c:numRef>
          </c:val>
          <c:smooth val="0"/>
          <c:extLst>
            <c:ext xmlns:c16="http://schemas.microsoft.com/office/drawing/2014/chart" uri="{C3380CC4-5D6E-409C-BE32-E72D297353CC}">
              <c16:uniqueId val="{00000000-DD42-4D60-A945-F51D4275E827}"/>
            </c:ext>
          </c:extLst>
        </c:ser>
        <c:dLbls>
          <c:showLegendKey val="0"/>
          <c:showVal val="0"/>
          <c:showCatName val="0"/>
          <c:showSerName val="0"/>
          <c:showPercent val="0"/>
          <c:showBubbleSize val="0"/>
        </c:dLbls>
        <c:smooth val="0"/>
        <c:axId val="1034260720"/>
        <c:axId val="1034261112"/>
      </c:lineChart>
      <c:dateAx>
        <c:axId val="1034260720"/>
        <c:scaling>
          <c:orientation val="minMax"/>
          <c:min val="36586"/>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261112"/>
        <c:crosses val="autoZero"/>
        <c:auto val="1"/>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round/>
            </a:ln>
            <a:effectLst/>
          </c:spPr>
          <c:marker>
            <c:symbol val="none"/>
          </c:marker>
          <c:cat>
            <c:numRef>
              <c:f>NFP!$A$120:$A$1012</c:f>
              <c:numCache>
                <c:formatCode>yyyy\-mm\-dd</c:formatCode>
                <c:ptCount val="893"/>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numCache>
            </c:numRef>
          </c:cat>
          <c:val>
            <c:numRef>
              <c:f>NFP!$E$120:$E$1012</c:f>
              <c:numCache>
                <c:formatCode>General</c:formatCode>
                <c:ptCount val="893"/>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numCache>
            </c:numRef>
          </c:val>
          <c:smooth val="0"/>
          <c:extLst>
            <c:ext xmlns:c16="http://schemas.microsoft.com/office/drawing/2014/chart" uri="{C3380CC4-5D6E-409C-BE32-E72D297353CC}">
              <c16:uniqueId val="{00000000-ACD4-4B30-B4E7-E7E5EF104FC5}"/>
            </c:ext>
          </c:extLst>
        </c:ser>
        <c:dLbls>
          <c:showLegendKey val="0"/>
          <c:showVal val="0"/>
          <c:showCatName val="0"/>
          <c:showSerName val="0"/>
          <c:showPercent val="0"/>
          <c:showBubbleSize val="0"/>
        </c:dLbls>
        <c:smooth val="0"/>
        <c:axId val="1034260720"/>
        <c:axId val="1034261112"/>
      </c:lineChart>
      <c:dateAx>
        <c:axId val="1034260720"/>
        <c:scaling>
          <c:orientation val="minMax"/>
          <c:min val="17593"/>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261112"/>
        <c:crosses val="autoZero"/>
        <c:auto val="1"/>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5"/>
          <c:order val="0"/>
          <c:tx>
            <c:strRef>
              <c:f>NFP!$G$11</c:f>
              <c:strCache>
                <c:ptCount val="1"/>
                <c:pt idx="0">
                  <c:v>Participation Rate</c:v>
                </c:pt>
              </c:strCache>
            </c:strRef>
          </c:tx>
          <c:spPr>
            <a:ln w="28575" cap="rnd">
              <a:solidFill>
                <a:schemeClr val="accent6"/>
              </a:solidFill>
              <a:round/>
            </a:ln>
            <a:effectLst/>
          </c:spPr>
          <c:marker>
            <c:symbol val="none"/>
          </c:marker>
          <c:cat>
            <c:numRef>
              <c:f>NFP!$A$120:$A$969</c:f>
              <c:numCache>
                <c:formatCode>yyyy\-mm\-dd</c:formatCode>
                <c:ptCount val="85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numCache>
            </c:numRef>
          </c:cat>
          <c:val>
            <c:numRef>
              <c:f>NFP!$G$120:$G$969</c:f>
              <c:numCache>
                <c:formatCode>General</c:formatCode>
                <c:ptCount val="85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62.8</c:v>
                </c:pt>
                <c:pt idx="830">
                  <c:v>63</c:v>
                </c:pt>
                <c:pt idx="831">
                  <c:v>63</c:v>
                </c:pt>
                <c:pt idx="832">
                  <c:v>62.8</c:v>
                </c:pt>
                <c:pt idx="833">
                  <c:v>62.8</c:v>
                </c:pt>
                <c:pt idx="834">
                  <c:v>62.9</c:v>
                </c:pt>
                <c:pt idx="835">
                  <c:v>62.9</c:v>
                </c:pt>
                <c:pt idx="836">
                  <c:v>63</c:v>
                </c:pt>
                <c:pt idx="837">
                  <c:v>62.7</c:v>
                </c:pt>
                <c:pt idx="838">
                  <c:v>62.7</c:v>
                </c:pt>
                <c:pt idx="839">
                  <c:v>62.7</c:v>
                </c:pt>
                <c:pt idx="840">
                  <c:v>62.7</c:v>
                </c:pt>
                <c:pt idx="841">
                  <c:v>63</c:v>
                </c:pt>
                <c:pt idx="842">
                  <c:v>62.9</c:v>
                </c:pt>
                <c:pt idx="843">
                  <c:v>62.9</c:v>
                </c:pt>
                <c:pt idx="844">
                  <c:v>62.9</c:v>
                </c:pt>
                <c:pt idx="845">
                  <c:v>63</c:v>
                </c:pt>
                <c:pt idx="846">
                  <c:v>63</c:v>
                </c:pt>
                <c:pt idx="847">
                  <c:v>62.7</c:v>
                </c:pt>
                <c:pt idx="848">
                  <c:v>62.7</c:v>
                </c:pt>
                <c:pt idx="849">
                  <c:v>62.8</c:v>
                </c:pt>
              </c:numCache>
            </c:numRef>
          </c:val>
          <c:smooth val="0"/>
          <c:extLst>
            <c:ext xmlns:c16="http://schemas.microsoft.com/office/drawing/2014/chart" uri="{C3380CC4-5D6E-409C-BE32-E72D297353CC}">
              <c16:uniqueId val="{00000005-FFCD-4DD6-ABBC-EDA3D47B2EFD}"/>
            </c:ext>
          </c:extLst>
        </c:ser>
        <c:dLbls>
          <c:showLegendKey val="0"/>
          <c:showVal val="0"/>
          <c:showCatName val="0"/>
          <c:showSerName val="0"/>
          <c:showPercent val="0"/>
          <c:showBubbleSize val="0"/>
        </c:dLbls>
        <c:smooth val="0"/>
        <c:axId val="1096970312"/>
        <c:axId val="1096973592"/>
      </c:lineChart>
      <c:dateAx>
        <c:axId val="1096970312"/>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6973592"/>
        <c:crosses val="autoZero"/>
        <c:auto val="1"/>
        <c:lblOffset val="100"/>
        <c:baseTimeUnit val="months"/>
      </c:dateAx>
      <c:valAx>
        <c:axId val="1096973592"/>
        <c:scaling>
          <c:orientation val="minMax"/>
          <c:min val="5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6970312"/>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t>Participation Rate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5"/>
          <c:order val="0"/>
          <c:tx>
            <c:strRef>
              <c:f>NFP!$G$11</c:f>
              <c:strCache>
                <c:ptCount val="1"/>
                <c:pt idx="0">
                  <c:v>Participation Rate</c:v>
                </c:pt>
              </c:strCache>
            </c:strRef>
          </c:tx>
          <c:spPr>
            <a:ln w="28575" cap="rnd">
              <a:solidFill>
                <a:schemeClr val="accent6"/>
              </a:solidFill>
              <a:round/>
            </a:ln>
            <a:effectLst/>
          </c:spPr>
          <c:marker>
            <c:symbol val="none"/>
          </c:marker>
          <c:cat>
            <c:numRef>
              <c:f>NFP!$A$120:$A$1012</c:f>
              <c:numCache>
                <c:formatCode>yyyy\-mm\-dd</c:formatCode>
                <c:ptCount val="893"/>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numCache>
            </c:numRef>
          </c:cat>
          <c:val>
            <c:numRef>
              <c:f>NFP!$G$120:$G$1012</c:f>
              <c:numCache>
                <c:formatCode>General</c:formatCode>
                <c:ptCount val="893"/>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62.8</c:v>
                </c:pt>
                <c:pt idx="830">
                  <c:v>63</c:v>
                </c:pt>
                <c:pt idx="831">
                  <c:v>63</c:v>
                </c:pt>
                <c:pt idx="832">
                  <c:v>62.8</c:v>
                </c:pt>
                <c:pt idx="833">
                  <c:v>62.8</c:v>
                </c:pt>
                <c:pt idx="834">
                  <c:v>62.9</c:v>
                </c:pt>
                <c:pt idx="835">
                  <c:v>62.9</c:v>
                </c:pt>
                <c:pt idx="836">
                  <c:v>63</c:v>
                </c:pt>
                <c:pt idx="837">
                  <c:v>62.7</c:v>
                </c:pt>
                <c:pt idx="838">
                  <c:v>62.7</c:v>
                </c:pt>
                <c:pt idx="839">
                  <c:v>62.7</c:v>
                </c:pt>
                <c:pt idx="840">
                  <c:v>62.7</c:v>
                </c:pt>
                <c:pt idx="841">
                  <c:v>63</c:v>
                </c:pt>
                <c:pt idx="842">
                  <c:v>62.9</c:v>
                </c:pt>
                <c:pt idx="843">
                  <c:v>62.9</c:v>
                </c:pt>
                <c:pt idx="844">
                  <c:v>62.9</c:v>
                </c:pt>
                <c:pt idx="845">
                  <c:v>63</c:v>
                </c:pt>
                <c:pt idx="846">
                  <c:v>63</c:v>
                </c:pt>
                <c:pt idx="847">
                  <c:v>62.7</c:v>
                </c:pt>
                <c:pt idx="848">
                  <c:v>62.7</c:v>
                </c:pt>
                <c:pt idx="849">
                  <c:v>62.8</c:v>
                </c:pt>
                <c:pt idx="850">
                  <c:v>62.9</c:v>
                </c:pt>
                <c:pt idx="851">
                  <c:v>63</c:v>
                </c:pt>
                <c:pt idx="852">
                  <c:v>63.1</c:v>
                </c:pt>
                <c:pt idx="853">
                  <c:v>63.1</c:v>
                </c:pt>
                <c:pt idx="854">
                  <c:v>63.1</c:v>
                </c:pt>
                <c:pt idx="855">
                  <c:v>62.9</c:v>
                </c:pt>
                <c:pt idx="856">
                  <c:v>62.9</c:v>
                </c:pt>
                <c:pt idx="857">
                  <c:v>62.9</c:v>
                </c:pt>
                <c:pt idx="858">
                  <c:v>63.1</c:v>
                </c:pt>
                <c:pt idx="859">
                  <c:v>63.2</c:v>
                </c:pt>
                <c:pt idx="860">
                  <c:v>63.1</c:v>
                </c:pt>
                <c:pt idx="861">
                  <c:v>63.2</c:v>
                </c:pt>
                <c:pt idx="862">
                  <c:v>63.2</c:v>
                </c:pt>
                <c:pt idx="863">
                  <c:v>63.3</c:v>
                </c:pt>
                <c:pt idx="864">
                  <c:v>63.4</c:v>
                </c:pt>
                <c:pt idx="865">
                  <c:v>63.3</c:v>
                </c:pt>
                <c:pt idx="866">
                  <c:v>62.6</c:v>
                </c:pt>
                <c:pt idx="867">
                  <c:v>60.2</c:v>
                </c:pt>
                <c:pt idx="868">
                  <c:v>60.8</c:v>
                </c:pt>
                <c:pt idx="869">
                  <c:v>61.4</c:v>
                </c:pt>
                <c:pt idx="870">
                  <c:v>61.5</c:v>
                </c:pt>
                <c:pt idx="871">
                  <c:v>61.7</c:v>
                </c:pt>
                <c:pt idx="872">
                  <c:v>61.4</c:v>
                </c:pt>
                <c:pt idx="873">
                  <c:v>61.6</c:v>
                </c:pt>
                <c:pt idx="874">
                  <c:v>61.5</c:v>
                </c:pt>
                <c:pt idx="875">
                  <c:v>61.5</c:v>
                </c:pt>
                <c:pt idx="876">
                  <c:v>61.4</c:v>
                </c:pt>
                <c:pt idx="877">
                  <c:v>61.4</c:v>
                </c:pt>
                <c:pt idx="878">
                  <c:v>61.5</c:v>
                </c:pt>
                <c:pt idx="879">
                  <c:v>61.7</c:v>
                </c:pt>
                <c:pt idx="880">
                  <c:v>61.6</c:v>
                </c:pt>
                <c:pt idx="881">
                  <c:v>61.6</c:v>
                </c:pt>
                <c:pt idx="882">
                  <c:v>61.7</c:v>
                </c:pt>
                <c:pt idx="883">
                  <c:v>61.7</c:v>
                </c:pt>
              </c:numCache>
            </c:numRef>
          </c:val>
          <c:smooth val="0"/>
          <c:extLst>
            <c:ext xmlns:c16="http://schemas.microsoft.com/office/drawing/2014/chart" uri="{C3380CC4-5D6E-409C-BE32-E72D297353CC}">
              <c16:uniqueId val="{00000005-FBCA-445F-B1E6-8430326AB834}"/>
            </c:ext>
          </c:extLst>
        </c:ser>
        <c:dLbls>
          <c:showLegendKey val="0"/>
          <c:showVal val="0"/>
          <c:showCatName val="0"/>
          <c:showSerName val="0"/>
          <c:showPercent val="0"/>
          <c:showBubbleSize val="0"/>
        </c:dLbls>
        <c:smooth val="0"/>
        <c:axId val="790027088"/>
        <c:axId val="790026760"/>
      </c:lineChart>
      <c:dateAx>
        <c:axId val="79002708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026760"/>
        <c:crosses val="autoZero"/>
        <c:auto val="1"/>
        <c:lblOffset val="100"/>
        <c:baseTimeUnit val="months"/>
      </c:dateAx>
      <c:valAx>
        <c:axId val="790026760"/>
        <c:scaling>
          <c:orientation val="minMax"/>
          <c:min val="5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027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Claims!$B$4</c:f>
              <c:strCache>
                <c:ptCount val="1"/>
                <c:pt idx="0">
                  <c:v>Initial Claims</c:v>
                </c:pt>
              </c:strCache>
            </c:strRef>
          </c:tx>
          <c:spPr>
            <a:ln w="28575" cap="rnd">
              <a:solidFill>
                <a:schemeClr val="accent1"/>
              </a:solidFill>
              <a:round/>
            </a:ln>
            <a:effectLst/>
          </c:spPr>
          <c:marker>
            <c:symbol val="none"/>
          </c:marker>
          <c:cat>
            <c:numRef>
              <c:f>Claims!$A$5:$A$2795</c:f>
              <c:numCache>
                <c:formatCode>m/d/yy</c:formatCode>
                <c:ptCount val="2791"/>
                <c:pt idx="0">
                  <c:v>24479</c:v>
                </c:pt>
                <c:pt idx="1">
                  <c:v>24486</c:v>
                </c:pt>
                <c:pt idx="2">
                  <c:v>24493</c:v>
                </c:pt>
                <c:pt idx="3">
                  <c:v>24500</c:v>
                </c:pt>
                <c:pt idx="4">
                  <c:v>24507</c:v>
                </c:pt>
                <c:pt idx="5">
                  <c:v>24514</c:v>
                </c:pt>
                <c:pt idx="6">
                  <c:v>24521</c:v>
                </c:pt>
                <c:pt idx="7">
                  <c:v>24528</c:v>
                </c:pt>
                <c:pt idx="8">
                  <c:v>24535</c:v>
                </c:pt>
                <c:pt idx="9">
                  <c:v>24542</c:v>
                </c:pt>
                <c:pt idx="10">
                  <c:v>24549</c:v>
                </c:pt>
                <c:pt idx="11">
                  <c:v>24556</c:v>
                </c:pt>
                <c:pt idx="12">
                  <c:v>24563</c:v>
                </c:pt>
                <c:pt idx="13">
                  <c:v>24570</c:v>
                </c:pt>
                <c:pt idx="14">
                  <c:v>24577</c:v>
                </c:pt>
                <c:pt idx="15">
                  <c:v>24584</c:v>
                </c:pt>
                <c:pt idx="16">
                  <c:v>24591</c:v>
                </c:pt>
                <c:pt idx="17">
                  <c:v>24598</c:v>
                </c:pt>
                <c:pt idx="18">
                  <c:v>24605</c:v>
                </c:pt>
                <c:pt idx="19">
                  <c:v>24612</c:v>
                </c:pt>
                <c:pt idx="20">
                  <c:v>24619</c:v>
                </c:pt>
                <c:pt idx="21">
                  <c:v>24626</c:v>
                </c:pt>
                <c:pt idx="22">
                  <c:v>24633</c:v>
                </c:pt>
                <c:pt idx="23">
                  <c:v>24640</c:v>
                </c:pt>
                <c:pt idx="24">
                  <c:v>24647</c:v>
                </c:pt>
                <c:pt idx="25">
                  <c:v>24654</c:v>
                </c:pt>
                <c:pt idx="26">
                  <c:v>24661</c:v>
                </c:pt>
                <c:pt idx="27">
                  <c:v>24668</c:v>
                </c:pt>
                <c:pt idx="28">
                  <c:v>24675</c:v>
                </c:pt>
                <c:pt idx="29">
                  <c:v>24682</c:v>
                </c:pt>
                <c:pt idx="30">
                  <c:v>24689</c:v>
                </c:pt>
                <c:pt idx="31">
                  <c:v>24696</c:v>
                </c:pt>
                <c:pt idx="32">
                  <c:v>24703</c:v>
                </c:pt>
                <c:pt idx="33">
                  <c:v>24710</c:v>
                </c:pt>
                <c:pt idx="34">
                  <c:v>24717</c:v>
                </c:pt>
                <c:pt idx="35">
                  <c:v>24724</c:v>
                </c:pt>
                <c:pt idx="36">
                  <c:v>24731</c:v>
                </c:pt>
                <c:pt idx="37">
                  <c:v>24738</c:v>
                </c:pt>
                <c:pt idx="38">
                  <c:v>24745</c:v>
                </c:pt>
                <c:pt idx="39">
                  <c:v>24752</c:v>
                </c:pt>
                <c:pt idx="40">
                  <c:v>24759</c:v>
                </c:pt>
                <c:pt idx="41">
                  <c:v>24766</c:v>
                </c:pt>
                <c:pt idx="42">
                  <c:v>24773</c:v>
                </c:pt>
                <c:pt idx="43">
                  <c:v>24780</c:v>
                </c:pt>
                <c:pt idx="44">
                  <c:v>24787</c:v>
                </c:pt>
                <c:pt idx="45">
                  <c:v>24794</c:v>
                </c:pt>
                <c:pt idx="46">
                  <c:v>24801</c:v>
                </c:pt>
                <c:pt idx="47">
                  <c:v>24808</c:v>
                </c:pt>
                <c:pt idx="48">
                  <c:v>24815</c:v>
                </c:pt>
                <c:pt idx="49">
                  <c:v>24822</c:v>
                </c:pt>
                <c:pt idx="50">
                  <c:v>24829</c:v>
                </c:pt>
                <c:pt idx="51">
                  <c:v>24836</c:v>
                </c:pt>
                <c:pt idx="52">
                  <c:v>24843</c:v>
                </c:pt>
                <c:pt idx="53">
                  <c:v>24850</c:v>
                </c:pt>
                <c:pt idx="54">
                  <c:v>24857</c:v>
                </c:pt>
                <c:pt idx="55">
                  <c:v>24864</c:v>
                </c:pt>
                <c:pt idx="56">
                  <c:v>24871</c:v>
                </c:pt>
                <c:pt idx="57">
                  <c:v>24878</c:v>
                </c:pt>
                <c:pt idx="58">
                  <c:v>24885</c:v>
                </c:pt>
                <c:pt idx="59">
                  <c:v>24892</c:v>
                </c:pt>
                <c:pt idx="60">
                  <c:v>24899</c:v>
                </c:pt>
                <c:pt idx="61">
                  <c:v>24906</c:v>
                </c:pt>
                <c:pt idx="62">
                  <c:v>24913</c:v>
                </c:pt>
                <c:pt idx="63">
                  <c:v>24920</c:v>
                </c:pt>
                <c:pt idx="64">
                  <c:v>24927</c:v>
                </c:pt>
                <c:pt idx="65">
                  <c:v>24934</c:v>
                </c:pt>
                <c:pt idx="66">
                  <c:v>24941</c:v>
                </c:pt>
                <c:pt idx="67">
                  <c:v>24948</c:v>
                </c:pt>
                <c:pt idx="68">
                  <c:v>24955</c:v>
                </c:pt>
                <c:pt idx="69">
                  <c:v>24962</c:v>
                </c:pt>
                <c:pt idx="70">
                  <c:v>24969</c:v>
                </c:pt>
                <c:pt idx="71">
                  <c:v>24976</c:v>
                </c:pt>
                <c:pt idx="72">
                  <c:v>24983</c:v>
                </c:pt>
                <c:pt idx="73">
                  <c:v>24990</c:v>
                </c:pt>
                <c:pt idx="74">
                  <c:v>24997</c:v>
                </c:pt>
                <c:pt idx="75">
                  <c:v>25004</c:v>
                </c:pt>
                <c:pt idx="76">
                  <c:v>25011</c:v>
                </c:pt>
                <c:pt idx="77">
                  <c:v>25018</c:v>
                </c:pt>
                <c:pt idx="78">
                  <c:v>25025</c:v>
                </c:pt>
                <c:pt idx="79">
                  <c:v>25032</c:v>
                </c:pt>
                <c:pt idx="80">
                  <c:v>25039</c:v>
                </c:pt>
                <c:pt idx="81">
                  <c:v>25046</c:v>
                </c:pt>
                <c:pt idx="82">
                  <c:v>25053</c:v>
                </c:pt>
                <c:pt idx="83">
                  <c:v>25060</c:v>
                </c:pt>
                <c:pt idx="84">
                  <c:v>25067</c:v>
                </c:pt>
                <c:pt idx="85">
                  <c:v>25074</c:v>
                </c:pt>
                <c:pt idx="86">
                  <c:v>25081</c:v>
                </c:pt>
                <c:pt idx="87">
                  <c:v>25088</c:v>
                </c:pt>
                <c:pt idx="88">
                  <c:v>25095</c:v>
                </c:pt>
                <c:pt idx="89">
                  <c:v>25102</c:v>
                </c:pt>
                <c:pt idx="90">
                  <c:v>25109</c:v>
                </c:pt>
                <c:pt idx="91">
                  <c:v>25116</c:v>
                </c:pt>
                <c:pt idx="92">
                  <c:v>25123</c:v>
                </c:pt>
                <c:pt idx="93">
                  <c:v>25130</c:v>
                </c:pt>
                <c:pt idx="94">
                  <c:v>25137</c:v>
                </c:pt>
                <c:pt idx="95">
                  <c:v>25144</c:v>
                </c:pt>
                <c:pt idx="96">
                  <c:v>25151</c:v>
                </c:pt>
                <c:pt idx="97">
                  <c:v>25158</c:v>
                </c:pt>
                <c:pt idx="98">
                  <c:v>25165</c:v>
                </c:pt>
                <c:pt idx="99">
                  <c:v>25172</c:v>
                </c:pt>
                <c:pt idx="100">
                  <c:v>25179</c:v>
                </c:pt>
                <c:pt idx="101">
                  <c:v>25186</c:v>
                </c:pt>
                <c:pt idx="102">
                  <c:v>25193</c:v>
                </c:pt>
                <c:pt idx="103">
                  <c:v>25200</c:v>
                </c:pt>
                <c:pt idx="104">
                  <c:v>25207</c:v>
                </c:pt>
                <c:pt idx="105">
                  <c:v>25214</c:v>
                </c:pt>
                <c:pt idx="106">
                  <c:v>25221</c:v>
                </c:pt>
                <c:pt idx="107">
                  <c:v>25228</c:v>
                </c:pt>
                <c:pt idx="108">
                  <c:v>25235</c:v>
                </c:pt>
                <c:pt idx="109">
                  <c:v>25242</c:v>
                </c:pt>
                <c:pt idx="110">
                  <c:v>25249</c:v>
                </c:pt>
                <c:pt idx="111">
                  <c:v>25256</c:v>
                </c:pt>
                <c:pt idx="112">
                  <c:v>25263</c:v>
                </c:pt>
                <c:pt idx="113">
                  <c:v>25270</c:v>
                </c:pt>
                <c:pt idx="114">
                  <c:v>25277</c:v>
                </c:pt>
                <c:pt idx="115">
                  <c:v>25284</c:v>
                </c:pt>
                <c:pt idx="116">
                  <c:v>25291</c:v>
                </c:pt>
                <c:pt idx="117">
                  <c:v>25298</c:v>
                </c:pt>
                <c:pt idx="118">
                  <c:v>25305</c:v>
                </c:pt>
                <c:pt idx="119">
                  <c:v>25312</c:v>
                </c:pt>
                <c:pt idx="120">
                  <c:v>25319</c:v>
                </c:pt>
                <c:pt idx="121">
                  <c:v>25326</c:v>
                </c:pt>
                <c:pt idx="122">
                  <c:v>25333</c:v>
                </c:pt>
                <c:pt idx="123">
                  <c:v>25340</c:v>
                </c:pt>
                <c:pt idx="124">
                  <c:v>25347</c:v>
                </c:pt>
                <c:pt idx="125">
                  <c:v>25354</c:v>
                </c:pt>
                <c:pt idx="126">
                  <c:v>25361</c:v>
                </c:pt>
                <c:pt idx="127">
                  <c:v>25368</c:v>
                </c:pt>
                <c:pt idx="128">
                  <c:v>25375</c:v>
                </c:pt>
                <c:pt idx="129">
                  <c:v>25382</c:v>
                </c:pt>
                <c:pt idx="130">
                  <c:v>25389</c:v>
                </c:pt>
                <c:pt idx="131">
                  <c:v>25396</c:v>
                </c:pt>
                <c:pt idx="132">
                  <c:v>25403</c:v>
                </c:pt>
                <c:pt idx="133">
                  <c:v>25410</c:v>
                </c:pt>
                <c:pt idx="134">
                  <c:v>25417</c:v>
                </c:pt>
                <c:pt idx="135">
                  <c:v>25424</c:v>
                </c:pt>
                <c:pt idx="136">
                  <c:v>25431</c:v>
                </c:pt>
                <c:pt idx="137">
                  <c:v>25438</c:v>
                </c:pt>
                <c:pt idx="138">
                  <c:v>25445</c:v>
                </c:pt>
                <c:pt idx="139">
                  <c:v>25452</c:v>
                </c:pt>
                <c:pt idx="140">
                  <c:v>25459</c:v>
                </c:pt>
                <c:pt idx="141">
                  <c:v>25466</c:v>
                </c:pt>
                <c:pt idx="142">
                  <c:v>25473</c:v>
                </c:pt>
                <c:pt idx="143">
                  <c:v>25480</c:v>
                </c:pt>
                <c:pt idx="144">
                  <c:v>25487</c:v>
                </c:pt>
                <c:pt idx="145">
                  <c:v>25494</c:v>
                </c:pt>
                <c:pt idx="146">
                  <c:v>25501</c:v>
                </c:pt>
                <c:pt idx="147">
                  <c:v>25508</c:v>
                </c:pt>
                <c:pt idx="148">
                  <c:v>25515</c:v>
                </c:pt>
                <c:pt idx="149">
                  <c:v>25522</c:v>
                </c:pt>
                <c:pt idx="150">
                  <c:v>25529</c:v>
                </c:pt>
                <c:pt idx="151">
                  <c:v>25536</c:v>
                </c:pt>
                <c:pt idx="152">
                  <c:v>25543</c:v>
                </c:pt>
                <c:pt idx="153">
                  <c:v>25550</c:v>
                </c:pt>
                <c:pt idx="154">
                  <c:v>25557</c:v>
                </c:pt>
                <c:pt idx="155">
                  <c:v>25564</c:v>
                </c:pt>
                <c:pt idx="156">
                  <c:v>25571</c:v>
                </c:pt>
                <c:pt idx="157">
                  <c:v>25578</c:v>
                </c:pt>
                <c:pt idx="158">
                  <c:v>25585</c:v>
                </c:pt>
                <c:pt idx="159">
                  <c:v>25592</c:v>
                </c:pt>
                <c:pt idx="160">
                  <c:v>25599</c:v>
                </c:pt>
                <c:pt idx="161">
                  <c:v>25606</c:v>
                </c:pt>
                <c:pt idx="162">
                  <c:v>25613</c:v>
                </c:pt>
                <c:pt idx="163">
                  <c:v>25620</c:v>
                </c:pt>
                <c:pt idx="164">
                  <c:v>25627</c:v>
                </c:pt>
                <c:pt idx="165">
                  <c:v>25634</c:v>
                </c:pt>
                <c:pt idx="166">
                  <c:v>25641</c:v>
                </c:pt>
                <c:pt idx="167">
                  <c:v>25648</c:v>
                </c:pt>
                <c:pt idx="168">
                  <c:v>25655</c:v>
                </c:pt>
                <c:pt idx="169">
                  <c:v>25662</c:v>
                </c:pt>
                <c:pt idx="170">
                  <c:v>25669</c:v>
                </c:pt>
                <c:pt idx="171">
                  <c:v>25676</c:v>
                </c:pt>
                <c:pt idx="172">
                  <c:v>25683</c:v>
                </c:pt>
                <c:pt idx="173">
                  <c:v>25690</c:v>
                </c:pt>
                <c:pt idx="174">
                  <c:v>25697</c:v>
                </c:pt>
                <c:pt idx="175">
                  <c:v>25704</c:v>
                </c:pt>
                <c:pt idx="176">
                  <c:v>25711</c:v>
                </c:pt>
                <c:pt idx="177">
                  <c:v>25718</c:v>
                </c:pt>
                <c:pt idx="178">
                  <c:v>25725</c:v>
                </c:pt>
                <c:pt idx="179">
                  <c:v>25732</c:v>
                </c:pt>
                <c:pt idx="180">
                  <c:v>25739</c:v>
                </c:pt>
                <c:pt idx="181">
                  <c:v>25746</c:v>
                </c:pt>
                <c:pt idx="182">
                  <c:v>25753</c:v>
                </c:pt>
                <c:pt idx="183">
                  <c:v>25760</c:v>
                </c:pt>
                <c:pt idx="184">
                  <c:v>25767</c:v>
                </c:pt>
                <c:pt idx="185">
                  <c:v>25774</c:v>
                </c:pt>
                <c:pt idx="186">
                  <c:v>25781</c:v>
                </c:pt>
                <c:pt idx="187">
                  <c:v>25788</c:v>
                </c:pt>
                <c:pt idx="188">
                  <c:v>25795</c:v>
                </c:pt>
                <c:pt idx="189">
                  <c:v>25802</c:v>
                </c:pt>
                <c:pt idx="190">
                  <c:v>25809</c:v>
                </c:pt>
                <c:pt idx="191">
                  <c:v>25816</c:v>
                </c:pt>
                <c:pt idx="192">
                  <c:v>25823</c:v>
                </c:pt>
                <c:pt idx="193">
                  <c:v>25830</c:v>
                </c:pt>
                <c:pt idx="194">
                  <c:v>25837</c:v>
                </c:pt>
                <c:pt idx="195">
                  <c:v>25844</c:v>
                </c:pt>
                <c:pt idx="196">
                  <c:v>25851</c:v>
                </c:pt>
                <c:pt idx="197">
                  <c:v>25858</c:v>
                </c:pt>
                <c:pt idx="198">
                  <c:v>25865</c:v>
                </c:pt>
                <c:pt idx="199">
                  <c:v>25872</c:v>
                </c:pt>
                <c:pt idx="200">
                  <c:v>25879</c:v>
                </c:pt>
                <c:pt idx="201">
                  <c:v>25886</c:v>
                </c:pt>
                <c:pt idx="202">
                  <c:v>25893</c:v>
                </c:pt>
                <c:pt idx="203">
                  <c:v>25900</c:v>
                </c:pt>
                <c:pt idx="204">
                  <c:v>25907</c:v>
                </c:pt>
                <c:pt idx="205">
                  <c:v>25914</c:v>
                </c:pt>
                <c:pt idx="206">
                  <c:v>25921</c:v>
                </c:pt>
                <c:pt idx="207">
                  <c:v>25928</c:v>
                </c:pt>
                <c:pt idx="208">
                  <c:v>25935</c:v>
                </c:pt>
                <c:pt idx="209">
                  <c:v>25942</c:v>
                </c:pt>
                <c:pt idx="210">
                  <c:v>25949</c:v>
                </c:pt>
                <c:pt idx="211">
                  <c:v>25956</c:v>
                </c:pt>
                <c:pt idx="212">
                  <c:v>25963</c:v>
                </c:pt>
                <c:pt idx="213">
                  <c:v>25970</c:v>
                </c:pt>
                <c:pt idx="214">
                  <c:v>25977</c:v>
                </c:pt>
                <c:pt idx="215">
                  <c:v>25984</c:v>
                </c:pt>
                <c:pt idx="216">
                  <c:v>25991</c:v>
                </c:pt>
                <c:pt idx="217">
                  <c:v>25998</c:v>
                </c:pt>
                <c:pt idx="218">
                  <c:v>26005</c:v>
                </c:pt>
                <c:pt idx="219">
                  <c:v>26012</c:v>
                </c:pt>
                <c:pt idx="220">
                  <c:v>26019</c:v>
                </c:pt>
                <c:pt idx="221">
                  <c:v>26026</c:v>
                </c:pt>
                <c:pt idx="222">
                  <c:v>26033</c:v>
                </c:pt>
                <c:pt idx="223">
                  <c:v>26040</c:v>
                </c:pt>
                <c:pt idx="224">
                  <c:v>26047</c:v>
                </c:pt>
                <c:pt idx="225">
                  <c:v>26054</c:v>
                </c:pt>
                <c:pt idx="226">
                  <c:v>26061</c:v>
                </c:pt>
                <c:pt idx="227">
                  <c:v>26068</c:v>
                </c:pt>
                <c:pt idx="228">
                  <c:v>26075</c:v>
                </c:pt>
                <c:pt idx="229">
                  <c:v>26082</c:v>
                </c:pt>
                <c:pt idx="230">
                  <c:v>26089</c:v>
                </c:pt>
                <c:pt idx="231">
                  <c:v>26096</c:v>
                </c:pt>
                <c:pt idx="232">
                  <c:v>26103</c:v>
                </c:pt>
                <c:pt idx="233">
                  <c:v>26110</c:v>
                </c:pt>
                <c:pt idx="234">
                  <c:v>26117</c:v>
                </c:pt>
                <c:pt idx="235">
                  <c:v>26124</c:v>
                </c:pt>
                <c:pt idx="236">
                  <c:v>26131</c:v>
                </c:pt>
                <c:pt idx="237">
                  <c:v>26138</c:v>
                </c:pt>
                <c:pt idx="238">
                  <c:v>26145</c:v>
                </c:pt>
                <c:pt idx="239">
                  <c:v>26152</c:v>
                </c:pt>
                <c:pt idx="240">
                  <c:v>26159</c:v>
                </c:pt>
                <c:pt idx="241">
                  <c:v>26166</c:v>
                </c:pt>
                <c:pt idx="242">
                  <c:v>26173</c:v>
                </c:pt>
                <c:pt idx="243">
                  <c:v>26180</c:v>
                </c:pt>
                <c:pt idx="244">
                  <c:v>26187</c:v>
                </c:pt>
                <c:pt idx="245">
                  <c:v>26194</c:v>
                </c:pt>
                <c:pt idx="246">
                  <c:v>26201</c:v>
                </c:pt>
                <c:pt idx="247">
                  <c:v>26208</c:v>
                </c:pt>
                <c:pt idx="248">
                  <c:v>26215</c:v>
                </c:pt>
                <c:pt idx="249">
                  <c:v>26222</c:v>
                </c:pt>
                <c:pt idx="250">
                  <c:v>26229</c:v>
                </c:pt>
                <c:pt idx="251">
                  <c:v>26236</c:v>
                </c:pt>
                <c:pt idx="252">
                  <c:v>26243</c:v>
                </c:pt>
                <c:pt idx="253">
                  <c:v>26250</c:v>
                </c:pt>
                <c:pt idx="254">
                  <c:v>26257</c:v>
                </c:pt>
                <c:pt idx="255">
                  <c:v>26264</c:v>
                </c:pt>
                <c:pt idx="256">
                  <c:v>26271</c:v>
                </c:pt>
                <c:pt idx="257">
                  <c:v>26278</c:v>
                </c:pt>
                <c:pt idx="258">
                  <c:v>26285</c:v>
                </c:pt>
                <c:pt idx="259">
                  <c:v>26292</c:v>
                </c:pt>
                <c:pt idx="260">
                  <c:v>26299</c:v>
                </c:pt>
                <c:pt idx="261">
                  <c:v>26306</c:v>
                </c:pt>
                <c:pt idx="262">
                  <c:v>26313</c:v>
                </c:pt>
                <c:pt idx="263">
                  <c:v>26320</c:v>
                </c:pt>
                <c:pt idx="264">
                  <c:v>26327</c:v>
                </c:pt>
                <c:pt idx="265">
                  <c:v>26334</c:v>
                </c:pt>
                <c:pt idx="266">
                  <c:v>26341</c:v>
                </c:pt>
                <c:pt idx="267">
                  <c:v>26348</c:v>
                </c:pt>
                <c:pt idx="268">
                  <c:v>26355</c:v>
                </c:pt>
                <c:pt idx="269">
                  <c:v>26362</c:v>
                </c:pt>
                <c:pt idx="270">
                  <c:v>26369</c:v>
                </c:pt>
                <c:pt idx="271">
                  <c:v>26376</c:v>
                </c:pt>
                <c:pt idx="272">
                  <c:v>26383</c:v>
                </c:pt>
                <c:pt idx="273">
                  <c:v>26390</c:v>
                </c:pt>
                <c:pt idx="274">
                  <c:v>26397</c:v>
                </c:pt>
                <c:pt idx="275">
                  <c:v>26404</c:v>
                </c:pt>
                <c:pt idx="276">
                  <c:v>26411</c:v>
                </c:pt>
                <c:pt idx="277">
                  <c:v>26418</c:v>
                </c:pt>
                <c:pt idx="278">
                  <c:v>26425</c:v>
                </c:pt>
                <c:pt idx="279">
                  <c:v>26432</c:v>
                </c:pt>
                <c:pt idx="280">
                  <c:v>26439</c:v>
                </c:pt>
                <c:pt idx="281">
                  <c:v>26446</c:v>
                </c:pt>
                <c:pt idx="282">
                  <c:v>26453</c:v>
                </c:pt>
                <c:pt idx="283">
                  <c:v>26460</c:v>
                </c:pt>
                <c:pt idx="284">
                  <c:v>26467</c:v>
                </c:pt>
                <c:pt idx="285">
                  <c:v>26474</c:v>
                </c:pt>
                <c:pt idx="286">
                  <c:v>26481</c:v>
                </c:pt>
                <c:pt idx="287">
                  <c:v>26488</c:v>
                </c:pt>
                <c:pt idx="288">
                  <c:v>26495</c:v>
                </c:pt>
                <c:pt idx="289">
                  <c:v>26502</c:v>
                </c:pt>
                <c:pt idx="290">
                  <c:v>26509</c:v>
                </c:pt>
                <c:pt idx="291">
                  <c:v>26516</c:v>
                </c:pt>
                <c:pt idx="292">
                  <c:v>26523</c:v>
                </c:pt>
                <c:pt idx="293">
                  <c:v>26530</c:v>
                </c:pt>
                <c:pt idx="294">
                  <c:v>26537</c:v>
                </c:pt>
                <c:pt idx="295">
                  <c:v>26544</c:v>
                </c:pt>
                <c:pt idx="296">
                  <c:v>26551</c:v>
                </c:pt>
                <c:pt idx="297">
                  <c:v>26558</c:v>
                </c:pt>
                <c:pt idx="298">
                  <c:v>26565</c:v>
                </c:pt>
                <c:pt idx="299">
                  <c:v>26572</c:v>
                </c:pt>
                <c:pt idx="300">
                  <c:v>26579</c:v>
                </c:pt>
                <c:pt idx="301">
                  <c:v>26586</c:v>
                </c:pt>
                <c:pt idx="302">
                  <c:v>26593</c:v>
                </c:pt>
                <c:pt idx="303">
                  <c:v>26600</c:v>
                </c:pt>
                <c:pt idx="304">
                  <c:v>26607</c:v>
                </c:pt>
                <c:pt idx="305">
                  <c:v>26614</c:v>
                </c:pt>
                <c:pt idx="306">
                  <c:v>26621</c:v>
                </c:pt>
                <c:pt idx="307">
                  <c:v>26628</c:v>
                </c:pt>
                <c:pt idx="308">
                  <c:v>26635</c:v>
                </c:pt>
                <c:pt idx="309">
                  <c:v>26642</c:v>
                </c:pt>
                <c:pt idx="310">
                  <c:v>26649</c:v>
                </c:pt>
                <c:pt idx="311">
                  <c:v>26656</c:v>
                </c:pt>
                <c:pt idx="312">
                  <c:v>26663</c:v>
                </c:pt>
                <c:pt idx="313">
                  <c:v>26670</c:v>
                </c:pt>
                <c:pt idx="314">
                  <c:v>26677</c:v>
                </c:pt>
                <c:pt idx="315">
                  <c:v>26684</c:v>
                </c:pt>
                <c:pt idx="316">
                  <c:v>26691</c:v>
                </c:pt>
                <c:pt idx="317">
                  <c:v>26698</c:v>
                </c:pt>
                <c:pt idx="318">
                  <c:v>26705</c:v>
                </c:pt>
                <c:pt idx="319">
                  <c:v>26712</c:v>
                </c:pt>
                <c:pt idx="320">
                  <c:v>26719</c:v>
                </c:pt>
                <c:pt idx="321">
                  <c:v>26726</c:v>
                </c:pt>
                <c:pt idx="322">
                  <c:v>26733</c:v>
                </c:pt>
                <c:pt idx="323">
                  <c:v>26740</c:v>
                </c:pt>
                <c:pt idx="324">
                  <c:v>26747</c:v>
                </c:pt>
                <c:pt idx="325">
                  <c:v>26754</c:v>
                </c:pt>
                <c:pt idx="326">
                  <c:v>26761</c:v>
                </c:pt>
                <c:pt idx="327">
                  <c:v>26768</c:v>
                </c:pt>
                <c:pt idx="328">
                  <c:v>26775</c:v>
                </c:pt>
                <c:pt idx="329">
                  <c:v>26782</c:v>
                </c:pt>
                <c:pt idx="330">
                  <c:v>26789</c:v>
                </c:pt>
                <c:pt idx="331">
                  <c:v>26796</c:v>
                </c:pt>
                <c:pt idx="332">
                  <c:v>26803</c:v>
                </c:pt>
                <c:pt idx="333">
                  <c:v>26810</c:v>
                </c:pt>
                <c:pt idx="334">
                  <c:v>26817</c:v>
                </c:pt>
                <c:pt idx="335">
                  <c:v>26824</c:v>
                </c:pt>
                <c:pt idx="336">
                  <c:v>26831</c:v>
                </c:pt>
                <c:pt idx="337">
                  <c:v>26838</c:v>
                </c:pt>
                <c:pt idx="338">
                  <c:v>26845</c:v>
                </c:pt>
                <c:pt idx="339">
                  <c:v>26852</c:v>
                </c:pt>
                <c:pt idx="340">
                  <c:v>26859</c:v>
                </c:pt>
                <c:pt idx="341">
                  <c:v>26866</c:v>
                </c:pt>
                <c:pt idx="342">
                  <c:v>26873</c:v>
                </c:pt>
                <c:pt idx="343">
                  <c:v>26880</c:v>
                </c:pt>
                <c:pt idx="344">
                  <c:v>26887</c:v>
                </c:pt>
                <c:pt idx="345">
                  <c:v>26894</c:v>
                </c:pt>
                <c:pt idx="346">
                  <c:v>26901</c:v>
                </c:pt>
                <c:pt idx="347">
                  <c:v>26908</c:v>
                </c:pt>
                <c:pt idx="348">
                  <c:v>26915</c:v>
                </c:pt>
                <c:pt idx="349">
                  <c:v>26922</c:v>
                </c:pt>
                <c:pt idx="350">
                  <c:v>26929</c:v>
                </c:pt>
                <c:pt idx="351">
                  <c:v>26936</c:v>
                </c:pt>
                <c:pt idx="352">
                  <c:v>26943</c:v>
                </c:pt>
                <c:pt idx="353">
                  <c:v>26950</c:v>
                </c:pt>
                <c:pt idx="354">
                  <c:v>26957</c:v>
                </c:pt>
                <c:pt idx="355">
                  <c:v>26964</c:v>
                </c:pt>
                <c:pt idx="356">
                  <c:v>26971</c:v>
                </c:pt>
                <c:pt idx="357">
                  <c:v>26978</c:v>
                </c:pt>
                <c:pt idx="358">
                  <c:v>26985</c:v>
                </c:pt>
                <c:pt idx="359">
                  <c:v>26992</c:v>
                </c:pt>
                <c:pt idx="360">
                  <c:v>26999</c:v>
                </c:pt>
                <c:pt idx="361">
                  <c:v>27006</c:v>
                </c:pt>
                <c:pt idx="362">
                  <c:v>27013</c:v>
                </c:pt>
                <c:pt idx="363">
                  <c:v>27020</c:v>
                </c:pt>
                <c:pt idx="364">
                  <c:v>27027</c:v>
                </c:pt>
                <c:pt idx="365">
                  <c:v>27034</c:v>
                </c:pt>
                <c:pt idx="366">
                  <c:v>27041</c:v>
                </c:pt>
                <c:pt idx="367">
                  <c:v>27048</c:v>
                </c:pt>
                <c:pt idx="368">
                  <c:v>27055</c:v>
                </c:pt>
                <c:pt idx="369">
                  <c:v>27062</c:v>
                </c:pt>
                <c:pt idx="370">
                  <c:v>27069</c:v>
                </c:pt>
                <c:pt idx="371">
                  <c:v>27076</c:v>
                </c:pt>
                <c:pt idx="372">
                  <c:v>27083</c:v>
                </c:pt>
                <c:pt idx="373">
                  <c:v>27090</c:v>
                </c:pt>
                <c:pt idx="374">
                  <c:v>27097</c:v>
                </c:pt>
                <c:pt idx="375">
                  <c:v>27104</c:v>
                </c:pt>
                <c:pt idx="376">
                  <c:v>27111</c:v>
                </c:pt>
                <c:pt idx="377">
                  <c:v>27118</c:v>
                </c:pt>
                <c:pt idx="378">
                  <c:v>27125</c:v>
                </c:pt>
                <c:pt idx="379">
                  <c:v>27132</c:v>
                </c:pt>
                <c:pt idx="380">
                  <c:v>27139</c:v>
                </c:pt>
                <c:pt idx="381">
                  <c:v>27146</c:v>
                </c:pt>
                <c:pt idx="382">
                  <c:v>27153</c:v>
                </c:pt>
                <c:pt idx="383">
                  <c:v>27160</c:v>
                </c:pt>
                <c:pt idx="384">
                  <c:v>27167</c:v>
                </c:pt>
                <c:pt idx="385">
                  <c:v>27174</c:v>
                </c:pt>
                <c:pt idx="386">
                  <c:v>27181</c:v>
                </c:pt>
                <c:pt idx="387">
                  <c:v>27188</c:v>
                </c:pt>
                <c:pt idx="388">
                  <c:v>27195</c:v>
                </c:pt>
                <c:pt idx="389">
                  <c:v>27202</c:v>
                </c:pt>
                <c:pt idx="390">
                  <c:v>27209</c:v>
                </c:pt>
                <c:pt idx="391">
                  <c:v>27216</c:v>
                </c:pt>
                <c:pt idx="392">
                  <c:v>27223</c:v>
                </c:pt>
                <c:pt idx="393">
                  <c:v>27230</c:v>
                </c:pt>
                <c:pt idx="394">
                  <c:v>27237</c:v>
                </c:pt>
                <c:pt idx="395">
                  <c:v>27244</c:v>
                </c:pt>
                <c:pt idx="396">
                  <c:v>27251</c:v>
                </c:pt>
                <c:pt idx="397">
                  <c:v>27258</c:v>
                </c:pt>
                <c:pt idx="398">
                  <c:v>27265</c:v>
                </c:pt>
                <c:pt idx="399">
                  <c:v>27272</c:v>
                </c:pt>
                <c:pt idx="400">
                  <c:v>27279</c:v>
                </c:pt>
                <c:pt idx="401">
                  <c:v>27286</c:v>
                </c:pt>
                <c:pt idx="402">
                  <c:v>27293</c:v>
                </c:pt>
                <c:pt idx="403">
                  <c:v>27300</c:v>
                </c:pt>
                <c:pt idx="404">
                  <c:v>27307</c:v>
                </c:pt>
                <c:pt idx="405">
                  <c:v>27314</c:v>
                </c:pt>
                <c:pt idx="406">
                  <c:v>27321</c:v>
                </c:pt>
                <c:pt idx="407">
                  <c:v>27328</c:v>
                </c:pt>
                <c:pt idx="408">
                  <c:v>27335</c:v>
                </c:pt>
                <c:pt idx="409">
                  <c:v>27342</c:v>
                </c:pt>
                <c:pt idx="410">
                  <c:v>27349</c:v>
                </c:pt>
                <c:pt idx="411">
                  <c:v>27356</c:v>
                </c:pt>
                <c:pt idx="412">
                  <c:v>27363</c:v>
                </c:pt>
                <c:pt idx="413">
                  <c:v>27370</c:v>
                </c:pt>
                <c:pt idx="414">
                  <c:v>27377</c:v>
                </c:pt>
                <c:pt idx="415">
                  <c:v>27384</c:v>
                </c:pt>
                <c:pt idx="416">
                  <c:v>27391</c:v>
                </c:pt>
                <c:pt idx="417">
                  <c:v>27398</c:v>
                </c:pt>
                <c:pt idx="418">
                  <c:v>27405</c:v>
                </c:pt>
                <c:pt idx="419">
                  <c:v>27412</c:v>
                </c:pt>
                <c:pt idx="420">
                  <c:v>27419</c:v>
                </c:pt>
                <c:pt idx="421">
                  <c:v>27426</c:v>
                </c:pt>
                <c:pt idx="422">
                  <c:v>27433</c:v>
                </c:pt>
                <c:pt idx="423">
                  <c:v>27440</c:v>
                </c:pt>
                <c:pt idx="424">
                  <c:v>27447</c:v>
                </c:pt>
                <c:pt idx="425">
                  <c:v>27454</c:v>
                </c:pt>
                <c:pt idx="426">
                  <c:v>27461</c:v>
                </c:pt>
                <c:pt idx="427">
                  <c:v>27468</c:v>
                </c:pt>
                <c:pt idx="428">
                  <c:v>27475</c:v>
                </c:pt>
                <c:pt idx="429">
                  <c:v>27482</c:v>
                </c:pt>
                <c:pt idx="430">
                  <c:v>27489</c:v>
                </c:pt>
                <c:pt idx="431">
                  <c:v>27496</c:v>
                </c:pt>
                <c:pt idx="432">
                  <c:v>27503</c:v>
                </c:pt>
                <c:pt idx="433">
                  <c:v>27510</c:v>
                </c:pt>
                <c:pt idx="434">
                  <c:v>27517</c:v>
                </c:pt>
                <c:pt idx="435">
                  <c:v>27524</c:v>
                </c:pt>
                <c:pt idx="436">
                  <c:v>27531</c:v>
                </c:pt>
                <c:pt idx="437">
                  <c:v>27538</c:v>
                </c:pt>
                <c:pt idx="438">
                  <c:v>27545</c:v>
                </c:pt>
                <c:pt idx="439">
                  <c:v>27552</c:v>
                </c:pt>
                <c:pt idx="440">
                  <c:v>27559</c:v>
                </c:pt>
                <c:pt idx="441">
                  <c:v>27566</c:v>
                </c:pt>
                <c:pt idx="442">
                  <c:v>27573</c:v>
                </c:pt>
                <c:pt idx="443">
                  <c:v>27580</c:v>
                </c:pt>
                <c:pt idx="444">
                  <c:v>27587</c:v>
                </c:pt>
                <c:pt idx="445">
                  <c:v>27594</c:v>
                </c:pt>
                <c:pt idx="446">
                  <c:v>27601</c:v>
                </c:pt>
                <c:pt idx="447">
                  <c:v>27608</c:v>
                </c:pt>
                <c:pt idx="448">
                  <c:v>27615</c:v>
                </c:pt>
                <c:pt idx="449">
                  <c:v>27622</c:v>
                </c:pt>
                <c:pt idx="450">
                  <c:v>27629</c:v>
                </c:pt>
                <c:pt idx="451">
                  <c:v>27636</c:v>
                </c:pt>
                <c:pt idx="452">
                  <c:v>27643</c:v>
                </c:pt>
                <c:pt idx="453">
                  <c:v>27650</c:v>
                </c:pt>
                <c:pt idx="454">
                  <c:v>27657</c:v>
                </c:pt>
                <c:pt idx="455">
                  <c:v>27664</c:v>
                </c:pt>
                <c:pt idx="456">
                  <c:v>27671</c:v>
                </c:pt>
                <c:pt idx="457">
                  <c:v>27678</c:v>
                </c:pt>
                <c:pt idx="458">
                  <c:v>27685</c:v>
                </c:pt>
                <c:pt idx="459">
                  <c:v>27692</c:v>
                </c:pt>
                <c:pt idx="460">
                  <c:v>27699</c:v>
                </c:pt>
                <c:pt idx="461">
                  <c:v>27706</c:v>
                </c:pt>
                <c:pt idx="462">
                  <c:v>27713</c:v>
                </c:pt>
                <c:pt idx="463">
                  <c:v>27720</c:v>
                </c:pt>
                <c:pt idx="464">
                  <c:v>27727</c:v>
                </c:pt>
                <c:pt idx="465">
                  <c:v>27734</c:v>
                </c:pt>
                <c:pt idx="466">
                  <c:v>27741</c:v>
                </c:pt>
                <c:pt idx="467">
                  <c:v>27748</c:v>
                </c:pt>
                <c:pt idx="468">
                  <c:v>27755</c:v>
                </c:pt>
                <c:pt idx="469">
                  <c:v>27762</c:v>
                </c:pt>
                <c:pt idx="470">
                  <c:v>27769</c:v>
                </c:pt>
                <c:pt idx="471">
                  <c:v>27776</c:v>
                </c:pt>
                <c:pt idx="472">
                  <c:v>27783</c:v>
                </c:pt>
                <c:pt idx="473">
                  <c:v>27790</c:v>
                </c:pt>
                <c:pt idx="474">
                  <c:v>27797</c:v>
                </c:pt>
                <c:pt idx="475">
                  <c:v>27804</c:v>
                </c:pt>
                <c:pt idx="476">
                  <c:v>27811</c:v>
                </c:pt>
                <c:pt idx="477">
                  <c:v>27818</c:v>
                </c:pt>
                <c:pt idx="478">
                  <c:v>27825</c:v>
                </c:pt>
                <c:pt idx="479">
                  <c:v>27832</c:v>
                </c:pt>
                <c:pt idx="480">
                  <c:v>27839</c:v>
                </c:pt>
                <c:pt idx="481">
                  <c:v>27846</c:v>
                </c:pt>
                <c:pt idx="482">
                  <c:v>27853</c:v>
                </c:pt>
                <c:pt idx="483">
                  <c:v>27860</c:v>
                </c:pt>
                <c:pt idx="484">
                  <c:v>27867</c:v>
                </c:pt>
                <c:pt idx="485">
                  <c:v>27874</c:v>
                </c:pt>
                <c:pt idx="486">
                  <c:v>27881</c:v>
                </c:pt>
                <c:pt idx="487">
                  <c:v>27888</c:v>
                </c:pt>
                <c:pt idx="488">
                  <c:v>27895</c:v>
                </c:pt>
                <c:pt idx="489">
                  <c:v>27902</c:v>
                </c:pt>
                <c:pt idx="490">
                  <c:v>27909</c:v>
                </c:pt>
                <c:pt idx="491">
                  <c:v>27916</c:v>
                </c:pt>
                <c:pt idx="492">
                  <c:v>27923</c:v>
                </c:pt>
                <c:pt idx="493">
                  <c:v>27930</c:v>
                </c:pt>
                <c:pt idx="494">
                  <c:v>27937</c:v>
                </c:pt>
                <c:pt idx="495">
                  <c:v>27944</c:v>
                </c:pt>
                <c:pt idx="496">
                  <c:v>27951</c:v>
                </c:pt>
                <c:pt idx="497">
                  <c:v>27958</c:v>
                </c:pt>
                <c:pt idx="498">
                  <c:v>27965</c:v>
                </c:pt>
                <c:pt idx="499">
                  <c:v>27972</c:v>
                </c:pt>
                <c:pt idx="500">
                  <c:v>27979</c:v>
                </c:pt>
                <c:pt idx="501">
                  <c:v>27986</c:v>
                </c:pt>
                <c:pt idx="502">
                  <c:v>27993</c:v>
                </c:pt>
                <c:pt idx="503">
                  <c:v>28000</c:v>
                </c:pt>
                <c:pt idx="504">
                  <c:v>28007</c:v>
                </c:pt>
                <c:pt idx="505">
                  <c:v>28014</c:v>
                </c:pt>
                <c:pt idx="506">
                  <c:v>28021</c:v>
                </c:pt>
                <c:pt idx="507">
                  <c:v>28028</c:v>
                </c:pt>
                <c:pt idx="508">
                  <c:v>28035</c:v>
                </c:pt>
                <c:pt idx="509">
                  <c:v>28042</c:v>
                </c:pt>
                <c:pt idx="510">
                  <c:v>28049</c:v>
                </c:pt>
                <c:pt idx="511">
                  <c:v>28056</c:v>
                </c:pt>
                <c:pt idx="512">
                  <c:v>28063</c:v>
                </c:pt>
                <c:pt idx="513">
                  <c:v>28070</c:v>
                </c:pt>
                <c:pt idx="514">
                  <c:v>28077</c:v>
                </c:pt>
                <c:pt idx="515">
                  <c:v>28084</c:v>
                </c:pt>
                <c:pt idx="516">
                  <c:v>28091</c:v>
                </c:pt>
                <c:pt idx="517">
                  <c:v>28098</c:v>
                </c:pt>
                <c:pt idx="518">
                  <c:v>28105</c:v>
                </c:pt>
                <c:pt idx="519">
                  <c:v>28112</c:v>
                </c:pt>
                <c:pt idx="520">
                  <c:v>28119</c:v>
                </c:pt>
                <c:pt idx="521">
                  <c:v>28126</c:v>
                </c:pt>
                <c:pt idx="522">
                  <c:v>28133</c:v>
                </c:pt>
                <c:pt idx="523">
                  <c:v>28140</c:v>
                </c:pt>
                <c:pt idx="524">
                  <c:v>28147</c:v>
                </c:pt>
                <c:pt idx="525">
                  <c:v>28154</c:v>
                </c:pt>
                <c:pt idx="526">
                  <c:v>28161</c:v>
                </c:pt>
                <c:pt idx="527">
                  <c:v>28168</c:v>
                </c:pt>
                <c:pt idx="528">
                  <c:v>28175</c:v>
                </c:pt>
                <c:pt idx="529">
                  <c:v>28182</c:v>
                </c:pt>
                <c:pt idx="530">
                  <c:v>28189</c:v>
                </c:pt>
                <c:pt idx="531">
                  <c:v>28196</c:v>
                </c:pt>
                <c:pt idx="532">
                  <c:v>28203</c:v>
                </c:pt>
                <c:pt idx="533">
                  <c:v>28210</c:v>
                </c:pt>
                <c:pt idx="534">
                  <c:v>28217</c:v>
                </c:pt>
                <c:pt idx="535">
                  <c:v>28224</c:v>
                </c:pt>
                <c:pt idx="536">
                  <c:v>28231</c:v>
                </c:pt>
                <c:pt idx="537">
                  <c:v>28238</c:v>
                </c:pt>
                <c:pt idx="538">
                  <c:v>28245</c:v>
                </c:pt>
                <c:pt idx="539">
                  <c:v>28252</c:v>
                </c:pt>
                <c:pt idx="540">
                  <c:v>28259</c:v>
                </c:pt>
                <c:pt idx="541">
                  <c:v>28266</c:v>
                </c:pt>
                <c:pt idx="542">
                  <c:v>28273</c:v>
                </c:pt>
                <c:pt idx="543">
                  <c:v>28280</c:v>
                </c:pt>
                <c:pt idx="544">
                  <c:v>28287</c:v>
                </c:pt>
                <c:pt idx="545">
                  <c:v>28294</c:v>
                </c:pt>
                <c:pt idx="546">
                  <c:v>28301</c:v>
                </c:pt>
                <c:pt idx="547">
                  <c:v>28308</c:v>
                </c:pt>
                <c:pt idx="548">
                  <c:v>28315</c:v>
                </c:pt>
                <c:pt idx="549">
                  <c:v>28322</c:v>
                </c:pt>
                <c:pt idx="550">
                  <c:v>28329</c:v>
                </c:pt>
                <c:pt idx="551">
                  <c:v>28336</c:v>
                </c:pt>
                <c:pt idx="552">
                  <c:v>28343</c:v>
                </c:pt>
                <c:pt idx="553">
                  <c:v>28350</c:v>
                </c:pt>
                <c:pt idx="554">
                  <c:v>28357</c:v>
                </c:pt>
                <c:pt idx="555">
                  <c:v>28364</c:v>
                </c:pt>
                <c:pt idx="556">
                  <c:v>28371</c:v>
                </c:pt>
                <c:pt idx="557">
                  <c:v>28378</c:v>
                </c:pt>
                <c:pt idx="558">
                  <c:v>28385</c:v>
                </c:pt>
                <c:pt idx="559">
                  <c:v>28392</c:v>
                </c:pt>
                <c:pt idx="560">
                  <c:v>28399</c:v>
                </c:pt>
                <c:pt idx="561">
                  <c:v>28406</c:v>
                </c:pt>
                <c:pt idx="562">
                  <c:v>28413</c:v>
                </c:pt>
                <c:pt idx="563">
                  <c:v>28420</c:v>
                </c:pt>
                <c:pt idx="564">
                  <c:v>28427</c:v>
                </c:pt>
                <c:pt idx="565">
                  <c:v>28434</c:v>
                </c:pt>
                <c:pt idx="566">
                  <c:v>28441</c:v>
                </c:pt>
                <c:pt idx="567">
                  <c:v>28448</c:v>
                </c:pt>
                <c:pt idx="568">
                  <c:v>28455</c:v>
                </c:pt>
                <c:pt idx="569">
                  <c:v>28462</c:v>
                </c:pt>
                <c:pt idx="570">
                  <c:v>28469</c:v>
                </c:pt>
                <c:pt idx="571">
                  <c:v>28476</c:v>
                </c:pt>
                <c:pt idx="572">
                  <c:v>28483</c:v>
                </c:pt>
                <c:pt idx="573">
                  <c:v>28490</c:v>
                </c:pt>
                <c:pt idx="574">
                  <c:v>28497</c:v>
                </c:pt>
                <c:pt idx="575">
                  <c:v>28504</c:v>
                </c:pt>
                <c:pt idx="576">
                  <c:v>28511</c:v>
                </c:pt>
                <c:pt idx="577">
                  <c:v>28518</c:v>
                </c:pt>
                <c:pt idx="578">
                  <c:v>28525</c:v>
                </c:pt>
                <c:pt idx="579">
                  <c:v>28532</c:v>
                </c:pt>
                <c:pt idx="580">
                  <c:v>28539</c:v>
                </c:pt>
                <c:pt idx="581">
                  <c:v>28546</c:v>
                </c:pt>
                <c:pt idx="582">
                  <c:v>28553</c:v>
                </c:pt>
                <c:pt idx="583">
                  <c:v>28560</c:v>
                </c:pt>
                <c:pt idx="584">
                  <c:v>28567</c:v>
                </c:pt>
                <c:pt idx="585">
                  <c:v>28574</c:v>
                </c:pt>
                <c:pt idx="586">
                  <c:v>28581</c:v>
                </c:pt>
                <c:pt idx="587">
                  <c:v>28588</c:v>
                </c:pt>
                <c:pt idx="588">
                  <c:v>28595</c:v>
                </c:pt>
                <c:pt idx="589">
                  <c:v>28602</c:v>
                </c:pt>
                <c:pt idx="590">
                  <c:v>28609</c:v>
                </c:pt>
                <c:pt idx="591">
                  <c:v>28616</c:v>
                </c:pt>
                <c:pt idx="592">
                  <c:v>28623</c:v>
                </c:pt>
                <c:pt idx="593">
                  <c:v>28630</c:v>
                </c:pt>
                <c:pt idx="594">
                  <c:v>28637</c:v>
                </c:pt>
                <c:pt idx="595">
                  <c:v>28644</c:v>
                </c:pt>
                <c:pt idx="596">
                  <c:v>28651</c:v>
                </c:pt>
                <c:pt idx="597">
                  <c:v>28658</c:v>
                </c:pt>
                <c:pt idx="598">
                  <c:v>28665</c:v>
                </c:pt>
                <c:pt idx="599">
                  <c:v>28672</c:v>
                </c:pt>
                <c:pt idx="600">
                  <c:v>28679</c:v>
                </c:pt>
                <c:pt idx="601">
                  <c:v>28686</c:v>
                </c:pt>
                <c:pt idx="602">
                  <c:v>28693</c:v>
                </c:pt>
                <c:pt idx="603">
                  <c:v>28700</c:v>
                </c:pt>
                <c:pt idx="604">
                  <c:v>28707</c:v>
                </c:pt>
                <c:pt idx="605">
                  <c:v>28714</c:v>
                </c:pt>
                <c:pt idx="606">
                  <c:v>28721</c:v>
                </c:pt>
                <c:pt idx="607">
                  <c:v>28728</c:v>
                </c:pt>
                <c:pt idx="608">
                  <c:v>28735</c:v>
                </c:pt>
                <c:pt idx="609">
                  <c:v>28742</c:v>
                </c:pt>
                <c:pt idx="610">
                  <c:v>28749</c:v>
                </c:pt>
                <c:pt idx="611">
                  <c:v>28756</c:v>
                </c:pt>
                <c:pt idx="612">
                  <c:v>28763</c:v>
                </c:pt>
                <c:pt idx="613">
                  <c:v>28770</c:v>
                </c:pt>
                <c:pt idx="614">
                  <c:v>28777</c:v>
                </c:pt>
                <c:pt idx="615">
                  <c:v>28784</c:v>
                </c:pt>
                <c:pt idx="616">
                  <c:v>28791</c:v>
                </c:pt>
                <c:pt idx="617">
                  <c:v>28798</c:v>
                </c:pt>
                <c:pt idx="618">
                  <c:v>28805</c:v>
                </c:pt>
                <c:pt idx="619">
                  <c:v>28812</c:v>
                </c:pt>
                <c:pt idx="620">
                  <c:v>28819</c:v>
                </c:pt>
                <c:pt idx="621">
                  <c:v>28826</c:v>
                </c:pt>
                <c:pt idx="622">
                  <c:v>28833</c:v>
                </c:pt>
                <c:pt idx="623">
                  <c:v>28840</c:v>
                </c:pt>
                <c:pt idx="624">
                  <c:v>28847</c:v>
                </c:pt>
                <c:pt idx="625">
                  <c:v>28854</c:v>
                </c:pt>
                <c:pt idx="626">
                  <c:v>28861</c:v>
                </c:pt>
                <c:pt idx="627">
                  <c:v>28868</c:v>
                </c:pt>
                <c:pt idx="628">
                  <c:v>28875</c:v>
                </c:pt>
                <c:pt idx="629">
                  <c:v>28882</c:v>
                </c:pt>
                <c:pt idx="630">
                  <c:v>28889</c:v>
                </c:pt>
                <c:pt idx="631">
                  <c:v>28896</c:v>
                </c:pt>
                <c:pt idx="632">
                  <c:v>28903</c:v>
                </c:pt>
                <c:pt idx="633">
                  <c:v>28910</c:v>
                </c:pt>
                <c:pt idx="634">
                  <c:v>28917</c:v>
                </c:pt>
                <c:pt idx="635">
                  <c:v>28924</c:v>
                </c:pt>
                <c:pt idx="636">
                  <c:v>28931</c:v>
                </c:pt>
                <c:pt idx="637">
                  <c:v>28938</c:v>
                </c:pt>
                <c:pt idx="638">
                  <c:v>28945</c:v>
                </c:pt>
                <c:pt idx="639">
                  <c:v>28952</c:v>
                </c:pt>
                <c:pt idx="640">
                  <c:v>28959</c:v>
                </c:pt>
                <c:pt idx="641">
                  <c:v>28966</c:v>
                </c:pt>
                <c:pt idx="642">
                  <c:v>28973</c:v>
                </c:pt>
                <c:pt idx="643">
                  <c:v>28980</c:v>
                </c:pt>
                <c:pt idx="644">
                  <c:v>28987</c:v>
                </c:pt>
                <c:pt idx="645">
                  <c:v>28994</c:v>
                </c:pt>
                <c:pt idx="646">
                  <c:v>29001</c:v>
                </c:pt>
                <c:pt idx="647">
                  <c:v>29008</c:v>
                </c:pt>
                <c:pt idx="648">
                  <c:v>29015</c:v>
                </c:pt>
                <c:pt idx="649">
                  <c:v>29022</c:v>
                </c:pt>
                <c:pt idx="650">
                  <c:v>29029</c:v>
                </c:pt>
                <c:pt idx="651">
                  <c:v>29036</c:v>
                </c:pt>
                <c:pt idx="652">
                  <c:v>29043</c:v>
                </c:pt>
                <c:pt idx="653">
                  <c:v>29050</c:v>
                </c:pt>
                <c:pt idx="654">
                  <c:v>29057</c:v>
                </c:pt>
                <c:pt idx="655">
                  <c:v>29064</c:v>
                </c:pt>
                <c:pt idx="656">
                  <c:v>29071</c:v>
                </c:pt>
                <c:pt idx="657">
                  <c:v>29078</c:v>
                </c:pt>
                <c:pt idx="658">
                  <c:v>29085</c:v>
                </c:pt>
                <c:pt idx="659">
                  <c:v>29092</c:v>
                </c:pt>
                <c:pt idx="660">
                  <c:v>29099</c:v>
                </c:pt>
                <c:pt idx="661">
                  <c:v>29106</c:v>
                </c:pt>
                <c:pt idx="662">
                  <c:v>29113</c:v>
                </c:pt>
                <c:pt idx="663">
                  <c:v>29120</c:v>
                </c:pt>
                <c:pt idx="664">
                  <c:v>29127</c:v>
                </c:pt>
                <c:pt idx="665">
                  <c:v>29134</c:v>
                </c:pt>
                <c:pt idx="666">
                  <c:v>29141</c:v>
                </c:pt>
                <c:pt idx="667">
                  <c:v>29148</c:v>
                </c:pt>
                <c:pt idx="668">
                  <c:v>29155</c:v>
                </c:pt>
                <c:pt idx="669">
                  <c:v>29162</c:v>
                </c:pt>
                <c:pt idx="670">
                  <c:v>29169</c:v>
                </c:pt>
                <c:pt idx="671">
                  <c:v>29176</c:v>
                </c:pt>
                <c:pt idx="672">
                  <c:v>29183</c:v>
                </c:pt>
                <c:pt idx="673">
                  <c:v>29190</c:v>
                </c:pt>
                <c:pt idx="674">
                  <c:v>29197</c:v>
                </c:pt>
                <c:pt idx="675">
                  <c:v>29204</c:v>
                </c:pt>
                <c:pt idx="676">
                  <c:v>29211</c:v>
                </c:pt>
                <c:pt idx="677">
                  <c:v>29218</c:v>
                </c:pt>
                <c:pt idx="678">
                  <c:v>29225</c:v>
                </c:pt>
                <c:pt idx="679">
                  <c:v>29232</c:v>
                </c:pt>
                <c:pt idx="680">
                  <c:v>29239</c:v>
                </c:pt>
                <c:pt idx="681">
                  <c:v>29246</c:v>
                </c:pt>
                <c:pt idx="682">
                  <c:v>29253</c:v>
                </c:pt>
                <c:pt idx="683">
                  <c:v>29260</c:v>
                </c:pt>
                <c:pt idx="684">
                  <c:v>29267</c:v>
                </c:pt>
                <c:pt idx="685">
                  <c:v>29274</c:v>
                </c:pt>
                <c:pt idx="686">
                  <c:v>29281</c:v>
                </c:pt>
                <c:pt idx="687">
                  <c:v>29288</c:v>
                </c:pt>
                <c:pt idx="688">
                  <c:v>29295</c:v>
                </c:pt>
                <c:pt idx="689">
                  <c:v>29302</c:v>
                </c:pt>
                <c:pt idx="690">
                  <c:v>29309</c:v>
                </c:pt>
                <c:pt idx="691">
                  <c:v>29316</c:v>
                </c:pt>
                <c:pt idx="692">
                  <c:v>29323</c:v>
                </c:pt>
                <c:pt idx="693">
                  <c:v>29330</c:v>
                </c:pt>
                <c:pt idx="694">
                  <c:v>29337</c:v>
                </c:pt>
                <c:pt idx="695">
                  <c:v>29344</c:v>
                </c:pt>
                <c:pt idx="696">
                  <c:v>29351</c:v>
                </c:pt>
                <c:pt idx="697">
                  <c:v>29358</c:v>
                </c:pt>
                <c:pt idx="698">
                  <c:v>29365</c:v>
                </c:pt>
                <c:pt idx="699">
                  <c:v>29372</c:v>
                </c:pt>
                <c:pt idx="700">
                  <c:v>29379</c:v>
                </c:pt>
                <c:pt idx="701">
                  <c:v>29386</c:v>
                </c:pt>
                <c:pt idx="702">
                  <c:v>29393</c:v>
                </c:pt>
                <c:pt idx="703">
                  <c:v>29400</c:v>
                </c:pt>
                <c:pt idx="704">
                  <c:v>29407</c:v>
                </c:pt>
                <c:pt idx="705">
                  <c:v>29414</c:v>
                </c:pt>
                <c:pt idx="706">
                  <c:v>29421</c:v>
                </c:pt>
                <c:pt idx="707">
                  <c:v>29428</c:v>
                </c:pt>
                <c:pt idx="708">
                  <c:v>29435</c:v>
                </c:pt>
                <c:pt idx="709">
                  <c:v>29442</c:v>
                </c:pt>
                <c:pt idx="710">
                  <c:v>29449</c:v>
                </c:pt>
                <c:pt idx="711">
                  <c:v>29456</c:v>
                </c:pt>
                <c:pt idx="712">
                  <c:v>29463</c:v>
                </c:pt>
                <c:pt idx="713">
                  <c:v>29470</c:v>
                </c:pt>
                <c:pt idx="714">
                  <c:v>29477</c:v>
                </c:pt>
                <c:pt idx="715">
                  <c:v>29484</c:v>
                </c:pt>
                <c:pt idx="716">
                  <c:v>29491</c:v>
                </c:pt>
                <c:pt idx="717">
                  <c:v>29498</c:v>
                </c:pt>
                <c:pt idx="718">
                  <c:v>29505</c:v>
                </c:pt>
                <c:pt idx="719">
                  <c:v>29512</c:v>
                </c:pt>
                <c:pt idx="720">
                  <c:v>29519</c:v>
                </c:pt>
                <c:pt idx="721">
                  <c:v>29526</c:v>
                </c:pt>
                <c:pt idx="722">
                  <c:v>29533</c:v>
                </c:pt>
                <c:pt idx="723">
                  <c:v>29540</c:v>
                </c:pt>
                <c:pt idx="724">
                  <c:v>29547</c:v>
                </c:pt>
                <c:pt idx="725">
                  <c:v>29554</c:v>
                </c:pt>
                <c:pt idx="726">
                  <c:v>29561</c:v>
                </c:pt>
                <c:pt idx="727">
                  <c:v>29568</c:v>
                </c:pt>
                <c:pt idx="728">
                  <c:v>29575</c:v>
                </c:pt>
                <c:pt idx="729">
                  <c:v>29582</c:v>
                </c:pt>
                <c:pt idx="730">
                  <c:v>29589</c:v>
                </c:pt>
                <c:pt idx="731">
                  <c:v>29596</c:v>
                </c:pt>
                <c:pt idx="732">
                  <c:v>29603</c:v>
                </c:pt>
                <c:pt idx="733">
                  <c:v>29610</c:v>
                </c:pt>
                <c:pt idx="734">
                  <c:v>29617</c:v>
                </c:pt>
                <c:pt idx="735">
                  <c:v>29624</c:v>
                </c:pt>
                <c:pt idx="736">
                  <c:v>29631</c:v>
                </c:pt>
                <c:pt idx="737">
                  <c:v>29638</c:v>
                </c:pt>
                <c:pt idx="738">
                  <c:v>29645</c:v>
                </c:pt>
                <c:pt idx="739">
                  <c:v>29652</c:v>
                </c:pt>
                <c:pt idx="740">
                  <c:v>29659</c:v>
                </c:pt>
                <c:pt idx="741">
                  <c:v>29666</c:v>
                </c:pt>
                <c:pt idx="742">
                  <c:v>29673</c:v>
                </c:pt>
                <c:pt idx="743">
                  <c:v>29680</c:v>
                </c:pt>
                <c:pt idx="744">
                  <c:v>29687</c:v>
                </c:pt>
                <c:pt idx="745">
                  <c:v>29694</c:v>
                </c:pt>
                <c:pt idx="746">
                  <c:v>29701</c:v>
                </c:pt>
                <c:pt idx="747">
                  <c:v>29708</c:v>
                </c:pt>
                <c:pt idx="748">
                  <c:v>29715</c:v>
                </c:pt>
                <c:pt idx="749">
                  <c:v>29722</c:v>
                </c:pt>
                <c:pt idx="750">
                  <c:v>29729</c:v>
                </c:pt>
                <c:pt idx="751">
                  <c:v>29736</c:v>
                </c:pt>
                <c:pt idx="752">
                  <c:v>29743</c:v>
                </c:pt>
                <c:pt idx="753">
                  <c:v>29750</c:v>
                </c:pt>
                <c:pt idx="754">
                  <c:v>29757</c:v>
                </c:pt>
                <c:pt idx="755">
                  <c:v>29764</c:v>
                </c:pt>
                <c:pt idx="756">
                  <c:v>29771</c:v>
                </c:pt>
                <c:pt idx="757">
                  <c:v>29778</c:v>
                </c:pt>
                <c:pt idx="758">
                  <c:v>29785</c:v>
                </c:pt>
                <c:pt idx="759">
                  <c:v>29792</c:v>
                </c:pt>
                <c:pt idx="760">
                  <c:v>29799</c:v>
                </c:pt>
                <c:pt idx="761">
                  <c:v>29806</c:v>
                </c:pt>
                <c:pt idx="762">
                  <c:v>29813</c:v>
                </c:pt>
                <c:pt idx="763">
                  <c:v>29820</c:v>
                </c:pt>
                <c:pt idx="764">
                  <c:v>29827</c:v>
                </c:pt>
                <c:pt idx="765">
                  <c:v>29834</c:v>
                </c:pt>
                <c:pt idx="766">
                  <c:v>29841</c:v>
                </c:pt>
                <c:pt idx="767">
                  <c:v>29848</c:v>
                </c:pt>
                <c:pt idx="768">
                  <c:v>29855</c:v>
                </c:pt>
                <c:pt idx="769">
                  <c:v>29862</c:v>
                </c:pt>
                <c:pt idx="770">
                  <c:v>29869</c:v>
                </c:pt>
                <c:pt idx="771">
                  <c:v>29876</c:v>
                </c:pt>
                <c:pt idx="772">
                  <c:v>29883</c:v>
                </c:pt>
                <c:pt idx="773">
                  <c:v>29890</c:v>
                </c:pt>
                <c:pt idx="774">
                  <c:v>29897</c:v>
                </c:pt>
                <c:pt idx="775">
                  <c:v>29904</c:v>
                </c:pt>
                <c:pt idx="776">
                  <c:v>29911</c:v>
                </c:pt>
                <c:pt idx="777">
                  <c:v>29918</c:v>
                </c:pt>
                <c:pt idx="778">
                  <c:v>29925</c:v>
                </c:pt>
                <c:pt idx="779">
                  <c:v>29932</c:v>
                </c:pt>
                <c:pt idx="780">
                  <c:v>29939</c:v>
                </c:pt>
                <c:pt idx="781">
                  <c:v>29946</c:v>
                </c:pt>
                <c:pt idx="782">
                  <c:v>29953</c:v>
                </c:pt>
                <c:pt idx="783">
                  <c:v>29960</c:v>
                </c:pt>
                <c:pt idx="784">
                  <c:v>29967</c:v>
                </c:pt>
                <c:pt idx="785">
                  <c:v>29974</c:v>
                </c:pt>
                <c:pt idx="786">
                  <c:v>29981</c:v>
                </c:pt>
                <c:pt idx="787">
                  <c:v>29988</c:v>
                </c:pt>
                <c:pt idx="788">
                  <c:v>29995</c:v>
                </c:pt>
                <c:pt idx="789">
                  <c:v>30002</c:v>
                </c:pt>
                <c:pt idx="790">
                  <c:v>30009</c:v>
                </c:pt>
                <c:pt idx="791">
                  <c:v>30016</c:v>
                </c:pt>
                <c:pt idx="792">
                  <c:v>30023</c:v>
                </c:pt>
                <c:pt idx="793">
                  <c:v>30030</c:v>
                </c:pt>
                <c:pt idx="794">
                  <c:v>30037</c:v>
                </c:pt>
                <c:pt idx="795">
                  <c:v>30044</c:v>
                </c:pt>
                <c:pt idx="796">
                  <c:v>30051</c:v>
                </c:pt>
                <c:pt idx="797">
                  <c:v>30058</c:v>
                </c:pt>
                <c:pt idx="798">
                  <c:v>30065</c:v>
                </c:pt>
                <c:pt idx="799">
                  <c:v>30072</c:v>
                </c:pt>
                <c:pt idx="800">
                  <c:v>30079</c:v>
                </c:pt>
                <c:pt idx="801">
                  <c:v>30086</c:v>
                </c:pt>
                <c:pt idx="802">
                  <c:v>30093</c:v>
                </c:pt>
                <c:pt idx="803">
                  <c:v>30100</c:v>
                </c:pt>
                <c:pt idx="804">
                  <c:v>30107</c:v>
                </c:pt>
                <c:pt idx="805">
                  <c:v>30114</c:v>
                </c:pt>
                <c:pt idx="806">
                  <c:v>30121</c:v>
                </c:pt>
                <c:pt idx="807">
                  <c:v>30128</c:v>
                </c:pt>
                <c:pt idx="808">
                  <c:v>30135</c:v>
                </c:pt>
                <c:pt idx="809">
                  <c:v>30142</c:v>
                </c:pt>
                <c:pt idx="810">
                  <c:v>30149</c:v>
                </c:pt>
                <c:pt idx="811">
                  <c:v>30156</c:v>
                </c:pt>
                <c:pt idx="812">
                  <c:v>30163</c:v>
                </c:pt>
                <c:pt idx="813">
                  <c:v>30170</c:v>
                </c:pt>
                <c:pt idx="814">
                  <c:v>30177</c:v>
                </c:pt>
                <c:pt idx="815">
                  <c:v>30184</c:v>
                </c:pt>
                <c:pt idx="816">
                  <c:v>30191</c:v>
                </c:pt>
                <c:pt idx="817">
                  <c:v>30198</c:v>
                </c:pt>
                <c:pt idx="818">
                  <c:v>30205</c:v>
                </c:pt>
                <c:pt idx="819">
                  <c:v>30212</c:v>
                </c:pt>
                <c:pt idx="820">
                  <c:v>30219</c:v>
                </c:pt>
                <c:pt idx="821">
                  <c:v>30226</c:v>
                </c:pt>
                <c:pt idx="822">
                  <c:v>30233</c:v>
                </c:pt>
                <c:pt idx="823">
                  <c:v>30240</c:v>
                </c:pt>
                <c:pt idx="824">
                  <c:v>30247</c:v>
                </c:pt>
                <c:pt idx="825">
                  <c:v>30254</c:v>
                </c:pt>
                <c:pt idx="826">
                  <c:v>30261</c:v>
                </c:pt>
                <c:pt idx="827">
                  <c:v>30268</c:v>
                </c:pt>
                <c:pt idx="828">
                  <c:v>30275</c:v>
                </c:pt>
                <c:pt idx="829">
                  <c:v>30282</c:v>
                </c:pt>
                <c:pt idx="830">
                  <c:v>30289</c:v>
                </c:pt>
                <c:pt idx="831">
                  <c:v>30296</c:v>
                </c:pt>
                <c:pt idx="832">
                  <c:v>30303</c:v>
                </c:pt>
                <c:pt idx="833">
                  <c:v>30310</c:v>
                </c:pt>
                <c:pt idx="834">
                  <c:v>30317</c:v>
                </c:pt>
                <c:pt idx="835">
                  <c:v>30324</c:v>
                </c:pt>
                <c:pt idx="836">
                  <c:v>30331</c:v>
                </c:pt>
                <c:pt idx="837">
                  <c:v>30338</c:v>
                </c:pt>
                <c:pt idx="838">
                  <c:v>30345</c:v>
                </c:pt>
                <c:pt idx="839">
                  <c:v>30352</c:v>
                </c:pt>
                <c:pt idx="840">
                  <c:v>30359</c:v>
                </c:pt>
                <c:pt idx="841">
                  <c:v>30366</c:v>
                </c:pt>
                <c:pt idx="842">
                  <c:v>30373</c:v>
                </c:pt>
                <c:pt idx="843">
                  <c:v>30380</c:v>
                </c:pt>
                <c:pt idx="844">
                  <c:v>30387</c:v>
                </c:pt>
                <c:pt idx="845">
                  <c:v>30394</c:v>
                </c:pt>
                <c:pt idx="846">
                  <c:v>30401</c:v>
                </c:pt>
                <c:pt idx="847">
                  <c:v>30408</c:v>
                </c:pt>
                <c:pt idx="848">
                  <c:v>30415</c:v>
                </c:pt>
                <c:pt idx="849">
                  <c:v>30422</c:v>
                </c:pt>
                <c:pt idx="850">
                  <c:v>30429</c:v>
                </c:pt>
                <c:pt idx="851">
                  <c:v>30436</c:v>
                </c:pt>
                <c:pt idx="852">
                  <c:v>30443</c:v>
                </c:pt>
                <c:pt idx="853">
                  <c:v>30450</c:v>
                </c:pt>
                <c:pt idx="854">
                  <c:v>30457</c:v>
                </c:pt>
                <c:pt idx="855">
                  <c:v>30464</c:v>
                </c:pt>
                <c:pt idx="856">
                  <c:v>30471</c:v>
                </c:pt>
                <c:pt idx="857">
                  <c:v>30478</c:v>
                </c:pt>
                <c:pt idx="858">
                  <c:v>30485</c:v>
                </c:pt>
                <c:pt idx="859">
                  <c:v>30492</c:v>
                </c:pt>
                <c:pt idx="860">
                  <c:v>30499</c:v>
                </c:pt>
                <c:pt idx="861">
                  <c:v>30506</c:v>
                </c:pt>
                <c:pt idx="862">
                  <c:v>30513</c:v>
                </c:pt>
                <c:pt idx="863">
                  <c:v>30520</c:v>
                </c:pt>
                <c:pt idx="864">
                  <c:v>30527</c:v>
                </c:pt>
                <c:pt idx="865">
                  <c:v>30534</c:v>
                </c:pt>
                <c:pt idx="866">
                  <c:v>30541</c:v>
                </c:pt>
                <c:pt idx="867">
                  <c:v>30548</c:v>
                </c:pt>
                <c:pt idx="868">
                  <c:v>30555</c:v>
                </c:pt>
                <c:pt idx="869">
                  <c:v>30562</c:v>
                </c:pt>
                <c:pt idx="870">
                  <c:v>30569</c:v>
                </c:pt>
                <c:pt idx="871">
                  <c:v>30576</c:v>
                </c:pt>
                <c:pt idx="872">
                  <c:v>30583</c:v>
                </c:pt>
                <c:pt idx="873">
                  <c:v>30590</c:v>
                </c:pt>
                <c:pt idx="874">
                  <c:v>30597</c:v>
                </c:pt>
                <c:pt idx="875">
                  <c:v>30604</c:v>
                </c:pt>
                <c:pt idx="876">
                  <c:v>30611</c:v>
                </c:pt>
                <c:pt idx="877">
                  <c:v>30618</c:v>
                </c:pt>
                <c:pt idx="878">
                  <c:v>30625</c:v>
                </c:pt>
                <c:pt idx="879">
                  <c:v>30632</c:v>
                </c:pt>
                <c:pt idx="880">
                  <c:v>30639</c:v>
                </c:pt>
                <c:pt idx="881">
                  <c:v>30646</c:v>
                </c:pt>
                <c:pt idx="882">
                  <c:v>30653</c:v>
                </c:pt>
                <c:pt idx="883">
                  <c:v>30660</c:v>
                </c:pt>
                <c:pt idx="884">
                  <c:v>30667</c:v>
                </c:pt>
                <c:pt idx="885">
                  <c:v>30674</c:v>
                </c:pt>
                <c:pt idx="886">
                  <c:v>30681</c:v>
                </c:pt>
                <c:pt idx="887">
                  <c:v>30688</c:v>
                </c:pt>
                <c:pt idx="888">
                  <c:v>30695</c:v>
                </c:pt>
                <c:pt idx="889">
                  <c:v>30702</c:v>
                </c:pt>
                <c:pt idx="890">
                  <c:v>30709</c:v>
                </c:pt>
                <c:pt idx="891">
                  <c:v>30716</c:v>
                </c:pt>
                <c:pt idx="892">
                  <c:v>30723</c:v>
                </c:pt>
                <c:pt idx="893">
                  <c:v>30730</c:v>
                </c:pt>
                <c:pt idx="894">
                  <c:v>30737</c:v>
                </c:pt>
                <c:pt idx="895">
                  <c:v>30744</c:v>
                </c:pt>
                <c:pt idx="896">
                  <c:v>30751</c:v>
                </c:pt>
                <c:pt idx="897">
                  <c:v>30758</c:v>
                </c:pt>
                <c:pt idx="898">
                  <c:v>30765</c:v>
                </c:pt>
                <c:pt idx="899">
                  <c:v>30772</c:v>
                </c:pt>
                <c:pt idx="900">
                  <c:v>30779</c:v>
                </c:pt>
                <c:pt idx="901">
                  <c:v>30786</c:v>
                </c:pt>
                <c:pt idx="902">
                  <c:v>30793</c:v>
                </c:pt>
                <c:pt idx="903">
                  <c:v>30800</c:v>
                </c:pt>
                <c:pt idx="904">
                  <c:v>30807</c:v>
                </c:pt>
                <c:pt idx="905">
                  <c:v>30814</c:v>
                </c:pt>
                <c:pt idx="906">
                  <c:v>30821</c:v>
                </c:pt>
                <c:pt idx="907">
                  <c:v>30828</c:v>
                </c:pt>
                <c:pt idx="908">
                  <c:v>30835</c:v>
                </c:pt>
                <c:pt idx="909">
                  <c:v>30842</c:v>
                </c:pt>
                <c:pt idx="910">
                  <c:v>30849</c:v>
                </c:pt>
                <c:pt idx="911">
                  <c:v>30856</c:v>
                </c:pt>
                <c:pt idx="912">
                  <c:v>30863</c:v>
                </c:pt>
                <c:pt idx="913">
                  <c:v>30870</c:v>
                </c:pt>
                <c:pt idx="914">
                  <c:v>30877</c:v>
                </c:pt>
                <c:pt idx="915">
                  <c:v>30884</c:v>
                </c:pt>
                <c:pt idx="916">
                  <c:v>30891</c:v>
                </c:pt>
                <c:pt idx="917">
                  <c:v>30898</c:v>
                </c:pt>
                <c:pt idx="918">
                  <c:v>30905</c:v>
                </c:pt>
                <c:pt idx="919">
                  <c:v>30912</c:v>
                </c:pt>
                <c:pt idx="920">
                  <c:v>30919</c:v>
                </c:pt>
                <c:pt idx="921">
                  <c:v>30926</c:v>
                </c:pt>
                <c:pt idx="922">
                  <c:v>30933</c:v>
                </c:pt>
                <c:pt idx="923">
                  <c:v>30940</c:v>
                </c:pt>
                <c:pt idx="924">
                  <c:v>30947</c:v>
                </c:pt>
                <c:pt idx="925">
                  <c:v>30954</c:v>
                </c:pt>
                <c:pt idx="926">
                  <c:v>30961</c:v>
                </c:pt>
                <c:pt idx="927">
                  <c:v>30968</c:v>
                </c:pt>
                <c:pt idx="928">
                  <c:v>30975</c:v>
                </c:pt>
                <c:pt idx="929">
                  <c:v>30982</c:v>
                </c:pt>
                <c:pt idx="930">
                  <c:v>30989</c:v>
                </c:pt>
                <c:pt idx="931">
                  <c:v>30996</c:v>
                </c:pt>
                <c:pt idx="932">
                  <c:v>31003</c:v>
                </c:pt>
                <c:pt idx="933">
                  <c:v>31010</c:v>
                </c:pt>
                <c:pt idx="934">
                  <c:v>31017</c:v>
                </c:pt>
                <c:pt idx="935">
                  <c:v>31024</c:v>
                </c:pt>
                <c:pt idx="936">
                  <c:v>31031</c:v>
                </c:pt>
                <c:pt idx="937">
                  <c:v>31038</c:v>
                </c:pt>
                <c:pt idx="938">
                  <c:v>31045</c:v>
                </c:pt>
                <c:pt idx="939">
                  <c:v>31052</c:v>
                </c:pt>
                <c:pt idx="940">
                  <c:v>31059</c:v>
                </c:pt>
                <c:pt idx="941">
                  <c:v>31066</c:v>
                </c:pt>
                <c:pt idx="942">
                  <c:v>31073</c:v>
                </c:pt>
                <c:pt idx="943">
                  <c:v>31080</c:v>
                </c:pt>
                <c:pt idx="944">
                  <c:v>31087</c:v>
                </c:pt>
                <c:pt idx="945">
                  <c:v>31094</c:v>
                </c:pt>
                <c:pt idx="946">
                  <c:v>31101</c:v>
                </c:pt>
                <c:pt idx="947">
                  <c:v>31108</c:v>
                </c:pt>
                <c:pt idx="948">
                  <c:v>31115</c:v>
                </c:pt>
                <c:pt idx="949">
                  <c:v>31122</c:v>
                </c:pt>
                <c:pt idx="950">
                  <c:v>31129</c:v>
                </c:pt>
                <c:pt idx="951">
                  <c:v>31136</c:v>
                </c:pt>
                <c:pt idx="952">
                  <c:v>31143</c:v>
                </c:pt>
                <c:pt idx="953">
                  <c:v>31150</c:v>
                </c:pt>
                <c:pt idx="954">
                  <c:v>31157</c:v>
                </c:pt>
                <c:pt idx="955">
                  <c:v>31164</c:v>
                </c:pt>
                <c:pt idx="956">
                  <c:v>31171</c:v>
                </c:pt>
                <c:pt idx="957">
                  <c:v>31178</c:v>
                </c:pt>
                <c:pt idx="958">
                  <c:v>31185</c:v>
                </c:pt>
                <c:pt idx="959">
                  <c:v>31192</c:v>
                </c:pt>
                <c:pt idx="960">
                  <c:v>31199</c:v>
                </c:pt>
                <c:pt idx="961">
                  <c:v>31206</c:v>
                </c:pt>
                <c:pt idx="962">
                  <c:v>31213</c:v>
                </c:pt>
                <c:pt idx="963">
                  <c:v>31220</c:v>
                </c:pt>
                <c:pt idx="964">
                  <c:v>31227</c:v>
                </c:pt>
                <c:pt idx="965">
                  <c:v>31234</c:v>
                </c:pt>
                <c:pt idx="966">
                  <c:v>31241</c:v>
                </c:pt>
                <c:pt idx="967">
                  <c:v>31248</c:v>
                </c:pt>
                <c:pt idx="968">
                  <c:v>31255</c:v>
                </c:pt>
                <c:pt idx="969">
                  <c:v>31262</c:v>
                </c:pt>
                <c:pt idx="970">
                  <c:v>31269</c:v>
                </c:pt>
                <c:pt idx="971">
                  <c:v>31276</c:v>
                </c:pt>
                <c:pt idx="972">
                  <c:v>31283</c:v>
                </c:pt>
                <c:pt idx="973">
                  <c:v>31290</c:v>
                </c:pt>
                <c:pt idx="974">
                  <c:v>31297</c:v>
                </c:pt>
                <c:pt idx="975">
                  <c:v>31304</c:v>
                </c:pt>
                <c:pt idx="976">
                  <c:v>31311</c:v>
                </c:pt>
                <c:pt idx="977">
                  <c:v>31318</c:v>
                </c:pt>
                <c:pt idx="978">
                  <c:v>31325</c:v>
                </c:pt>
                <c:pt idx="979">
                  <c:v>31332</c:v>
                </c:pt>
                <c:pt idx="980">
                  <c:v>31339</c:v>
                </c:pt>
                <c:pt idx="981">
                  <c:v>31346</c:v>
                </c:pt>
                <c:pt idx="982">
                  <c:v>31353</c:v>
                </c:pt>
                <c:pt idx="983">
                  <c:v>31360</c:v>
                </c:pt>
                <c:pt idx="984">
                  <c:v>31367</c:v>
                </c:pt>
                <c:pt idx="985">
                  <c:v>31374</c:v>
                </c:pt>
                <c:pt idx="986">
                  <c:v>31381</c:v>
                </c:pt>
                <c:pt idx="987">
                  <c:v>31388</c:v>
                </c:pt>
                <c:pt idx="988">
                  <c:v>31395</c:v>
                </c:pt>
                <c:pt idx="989">
                  <c:v>31402</c:v>
                </c:pt>
                <c:pt idx="990">
                  <c:v>31409</c:v>
                </c:pt>
                <c:pt idx="991">
                  <c:v>31416</c:v>
                </c:pt>
                <c:pt idx="992">
                  <c:v>31423</c:v>
                </c:pt>
                <c:pt idx="993">
                  <c:v>31430</c:v>
                </c:pt>
                <c:pt idx="994">
                  <c:v>31437</c:v>
                </c:pt>
                <c:pt idx="995">
                  <c:v>31444</c:v>
                </c:pt>
                <c:pt idx="996">
                  <c:v>31451</c:v>
                </c:pt>
                <c:pt idx="997">
                  <c:v>31458</c:v>
                </c:pt>
                <c:pt idx="998">
                  <c:v>31465</c:v>
                </c:pt>
                <c:pt idx="999">
                  <c:v>31472</c:v>
                </c:pt>
                <c:pt idx="1000">
                  <c:v>31479</c:v>
                </c:pt>
                <c:pt idx="1001">
                  <c:v>31486</c:v>
                </c:pt>
                <c:pt idx="1002">
                  <c:v>31493</c:v>
                </c:pt>
                <c:pt idx="1003">
                  <c:v>31500</c:v>
                </c:pt>
                <c:pt idx="1004">
                  <c:v>31507</c:v>
                </c:pt>
                <c:pt idx="1005">
                  <c:v>31514</c:v>
                </c:pt>
                <c:pt idx="1006">
                  <c:v>31521</c:v>
                </c:pt>
                <c:pt idx="1007">
                  <c:v>31528</c:v>
                </c:pt>
                <c:pt idx="1008">
                  <c:v>31535</c:v>
                </c:pt>
                <c:pt idx="1009">
                  <c:v>31542</c:v>
                </c:pt>
                <c:pt idx="1010">
                  <c:v>31549</c:v>
                </c:pt>
                <c:pt idx="1011">
                  <c:v>31556</c:v>
                </c:pt>
                <c:pt idx="1012">
                  <c:v>31563</c:v>
                </c:pt>
                <c:pt idx="1013">
                  <c:v>31570</c:v>
                </c:pt>
                <c:pt idx="1014">
                  <c:v>31577</c:v>
                </c:pt>
                <c:pt idx="1015">
                  <c:v>31584</c:v>
                </c:pt>
                <c:pt idx="1016">
                  <c:v>31591</c:v>
                </c:pt>
                <c:pt idx="1017">
                  <c:v>31598</c:v>
                </c:pt>
                <c:pt idx="1018">
                  <c:v>31605</c:v>
                </c:pt>
                <c:pt idx="1019">
                  <c:v>31612</c:v>
                </c:pt>
                <c:pt idx="1020">
                  <c:v>31619</c:v>
                </c:pt>
                <c:pt idx="1021">
                  <c:v>31626</c:v>
                </c:pt>
                <c:pt idx="1022">
                  <c:v>31633</c:v>
                </c:pt>
                <c:pt idx="1023">
                  <c:v>31640</c:v>
                </c:pt>
                <c:pt idx="1024">
                  <c:v>31647</c:v>
                </c:pt>
                <c:pt idx="1025">
                  <c:v>31654</c:v>
                </c:pt>
                <c:pt idx="1026">
                  <c:v>31661</c:v>
                </c:pt>
                <c:pt idx="1027">
                  <c:v>31668</c:v>
                </c:pt>
                <c:pt idx="1028">
                  <c:v>31675</c:v>
                </c:pt>
                <c:pt idx="1029">
                  <c:v>31682</c:v>
                </c:pt>
                <c:pt idx="1030">
                  <c:v>31689</c:v>
                </c:pt>
                <c:pt idx="1031">
                  <c:v>31696</c:v>
                </c:pt>
                <c:pt idx="1032">
                  <c:v>31703</c:v>
                </c:pt>
                <c:pt idx="1033">
                  <c:v>31710</c:v>
                </c:pt>
                <c:pt idx="1034">
                  <c:v>31717</c:v>
                </c:pt>
                <c:pt idx="1035">
                  <c:v>31724</c:v>
                </c:pt>
                <c:pt idx="1036">
                  <c:v>31731</c:v>
                </c:pt>
                <c:pt idx="1037">
                  <c:v>31738</c:v>
                </c:pt>
                <c:pt idx="1038">
                  <c:v>31745</c:v>
                </c:pt>
                <c:pt idx="1039">
                  <c:v>31752</c:v>
                </c:pt>
                <c:pt idx="1040">
                  <c:v>31759</c:v>
                </c:pt>
                <c:pt idx="1041">
                  <c:v>31766</c:v>
                </c:pt>
                <c:pt idx="1042">
                  <c:v>31773</c:v>
                </c:pt>
                <c:pt idx="1043">
                  <c:v>31780</c:v>
                </c:pt>
                <c:pt idx="1044">
                  <c:v>31787</c:v>
                </c:pt>
                <c:pt idx="1045">
                  <c:v>31794</c:v>
                </c:pt>
                <c:pt idx="1046">
                  <c:v>31801</c:v>
                </c:pt>
                <c:pt idx="1047">
                  <c:v>31808</c:v>
                </c:pt>
                <c:pt idx="1048">
                  <c:v>31815</c:v>
                </c:pt>
                <c:pt idx="1049">
                  <c:v>31822</c:v>
                </c:pt>
                <c:pt idx="1050">
                  <c:v>31829</c:v>
                </c:pt>
                <c:pt idx="1051">
                  <c:v>31836</c:v>
                </c:pt>
                <c:pt idx="1052">
                  <c:v>31843</c:v>
                </c:pt>
                <c:pt idx="1053">
                  <c:v>31850</c:v>
                </c:pt>
                <c:pt idx="1054">
                  <c:v>31857</c:v>
                </c:pt>
                <c:pt idx="1055">
                  <c:v>31864</c:v>
                </c:pt>
                <c:pt idx="1056">
                  <c:v>31871</c:v>
                </c:pt>
                <c:pt idx="1057">
                  <c:v>31878</c:v>
                </c:pt>
                <c:pt idx="1058">
                  <c:v>31885</c:v>
                </c:pt>
                <c:pt idx="1059">
                  <c:v>31892</c:v>
                </c:pt>
                <c:pt idx="1060">
                  <c:v>31899</c:v>
                </c:pt>
                <c:pt idx="1061">
                  <c:v>31906</c:v>
                </c:pt>
                <c:pt idx="1062">
                  <c:v>31913</c:v>
                </c:pt>
                <c:pt idx="1063">
                  <c:v>31920</c:v>
                </c:pt>
                <c:pt idx="1064">
                  <c:v>31927</c:v>
                </c:pt>
                <c:pt idx="1065">
                  <c:v>31934</c:v>
                </c:pt>
                <c:pt idx="1066">
                  <c:v>31941</c:v>
                </c:pt>
                <c:pt idx="1067">
                  <c:v>31948</c:v>
                </c:pt>
                <c:pt idx="1068">
                  <c:v>31955</c:v>
                </c:pt>
                <c:pt idx="1069">
                  <c:v>31962</c:v>
                </c:pt>
                <c:pt idx="1070">
                  <c:v>31969</c:v>
                </c:pt>
                <c:pt idx="1071">
                  <c:v>31976</c:v>
                </c:pt>
                <c:pt idx="1072">
                  <c:v>31983</c:v>
                </c:pt>
                <c:pt idx="1073">
                  <c:v>31990</c:v>
                </c:pt>
                <c:pt idx="1074">
                  <c:v>31997</c:v>
                </c:pt>
                <c:pt idx="1075">
                  <c:v>32004</c:v>
                </c:pt>
                <c:pt idx="1076">
                  <c:v>32011</c:v>
                </c:pt>
                <c:pt idx="1077">
                  <c:v>32018</c:v>
                </c:pt>
                <c:pt idx="1078">
                  <c:v>32025</c:v>
                </c:pt>
                <c:pt idx="1079">
                  <c:v>32032</c:v>
                </c:pt>
                <c:pt idx="1080">
                  <c:v>32039</c:v>
                </c:pt>
                <c:pt idx="1081">
                  <c:v>32046</c:v>
                </c:pt>
                <c:pt idx="1082">
                  <c:v>32053</c:v>
                </c:pt>
                <c:pt idx="1083">
                  <c:v>32060</c:v>
                </c:pt>
                <c:pt idx="1084">
                  <c:v>32067</c:v>
                </c:pt>
                <c:pt idx="1085">
                  <c:v>32074</c:v>
                </c:pt>
                <c:pt idx="1086">
                  <c:v>32081</c:v>
                </c:pt>
                <c:pt idx="1087">
                  <c:v>32088</c:v>
                </c:pt>
                <c:pt idx="1088">
                  <c:v>32095</c:v>
                </c:pt>
                <c:pt idx="1089">
                  <c:v>32102</c:v>
                </c:pt>
                <c:pt idx="1090">
                  <c:v>32109</c:v>
                </c:pt>
                <c:pt idx="1091">
                  <c:v>32116</c:v>
                </c:pt>
                <c:pt idx="1092">
                  <c:v>32123</c:v>
                </c:pt>
                <c:pt idx="1093">
                  <c:v>32130</c:v>
                </c:pt>
                <c:pt idx="1094">
                  <c:v>32137</c:v>
                </c:pt>
                <c:pt idx="1095">
                  <c:v>32144</c:v>
                </c:pt>
                <c:pt idx="1096">
                  <c:v>32151</c:v>
                </c:pt>
                <c:pt idx="1097">
                  <c:v>32158</c:v>
                </c:pt>
                <c:pt idx="1098">
                  <c:v>32165</c:v>
                </c:pt>
                <c:pt idx="1099">
                  <c:v>32172</c:v>
                </c:pt>
                <c:pt idx="1100">
                  <c:v>32179</c:v>
                </c:pt>
                <c:pt idx="1101">
                  <c:v>32186</c:v>
                </c:pt>
                <c:pt idx="1102">
                  <c:v>32193</c:v>
                </c:pt>
                <c:pt idx="1103">
                  <c:v>32200</c:v>
                </c:pt>
                <c:pt idx="1104">
                  <c:v>32207</c:v>
                </c:pt>
                <c:pt idx="1105">
                  <c:v>32214</c:v>
                </c:pt>
                <c:pt idx="1106">
                  <c:v>32221</c:v>
                </c:pt>
                <c:pt idx="1107">
                  <c:v>32228</c:v>
                </c:pt>
                <c:pt idx="1108">
                  <c:v>32235</c:v>
                </c:pt>
                <c:pt idx="1109">
                  <c:v>32242</c:v>
                </c:pt>
                <c:pt idx="1110">
                  <c:v>32249</c:v>
                </c:pt>
                <c:pt idx="1111">
                  <c:v>32256</c:v>
                </c:pt>
                <c:pt idx="1112">
                  <c:v>32263</c:v>
                </c:pt>
                <c:pt idx="1113">
                  <c:v>32270</c:v>
                </c:pt>
                <c:pt idx="1114">
                  <c:v>32277</c:v>
                </c:pt>
                <c:pt idx="1115">
                  <c:v>32284</c:v>
                </c:pt>
                <c:pt idx="1116">
                  <c:v>32291</c:v>
                </c:pt>
                <c:pt idx="1117">
                  <c:v>32298</c:v>
                </c:pt>
                <c:pt idx="1118">
                  <c:v>32305</c:v>
                </c:pt>
                <c:pt idx="1119">
                  <c:v>32312</c:v>
                </c:pt>
                <c:pt idx="1120">
                  <c:v>32319</c:v>
                </c:pt>
                <c:pt idx="1121">
                  <c:v>32326</c:v>
                </c:pt>
                <c:pt idx="1122">
                  <c:v>32333</c:v>
                </c:pt>
                <c:pt idx="1123">
                  <c:v>32340</c:v>
                </c:pt>
                <c:pt idx="1124">
                  <c:v>32347</c:v>
                </c:pt>
                <c:pt idx="1125">
                  <c:v>32354</c:v>
                </c:pt>
                <c:pt idx="1126">
                  <c:v>32361</c:v>
                </c:pt>
                <c:pt idx="1127">
                  <c:v>32368</c:v>
                </c:pt>
                <c:pt idx="1128">
                  <c:v>32375</c:v>
                </c:pt>
                <c:pt idx="1129">
                  <c:v>32382</c:v>
                </c:pt>
                <c:pt idx="1130">
                  <c:v>32389</c:v>
                </c:pt>
                <c:pt idx="1131">
                  <c:v>32396</c:v>
                </c:pt>
                <c:pt idx="1132">
                  <c:v>32403</c:v>
                </c:pt>
                <c:pt idx="1133">
                  <c:v>32410</c:v>
                </c:pt>
                <c:pt idx="1134">
                  <c:v>32417</c:v>
                </c:pt>
                <c:pt idx="1135">
                  <c:v>32424</c:v>
                </c:pt>
                <c:pt idx="1136">
                  <c:v>32431</c:v>
                </c:pt>
                <c:pt idx="1137">
                  <c:v>32438</c:v>
                </c:pt>
                <c:pt idx="1138">
                  <c:v>32445</c:v>
                </c:pt>
                <c:pt idx="1139">
                  <c:v>32452</c:v>
                </c:pt>
                <c:pt idx="1140">
                  <c:v>32459</c:v>
                </c:pt>
                <c:pt idx="1141">
                  <c:v>32466</c:v>
                </c:pt>
                <c:pt idx="1142">
                  <c:v>32473</c:v>
                </c:pt>
                <c:pt idx="1143">
                  <c:v>32480</c:v>
                </c:pt>
                <c:pt idx="1144">
                  <c:v>32487</c:v>
                </c:pt>
                <c:pt idx="1145">
                  <c:v>32494</c:v>
                </c:pt>
                <c:pt idx="1146">
                  <c:v>32501</c:v>
                </c:pt>
                <c:pt idx="1147">
                  <c:v>32508</c:v>
                </c:pt>
                <c:pt idx="1148">
                  <c:v>32515</c:v>
                </c:pt>
                <c:pt idx="1149">
                  <c:v>32522</c:v>
                </c:pt>
                <c:pt idx="1150">
                  <c:v>32529</c:v>
                </c:pt>
                <c:pt idx="1151">
                  <c:v>32536</c:v>
                </c:pt>
                <c:pt idx="1152">
                  <c:v>32543</c:v>
                </c:pt>
                <c:pt idx="1153">
                  <c:v>32550</c:v>
                </c:pt>
                <c:pt idx="1154">
                  <c:v>32557</c:v>
                </c:pt>
                <c:pt idx="1155">
                  <c:v>32564</c:v>
                </c:pt>
                <c:pt idx="1156">
                  <c:v>32571</c:v>
                </c:pt>
                <c:pt idx="1157">
                  <c:v>32578</c:v>
                </c:pt>
                <c:pt idx="1158">
                  <c:v>32585</c:v>
                </c:pt>
                <c:pt idx="1159">
                  <c:v>32592</c:v>
                </c:pt>
                <c:pt idx="1160">
                  <c:v>32599</c:v>
                </c:pt>
                <c:pt idx="1161">
                  <c:v>32606</c:v>
                </c:pt>
                <c:pt idx="1162">
                  <c:v>32613</c:v>
                </c:pt>
                <c:pt idx="1163">
                  <c:v>32620</c:v>
                </c:pt>
                <c:pt idx="1164">
                  <c:v>32627</c:v>
                </c:pt>
                <c:pt idx="1165">
                  <c:v>32634</c:v>
                </c:pt>
                <c:pt idx="1166">
                  <c:v>32641</c:v>
                </c:pt>
                <c:pt idx="1167">
                  <c:v>32648</c:v>
                </c:pt>
                <c:pt idx="1168">
                  <c:v>32655</c:v>
                </c:pt>
                <c:pt idx="1169">
                  <c:v>32662</c:v>
                </c:pt>
                <c:pt idx="1170">
                  <c:v>32669</c:v>
                </c:pt>
                <c:pt idx="1171">
                  <c:v>32676</c:v>
                </c:pt>
                <c:pt idx="1172">
                  <c:v>32683</c:v>
                </c:pt>
                <c:pt idx="1173">
                  <c:v>32690</c:v>
                </c:pt>
                <c:pt idx="1174">
                  <c:v>32697</c:v>
                </c:pt>
                <c:pt idx="1175">
                  <c:v>32704</c:v>
                </c:pt>
                <c:pt idx="1176">
                  <c:v>32711</c:v>
                </c:pt>
                <c:pt idx="1177">
                  <c:v>32718</c:v>
                </c:pt>
                <c:pt idx="1178">
                  <c:v>32725</c:v>
                </c:pt>
                <c:pt idx="1179">
                  <c:v>32732</c:v>
                </c:pt>
                <c:pt idx="1180">
                  <c:v>32739</c:v>
                </c:pt>
                <c:pt idx="1181">
                  <c:v>32746</c:v>
                </c:pt>
                <c:pt idx="1182">
                  <c:v>32753</c:v>
                </c:pt>
                <c:pt idx="1183">
                  <c:v>32760</c:v>
                </c:pt>
                <c:pt idx="1184">
                  <c:v>32767</c:v>
                </c:pt>
                <c:pt idx="1185">
                  <c:v>32774</c:v>
                </c:pt>
                <c:pt idx="1186">
                  <c:v>32781</c:v>
                </c:pt>
                <c:pt idx="1187">
                  <c:v>32788</c:v>
                </c:pt>
                <c:pt idx="1188">
                  <c:v>32795</c:v>
                </c:pt>
                <c:pt idx="1189">
                  <c:v>32802</c:v>
                </c:pt>
                <c:pt idx="1190">
                  <c:v>32809</c:v>
                </c:pt>
                <c:pt idx="1191">
                  <c:v>32816</c:v>
                </c:pt>
                <c:pt idx="1192">
                  <c:v>32823</c:v>
                </c:pt>
                <c:pt idx="1193">
                  <c:v>32830</c:v>
                </c:pt>
                <c:pt idx="1194">
                  <c:v>32837</c:v>
                </c:pt>
                <c:pt idx="1195">
                  <c:v>32844</c:v>
                </c:pt>
                <c:pt idx="1196">
                  <c:v>32851</c:v>
                </c:pt>
                <c:pt idx="1197">
                  <c:v>32858</c:v>
                </c:pt>
                <c:pt idx="1198">
                  <c:v>32865</c:v>
                </c:pt>
                <c:pt idx="1199">
                  <c:v>32872</c:v>
                </c:pt>
                <c:pt idx="1200">
                  <c:v>32879</c:v>
                </c:pt>
                <c:pt idx="1201">
                  <c:v>32886</c:v>
                </c:pt>
                <c:pt idx="1202">
                  <c:v>32893</c:v>
                </c:pt>
                <c:pt idx="1203">
                  <c:v>32900</c:v>
                </c:pt>
                <c:pt idx="1204">
                  <c:v>32907</c:v>
                </c:pt>
                <c:pt idx="1205">
                  <c:v>32914</c:v>
                </c:pt>
                <c:pt idx="1206">
                  <c:v>32921</c:v>
                </c:pt>
                <c:pt idx="1207">
                  <c:v>32928</c:v>
                </c:pt>
                <c:pt idx="1208">
                  <c:v>32935</c:v>
                </c:pt>
                <c:pt idx="1209">
                  <c:v>32942</c:v>
                </c:pt>
                <c:pt idx="1210">
                  <c:v>32949</c:v>
                </c:pt>
                <c:pt idx="1211">
                  <c:v>32956</c:v>
                </c:pt>
                <c:pt idx="1212">
                  <c:v>32963</c:v>
                </c:pt>
                <c:pt idx="1213">
                  <c:v>32970</c:v>
                </c:pt>
                <c:pt idx="1214">
                  <c:v>32977</c:v>
                </c:pt>
                <c:pt idx="1215">
                  <c:v>32984</c:v>
                </c:pt>
                <c:pt idx="1216">
                  <c:v>32991</c:v>
                </c:pt>
                <c:pt idx="1217">
                  <c:v>32998</c:v>
                </c:pt>
                <c:pt idx="1218">
                  <c:v>33005</c:v>
                </c:pt>
                <c:pt idx="1219">
                  <c:v>33012</c:v>
                </c:pt>
                <c:pt idx="1220">
                  <c:v>33019</c:v>
                </c:pt>
                <c:pt idx="1221">
                  <c:v>33026</c:v>
                </c:pt>
                <c:pt idx="1222">
                  <c:v>33033</c:v>
                </c:pt>
                <c:pt idx="1223">
                  <c:v>33040</c:v>
                </c:pt>
                <c:pt idx="1224">
                  <c:v>33047</c:v>
                </c:pt>
                <c:pt idx="1225">
                  <c:v>33054</c:v>
                </c:pt>
                <c:pt idx="1226">
                  <c:v>33061</c:v>
                </c:pt>
                <c:pt idx="1227">
                  <c:v>33068</c:v>
                </c:pt>
                <c:pt idx="1228">
                  <c:v>33075</c:v>
                </c:pt>
                <c:pt idx="1229">
                  <c:v>33082</c:v>
                </c:pt>
                <c:pt idx="1230">
                  <c:v>33089</c:v>
                </c:pt>
                <c:pt idx="1231">
                  <c:v>33096</c:v>
                </c:pt>
                <c:pt idx="1232">
                  <c:v>33103</c:v>
                </c:pt>
                <c:pt idx="1233">
                  <c:v>33110</c:v>
                </c:pt>
                <c:pt idx="1234">
                  <c:v>33117</c:v>
                </c:pt>
                <c:pt idx="1235">
                  <c:v>33124</c:v>
                </c:pt>
                <c:pt idx="1236">
                  <c:v>33131</c:v>
                </c:pt>
                <c:pt idx="1237">
                  <c:v>33138</c:v>
                </c:pt>
                <c:pt idx="1238">
                  <c:v>33145</c:v>
                </c:pt>
                <c:pt idx="1239">
                  <c:v>33152</c:v>
                </c:pt>
                <c:pt idx="1240">
                  <c:v>33159</c:v>
                </c:pt>
                <c:pt idx="1241">
                  <c:v>33166</c:v>
                </c:pt>
                <c:pt idx="1242">
                  <c:v>33173</c:v>
                </c:pt>
                <c:pt idx="1243">
                  <c:v>33180</c:v>
                </c:pt>
                <c:pt idx="1244">
                  <c:v>33187</c:v>
                </c:pt>
                <c:pt idx="1245">
                  <c:v>33194</c:v>
                </c:pt>
                <c:pt idx="1246">
                  <c:v>33201</c:v>
                </c:pt>
                <c:pt idx="1247">
                  <c:v>33208</c:v>
                </c:pt>
                <c:pt idx="1248">
                  <c:v>33215</c:v>
                </c:pt>
                <c:pt idx="1249">
                  <c:v>33222</c:v>
                </c:pt>
                <c:pt idx="1250">
                  <c:v>33229</c:v>
                </c:pt>
                <c:pt idx="1251">
                  <c:v>33236</c:v>
                </c:pt>
                <c:pt idx="1252">
                  <c:v>33243</c:v>
                </c:pt>
                <c:pt idx="1253">
                  <c:v>33250</c:v>
                </c:pt>
                <c:pt idx="1254">
                  <c:v>33257</c:v>
                </c:pt>
                <c:pt idx="1255">
                  <c:v>33264</c:v>
                </c:pt>
                <c:pt idx="1256">
                  <c:v>33271</c:v>
                </c:pt>
                <c:pt idx="1257">
                  <c:v>33278</c:v>
                </c:pt>
                <c:pt idx="1258">
                  <c:v>33285</c:v>
                </c:pt>
                <c:pt idx="1259">
                  <c:v>33292</c:v>
                </c:pt>
                <c:pt idx="1260">
                  <c:v>33299</c:v>
                </c:pt>
                <c:pt idx="1261">
                  <c:v>33306</c:v>
                </c:pt>
                <c:pt idx="1262">
                  <c:v>33313</c:v>
                </c:pt>
                <c:pt idx="1263">
                  <c:v>33320</c:v>
                </c:pt>
                <c:pt idx="1264">
                  <c:v>33327</c:v>
                </c:pt>
                <c:pt idx="1265">
                  <c:v>33334</c:v>
                </c:pt>
                <c:pt idx="1266">
                  <c:v>33341</c:v>
                </c:pt>
                <c:pt idx="1267">
                  <c:v>33348</c:v>
                </c:pt>
                <c:pt idx="1268">
                  <c:v>33355</c:v>
                </c:pt>
                <c:pt idx="1269">
                  <c:v>33362</c:v>
                </c:pt>
                <c:pt idx="1270">
                  <c:v>33369</c:v>
                </c:pt>
                <c:pt idx="1271">
                  <c:v>33376</c:v>
                </c:pt>
                <c:pt idx="1272">
                  <c:v>33383</c:v>
                </c:pt>
                <c:pt idx="1273">
                  <c:v>33390</c:v>
                </c:pt>
                <c:pt idx="1274">
                  <c:v>33397</c:v>
                </c:pt>
                <c:pt idx="1275">
                  <c:v>33404</c:v>
                </c:pt>
                <c:pt idx="1276">
                  <c:v>33411</c:v>
                </c:pt>
                <c:pt idx="1277">
                  <c:v>33418</c:v>
                </c:pt>
                <c:pt idx="1278">
                  <c:v>33425</c:v>
                </c:pt>
                <c:pt idx="1279">
                  <c:v>33432</c:v>
                </c:pt>
                <c:pt idx="1280">
                  <c:v>33439</c:v>
                </c:pt>
                <c:pt idx="1281">
                  <c:v>33446</c:v>
                </c:pt>
                <c:pt idx="1282">
                  <c:v>33453</c:v>
                </c:pt>
                <c:pt idx="1283">
                  <c:v>33460</c:v>
                </c:pt>
                <c:pt idx="1284">
                  <c:v>33467</c:v>
                </c:pt>
                <c:pt idx="1285">
                  <c:v>33474</c:v>
                </c:pt>
                <c:pt idx="1286">
                  <c:v>33481</c:v>
                </c:pt>
                <c:pt idx="1287">
                  <c:v>33488</c:v>
                </c:pt>
                <c:pt idx="1288">
                  <c:v>33495</c:v>
                </c:pt>
                <c:pt idx="1289">
                  <c:v>33502</c:v>
                </c:pt>
                <c:pt idx="1290">
                  <c:v>33509</c:v>
                </c:pt>
                <c:pt idx="1291">
                  <c:v>33516</c:v>
                </c:pt>
                <c:pt idx="1292">
                  <c:v>33523</c:v>
                </c:pt>
                <c:pt idx="1293">
                  <c:v>33530</c:v>
                </c:pt>
                <c:pt idx="1294">
                  <c:v>33537</c:v>
                </c:pt>
                <c:pt idx="1295">
                  <c:v>33544</c:v>
                </c:pt>
                <c:pt idx="1296">
                  <c:v>33551</c:v>
                </c:pt>
                <c:pt idx="1297">
                  <c:v>33558</c:v>
                </c:pt>
                <c:pt idx="1298">
                  <c:v>33565</c:v>
                </c:pt>
                <c:pt idx="1299">
                  <c:v>33572</c:v>
                </c:pt>
                <c:pt idx="1300">
                  <c:v>33579</c:v>
                </c:pt>
                <c:pt idx="1301">
                  <c:v>33586</c:v>
                </c:pt>
                <c:pt idx="1302">
                  <c:v>33593</c:v>
                </c:pt>
                <c:pt idx="1303">
                  <c:v>33600</c:v>
                </c:pt>
                <c:pt idx="1304">
                  <c:v>33607</c:v>
                </c:pt>
                <c:pt idx="1305">
                  <c:v>33614</c:v>
                </c:pt>
                <c:pt idx="1306">
                  <c:v>33621</c:v>
                </c:pt>
                <c:pt idx="1307">
                  <c:v>33628</c:v>
                </c:pt>
                <c:pt idx="1308">
                  <c:v>33635</c:v>
                </c:pt>
                <c:pt idx="1309">
                  <c:v>33642</c:v>
                </c:pt>
                <c:pt idx="1310">
                  <c:v>33649</c:v>
                </c:pt>
                <c:pt idx="1311">
                  <c:v>33656</c:v>
                </c:pt>
                <c:pt idx="1312">
                  <c:v>33663</c:v>
                </c:pt>
                <c:pt idx="1313">
                  <c:v>33670</c:v>
                </c:pt>
                <c:pt idx="1314">
                  <c:v>33677</c:v>
                </c:pt>
                <c:pt idx="1315">
                  <c:v>33684</c:v>
                </c:pt>
                <c:pt idx="1316">
                  <c:v>33691</c:v>
                </c:pt>
                <c:pt idx="1317">
                  <c:v>33698</c:v>
                </c:pt>
                <c:pt idx="1318">
                  <c:v>33705</c:v>
                </c:pt>
                <c:pt idx="1319">
                  <c:v>33712</c:v>
                </c:pt>
                <c:pt idx="1320">
                  <c:v>33719</c:v>
                </c:pt>
                <c:pt idx="1321">
                  <c:v>33726</c:v>
                </c:pt>
                <c:pt idx="1322">
                  <c:v>33733</c:v>
                </c:pt>
                <c:pt idx="1323">
                  <c:v>33740</c:v>
                </c:pt>
                <c:pt idx="1324">
                  <c:v>33747</c:v>
                </c:pt>
                <c:pt idx="1325">
                  <c:v>33754</c:v>
                </c:pt>
                <c:pt idx="1326">
                  <c:v>33761</c:v>
                </c:pt>
                <c:pt idx="1327">
                  <c:v>33768</c:v>
                </c:pt>
                <c:pt idx="1328">
                  <c:v>33775</c:v>
                </c:pt>
                <c:pt idx="1329">
                  <c:v>33782</c:v>
                </c:pt>
                <c:pt idx="1330">
                  <c:v>33789</c:v>
                </c:pt>
                <c:pt idx="1331">
                  <c:v>33796</c:v>
                </c:pt>
                <c:pt idx="1332">
                  <c:v>33803</c:v>
                </c:pt>
                <c:pt idx="1333">
                  <c:v>33810</c:v>
                </c:pt>
                <c:pt idx="1334">
                  <c:v>33817</c:v>
                </c:pt>
                <c:pt idx="1335">
                  <c:v>33824</c:v>
                </c:pt>
                <c:pt idx="1336">
                  <c:v>33831</c:v>
                </c:pt>
                <c:pt idx="1337">
                  <c:v>33838</c:v>
                </c:pt>
                <c:pt idx="1338">
                  <c:v>33845</c:v>
                </c:pt>
                <c:pt idx="1339">
                  <c:v>33852</c:v>
                </c:pt>
                <c:pt idx="1340">
                  <c:v>33859</c:v>
                </c:pt>
                <c:pt idx="1341">
                  <c:v>33866</c:v>
                </c:pt>
                <c:pt idx="1342">
                  <c:v>33873</c:v>
                </c:pt>
                <c:pt idx="1343">
                  <c:v>33880</c:v>
                </c:pt>
                <c:pt idx="1344">
                  <c:v>33887</c:v>
                </c:pt>
                <c:pt idx="1345">
                  <c:v>33894</c:v>
                </c:pt>
                <c:pt idx="1346">
                  <c:v>33901</c:v>
                </c:pt>
                <c:pt idx="1347">
                  <c:v>33908</c:v>
                </c:pt>
                <c:pt idx="1348">
                  <c:v>33915</c:v>
                </c:pt>
                <c:pt idx="1349">
                  <c:v>33922</c:v>
                </c:pt>
                <c:pt idx="1350">
                  <c:v>33929</c:v>
                </c:pt>
                <c:pt idx="1351">
                  <c:v>33936</c:v>
                </c:pt>
                <c:pt idx="1352">
                  <c:v>33943</c:v>
                </c:pt>
                <c:pt idx="1353">
                  <c:v>33950</c:v>
                </c:pt>
                <c:pt idx="1354">
                  <c:v>33957</c:v>
                </c:pt>
                <c:pt idx="1355">
                  <c:v>33964</c:v>
                </c:pt>
                <c:pt idx="1356">
                  <c:v>33971</c:v>
                </c:pt>
                <c:pt idx="1357">
                  <c:v>33978</c:v>
                </c:pt>
                <c:pt idx="1358">
                  <c:v>33985</c:v>
                </c:pt>
                <c:pt idx="1359">
                  <c:v>33992</c:v>
                </c:pt>
                <c:pt idx="1360">
                  <c:v>33999</c:v>
                </c:pt>
                <c:pt idx="1361">
                  <c:v>34006</c:v>
                </c:pt>
                <c:pt idx="1362">
                  <c:v>34013</c:v>
                </c:pt>
                <c:pt idx="1363">
                  <c:v>34020</c:v>
                </c:pt>
                <c:pt idx="1364">
                  <c:v>34027</c:v>
                </c:pt>
                <c:pt idx="1365">
                  <c:v>34034</c:v>
                </c:pt>
                <c:pt idx="1366">
                  <c:v>34041</c:v>
                </c:pt>
                <c:pt idx="1367">
                  <c:v>34048</c:v>
                </c:pt>
                <c:pt idx="1368">
                  <c:v>34055</c:v>
                </c:pt>
                <c:pt idx="1369">
                  <c:v>34062</c:v>
                </c:pt>
                <c:pt idx="1370">
                  <c:v>34069</c:v>
                </c:pt>
                <c:pt idx="1371">
                  <c:v>34076</c:v>
                </c:pt>
                <c:pt idx="1372">
                  <c:v>34083</c:v>
                </c:pt>
                <c:pt idx="1373">
                  <c:v>34090</c:v>
                </c:pt>
                <c:pt idx="1374">
                  <c:v>34097</c:v>
                </c:pt>
                <c:pt idx="1375">
                  <c:v>34104</c:v>
                </c:pt>
                <c:pt idx="1376">
                  <c:v>34111</c:v>
                </c:pt>
                <c:pt idx="1377">
                  <c:v>34118</c:v>
                </c:pt>
                <c:pt idx="1378">
                  <c:v>34125</c:v>
                </c:pt>
                <c:pt idx="1379">
                  <c:v>34132</c:v>
                </c:pt>
                <c:pt idx="1380">
                  <c:v>34139</c:v>
                </c:pt>
                <c:pt idx="1381">
                  <c:v>34146</c:v>
                </c:pt>
                <c:pt idx="1382">
                  <c:v>34153</c:v>
                </c:pt>
                <c:pt idx="1383">
                  <c:v>34160</c:v>
                </c:pt>
                <c:pt idx="1384">
                  <c:v>34167</c:v>
                </c:pt>
                <c:pt idx="1385">
                  <c:v>34174</c:v>
                </c:pt>
                <c:pt idx="1386">
                  <c:v>34181</c:v>
                </c:pt>
                <c:pt idx="1387">
                  <c:v>34188</c:v>
                </c:pt>
                <c:pt idx="1388">
                  <c:v>34195</c:v>
                </c:pt>
                <c:pt idx="1389">
                  <c:v>34202</c:v>
                </c:pt>
                <c:pt idx="1390">
                  <c:v>34209</c:v>
                </c:pt>
                <c:pt idx="1391">
                  <c:v>34216</c:v>
                </c:pt>
                <c:pt idx="1392">
                  <c:v>34223</c:v>
                </c:pt>
                <c:pt idx="1393">
                  <c:v>34230</c:v>
                </c:pt>
                <c:pt idx="1394">
                  <c:v>34237</c:v>
                </c:pt>
                <c:pt idx="1395">
                  <c:v>34244</c:v>
                </c:pt>
                <c:pt idx="1396">
                  <c:v>34251</c:v>
                </c:pt>
                <c:pt idx="1397">
                  <c:v>34258</c:v>
                </c:pt>
                <c:pt idx="1398">
                  <c:v>34265</c:v>
                </c:pt>
                <c:pt idx="1399">
                  <c:v>34272</c:v>
                </c:pt>
                <c:pt idx="1400">
                  <c:v>34279</c:v>
                </c:pt>
                <c:pt idx="1401">
                  <c:v>34286</c:v>
                </c:pt>
                <c:pt idx="1402">
                  <c:v>34293</c:v>
                </c:pt>
                <c:pt idx="1403">
                  <c:v>34300</c:v>
                </c:pt>
                <c:pt idx="1404">
                  <c:v>34307</c:v>
                </c:pt>
                <c:pt idx="1405">
                  <c:v>34314</c:v>
                </c:pt>
                <c:pt idx="1406">
                  <c:v>34321</c:v>
                </c:pt>
                <c:pt idx="1407">
                  <c:v>34328</c:v>
                </c:pt>
                <c:pt idx="1408">
                  <c:v>34335</c:v>
                </c:pt>
                <c:pt idx="1409">
                  <c:v>34342</c:v>
                </c:pt>
                <c:pt idx="1410">
                  <c:v>34349</c:v>
                </c:pt>
                <c:pt idx="1411">
                  <c:v>34356</c:v>
                </c:pt>
                <c:pt idx="1412">
                  <c:v>34363</c:v>
                </c:pt>
                <c:pt idx="1413">
                  <c:v>34370</c:v>
                </c:pt>
                <c:pt idx="1414">
                  <c:v>34377</c:v>
                </c:pt>
                <c:pt idx="1415">
                  <c:v>34384</c:v>
                </c:pt>
                <c:pt idx="1416">
                  <c:v>34391</c:v>
                </c:pt>
                <c:pt idx="1417">
                  <c:v>34398</c:v>
                </c:pt>
                <c:pt idx="1418">
                  <c:v>34405</c:v>
                </c:pt>
                <c:pt idx="1419">
                  <c:v>34412</c:v>
                </c:pt>
                <c:pt idx="1420">
                  <c:v>34419</c:v>
                </c:pt>
                <c:pt idx="1421">
                  <c:v>34426</c:v>
                </c:pt>
                <c:pt idx="1422">
                  <c:v>34433</c:v>
                </c:pt>
                <c:pt idx="1423">
                  <c:v>34440</c:v>
                </c:pt>
                <c:pt idx="1424">
                  <c:v>34447</c:v>
                </c:pt>
                <c:pt idx="1425">
                  <c:v>34454</c:v>
                </c:pt>
                <c:pt idx="1426">
                  <c:v>34461</c:v>
                </c:pt>
                <c:pt idx="1427">
                  <c:v>34468</c:v>
                </c:pt>
                <c:pt idx="1428">
                  <c:v>34475</c:v>
                </c:pt>
                <c:pt idx="1429">
                  <c:v>34482</c:v>
                </c:pt>
                <c:pt idx="1430">
                  <c:v>34489</c:v>
                </c:pt>
                <c:pt idx="1431">
                  <c:v>34496</c:v>
                </c:pt>
                <c:pt idx="1432">
                  <c:v>34503</c:v>
                </c:pt>
                <c:pt idx="1433">
                  <c:v>34510</c:v>
                </c:pt>
                <c:pt idx="1434">
                  <c:v>34517</c:v>
                </c:pt>
                <c:pt idx="1435">
                  <c:v>34524</c:v>
                </c:pt>
                <c:pt idx="1436">
                  <c:v>34531</c:v>
                </c:pt>
                <c:pt idx="1437">
                  <c:v>34538</c:v>
                </c:pt>
                <c:pt idx="1438">
                  <c:v>34545</c:v>
                </c:pt>
                <c:pt idx="1439">
                  <c:v>34552</c:v>
                </c:pt>
                <c:pt idx="1440">
                  <c:v>34559</c:v>
                </c:pt>
                <c:pt idx="1441">
                  <c:v>34566</c:v>
                </c:pt>
                <c:pt idx="1442">
                  <c:v>34573</c:v>
                </c:pt>
                <c:pt idx="1443">
                  <c:v>34580</c:v>
                </c:pt>
                <c:pt idx="1444">
                  <c:v>34587</c:v>
                </c:pt>
                <c:pt idx="1445">
                  <c:v>34594</c:v>
                </c:pt>
                <c:pt idx="1446">
                  <c:v>34601</c:v>
                </c:pt>
                <c:pt idx="1447">
                  <c:v>34608</c:v>
                </c:pt>
                <c:pt idx="1448">
                  <c:v>34615</c:v>
                </c:pt>
                <c:pt idx="1449">
                  <c:v>34622</c:v>
                </c:pt>
                <c:pt idx="1450">
                  <c:v>34629</c:v>
                </c:pt>
                <c:pt idx="1451">
                  <c:v>34636</c:v>
                </c:pt>
                <c:pt idx="1452">
                  <c:v>34643</c:v>
                </c:pt>
                <c:pt idx="1453">
                  <c:v>34650</c:v>
                </c:pt>
                <c:pt idx="1454">
                  <c:v>34657</c:v>
                </c:pt>
                <c:pt idx="1455">
                  <c:v>34664</c:v>
                </c:pt>
                <c:pt idx="1456">
                  <c:v>34671</c:v>
                </c:pt>
                <c:pt idx="1457">
                  <c:v>34678</c:v>
                </c:pt>
                <c:pt idx="1458">
                  <c:v>34685</c:v>
                </c:pt>
                <c:pt idx="1459">
                  <c:v>34692</c:v>
                </c:pt>
                <c:pt idx="1460">
                  <c:v>34699</c:v>
                </c:pt>
                <c:pt idx="1461">
                  <c:v>34706</c:v>
                </c:pt>
                <c:pt idx="1462">
                  <c:v>34713</c:v>
                </c:pt>
                <c:pt idx="1463">
                  <c:v>34720</c:v>
                </c:pt>
                <c:pt idx="1464">
                  <c:v>34727</c:v>
                </c:pt>
                <c:pt idx="1465">
                  <c:v>34734</c:v>
                </c:pt>
                <c:pt idx="1466">
                  <c:v>34741</c:v>
                </c:pt>
                <c:pt idx="1467">
                  <c:v>34748</c:v>
                </c:pt>
                <c:pt idx="1468">
                  <c:v>34755</c:v>
                </c:pt>
                <c:pt idx="1469">
                  <c:v>34762</c:v>
                </c:pt>
                <c:pt idx="1470">
                  <c:v>34769</c:v>
                </c:pt>
                <c:pt idx="1471">
                  <c:v>34776</c:v>
                </c:pt>
                <c:pt idx="1472">
                  <c:v>34783</c:v>
                </c:pt>
                <c:pt idx="1473">
                  <c:v>34790</c:v>
                </c:pt>
                <c:pt idx="1474">
                  <c:v>34797</c:v>
                </c:pt>
                <c:pt idx="1475">
                  <c:v>34804</c:v>
                </c:pt>
                <c:pt idx="1476">
                  <c:v>34811</c:v>
                </c:pt>
                <c:pt idx="1477">
                  <c:v>34818</c:v>
                </c:pt>
                <c:pt idx="1478">
                  <c:v>34825</c:v>
                </c:pt>
                <c:pt idx="1479">
                  <c:v>34832</c:v>
                </c:pt>
                <c:pt idx="1480">
                  <c:v>34839</c:v>
                </c:pt>
                <c:pt idx="1481">
                  <c:v>34846</c:v>
                </c:pt>
                <c:pt idx="1482">
                  <c:v>34853</c:v>
                </c:pt>
                <c:pt idx="1483">
                  <c:v>34860</c:v>
                </c:pt>
                <c:pt idx="1484">
                  <c:v>34867</c:v>
                </c:pt>
                <c:pt idx="1485">
                  <c:v>34874</c:v>
                </c:pt>
                <c:pt idx="1486">
                  <c:v>34881</c:v>
                </c:pt>
                <c:pt idx="1487">
                  <c:v>34888</c:v>
                </c:pt>
                <c:pt idx="1488">
                  <c:v>34895</c:v>
                </c:pt>
                <c:pt idx="1489">
                  <c:v>34902</c:v>
                </c:pt>
                <c:pt idx="1490">
                  <c:v>34909</c:v>
                </c:pt>
                <c:pt idx="1491">
                  <c:v>34916</c:v>
                </c:pt>
                <c:pt idx="1492">
                  <c:v>34923</c:v>
                </c:pt>
                <c:pt idx="1493">
                  <c:v>34930</c:v>
                </c:pt>
                <c:pt idx="1494">
                  <c:v>34937</c:v>
                </c:pt>
                <c:pt idx="1495">
                  <c:v>34944</c:v>
                </c:pt>
                <c:pt idx="1496">
                  <c:v>34951</c:v>
                </c:pt>
                <c:pt idx="1497">
                  <c:v>34958</c:v>
                </c:pt>
                <c:pt idx="1498">
                  <c:v>34965</c:v>
                </c:pt>
                <c:pt idx="1499">
                  <c:v>34972</c:v>
                </c:pt>
                <c:pt idx="1500">
                  <c:v>34979</c:v>
                </c:pt>
                <c:pt idx="1501">
                  <c:v>34986</c:v>
                </c:pt>
                <c:pt idx="1502">
                  <c:v>34993</c:v>
                </c:pt>
                <c:pt idx="1503">
                  <c:v>35000</c:v>
                </c:pt>
                <c:pt idx="1504">
                  <c:v>35007</c:v>
                </c:pt>
                <c:pt idx="1505">
                  <c:v>35014</c:v>
                </c:pt>
                <c:pt idx="1506">
                  <c:v>35021</c:v>
                </c:pt>
                <c:pt idx="1507">
                  <c:v>35028</c:v>
                </c:pt>
                <c:pt idx="1508">
                  <c:v>35035</c:v>
                </c:pt>
                <c:pt idx="1509">
                  <c:v>35042</c:v>
                </c:pt>
                <c:pt idx="1510">
                  <c:v>35049</c:v>
                </c:pt>
                <c:pt idx="1511">
                  <c:v>35056</c:v>
                </c:pt>
                <c:pt idx="1512">
                  <c:v>35063</c:v>
                </c:pt>
                <c:pt idx="1513">
                  <c:v>35070</c:v>
                </c:pt>
                <c:pt idx="1514">
                  <c:v>35077</c:v>
                </c:pt>
                <c:pt idx="1515">
                  <c:v>35084</c:v>
                </c:pt>
                <c:pt idx="1516">
                  <c:v>35091</c:v>
                </c:pt>
                <c:pt idx="1517">
                  <c:v>35098</c:v>
                </c:pt>
                <c:pt idx="1518">
                  <c:v>35105</c:v>
                </c:pt>
                <c:pt idx="1519">
                  <c:v>35112</c:v>
                </c:pt>
                <c:pt idx="1520">
                  <c:v>35119</c:v>
                </c:pt>
                <c:pt idx="1521">
                  <c:v>35126</c:v>
                </c:pt>
                <c:pt idx="1522">
                  <c:v>35133</c:v>
                </c:pt>
                <c:pt idx="1523">
                  <c:v>35140</c:v>
                </c:pt>
                <c:pt idx="1524">
                  <c:v>35147</c:v>
                </c:pt>
                <c:pt idx="1525">
                  <c:v>35154</c:v>
                </c:pt>
                <c:pt idx="1526">
                  <c:v>35161</c:v>
                </c:pt>
                <c:pt idx="1527">
                  <c:v>35168</c:v>
                </c:pt>
                <c:pt idx="1528">
                  <c:v>35175</c:v>
                </c:pt>
                <c:pt idx="1529">
                  <c:v>35182</c:v>
                </c:pt>
                <c:pt idx="1530">
                  <c:v>35189</c:v>
                </c:pt>
                <c:pt idx="1531">
                  <c:v>35196</c:v>
                </c:pt>
                <c:pt idx="1532">
                  <c:v>35203</c:v>
                </c:pt>
                <c:pt idx="1533">
                  <c:v>35210</c:v>
                </c:pt>
                <c:pt idx="1534">
                  <c:v>35217</c:v>
                </c:pt>
                <c:pt idx="1535">
                  <c:v>35224</c:v>
                </c:pt>
                <c:pt idx="1536">
                  <c:v>35231</c:v>
                </c:pt>
                <c:pt idx="1537">
                  <c:v>35238</c:v>
                </c:pt>
                <c:pt idx="1538">
                  <c:v>35245</c:v>
                </c:pt>
                <c:pt idx="1539">
                  <c:v>35252</c:v>
                </c:pt>
                <c:pt idx="1540">
                  <c:v>35259</c:v>
                </c:pt>
                <c:pt idx="1541">
                  <c:v>35266</c:v>
                </c:pt>
                <c:pt idx="1542">
                  <c:v>35273</c:v>
                </c:pt>
                <c:pt idx="1543">
                  <c:v>35280</c:v>
                </c:pt>
                <c:pt idx="1544">
                  <c:v>35287</c:v>
                </c:pt>
                <c:pt idx="1545">
                  <c:v>35294</c:v>
                </c:pt>
                <c:pt idx="1546">
                  <c:v>35301</c:v>
                </c:pt>
                <c:pt idx="1547">
                  <c:v>35308</c:v>
                </c:pt>
                <c:pt idx="1548">
                  <c:v>35315</c:v>
                </c:pt>
                <c:pt idx="1549">
                  <c:v>35322</c:v>
                </c:pt>
                <c:pt idx="1550">
                  <c:v>35329</c:v>
                </c:pt>
                <c:pt idx="1551">
                  <c:v>35336</c:v>
                </c:pt>
                <c:pt idx="1552">
                  <c:v>35343</c:v>
                </c:pt>
                <c:pt idx="1553">
                  <c:v>35350</c:v>
                </c:pt>
                <c:pt idx="1554">
                  <c:v>35357</c:v>
                </c:pt>
                <c:pt idx="1555">
                  <c:v>35364</c:v>
                </c:pt>
                <c:pt idx="1556">
                  <c:v>35371</c:v>
                </c:pt>
                <c:pt idx="1557">
                  <c:v>35378</c:v>
                </c:pt>
                <c:pt idx="1558">
                  <c:v>35385</c:v>
                </c:pt>
                <c:pt idx="1559">
                  <c:v>35392</c:v>
                </c:pt>
                <c:pt idx="1560">
                  <c:v>35399</c:v>
                </c:pt>
                <c:pt idx="1561">
                  <c:v>35406</c:v>
                </c:pt>
                <c:pt idx="1562">
                  <c:v>35413</c:v>
                </c:pt>
                <c:pt idx="1563">
                  <c:v>35420</c:v>
                </c:pt>
                <c:pt idx="1564">
                  <c:v>35427</c:v>
                </c:pt>
                <c:pt idx="1565">
                  <c:v>35434</c:v>
                </c:pt>
                <c:pt idx="1566">
                  <c:v>35441</c:v>
                </c:pt>
                <c:pt idx="1567">
                  <c:v>35448</c:v>
                </c:pt>
                <c:pt idx="1568">
                  <c:v>35455</c:v>
                </c:pt>
                <c:pt idx="1569">
                  <c:v>35462</c:v>
                </c:pt>
                <c:pt idx="1570">
                  <c:v>35469</c:v>
                </c:pt>
                <c:pt idx="1571">
                  <c:v>35476</c:v>
                </c:pt>
                <c:pt idx="1572">
                  <c:v>35483</c:v>
                </c:pt>
                <c:pt idx="1573">
                  <c:v>35490</c:v>
                </c:pt>
                <c:pt idx="1574">
                  <c:v>35497</c:v>
                </c:pt>
                <c:pt idx="1575">
                  <c:v>35504</c:v>
                </c:pt>
                <c:pt idx="1576">
                  <c:v>35511</c:v>
                </c:pt>
                <c:pt idx="1577">
                  <c:v>35518</c:v>
                </c:pt>
                <c:pt idx="1578">
                  <c:v>35525</c:v>
                </c:pt>
                <c:pt idx="1579">
                  <c:v>35532</c:v>
                </c:pt>
                <c:pt idx="1580">
                  <c:v>35539</c:v>
                </c:pt>
                <c:pt idx="1581">
                  <c:v>35546</c:v>
                </c:pt>
                <c:pt idx="1582">
                  <c:v>35553</c:v>
                </c:pt>
                <c:pt idx="1583">
                  <c:v>35560</c:v>
                </c:pt>
                <c:pt idx="1584">
                  <c:v>35567</c:v>
                </c:pt>
                <c:pt idx="1585">
                  <c:v>35574</c:v>
                </c:pt>
                <c:pt idx="1586">
                  <c:v>35581</c:v>
                </c:pt>
                <c:pt idx="1587">
                  <c:v>35588</c:v>
                </c:pt>
                <c:pt idx="1588">
                  <c:v>35595</c:v>
                </c:pt>
                <c:pt idx="1589">
                  <c:v>35602</c:v>
                </c:pt>
                <c:pt idx="1590">
                  <c:v>35609</c:v>
                </c:pt>
                <c:pt idx="1591">
                  <c:v>35616</c:v>
                </c:pt>
                <c:pt idx="1592">
                  <c:v>35623</c:v>
                </c:pt>
                <c:pt idx="1593">
                  <c:v>35630</c:v>
                </c:pt>
                <c:pt idx="1594">
                  <c:v>35637</c:v>
                </c:pt>
                <c:pt idx="1595">
                  <c:v>35644</c:v>
                </c:pt>
                <c:pt idx="1596">
                  <c:v>35651</c:v>
                </c:pt>
                <c:pt idx="1597">
                  <c:v>35658</c:v>
                </c:pt>
                <c:pt idx="1598">
                  <c:v>35665</c:v>
                </c:pt>
                <c:pt idx="1599">
                  <c:v>35672</c:v>
                </c:pt>
                <c:pt idx="1600">
                  <c:v>35679</c:v>
                </c:pt>
                <c:pt idx="1601">
                  <c:v>35686</c:v>
                </c:pt>
                <c:pt idx="1602">
                  <c:v>35693</c:v>
                </c:pt>
                <c:pt idx="1603">
                  <c:v>35700</c:v>
                </c:pt>
                <c:pt idx="1604">
                  <c:v>35707</c:v>
                </c:pt>
                <c:pt idx="1605">
                  <c:v>35714</c:v>
                </c:pt>
                <c:pt idx="1606">
                  <c:v>35721</c:v>
                </c:pt>
                <c:pt idx="1607">
                  <c:v>35728</c:v>
                </c:pt>
                <c:pt idx="1608">
                  <c:v>35735</c:v>
                </c:pt>
                <c:pt idx="1609">
                  <c:v>35742</c:v>
                </c:pt>
                <c:pt idx="1610">
                  <c:v>35749</c:v>
                </c:pt>
                <c:pt idx="1611">
                  <c:v>35756</c:v>
                </c:pt>
                <c:pt idx="1612">
                  <c:v>35763</c:v>
                </c:pt>
                <c:pt idx="1613">
                  <c:v>35770</c:v>
                </c:pt>
                <c:pt idx="1614">
                  <c:v>35777</c:v>
                </c:pt>
                <c:pt idx="1615">
                  <c:v>35784</c:v>
                </c:pt>
                <c:pt idx="1616">
                  <c:v>35791</c:v>
                </c:pt>
                <c:pt idx="1617">
                  <c:v>35798</c:v>
                </c:pt>
                <c:pt idx="1618">
                  <c:v>35805</c:v>
                </c:pt>
                <c:pt idx="1619">
                  <c:v>35812</c:v>
                </c:pt>
                <c:pt idx="1620">
                  <c:v>35819</c:v>
                </c:pt>
                <c:pt idx="1621">
                  <c:v>35826</c:v>
                </c:pt>
                <c:pt idx="1622">
                  <c:v>35833</c:v>
                </c:pt>
                <c:pt idx="1623">
                  <c:v>35840</c:v>
                </c:pt>
                <c:pt idx="1624">
                  <c:v>35847</c:v>
                </c:pt>
                <c:pt idx="1625">
                  <c:v>35854</c:v>
                </c:pt>
                <c:pt idx="1626">
                  <c:v>35861</c:v>
                </c:pt>
                <c:pt idx="1627">
                  <c:v>35868</c:v>
                </c:pt>
                <c:pt idx="1628">
                  <c:v>35875</c:v>
                </c:pt>
                <c:pt idx="1629">
                  <c:v>35882</c:v>
                </c:pt>
                <c:pt idx="1630">
                  <c:v>35889</c:v>
                </c:pt>
                <c:pt idx="1631">
                  <c:v>35896</c:v>
                </c:pt>
                <c:pt idx="1632">
                  <c:v>35903</c:v>
                </c:pt>
                <c:pt idx="1633">
                  <c:v>35910</c:v>
                </c:pt>
                <c:pt idx="1634">
                  <c:v>35917</c:v>
                </c:pt>
                <c:pt idx="1635">
                  <c:v>35924</c:v>
                </c:pt>
                <c:pt idx="1636">
                  <c:v>35931</c:v>
                </c:pt>
                <c:pt idx="1637">
                  <c:v>35938</c:v>
                </c:pt>
                <c:pt idx="1638">
                  <c:v>35945</c:v>
                </c:pt>
                <c:pt idx="1639">
                  <c:v>35952</c:v>
                </c:pt>
                <c:pt idx="1640">
                  <c:v>35959</c:v>
                </c:pt>
                <c:pt idx="1641">
                  <c:v>35966</c:v>
                </c:pt>
                <c:pt idx="1642">
                  <c:v>35973</c:v>
                </c:pt>
                <c:pt idx="1643">
                  <c:v>35980</c:v>
                </c:pt>
                <c:pt idx="1644">
                  <c:v>35987</c:v>
                </c:pt>
                <c:pt idx="1645">
                  <c:v>35994</c:v>
                </c:pt>
                <c:pt idx="1646">
                  <c:v>36001</c:v>
                </c:pt>
                <c:pt idx="1647">
                  <c:v>36008</c:v>
                </c:pt>
                <c:pt idx="1648">
                  <c:v>36015</c:v>
                </c:pt>
                <c:pt idx="1649">
                  <c:v>36022</c:v>
                </c:pt>
                <c:pt idx="1650">
                  <c:v>36029</c:v>
                </c:pt>
                <c:pt idx="1651">
                  <c:v>36036</c:v>
                </c:pt>
                <c:pt idx="1652">
                  <c:v>36043</c:v>
                </c:pt>
                <c:pt idx="1653">
                  <c:v>36050</c:v>
                </c:pt>
                <c:pt idx="1654">
                  <c:v>36057</c:v>
                </c:pt>
                <c:pt idx="1655">
                  <c:v>36064</c:v>
                </c:pt>
                <c:pt idx="1656">
                  <c:v>36071</c:v>
                </c:pt>
                <c:pt idx="1657">
                  <c:v>36078</c:v>
                </c:pt>
                <c:pt idx="1658">
                  <c:v>36085</c:v>
                </c:pt>
                <c:pt idx="1659">
                  <c:v>36092</c:v>
                </c:pt>
                <c:pt idx="1660">
                  <c:v>36099</c:v>
                </c:pt>
                <c:pt idx="1661">
                  <c:v>36106</c:v>
                </c:pt>
                <c:pt idx="1662">
                  <c:v>36113</c:v>
                </c:pt>
                <c:pt idx="1663">
                  <c:v>36120</c:v>
                </c:pt>
                <c:pt idx="1664">
                  <c:v>36127</c:v>
                </c:pt>
                <c:pt idx="1665">
                  <c:v>36134</c:v>
                </c:pt>
                <c:pt idx="1666">
                  <c:v>36141</c:v>
                </c:pt>
                <c:pt idx="1667">
                  <c:v>36148</c:v>
                </c:pt>
                <c:pt idx="1668">
                  <c:v>36155</c:v>
                </c:pt>
                <c:pt idx="1669">
                  <c:v>36162</c:v>
                </c:pt>
                <c:pt idx="1670">
                  <c:v>36169</c:v>
                </c:pt>
                <c:pt idx="1671">
                  <c:v>36176</c:v>
                </c:pt>
                <c:pt idx="1672">
                  <c:v>36183</c:v>
                </c:pt>
                <c:pt idx="1673">
                  <c:v>36190</c:v>
                </c:pt>
                <c:pt idx="1674">
                  <c:v>36197</c:v>
                </c:pt>
                <c:pt idx="1675">
                  <c:v>36204</c:v>
                </c:pt>
                <c:pt idx="1676">
                  <c:v>36211</c:v>
                </c:pt>
                <c:pt idx="1677">
                  <c:v>36218</c:v>
                </c:pt>
                <c:pt idx="1678">
                  <c:v>36225</c:v>
                </c:pt>
                <c:pt idx="1679">
                  <c:v>36232</c:v>
                </c:pt>
                <c:pt idx="1680">
                  <c:v>36239</c:v>
                </c:pt>
                <c:pt idx="1681">
                  <c:v>36246</c:v>
                </c:pt>
                <c:pt idx="1682">
                  <c:v>36253</c:v>
                </c:pt>
                <c:pt idx="1683">
                  <c:v>36260</c:v>
                </c:pt>
                <c:pt idx="1684">
                  <c:v>36267</c:v>
                </c:pt>
                <c:pt idx="1685">
                  <c:v>36274</c:v>
                </c:pt>
                <c:pt idx="1686">
                  <c:v>36281</c:v>
                </c:pt>
                <c:pt idx="1687">
                  <c:v>36288</c:v>
                </c:pt>
                <c:pt idx="1688">
                  <c:v>36295</c:v>
                </c:pt>
                <c:pt idx="1689">
                  <c:v>36302</c:v>
                </c:pt>
                <c:pt idx="1690">
                  <c:v>36309</c:v>
                </c:pt>
                <c:pt idx="1691">
                  <c:v>36316</c:v>
                </c:pt>
                <c:pt idx="1692">
                  <c:v>36323</c:v>
                </c:pt>
                <c:pt idx="1693">
                  <c:v>36330</c:v>
                </c:pt>
                <c:pt idx="1694">
                  <c:v>36337</c:v>
                </c:pt>
                <c:pt idx="1695">
                  <c:v>36344</c:v>
                </c:pt>
                <c:pt idx="1696">
                  <c:v>36351</c:v>
                </c:pt>
                <c:pt idx="1697">
                  <c:v>36358</c:v>
                </c:pt>
                <c:pt idx="1698">
                  <c:v>36365</c:v>
                </c:pt>
                <c:pt idx="1699">
                  <c:v>36372</c:v>
                </c:pt>
                <c:pt idx="1700">
                  <c:v>36379</c:v>
                </c:pt>
                <c:pt idx="1701">
                  <c:v>36386</c:v>
                </c:pt>
                <c:pt idx="1702">
                  <c:v>36393</c:v>
                </c:pt>
                <c:pt idx="1703">
                  <c:v>36400</c:v>
                </c:pt>
                <c:pt idx="1704">
                  <c:v>36407</c:v>
                </c:pt>
                <c:pt idx="1705">
                  <c:v>36414</c:v>
                </c:pt>
                <c:pt idx="1706">
                  <c:v>36421</c:v>
                </c:pt>
                <c:pt idx="1707">
                  <c:v>36428</c:v>
                </c:pt>
                <c:pt idx="1708">
                  <c:v>36435</c:v>
                </c:pt>
                <c:pt idx="1709">
                  <c:v>36442</c:v>
                </c:pt>
                <c:pt idx="1710">
                  <c:v>36449</c:v>
                </c:pt>
                <c:pt idx="1711">
                  <c:v>36456</c:v>
                </c:pt>
                <c:pt idx="1712">
                  <c:v>36463</c:v>
                </c:pt>
                <c:pt idx="1713">
                  <c:v>36470</c:v>
                </c:pt>
                <c:pt idx="1714">
                  <c:v>36477</c:v>
                </c:pt>
                <c:pt idx="1715">
                  <c:v>36484</c:v>
                </c:pt>
                <c:pt idx="1716">
                  <c:v>36491</c:v>
                </c:pt>
                <c:pt idx="1717">
                  <c:v>36498</c:v>
                </c:pt>
                <c:pt idx="1718">
                  <c:v>36505</c:v>
                </c:pt>
                <c:pt idx="1719">
                  <c:v>36512</c:v>
                </c:pt>
                <c:pt idx="1720">
                  <c:v>36519</c:v>
                </c:pt>
                <c:pt idx="1721">
                  <c:v>36526</c:v>
                </c:pt>
                <c:pt idx="1722">
                  <c:v>36533</c:v>
                </c:pt>
                <c:pt idx="1723">
                  <c:v>36540</c:v>
                </c:pt>
                <c:pt idx="1724">
                  <c:v>36547</c:v>
                </c:pt>
                <c:pt idx="1725">
                  <c:v>36554</c:v>
                </c:pt>
                <c:pt idx="1726">
                  <c:v>36561</c:v>
                </c:pt>
                <c:pt idx="1727">
                  <c:v>36568</c:v>
                </c:pt>
                <c:pt idx="1728">
                  <c:v>36575</c:v>
                </c:pt>
                <c:pt idx="1729">
                  <c:v>36582</c:v>
                </c:pt>
                <c:pt idx="1730">
                  <c:v>36589</c:v>
                </c:pt>
                <c:pt idx="1731">
                  <c:v>36596</c:v>
                </c:pt>
                <c:pt idx="1732">
                  <c:v>36603</c:v>
                </c:pt>
                <c:pt idx="1733">
                  <c:v>36610</c:v>
                </c:pt>
                <c:pt idx="1734">
                  <c:v>36617</c:v>
                </c:pt>
                <c:pt idx="1735">
                  <c:v>36624</c:v>
                </c:pt>
                <c:pt idx="1736">
                  <c:v>36631</c:v>
                </c:pt>
                <c:pt idx="1737">
                  <c:v>36638</c:v>
                </c:pt>
                <c:pt idx="1738">
                  <c:v>36645</c:v>
                </c:pt>
                <c:pt idx="1739">
                  <c:v>36652</c:v>
                </c:pt>
                <c:pt idx="1740">
                  <c:v>36659</c:v>
                </c:pt>
                <c:pt idx="1741">
                  <c:v>36666</c:v>
                </c:pt>
                <c:pt idx="1742">
                  <c:v>36673</c:v>
                </c:pt>
                <c:pt idx="1743">
                  <c:v>36680</c:v>
                </c:pt>
                <c:pt idx="1744">
                  <c:v>36687</c:v>
                </c:pt>
                <c:pt idx="1745">
                  <c:v>36694</c:v>
                </c:pt>
                <c:pt idx="1746">
                  <c:v>36701</c:v>
                </c:pt>
                <c:pt idx="1747">
                  <c:v>36708</c:v>
                </c:pt>
                <c:pt idx="1748">
                  <c:v>36715</c:v>
                </c:pt>
                <c:pt idx="1749">
                  <c:v>36722</c:v>
                </c:pt>
                <c:pt idx="1750">
                  <c:v>36729</c:v>
                </c:pt>
                <c:pt idx="1751">
                  <c:v>36736</c:v>
                </c:pt>
                <c:pt idx="1752">
                  <c:v>36743</c:v>
                </c:pt>
                <c:pt idx="1753">
                  <c:v>36750</c:v>
                </c:pt>
                <c:pt idx="1754">
                  <c:v>36757</c:v>
                </c:pt>
                <c:pt idx="1755">
                  <c:v>36764</c:v>
                </c:pt>
                <c:pt idx="1756">
                  <c:v>36771</c:v>
                </c:pt>
                <c:pt idx="1757">
                  <c:v>36778</c:v>
                </c:pt>
                <c:pt idx="1758">
                  <c:v>36785</c:v>
                </c:pt>
                <c:pt idx="1759">
                  <c:v>36792</c:v>
                </c:pt>
                <c:pt idx="1760">
                  <c:v>36799</c:v>
                </c:pt>
                <c:pt idx="1761">
                  <c:v>36806</c:v>
                </c:pt>
                <c:pt idx="1762">
                  <c:v>36813</c:v>
                </c:pt>
                <c:pt idx="1763">
                  <c:v>36820</c:v>
                </c:pt>
                <c:pt idx="1764">
                  <c:v>36827</c:v>
                </c:pt>
                <c:pt idx="1765">
                  <c:v>36834</c:v>
                </c:pt>
                <c:pt idx="1766">
                  <c:v>36841</c:v>
                </c:pt>
                <c:pt idx="1767">
                  <c:v>36848</c:v>
                </c:pt>
                <c:pt idx="1768">
                  <c:v>36855</c:v>
                </c:pt>
                <c:pt idx="1769">
                  <c:v>36862</c:v>
                </c:pt>
                <c:pt idx="1770">
                  <c:v>36869</c:v>
                </c:pt>
                <c:pt idx="1771">
                  <c:v>36876</c:v>
                </c:pt>
                <c:pt idx="1772">
                  <c:v>36883</c:v>
                </c:pt>
                <c:pt idx="1773">
                  <c:v>36890</c:v>
                </c:pt>
                <c:pt idx="1774">
                  <c:v>36897</c:v>
                </c:pt>
                <c:pt idx="1775">
                  <c:v>36904</c:v>
                </c:pt>
                <c:pt idx="1776">
                  <c:v>36911</c:v>
                </c:pt>
                <c:pt idx="1777">
                  <c:v>36918</c:v>
                </c:pt>
                <c:pt idx="1778">
                  <c:v>36925</c:v>
                </c:pt>
                <c:pt idx="1779">
                  <c:v>36932</c:v>
                </c:pt>
                <c:pt idx="1780">
                  <c:v>36939</c:v>
                </c:pt>
                <c:pt idx="1781">
                  <c:v>36946</c:v>
                </c:pt>
                <c:pt idx="1782">
                  <c:v>36953</c:v>
                </c:pt>
                <c:pt idx="1783">
                  <c:v>36960</c:v>
                </c:pt>
                <c:pt idx="1784">
                  <c:v>36967</c:v>
                </c:pt>
                <c:pt idx="1785">
                  <c:v>36974</c:v>
                </c:pt>
                <c:pt idx="1786">
                  <c:v>36981</c:v>
                </c:pt>
                <c:pt idx="1787">
                  <c:v>36988</c:v>
                </c:pt>
                <c:pt idx="1788">
                  <c:v>36995</c:v>
                </c:pt>
                <c:pt idx="1789">
                  <c:v>37002</c:v>
                </c:pt>
                <c:pt idx="1790">
                  <c:v>37009</c:v>
                </c:pt>
                <c:pt idx="1791">
                  <c:v>37016</c:v>
                </c:pt>
                <c:pt idx="1792">
                  <c:v>37023</c:v>
                </c:pt>
                <c:pt idx="1793">
                  <c:v>37030</c:v>
                </c:pt>
                <c:pt idx="1794">
                  <c:v>37037</c:v>
                </c:pt>
                <c:pt idx="1795">
                  <c:v>37044</c:v>
                </c:pt>
                <c:pt idx="1796">
                  <c:v>37051</c:v>
                </c:pt>
                <c:pt idx="1797">
                  <c:v>37058</c:v>
                </c:pt>
                <c:pt idx="1798">
                  <c:v>37065</c:v>
                </c:pt>
                <c:pt idx="1799">
                  <c:v>37072</c:v>
                </c:pt>
                <c:pt idx="1800">
                  <c:v>37079</c:v>
                </c:pt>
                <c:pt idx="1801">
                  <c:v>37086</c:v>
                </c:pt>
                <c:pt idx="1802">
                  <c:v>37093</c:v>
                </c:pt>
                <c:pt idx="1803">
                  <c:v>37100</c:v>
                </c:pt>
                <c:pt idx="1804">
                  <c:v>37107</c:v>
                </c:pt>
                <c:pt idx="1805">
                  <c:v>37114</c:v>
                </c:pt>
                <c:pt idx="1806">
                  <c:v>37121</c:v>
                </c:pt>
                <c:pt idx="1807">
                  <c:v>37128</c:v>
                </c:pt>
                <c:pt idx="1808">
                  <c:v>37135</c:v>
                </c:pt>
                <c:pt idx="1809">
                  <c:v>37142</c:v>
                </c:pt>
                <c:pt idx="1810">
                  <c:v>37149</c:v>
                </c:pt>
                <c:pt idx="1811">
                  <c:v>37156</c:v>
                </c:pt>
                <c:pt idx="1812">
                  <c:v>37163</c:v>
                </c:pt>
                <c:pt idx="1813">
                  <c:v>37170</c:v>
                </c:pt>
                <c:pt idx="1814">
                  <c:v>37177</c:v>
                </c:pt>
                <c:pt idx="1815">
                  <c:v>37184</c:v>
                </c:pt>
                <c:pt idx="1816">
                  <c:v>37191</c:v>
                </c:pt>
                <c:pt idx="1817">
                  <c:v>37198</c:v>
                </c:pt>
                <c:pt idx="1818">
                  <c:v>37205</c:v>
                </c:pt>
                <c:pt idx="1819">
                  <c:v>37212</c:v>
                </c:pt>
                <c:pt idx="1820">
                  <c:v>37219</c:v>
                </c:pt>
                <c:pt idx="1821">
                  <c:v>37226</c:v>
                </c:pt>
                <c:pt idx="1822">
                  <c:v>37233</c:v>
                </c:pt>
                <c:pt idx="1823">
                  <c:v>37240</c:v>
                </c:pt>
                <c:pt idx="1824">
                  <c:v>37247</c:v>
                </c:pt>
                <c:pt idx="1825">
                  <c:v>37254</c:v>
                </c:pt>
                <c:pt idx="1826">
                  <c:v>37261</c:v>
                </c:pt>
                <c:pt idx="1827">
                  <c:v>37268</c:v>
                </c:pt>
                <c:pt idx="1828">
                  <c:v>37275</c:v>
                </c:pt>
                <c:pt idx="1829">
                  <c:v>37282</c:v>
                </c:pt>
                <c:pt idx="1830">
                  <c:v>37289</c:v>
                </c:pt>
                <c:pt idx="1831">
                  <c:v>37296</c:v>
                </c:pt>
                <c:pt idx="1832">
                  <c:v>37303</c:v>
                </c:pt>
                <c:pt idx="1833">
                  <c:v>37310</c:v>
                </c:pt>
                <c:pt idx="1834">
                  <c:v>37317</c:v>
                </c:pt>
                <c:pt idx="1835">
                  <c:v>37324</c:v>
                </c:pt>
                <c:pt idx="1836">
                  <c:v>37331</c:v>
                </c:pt>
                <c:pt idx="1837">
                  <c:v>37338</c:v>
                </c:pt>
                <c:pt idx="1838">
                  <c:v>37345</c:v>
                </c:pt>
                <c:pt idx="1839">
                  <c:v>37352</c:v>
                </c:pt>
                <c:pt idx="1840">
                  <c:v>37359</c:v>
                </c:pt>
                <c:pt idx="1841">
                  <c:v>37366</c:v>
                </c:pt>
                <c:pt idx="1842">
                  <c:v>37373</c:v>
                </c:pt>
                <c:pt idx="1843">
                  <c:v>37380</c:v>
                </c:pt>
                <c:pt idx="1844">
                  <c:v>37387</c:v>
                </c:pt>
                <c:pt idx="1845">
                  <c:v>37394</c:v>
                </c:pt>
                <c:pt idx="1846">
                  <c:v>37401</c:v>
                </c:pt>
                <c:pt idx="1847">
                  <c:v>37408</c:v>
                </c:pt>
                <c:pt idx="1848">
                  <c:v>37415</c:v>
                </c:pt>
                <c:pt idx="1849">
                  <c:v>37422</c:v>
                </c:pt>
                <c:pt idx="1850">
                  <c:v>37429</c:v>
                </c:pt>
                <c:pt idx="1851">
                  <c:v>37436</c:v>
                </c:pt>
                <c:pt idx="1852">
                  <c:v>37443</c:v>
                </c:pt>
                <c:pt idx="1853">
                  <c:v>37450</c:v>
                </c:pt>
                <c:pt idx="1854">
                  <c:v>37457</c:v>
                </c:pt>
                <c:pt idx="1855">
                  <c:v>37464</c:v>
                </c:pt>
                <c:pt idx="1856">
                  <c:v>37471</c:v>
                </c:pt>
                <c:pt idx="1857">
                  <c:v>37478</c:v>
                </c:pt>
                <c:pt idx="1858">
                  <c:v>37485</c:v>
                </c:pt>
                <c:pt idx="1859">
                  <c:v>37492</c:v>
                </c:pt>
                <c:pt idx="1860">
                  <c:v>37499</c:v>
                </c:pt>
                <c:pt idx="1861">
                  <c:v>37506</c:v>
                </c:pt>
                <c:pt idx="1862">
                  <c:v>37513</c:v>
                </c:pt>
                <c:pt idx="1863">
                  <c:v>37520</c:v>
                </c:pt>
                <c:pt idx="1864">
                  <c:v>37527</c:v>
                </c:pt>
                <c:pt idx="1865">
                  <c:v>37534</c:v>
                </c:pt>
                <c:pt idx="1866">
                  <c:v>37541</c:v>
                </c:pt>
                <c:pt idx="1867">
                  <c:v>37548</c:v>
                </c:pt>
                <c:pt idx="1868">
                  <c:v>37555</c:v>
                </c:pt>
                <c:pt idx="1869">
                  <c:v>37562</c:v>
                </c:pt>
                <c:pt idx="1870">
                  <c:v>37569</c:v>
                </c:pt>
                <c:pt idx="1871">
                  <c:v>37576</c:v>
                </c:pt>
                <c:pt idx="1872">
                  <c:v>37583</c:v>
                </c:pt>
                <c:pt idx="1873">
                  <c:v>37590</c:v>
                </c:pt>
                <c:pt idx="1874">
                  <c:v>37597</c:v>
                </c:pt>
                <c:pt idx="1875">
                  <c:v>37604</c:v>
                </c:pt>
                <c:pt idx="1876">
                  <c:v>37611</c:v>
                </c:pt>
                <c:pt idx="1877">
                  <c:v>37618</c:v>
                </c:pt>
                <c:pt idx="1878">
                  <c:v>37625</c:v>
                </c:pt>
                <c:pt idx="1879">
                  <c:v>37632</c:v>
                </c:pt>
                <c:pt idx="1880">
                  <c:v>37639</c:v>
                </c:pt>
                <c:pt idx="1881">
                  <c:v>37646</c:v>
                </c:pt>
                <c:pt idx="1882">
                  <c:v>37653</c:v>
                </c:pt>
                <c:pt idx="1883">
                  <c:v>37660</c:v>
                </c:pt>
                <c:pt idx="1884">
                  <c:v>37667</c:v>
                </c:pt>
                <c:pt idx="1885">
                  <c:v>37674</c:v>
                </c:pt>
                <c:pt idx="1886">
                  <c:v>37681</c:v>
                </c:pt>
                <c:pt idx="1887">
                  <c:v>37688</c:v>
                </c:pt>
                <c:pt idx="1888">
                  <c:v>37695</c:v>
                </c:pt>
                <c:pt idx="1889">
                  <c:v>37702</c:v>
                </c:pt>
                <c:pt idx="1890">
                  <c:v>37709</c:v>
                </c:pt>
                <c:pt idx="1891">
                  <c:v>37716</c:v>
                </c:pt>
                <c:pt idx="1892">
                  <c:v>37723</c:v>
                </c:pt>
                <c:pt idx="1893">
                  <c:v>37730</c:v>
                </c:pt>
                <c:pt idx="1894">
                  <c:v>37737</c:v>
                </c:pt>
                <c:pt idx="1895">
                  <c:v>37744</c:v>
                </c:pt>
                <c:pt idx="1896">
                  <c:v>37751</c:v>
                </c:pt>
                <c:pt idx="1897">
                  <c:v>37758</c:v>
                </c:pt>
                <c:pt idx="1898">
                  <c:v>37765</c:v>
                </c:pt>
                <c:pt idx="1899">
                  <c:v>37772</c:v>
                </c:pt>
                <c:pt idx="1900">
                  <c:v>37779</c:v>
                </c:pt>
                <c:pt idx="1901">
                  <c:v>37786</c:v>
                </c:pt>
                <c:pt idx="1902">
                  <c:v>37793</c:v>
                </c:pt>
                <c:pt idx="1903">
                  <c:v>37800</c:v>
                </c:pt>
                <c:pt idx="1904">
                  <c:v>37807</c:v>
                </c:pt>
                <c:pt idx="1905">
                  <c:v>37814</c:v>
                </c:pt>
                <c:pt idx="1906">
                  <c:v>37821</c:v>
                </c:pt>
                <c:pt idx="1907">
                  <c:v>37828</c:v>
                </c:pt>
                <c:pt idx="1908">
                  <c:v>37835</c:v>
                </c:pt>
                <c:pt idx="1909">
                  <c:v>37842</c:v>
                </c:pt>
                <c:pt idx="1910">
                  <c:v>37849</c:v>
                </c:pt>
                <c:pt idx="1911">
                  <c:v>37856</c:v>
                </c:pt>
                <c:pt idx="1912">
                  <c:v>37863</c:v>
                </c:pt>
                <c:pt idx="1913">
                  <c:v>37870</c:v>
                </c:pt>
                <c:pt idx="1914">
                  <c:v>37877</c:v>
                </c:pt>
                <c:pt idx="1915">
                  <c:v>37884</c:v>
                </c:pt>
                <c:pt idx="1916">
                  <c:v>37891</c:v>
                </c:pt>
                <c:pt idx="1917">
                  <c:v>37898</c:v>
                </c:pt>
                <c:pt idx="1918">
                  <c:v>37905</c:v>
                </c:pt>
                <c:pt idx="1919">
                  <c:v>37912</c:v>
                </c:pt>
                <c:pt idx="1920">
                  <c:v>37919</c:v>
                </c:pt>
                <c:pt idx="1921">
                  <c:v>37926</c:v>
                </c:pt>
                <c:pt idx="1922">
                  <c:v>37933</c:v>
                </c:pt>
                <c:pt idx="1923">
                  <c:v>37940</c:v>
                </c:pt>
                <c:pt idx="1924">
                  <c:v>37947</c:v>
                </c:pt>
                <c:pt idx="1925">
                  <c:v>37954</c:v>
                </c:pt>
                <c:pt idx="1926">
                  <c:v>37961</c:v>
                </c:pt>
                <c:pt idx="1927">
                  <c:v>37968</c:v>
                </c:pt>
                <c:pt idx="1928">
                  <c:v>37975</c:v>
                </c:pt>
                <c:pt idx="1929">
                  <c:v>37982</c:v>
                </c:pt>
                <c:pt idx="1930">
                  <c:v>37989</c:v>
                </c:pt>
                <c:pt idx="1931">
                  <c:v>37996</c:v>
                </c:pt>
                <c:pt idx="1932">
                  <c:v>38003</c:v>
                </c:pt>
                <c:pt idx="1933">
                  <c:v>38010</c:v>
                </c:pt>
                <c:pt idx="1934">
                  <c:v>38017</c:v>
                </c:pt>
                <c:pt idx="1935">
                  <c:v>38024</c:v>
                </c:pt>
                <c:pt idx="1936">
                  <c:v>38031</c:v>
                </c:pt>
                <c:pt idx="1937">
                  <c:v>38038</c:v>
                </c:pt>
                <c:pt idx="1938">
                  <c:v>38045</c:v>
                </c:pt>
                <c:pt idx="1939">
                  <c:v>38052</c:v>
                </c:pt>
                <c:pt idx="1940">
                  <c:v>38059</c:v>
                </c:pt>
                <c:pt idx="1941">
                  <c:v>38066</c:v>
                </c:pt>
                <c:pt idx="1942">
                  <c:v>38073</c:v>
                </c:pt>
                <c:pt idx="1943">
                  <c:v>38080</c:v>
                </c:pt>
                <c:pt idx="1944">
                  <c:v>38087</c:v>
                </c:pt>
                <c:pt idx="1945">
                  <c:v>38094</c:v>
                </c:pt>
                <c:pt idx="1946">
                  <c:v>38101</c:v>
                </c:pt>
                <c:pt idx="1947">
                  <c:v>38108</c:v>
                </c:pt>
                <c:pt idx="1948">
                  <c:v>38115</c:v>
                </c:pt>
                <c:pt idx="1949">
                  <c:v>38122</c:v>
                </c:pt>
                <c:pt idx="1950">
                  <c:v>38129</c:v>
                </c:pt>
                <c:pt idx="1951">
                  <c:v>38136</c:v>
                </c:pt>
                <c:pt idx="1952">
                  <c:v>38143</c:v>
                </c:pt>
                <c:pt idx="1953">
                  <c:v>38150</c:v>
                </c:pt>
                <c:pt idx="1954">
                  <c:v>38157</c:v>
                </c:pt>
                <c:pt idx="1955">
                  <c:v>38164</c:v>
                </c:pt>
                <c:pt idx="1956">
                  <c:v>38171</c:v>
                </c:pt>
                <c:pt idx="1957">
                  <c:v>38178</c:v>
                </c:pt>
                <c:pt idx="1958">
                  <c:v>38185</c:v>
                </c:pt>
                <c:pt idx="1959">
                  <c:v>38192</c:v>
                </c:pt>
                <c:pt idx="1960">
                  <c:v>38199</c:v>
                </c:pt>
                <c:pt idx="1961">
                  <c:v>38206</c:v>
                </c:pt>
                <c:pt idx="1962">
                  <c:v>38213</c:v>
                </c:pt>
                <c:pt idx="1963">
                  <c:v>38220</c:v>
                </c:pt>
                <c:pt idx="1964">
                  <c:v>38227</c:v>
                </c:pt>
                <c:pt idx="1965">
                  <c:v>38234</c:v>
                </c:pt>
                <c:pt idx="1966">
                  <c:v>38241</c:v>
                </c:pt>
                <c:pt idx="1967">
                  <c:v>38248</c:v>
                </c:pt>
                <c:pt idx="1968">
                  <c:v>38255</c:v>
                </c:pt>
                <c:pt idx="1969">
                  <c:v>38262</c:v>
                </c:pt>
                <c:pt idx="1970">
                  <c:v>38269</c:v>
                </c:pt>
                <c:pt idx="1971">
                  <c:v>38276</c:v>
                </c:pt>
                <c:pt idx="1972">
                  <c:v>38283</c:v>
                </c:pt>
                <c:pt idx="1973">
                  <c:v>38290</c:v>
                </c:pt>
                <c:pt idx="1974">
                  <c:v>38297</c:v>
                </c:pt>
                <c:pt idx="1975">
                  <c:v>38304</c:v>
                </c:pt>
                <c:pt idx="1976">
                  <c:v>38311</c:v>
                </c:pt>
                <c:pt idx="1977">
                  <c:v>38318</c:v>
                </c:pt>
                <c:pt idx="1978">
                  <c:v>38325</c:v>
                </c:pt>
                <c:pt idx="1979">
                  <c:v>38332</c:v>
                </c:pt>
                <c:pt idx="1980">
                  <c:v>38339</c:v>
                </c:pt>
                <c:pt idx="1981">
                  <c:v>38346</c:v>
                </c:pt>
                <c:pt idx="1982">
                  <c:v>38353</c:v>
                </c:pt>
                <c:pt idx="1983">
                  <c:v>38360</c:v>
                </c:pt>
                <c:pt idx="1984">
                  <c:v>38367</c:v>
                </c:pt>
                <c:pt idx="1985">
                  <c:v>38374</c:v>
                </c:pt>
                <c:pt idx="1986">
                  <c:v>38381</c:v>
                </c:pt>
                <c:pt idx="1987">
                  <c:v>38388</c:v>
                </c:pt>
                <c:pt idx="1988">
                  <c:v>38395</c:v>
                </c:pt>
                <c:pt idx="1989">
                  <c:v>38402</c:v>
                </c:pt>
                <c:pt idx="1990">
                  <c:v>38409</c:v>
                </c:pt>
                <c:pt idx="1991">
                  <c:v>38416</c:v>
                </c:pt>
                <c:pt idx="1992">
                  <c:v>38423</c:v>
                </c:pt>
                <c:pt idx="1993">
                  <c:v>38430</c:v>
                </c:pt>
                <c:pt idx="1994">
                  <c:v>38437</c:v>
                </c:pt>
                <c:pt idx="1995">
                  <c:v>38444</c:v>
                </c:pt>
                <c:pt idx="1996">
                  <c:v>38451</c:v>
                </c:pt>
                <c:pt idx="1997">
                  <c:v>38458</c:v>
                </c:pt>
                <c:pt idx="1998">
                  <c:v>38465</c:v>
                </c:pt>
                <c:pt idx="1999">
                  <c:v>38472</c:v>
                </c:pt>
                <c:pt idx="2000">
                  <c:v>38479</c:v>
                </c:pt>
                <c:pt idx="2001">
                  <c:v>38486</c:v>
                </c:pt>
                <c:pt idx="2002">
                  <c:v>38493</c:v>
                </c:pt>
                <c:pt idx="2003">
                  <c:v>38500</c:v>
                </c:pt>
                <c:pt idx="2004">
                  <c:v>38507</c:v>
                </c:pt>
                <c:pt idx="2005">
                  <c:v>38514</c:v>
                </c:pt>
                <c:pt idx="2006">
                  <c:v>38521</c:v>
                </c:pt>
                <c:pt idx="2007">
                  <c:v>38528</c:v>
                </c:pt>
                <c:pt idx="2008">
                  <c:v>38535</c:v>
                </c:pt>
                <c:pt idx="2009">
                  <c:v>38542</c:v>
                </c:pt>
                <c:pt idx="2010">
                  <c:v>38549</c:v>
                </c:pt>
                <c:pt idx="2011">
                  <c:v>38556</c:v>
                </c:pt>
                <c:pt idx="2012">
                  <c:v>38563</c:v>
                </c:pt>
                <c:pt idx="2013">
                  <c:v>38570</c:v>
                </c:pt>
                <c:pt idx="2014">
                  <c:v>38577</c:v>
                </c:pt>
                <c:pt idx="2015">
                  <c:v>38584</c:v>
                </c:pt>
                <c:pt idx="2016">
                  <c:v>38591</c:v>
                </c:pt>
                <c:pt idx="2017">
                  <c:v>38598</c:v>
                </c:pt>
                <c:pt idx="2018">
                  <c:v>38605</c:v>
                </c:pt>
                <c:pt idx="2019">
                  <c:v>38612</c:v>
                </c:pt>
                <c:pt idx="2020">
                  <c:v>38619</c:v>
                </c:pt>
                <c:pt idx="2021">
                  <c:v>38626</c:v>
                </c:pt>
                <c:pt idx="2022">
                  <c:v>38633</c:v>
                </c:pt>
                <c:pt idx="2023">
                  <c:v>38640</c:v>
                </c:pt>
                <c:pt idx="2024">
                  <c:v>38647</c:v>
                </c:pt>
                <c:pt idx="2025">
                  <c:v>38654</c:v>
                </c:pt>
                <c:pt idx="2026">
                  <c:v>38661</c:v>
                </c:pt>
                <c:pt idx="2027">
                  <c:v>38668</c:v>
                </c:pt>
                <c:pt idx="2028">
                  <c:v>38675</c:v>
                </c:pt>
                <c:pt idx="2029">
                  <c:v>38682</c:v>
                </c:pt>
                <c:pt idx="2030">
                  <c:v>38689</c:v>
                </c:pt>
                <c:pt idx="2031">
                  <c:v>38696</c:v>
                </c:pt>
                <c:pt idx="2032">
                  <c:v>38703</c:v>
                </c:pt>
                <c:pt idx="2033">
                  <c:v>38710</c:v>
                </c:pt>
                <c:pt idx="2034">
                  <c:v>38717</c:v>
                </c:pt>
                <c:pt idx="2035">
                  <c:v>38724</c:v>
                </c:pt>
                <c:pt idx="2036">
                  <c:v>38731</c:v>
                </c:pt>
                <c:pt idx="2037">
                  <c:v>38738</c:v>
                </c:pt>
                <c:pt idx="2038">
                  <c:v>38745</c:v>
                </c:pt>
                <c:pt idx="2039">
                  <c:v>38752</c:v>
                </c:pt>
                <c:pt idx="2040">
                  <c:v>38759</c:v>
                </c:pt>
                <c:pt idx="2041">
                  <c:v>38766</c:v>
                </c:pt>
                <c:pt idx="2042">
                  <c:v>38773</c:v>
                </c:pt>
                <c:pt idx="2043">
                  <c:v>38780</c:v>
                </c:pt>
                <c:pt idx="2044">
                  <c:v>38787</c:v>
                </c:pt>
                <c:pt idx="2045">
                  <c:v>38794</c:v>
                </c:pt>
                <c:pt idx="2046">
                  <c:v>38801</c:v>
                </c:pt>
                <c:pt idx="2047">
                  <c:v>38808</c:v>
                </c:pt>
                <c:pt idx="2048">
                  <c:v>38815</c:v>
                </c:pt>
                <c:pt idx="2049">
                  <c:v>38822</c:v>
                </c:pt>
                <c:pt idx="2050">
                  <c:v>38829</c:v>
                </c:pt>
                <c:pt idx="2051">
                  <c:v>38836</c:v>
                </c:pt>
                <c:pt idx="2052">
                  <c:v>38843</c:v>
                </c:pt>
                <c:pt idx="2053">
                  <c:v>38850</c:v>
                </c:pt>
                <c:pt idx="2054">
                  <c:v>38857</c:v>
                </c:pt>
                <c:pt idx="2055">
                  <c:v>38864</c:v>
                </c:pt>
                <c:pt idx="2056">
                  <c:v>38871</c:v>
                </c:pt>
                <c:pt idx="2057">
                  <c:v>38878</c:v>
                </c:pt>
                <c:pt idx="2058">
                  <c:v>38885</c:v>
                </c:pt>
                <c:pt idx="2059">
                  <c:v>38892</c:v>
                </c:pt>
                <c:pt idx="2060">
                  <c:v>38899</c:v>
                </c:pt>
                <c:pt idx="2061">
                  <c:v>38906</c:v>
                </c:pt>
                <c:pt idx="2062">
                  <c:v>38913</c:v>
                </c:pt>
                <c:pt idx="2063">
                  <c:v>38920</c:v>
                </c:pt>
                <c:pt idx="2064">
                  <c:v>38927</c:v>
                </c:pt>
                <c:pt idx="2065">
                  <c:v>38934</c:v>
                </c:pt>
                <c:pt idx="2066">
                  <c:v>38941</c:v>
                </c:pt>
                <c:pt idx="2067">
                  <c:v>38948</c:v>
                </c:pt>
                <c:pt idx="2068">
                  <c:v>38955</c:v>
                </c:pt>
                <c:pt idx="2069">
                  <c:v>38962</c:v>
                </c:pt>
                <c:pt idx="2070">
                  <c:v>38969</c:v>
                </c:pt>
                <c:pt idx="2071">
                  <c:v>38976</c:v>
                </c:pt>
                <c:pt idx="2072">
                  <c:v>38983</c:v>
                </c:pt>
                <c:pt idx="2073">
                  <c:v>38990</c:v>
                </c:pt>
                <c:pt idx="2074">
                  <c:v>38997</c:v>
                </c:pt>
                <c:pt idx="2075">
                  <c:v>39004</c:v>
                </c:pt>
                <c:pt idx="2076">
                  <c:v>39011</c:v>
                </c:pt>
                <c:pt idx="2077">
                  <c:v>39018</c:v>
                </c:pt>
                <c:pt idx="2078">
                  <c:v>39025</c:v>
                </c:pt>
                <c:pt idx="2079">
                  <c:v>39032</c:v>
                </c:pt>
                <c:pt idx="2080">
                  <c:v>39039</c:v>
                </c:pt>
                <c:pt idx="2081">
                  <c:v>39046</c:v>
                </c:pt>
                <c:pt idx="2082">
                  <c:v>39053</c:v>
                </c:pt>
                <c:pt idx="2083">
                  <c:v>39060</c:v>
                </c:pt>
                <c:pt idx="2084">
                  <c:v>39067</c:v>
                </c:pt>
                <c:pt idx="2085">
                  <c:v>39074</c:v>
                </c:pt>
                <c:pt idx="2086">
                  <c:v>39081</c:v>
                </c:pt>
                <c:pt idx="2087">
                  <c:v>39088</c:v>
                </c:pt>
                <c:pt idx="2088">
                  <c:v>39095</c:v>
                </c:pt>
                <c:pt idx="2089">
                  <c:v>39102</c:v>
                </c:pt>
                <c:pt idx="2090">
                  <c:v>39109</c:v>
                </c:pt>
                <c:pt idx="2091">
                  <c:v>39116</c:v>
                </c:pt>
                <c:pt idx="2092">
                  <c:v>39123</c:v>
                </c:pt>
                <c:pt idx="2093">
                  <c:v>39130</c:v>
                </c:pt>
                <c:pt idx="2094">
                  <c:v>39137</c:v>
                </c:pt>
                <c:pt idx="2095">
                  <c:v>39144</c:v>
                </c:pt>
                <c:pt idx="2096">
                  <c:v>39151</c:v>
                </c:pt>
                <c:pt idx="2097">
                  <c:v>39158</c:v>
                </c:pt>
                <c:pt idx="2098">
                  <c:v>39165</c:v>
                </c:pt>
                <c:pt idx="2099">
                  <c:v>39172</c:v>
                </c:pt>
                <c:pt idx="2100">
                  <c:v>39179</c:v>
                </c:pt>
                <c:pt idx="2101">
                  <c:v>39186</c:v>
                </c:pt>
                <c:pt idx="2102">
                  <c:v>39193</c:v>
                </c:pt>
                <c:pt idx="2103">
                  <c:v>39200</c:v>
                </c:pt>
                <c:pt idx="2104">
                  <c:v>39207</c:v>
                </c:pt>
                <c:pt idx="2105">
                  <c:v>39214</c:v>
                </c:pt>
                <c:pt idx="2106">
                  <c:v>39221</c:v>
                </c:pt>
                <c:pt idx="2107">
                  <c:v>39228</c:v>
                </c:pt>
                <c:pt idx="2108">
                  <c:v>39235</c:v>
                </c:pt>
                <c:pt idx="2109">
                  <c:v>39242</c:v>
                </c:pt>
                <c:pt idx="2110">
                  <c:v>39249</c:v>
                </c:pt>
                <c:pt idx="2111">
                  <c:v>39256</c:v>
                </c:pt>
                <c:pt idx="2112">
                  <c:v>39263</c:v>
                </c:pt>
                <c:pt idx="2113">
                  <c:v>39270</c:v>
                </c:pt>
                <c:pt idx="2114">
                  <c:v>39277</c:v>
                </c:pt>
                <c:pt idx="2115">
                  <c:v>39284</c:v>
                </c:pt>
                <c:pt idx="2116">
                  <c:v>39291</c:v>
                </c:pt>
                <c:pt idx="2117">
                  <c:v>39298</c:v>
                </c:pt>
                <c:pt idx="2118">
                  <c:v>39305</c:v>
                </c:pt>
                <c:pt idx="2119">
                  <c:v>39312</c:v>
                </c:pt>
                <c:pt idx="2120">
                  <c:v>39319</c:v>
                </c:pt>
                <c:pt idx="2121">
                  <c:v>39326</c:v>
                </c:pt>
                <c:pt idx="2122">
                  <c:v>39333</c:v>
                </c:pt>
                <c:pt idx="2123">
                  <c:v>39340</c:v>
                </c:pt>
                <c:pt idx="2124">
                  <c:v>39347</c:v>
                </c:pt>
                <c:pt idx="2125">
                  <c:v>39354</c:v>
                </c:pt>
                <c:pt idx="2126">
                  <c:v>39361</c:v>
                </c:pt>
                <c:pt idx="2127">
                  <c:v>39368</c:v>
                </c:pt>
                <c:pt idx="2128">
                  <c:v>39375</c:v>
                </c:pt>
                <c:pt idx="2129">
                  <c:v>39382</c:v>
                </c:pt>
                <c:pt idx="2130">
                  <c:v>39389</c:v>
                </c:pt>
                <c:pt idx="2131">
                  <c:v>39396</c:v>
                </c:pt>
                <c:pt idx="2132">
                  <c:v>39403</c:v>
                </c:pt>
                <c:pt idx="2133">
                  <c:v>39410</c:v>
                </c:pt>
                <c:pt idx="2134">
                  <c:v>39417</c:v>
                </c:pt>
                <c:pt idx="2135">
                  <c:v>39424</c:v>
                </c:pt>
                <c:pt idx="2136">
                  <c:v>39431</c:v>
                </c:pt>
                <c:pt idx="2137">
                  <c:v>39438</c:v>
                </c:pt>
                <c:pt idx="2138">
                  <c:v>39445</c:v>
                </c:pt>
                <c:pt idx="2139">
                  <c:v>39452</c:v>
                </c:pt>
                <c:pt idx="2140">
                  <c:v>39459</c:v>
                </c:pt>
                <c:pt idx="2141">
                  <c:v>39466</c:v>
                </c:pt>
                <c:pt idx="2142">
                  <c:v>39473</c:v>
                </c:pt>
                <c:pt idx="2143">
                  <c:v>39480</c:v>
                </c:pt>
                <c:pt idx="2144">
                  <c:v>39487</c:v>
                </c:pt>
                <c:pt idx="2145">
                  <c:v>39494</c:v>
                </c:pt>
                <c:pt idx="2146">
                  <c:v>39501</c:v>
                </c:pt>
                <c:pt idx="2147">
                  <c:v>39508</c:v>
                </c:pt>
                <c:pt idx="2148">
                  <c:v>39515</c:v>
                </c:pt>
                <c:pt idx="2149">
                  <c:v>39522</c:v>
                </c:pt>
                <c:pt idx="2150">
                  <c:v>39529</c:v>
                </c:pt>
                <c:pt idx="2151">
                  <c:v>39536</c:v>
                </c:pt>
                <c:pt idx="2152">
                  <c:v>39543</c:v>
                </c:pt>
                <c:pt idx="2153">
                  <c:v>39550</c:v>
                </c:pt>
                <c:pt idx="2154">
                  <c:v>39557</c:v>
                </c:pt>
                <c:pt idx="2155">
                  <c:v>39564</c:v>
                </c:pt>
                <c:pt idx="2156">
                  <c:v>39571</c:v>
                </c:pt>
                <c:pt idx="2157">
                  <c:v>39578</c:v>
                </c:pt>
                <c:pt idx="2158">
                  <c:v>39585</c:v>
                </c:pt>
                <c:pt idx="2159">
                  <c:v>39592</c:v>
                </c:pt>
                <c:pt idx="2160">
                  <c:v>39599</c:v>
                </c:pt>
                <c:pt idx="2161">
                  <c:v>39606</c:v>
                </c:pt>
                <c:pt idx="2162">
                  <c:v>39613</c:v>
                </c:pt>
                <c:pt idx="2163">
                  <c:v>39620</c:v>
                </c:pt>
                <c:pt idx="2164">
                  <c:v>39627</c:v>
                </c:pt>
                <c:pt idx="2165">
                  <c:v>39634</c:v>
                </c:pt>
                <c:pt idx="2166">
                  <c:v>39641</c:v>
                </c:pt>
                <c:pt idx="2167">
                  <c:v>39648</c:v>
                </c:pt>
                <c:pt idx="2168">
                  <c:v>39655</c:v>
                </c:pt>
                <c:pt idx="2169">
                  <c:v>39662</c:v>
                </c:pt>
                <c:pt idx="2170">
                  <c:v>39669</c:v>
                </c:pt>
                <c:pt idx="2171">
                  <c:v>39676</c:v>
                </c:pt>
                <c:pt idx="2172">
                  <c:v>39683</c:v>
                </c:pt>
                <c:pt idx="2173">
                  <c:v>39690</c:v>
                </c:pt>
                <c:pt idx="2174">
                  <c:v>39697</c:v>
                </c:pt>
                <c:pt idx="2175">
                  <c:v>39704</c:v>
                </c:pt>
                <c:pt idx="2176">
                  <c:v>39711</c:v>
                </c:pt>
                <c:pt idx="2177">
                  <c:v>39718</c:v>
                </c:pt>
                <c:pt idx="2178">
                  <c:v>39725</c:v>
                </c:pt>
                <c:pt idx="2179">
                  <c:v>39732</c:v>
                </c:pt>
                <c:pt idx="2180">
                  <c:v>39739</c:v>
                </c:pt>
                <c:pt idx="2181">
                  <c:v>39746</c:v>
                </c:pt>
                <c:pt idx="2182">
                  <c:v>39753</c:v>
                </c:pt>
                <c:pt idx="2183">
                  <c:v>39760</c:v>
                </c:pt>
                <c:pt idx="2184">
                  <c:v>39767</c:v>
                </c:pt>
                <c:pt idx="2185">
                  <c:v>39774</c:v>
                </c:pt>
                <c:pt idx="2186">
                  <c:v>39781</c:v>
                </c:pt>
                <c:pt idx="2187">
                  <c:v>39788</c:v>
                </c:pt>
                <c:pt idx="2188">
                  <c:v>39795</c:v>
                </c:pt>
                <c:pt idx="2189">
                  <c:v>39802</c:v>
                </c:pt>
                <c:pt idx="2190">
                  <c:v>39809</c:v>
                </c:pt>
                <c:pt idx="2191">
                  <c:v>39816</c:v>
                </c:pt>
                <c:pt idx="2192">
                  <c:v>39823</c:v>
                </c:pt>
                <c:pt idx="2193">
                  <c:v>39830</c:v>
                </c:pt>
                <c:pt idx="2194">
                  <c:v>39837</c:v>
                </c:pt>
                <c:pt idx="2195">
                  <c:v>39844</c:v>
                </c:pt>
                <c:pt idx="2196">
                  <c:v>39851</c:v>
                </c:pt>
                <c:pt idx="2197">
                  <c:v>39858</c:v>
                </c:pt>
                <c:pt idx="2198">
                  <c:v>39865</c:v>
                </c:pt>
                <c:pt idx="2199">
                  <c:v>39872</c:v>
                </c:pt>
                <c:pt idx="2200">
                  <c:v>39879</c:v>
                </c:pt>
                <c:pt idx="2201">
                  <c:v>39886</c:v>
                </c:pt>
                <c:pt idx="2202">
                  <c:v>39893</c:v>
                </c:pt>
                <c:pt idx="2203">
                  <c:v>39900</c:v>
                </c:pt>
                <c:pt idx="2204">
                  <c:v>39907</c:v>
                </c:pt>
                <c:pt idx="2205">
                  <c:v>39914</c:v>
                </c:pt>
                <c:pt idx="2206">
                  <c:v>39921</c:v>
                </c:pt>
                <c:pt idx="2207">
                  <c:v>39928</c:v>
                </c:pt>
                <c:pt idx="2208">
                  <c:v>39935</c:v>
                </c:pt>
                <c:pt idx="2209">
                  <c:v>39942</c:v>
                </c:pt>
                <c:pt idx="2210">
                  <c:v>39949</c:v>
                </c:pt>
                <c:pt idx="2211">
                  <c:v>39956</c:v>
                </c:pt>
                <c:pt idx="2212">
                  <c:v>39963</c:v>
                </c:pt>
                <c:pt idx="2213">
                  <c:v>39970</c:v>
                </c:pt>
                <c:pt idx="2214">
                  <c:v>39977</c:v>
                </c:pt>
                <c:pt idx="2215">
                  <c:v>39984</c:v>
                </c:pt>
                <c:pt idx="2216">
                  <c:v>39991</c:v>
                </c:pt>
                <c:pt idx="2217">
                  <c:v>39998</c:v>
                </c:pt>
                <c:pt idx="2218">
                  <c:v>40005</c:v>
                </c:pt>
                <c:pt idx="2219">
                  <c:v>40012</c:v>
                </c:pt>
                <c:pt idx="2220">
                  <c:v>40019</c:v>
                </c:pt>
                <c:pt idx="2221">
                  <c:v>40026</c:v>
                </c:pt>
                <c:pt idx="2222">
                  <c:v>40033</c:v>
                </c:pt>
                <c:pt idx="2223">
                  <c:v>40040</c:v>
                </c:pt>
                <c:pt idx="2224">
                  <c:v>40047</c:v>
                </c:pt>
                <c:pt idx="2225">
                  <c:v>40054</c:v>
                </c:pt>
                <c:pt idx="2226">
                  <c:v>40061</c:v>
                </c:pt>
                <c:pt idx="2227">
                  <c:v>40068</c:v>
                </c:pt>
                <c:pt idx="2228">
                  <c:v>40075</c:v>
                </c:pt>
                <c:pt idx="2229">
                  <c:v>40082</c:v>
                </c:pt>
                <c:pt idx="2230">
                  <c:v>40089</c:v>
                </c:pt>
                <c:pt idx="2231">
                  <c:v>40096</c:v>
                </c:pt>
                <c:pt idx="2232">
                  <c:v>40103</c:v>
                </c:pt>
                <c:pt idx="2233">
                  <c:v>40110</c:v>
                </c:pt>
                <c:pt idx="2234">
                  <c:v>40117</c:v>
                </c:pt>
                <c:pt idx="2235">
                  <c:v>40124</c:v>
                </c:pt>
                <c:pt idx="2236">
                  <c:v>40131</c:v>
                </c:pt>
                <c:pt idx="2237">
                  <c:v>40138</c:v>
                </c:pt>
                <c:pt idx="2238">
                  <c:v>40145</c:v>
                </c:pt>
                <c:pt idx="2239">
                  <c:v>40152</c:v>
                </c:pt>
                <c:pt idx="2240">
                  <c:v>40159</c:v>
                </c:pt>
                <c:pt idx="2241">
                  <c:v>40166</c:v>
                </c:pt>
                <c:pt idx="2242">
                  <c:v>40173</c:v>
                </c:pt>
                <c:pt idx="2243">
                  <c:v>40180</c:v>
                </c:pt>
                <c:pt idx="2244">
                  <c:v>40187</c:v>
                </c:pt>
                <c:pt idx="2245">
                  <c:v>40194</c:v>
                </c:pt>
                <c:pt idx="2246">
                  <c:v>40201</c:v>
                </c:pt>
                <c:pt idx="2247">
                  <c:v>40208</c:v>
                </c:pt>
                <c:pt idx="2248">
                  <c:v>40215</c:v>
                </c:pt>
                <c:pt idx="2249">
                  <c:v>40222</c:v>
                </c:pt>
                <c:pt idx="2250">
                  <c:v>40229</c:v>
                </c:pt>
                <c:pt idx="2251">
                  <c:v>40236</c:v>
                </c:pt>
                <c:pt idx="2252">
                  <c:v>40243</c:v>
                </c:pt>
                <c:pt idx="2253">
                  <c:v>40250</c:v>
                </c:pt>
                <c:pt idx="2254">
                  <c:v>40257</c:v>
                </c:pt>
                <c:pt idx="2255">
                  <c:v>40264</c:v>
                </c:pt>
                <c:pt idx="2256">
                  <c:v>40271</c:v>
                </c:pt>
                <c:pt idx="2257">
                  <c:v>40278</c:v>
                </c:pt>
                <c:pt idx="2258">
                  <c:v>40285</c:v>
                </c:pt>
                <c:pt idx="2259">
                  <c:v>40292</c:v>
                </c:pt>
                <c:pt idx="2260">
                  <c:v>40299</c:v>
                </c:pt>
                <c:pt idx="2261">
                  <c:v>40306</c:v>
                </c:pt>
                <c:pt idx="2262">
                  <c:v>40313</c:v>
                </c:pt>
                <c:pt idx="2263">
                  <c:v>40320</c:v>
                </c:pt>
                <c:pt idx="2264">
                  <c:v>40327</c:v>
                </c:pt>
                <c:pt idx="2265">
                  <c:v>40334</c:v>
                </c:pt>
                <c:pt idx="2266">
                  <c:v>40341</c:v>
                </c:pt>
                <c:pt idx="2267">
                  <c:v>40348</c:v>
                </c:pt>
                <c:pt idx="2268">
                  <c:v>40355</c:v>
                </c:pt>
                <c:pt idx="2269">
                  <c:v>40362</c:v>
                </c:pt>
                <c:pt idx="2270">
                  <c:v>40369</c:v>
                </c:pt>
                <c:pt idx="2271">
                  <c:v>40376</c:v>
                </c:pt>
                <c:pt idx="2272">
                  <c:v>40383</c:v>
                </c:pt>
                <c:pt idx="2273">
                  <c:v>40390</c:v>
                </c:pt>
                <c:pt idx="2274">
                  <c:v>40397</c:v>
                </c:pt>
                <c:pt idx="2275">
                  <c:v>40404</c:v>
                </c:pt>
                <c:pt idx="2276">
                  <c:v>40411</c:v>
                </c:pt>
                <c:pt idx="2277">
                  <c:v>40418</c:v>
                </c:pt>
                <c:pt idx="2278">
                  <c:v>40425</c:v>
                </c:pt>
                <c:pt idx="2279">
                  <c:v>40432</c:v>
                </c:pt>
                <c:pt idx="2280">
                  <c:v>40439</c:v>
                </c:pt>
                <c:pt idx="2281">
                  <c:v>40446</c:v>
                </c:pt>
                <c:pt idx="2282">
                  <c:v>40453</c:v>
                </c:pt>
                <c:pt idx="2283">
                  <c:v>40460</c:v>
                </c:pt>
                <c:pt idx="2284">
                  <c:v>40467</c:v>
                </c:pt>
                <c:pt idx="2285">
                  <c:v>40474</c:v>
                </c:pt>
                <c:pt idx="2286">
                  <c:v>40481</c:v>
                </c:pt>
                <c:pt idx="2287">
                  <c:v>40488</c:v>
                </c:pt>
                <c:pt idx="2288">
                  <c:v>40495</c:v>
                </c:pt>
                <c:pt idx="2289">
                  <c:v>40502</c:v>
                </c:pt>
                <c:pt idx="2290">
                  <c:v>40509</c:v>
                </c:pt>
                <c:pt idx="2291">
                  <c:v>40516</c:v>
                </c:pt>
                <c:pt idx="2292">
                  <c:v>40523</c:v>
                </c:pt>
                <c:pt idx="2293">
                  <c:v>40530</c:v>
                </c:pt>
                <c:pt idx="2294">
                  <c:v>40537</c:v>
                </c:pt>
                <c:pt idx="2295">
                  <c:v>40544</c:v>
                </c:pt>
                <c:pt idx="2296">
                  <c:v>40551</c:v>
                </c:pt>
                <c:pt idx="2297">
                  <c:v>40558</c:v>
                </c:pt>
                <c:pt idx="2298">
                  <c:v>40565</c:v>
                </c:pt>
                <c:pt idx="2299">
                  <c:v>40572</c:v>
                </c:pt>
                <c:pt idx="2300">
                  <c:v>40579</c:v>
                </c:pt>
                <c:pt idx="2301">
                  <c:v>40586</c:v>
                </c:pt>
                <c:pt idx="2302">
                  <c:v>40593</c:v>
                </c:pt>
                <c:pt idx="2303">
                  <c:v>40600</c:v>
                </c:pt>
                <c:pt idx="2304">
                  <c:v>40607</c:v>
                </c:pt>
                <c:pt idx="2305">
                  <c:v>40614</c:v>
                </c:pt>
                <c:pt idx="2306">
                  <c:v>40621</c:v>
                </c:pt>
                <c:pt idx="2307">
                  <c:v>40628</c:v>
                </c:pt>
                <c:pt idx="2308">
                  <c:v>40635</c:v>
                </c:pt>
                <c:pt idx="2309">
                  <c:v>40642</c:v>
                </c:pt>
                <c:pt idx="2310">
                  <c:v>40649</c:v>
                </c:pt>
                <c:pt idx="2311">
                  <c:v>40656</c:v>
                </c:pt>
                <c:pt idx="2312">
                  <c:v>40663</c:v>
                </c:pt>
                <c:pt idx="2313">
                  <c:v>40670</c:v>
                </c:pt>
                <c:pt idx="2314">
                  <c:v>40677</c:v>
                </c:pt>
                <c:pt idx="2315">
                  <c:v>40684</c:v>
                </c:pt>
                <c:pt idx="2316">
                  <c:v>40691</c:v>
                </c:pt>
                <c:pt idx="2317">
                  <c:v>40698</c:v>
                </c:pt>
                <c:pt idx="2318">
                  <c:v>40705</c:v>
                </c:pt>
                <c:pt idx="2319">
                  <c:v>40712</c:v>
                </c:pt>
                <c:pt idx="2320">
                  <c:v>40719</c:v>
                </c:pt>
                <c:pt idx="2321">
                  <c:v>40726</c:v>
                </c:pt>
                <c:pt idx="2322">
                  <c:v>40733</c:v>
                </c:pt>
                <c:pt idx="2323">
                  <c:v>40740</c:v>
                </c:pt>
                <c:pt idx="2324">
                  <c:v>40747</c:v>
                </c:pt>
                <c:pt idx="2325">
                  <c:v>40754</c:v>
                </c:pt>
                <c:pt idx="2326">
                  <c:v>40761</c:v>
                </c:pt>
                <c:pt idx="2327">
                  <c:v>40768</c:v>
                </c:pt>
                <c:pt idx="2328">
                  <c:v>40775</c:v>
                </c:pt>
                <c:pt idx="2329">
                  <c:v>40782</c:v>
                </c:pt>
                <c:pt idx="2330">
                  <c:v>40789</c:v>
                </c:pt>
                <c:pt idx="2331">
                  <c:v>40796</c:v>
                </c:pt>
                <c:pt idx="2332">
                  <c:v>40803</c:v>
                </c:pt>
                <c:pt idx="2333">
                  <c:v>40810</c:v>
                </c:pt>
                <c:pt idx="2334">
                  <c:v>40817</c:v>
                </c:pt>
                <c:pt idx="2335">
                  <c:v>40824</c:v>
                </c:pt>
                <c:pt idx="2336">
                  <c:v>40831</c:v>
                </c:pt>
                <c:pt idx="2337">
                  <c:v>40838</c:v>
                </c:pt>
                <c:pt idx="2338">
                  <c:v>40845</c:v>
                </c:pt>
                <c:pt idx="2339">
                  <c:v>40852</c:v>
                </c:pt>
                <c:pt idx="2340">
                  <c:v>40859</c:v>
                </c:pt>
                <c:pt idx="2341">
                  <c:v>40866</c:v>
                </c:pt>
                <c:pt idx="2342">
                  <c:v>40873</c:v>
                </c:pt>
                <c:pt idx="2343">
                  <c:v>40880</c:v>
                </c:pt>
                <c:pt idx="2344">
                  <c:v>40887</c:v>
                </c:pt>
                <c:pt idx="2345">
                  <c:v>40894</c:v>
                </c:pt>
                <c:pt idx="2346">
                  <c:v>40901</c:v>
                </c:pt>
                <c:pt idx="2347">
                  <c:v>40908</c:v>
                </c:pt>
                <c:pt idx="2348">
                  <c:v>40915</c:v>
                </c:pt>
                <c:pt idx="2349">
                  <c:v>40922</c:v>
                </c:pt>
                <c:pt idx="2350">
                  <c:v>40929</c:v>
                </c:pt>
                <c:pt idx="2351">
                  <c:v>40936</c:v>
                </c:pt>
                <c:pt idx="2352">
                  <c:v>40943</c:v>
                </c:pt>
                <c:pt idx="2353">
                  <c:v>40950</c:v>
                </c:pt>
                <c:pt idx="2354">
                  <c:v>40957</c:v>
                </c:pt>
                <c:pt idx="2355">
                  <c:v>40964</c:v>
                </c:pt>
                <c:pt idx="2356">
                  <c:v>40971</c:v>
                </c:pt>
                <c:pt idx="2357">
                  <c:v>40978</c:v>
                </c:pt>
                <c:pt idx="2358">
                  <c:v>40985</c:v>
                </c:pt>
                <c:pt idx="2359">
                  <c:v>40992</c:v>
                </c:pt>
                <c:pt idx="2360">
                  <c:v>40999</c:v>
                </c:pt>
                <c:pt idx="2361">
                  <c:v>41006</c:v>
                </c:pt>
                <c:pt idx="2362">
                  <c:v>41013</c:v>
                </c:pt>
                <c:pt idx="2363">
                  <c:v>41020</c:v>
                </c:pt>
                <c:pt idx="2364">
                  <c:v>41027</c:v>
                </c:pt>
                <c:pt idx="2365">
                  <c:v>41034</c:v>
                </c:pt>
                <c:pt idx="2366">
                  <c:v>41041</c:v>
                </c:pt>
                <c:pt idx="2367">
                  <c:v>41048</c:v>
                </c:pt>
                <c:pt idx="2368">
                  <c:v>41055</c:v>
                </c:pt>
                <c:pt idx="2369">
                  <c:v>41062</c:v>
                </c:pt>
                <c:pt idx="2370">
                  <c:v>41069</c:v>
                </c:pt>
                <c:pt idx="2371">
                  <c:v>41076</c:v>
                </c:pt>
                <c:pt idx="2372">
                  <c:v>41083</c:v>
                </c:pt>
                <c:pt idx="2373">
                  <c:v>41090</c:v>
                </c:pt>
                <c:pt idx="2374">
                  <c:v>41097</c:v>
                </c:pt>
                <c:pt idx="2375">
                  <c:v>41104</c:v>
                </c:pt>
                <c:pt idx="2376">
                  <c:v>41111</c:v>
                </c:pt>
                <c:pt idx="2377">
                  <c:v>41118</c:v>
                </c:pt>
                <c:pt idx="2378">
                  <c:v>41125</c:v>
                </c:pt>
                <c:pt idx="2379">
                  <c:v>41132</c:v>
                </c:pt>
                <c:pt idx="2380">
                  <c:v>41139</c:v>
                </c:pt>
                <c:pt idx="2381">
                  <c:v>41146</c:v>
                </c:pt>
                <c:pt idx="2382">
                  <c:v>41153</c:v>
                </c:pt>
                <c:pt idx="2383">
                  <c:v>41160</c:v>
                </c:pt>
                <c:pt idx="2384">
                  <c:v>41167</c:v>
                </c:pt>
                <c:pt idx="2385">
                  <c:v>41174</c:v>
                </c:pt>
                <c:pt idx="2386">
                  <c:v>41181</c:v>
                </c:pt>
                <c:pt idx="2387">
                  <c:v>41188</c:v>
                </c:pt>
                <c:pt idx="2388">
                  <c:v>41195</c:v>
                </c:pt>
                <c:pt idx="2389">
                  <c:v>41202</c:v>
                </c:pt>
                <c:pt idx="2390">
                  <c:v>41209</c:v>
                </c:pt>
                <c:pt idx="2391">
                  <c:v>41216</c:v>
                </c:pt>
                <c:pt idx="2392">
                  <c:v>41223</c:v>
                </c:pt>
                <c:pt idx="2393">
                  <c:v>41230</c:v>
                </c:pt>
                <c:pt idx="2394">
                  <c:v>41237</c:v>
                </c:pt>
                <c:pt idx="2395">
                  <c:v>41244</c:v>
                </c:pt>
                <c:pt idx="2396">
                  <c:v>41251</c:v>
                </c:pt>
                <c:pt idx="2397">
                  <c:v>41258</c:v>
                </c:pt>
                <c:pt idx="2398">
                  <c:v>41265</c:v>
                </c:pt>
                <c:pt idx="2399">
                  <c:v>41272</c:v>
                </c:pt>
                <c:pt idx="2400">
                  <c:v>41279</c:v>
                </c:pt>
                <c:pt idx="2401">
                  <c:v>41286</c:v>
                </c:pt>
                <c:pt idx="2402">
                  <c:v>41293</c:v>
                </c:pt>
                <c:pt idx="2403">
                  <c:v>41300</c:v>
                </c:pt>
                <c:pt idx="2404">
                  <c:v>41307</c:v>
                </c:pt>
                <c:pt idx="2405">
                  <c:v>41314</c:v>
                </c:pt>
                <c:pt idx="2406">
                  <c:v>41321</c:v>
                </c:pt>
                <c:pt idx="2407">
                  <c:v>41328</c:v>
                </c:pt>
                <c:pt idx="2408">
                  <c:v>41335</c:v>
                </c:pt>
                <c:pt idx="2409">
                  <c:v>41342</c:v>
                </c:pt>
                <c:pt idx="2410">
                  <c:v>41349</c:v>
                </c:pt>
                <c:pt idx="2411">
                  <c:v>41356</c:v>
                </c:pt>
                <c:pt idx="2412">
                  <c:v>41363</c:v>
                </c:pt>
                <c:pt idx="2413">
                  <c:v>41370</c:v>
                </c:pt>
                <c:pt idx="2414">
                  <c:v>41377</c:v>
                </c:pt>
                <c:pt idx="2415">
                  <c:v>41384</c:v>
                </c:pt>
                <c:pt idx="2416">
                  <c:v>41391</c:v>
                </c:pt>
                <c:pt idx="2417">
                  <c:v>41398</c:v>
                </c:pt>
                <c:pt idx="2418">
                  <c:v>41405</c:v>
                </c:pt>
                <c:pt idx="2419">
                  <c:v>41412</c:v>
                </c:pt>
                <c:pt idx="2420">
                  <c:v>41419</c:v>
                </c:pt>
                <c:pt idx="2421">
                  <c:v>41426</c:v>
                </c:pt>
                <c:pt idx="2422">
                  <c:v>41433</c:v>
                </c:pt>
                <c:pt idx="2423">
                  <c:v>41440</c:v>
                </c:pt>
                <c:pt idx="2424">
                  <c:v>41447</c:v>
                </c:pt>
                <c:pt idx="2425">
                  <c:v>41454</c:v>
                </c:pt>
                <c:pt idx="2426">
                  <c:v>41461</c:v>
                </c:pt>
                <c:pt idx="2427">
                  <c:v>41468</c:v>
                </c:pt>
                <c:pt idx="2428">
                  <c:v>41475</c:v>
                </c:pt>
                <c:pt idx="2429">
                  <c:v>41482</c:v>
                </c:pt>
                <c:pt idx="2430">
                  <c:v>41489</c:v>
                </c:pt>
                <c:pt idx="2431">
                  <c:v>41496</c:v>
                </c:pt>
                <c:pt idx="2432">
                  <c:v>41503</c:v>
                </c:pt>
                <c:pt idx="2433">
                  <c:v>41510</c:v>
                </c:pt>
                <c:pt idx="2434">
                  <c:v>41517</c:v>
                </c:pt>
                <c:pt idx="2435">
                  <c:v>41524</c:v>
                </c:pt>
                <c:pt idx="2436">
                  <c:v>41531</c:v>
                </c:pt>
                <c:pt idx="2437">
                  <c:v>41538</c:v>
                </c:pt>
                <c:pt idx="2438">
                  <c:v>41545</c:v>
                </c:pt>
                <c:pt idx="2439">
                  <c:v>41552</c:v>
                </c:pt>
                <c:pt idx="2440">
                  <c:v>41559</c:v>
                </c:pt>
                <c:pt idx="2441">
                  <c:v>41566</c:v>
                </c:pt>
                <c:pt idx="2442">
                  <c:v>41573</c:v>
                </c:pt>
                <c:pt idx="2443">
                  <c:v>41580</c:v>
                </c:pt>
                <c:pt idx="2444">
                  <c:v>41587</c:v>
                </c:pt>
                <c:pt idx="2445">
                  <c:v>41594</c:v>
                </c:pt>
                <c:pt idx="2446">
                  <c:v>41601</c:v>
                </c:pt>
                <c:pt idx="2447">
                  <c:v>41608</c:v>
                </c:pt>
                <c:pt idx="2448">
                  <c:v>41615</c:v>
                </c:pt>
                <c:pt idx="2449">
                  <c:v>41622</c:v>
                </c:pt>
                <c:pt idx="2450">
                  <c:v>41629</c:v>
                </c:pt>
                <c:pt idx="2451">
                  <c:v>41636</c:v>
                </c:pt>
                <c:pt idx="2452">
                  <c:v>41643</c:v>
                </c:pt>
                <c:pt idx="2453">
                  <c:v>41650</c:v>
                </c:pt>
                <c:pt idx="2454">
                  <c:v>41657</c:v>
                </c:pt>
                <c:pt idx="2455">
                  <c:v>41664</c:v>
                </c:pt>
                <c:pt idx="2456">
                  <c:v>41671</c:v>
                </c:pt>
                <c:pt idx="2457">
                  <c:v>41678</c:v>
                </c:pt>
                <c:pt idx="2458">
                  <c:v>41685</c:v>
                </c:pt>
                <c:pt idx="2459">
                  <c:v>41692</c:v>
                </c:pt>
                <c:pt idx="2460">
                  <c:v>41699</c:v>
                </c:pt>
                <c:pt idx="2461">
                  <c:v>41706</c:v>
                </c:pt>
                <c:pt idx="2462">
                  <c:v>41713</c:v>
                </c:pt>
                <c:pt idx="2463">
                  <c:v>41720</c:v>
                </c:pt>
                <c:pt idx="2464">
                  <c:v>41727</c:v>
                </c:pt>
                <c:pt idx="2465">
                  <c:v>41734</c:v>
                </c:pt>
                <c:pt idx="2466">
                  <c:v>41741</c:v>
                </c:pt>
                <c:pt idx="2467">
                  <c:v>41748</c:v>
                </c:pt>
                <c:pt idx="2468">
                  <c:v>41755</c:v>
                </c:pt>
                <c:pt idx="2469">
                  <c:v>41762</c:v>
                </c:pt>
                <c:pt idx="2470">
                  <c:v>41769</c:v>
                </c:pt>
                <c:pt idx="2471">
                  <c:v>41776</c:v>
                </c:pt>
                <c:pt idx="2472">
                  <c:v>41783</c:v>
                </c:pt>
                <c:pt idx="2473">
                  <c:v>41790</c:v>
                </c:pt>
                <c:pt idx="2474">
                  <c:v>41797</c:v>
                </c:pt>
                <c:pt idx="2475">
                  <c:v>41804</c:v>
                </c:pt>
                <c:pt idx="2476">
                  <c:v>41811</c:v>
                </c:pt>
                <c:pt idx="2477">
                  <c:v>41818</c:v>
                </c:pt>
                <c:pt idx="2478">
                  <c:v>41825</c:v>
                </c:pt>
                <c:pt idx="2479">
                  <c:v>41832</c:v>
                </c:pt>
                <c:pt idx="2480">
                  <c:v>41839</c:v>
                </c:pt>
                <c:pt idx="2481">
                  <c:v>41846</c:v>
                </c:pt>
                <c:pt idx="2482">
                  <c:v>41853</c:v>
                </c:pt>
                <c:pt idx="2483">
                  <c:v>41860</c:v>
                </c:pt>
                <c:pt idx="2484">
                  <c:v>41867</c:v>
                </c:pt>
                <c:pt idx="2485">
                  <c:v>41874</c:v>
                </c:pt>
                <c:pt idx="2486">
                  <c:v>41881</c:v>
                </c:pt>
                <c:pt idx="2487">
                  <c:v>41888</c:v>
                </c:pt>
                <c:pt idx="2488">
                  <c:v>41895</c:v>
                </c:pt>
                <c:pt idx="2489">
                  <c:v>41902</c:v>
                </c:pt>
                <c:pt idx="2490">
                  <c:v>41909</c:v>
                </c:pt>
                <c:pt idx="2491">
                  <c:v>41916</c:v>
                </c:pt>
                <c:pt idx="2492">
                  <c:v>41923</c:v>
                </c:pt>
                <c:pt idx="2493">
                  <c:v>41930</c:v>
                </c:pt>
                <c:pt idx="2494">
                  <c:v>41937</c:v>
                </c:pt>
                <c:pt idx="2495">
                  <c:v>41944</c:v>
                </c:pt>
                <c:pt idx="2496">
                  <c:v>41951</c:v>
                </c:pt>
                <c:pt idx="2497">
                  <c:v>41958</c:v>
                </c:pt>
                <c:pt idx="2498">
                  <c:v>41965</c:v>
                </c:pt>
                <c:pt idx="2499">
                  <c:v>41972</c:v>
                </c:pt>
                <c:pt idx="2500">
                  <c:v>41979</c:v>
                </c:pt>
                <c:pt idx="2501">
                  <c:v>41986</c:v>
                </c:pt>
                <c:pt idx="2502">
                  <c:v>41993</c:v>
                </c:pt>
                <c:pt idx="2503">
                  <c:v>42000</c:v>
                </c:pt>
                <c:pt idx="2504">
                  <c:v>42007</c:v>
                </c:pt>
                <c:pt idx="2505">
                  <c:v>42014</c:v>
                </c:pt>
                <c:pt idx="2506">
                  <c:v>42021</c:v>
                </c:pt>
                <c:pt idx="2507">
                  <c:v>42028</c:v>
                </c:pt>
                <c:pt idx="2508">
                  <c:v>42035</c:v>
                </c:pt>
                <c:pt idx="2509">
                  <c:v>42042</c:v>
                </c:pt>
                <c:pt idx="2510">
                  <c:v>42049</c:v>
                </c:pt>
                <c:pt idx="2511">
                  <c:v>42056</c:v>
                </c:pt>
                <c:pt idx="2512">
                  <c:v>42063</c:v>
                </c:pt>
                <c:pt idx="2513">
                  <c:v>42070</c:v>
                </c:pt>
                <c:pt idx="2514">
                  <c:v>42077</c:v>
                </c:pt>
                <c:pt idx="2515">
                  <c:v>42084</c:v>
                </c:pt>
                <c:pt idx="2516">
                  <c:v>42091</c:v>
                </c:pt>
                <c:pt idx="2517">
                  <c:v>42098</c:v>
                </c:pt>
                <c:pt idx="2518">
                  <c:v>42105</c:v>
                </c:pt>
                <c:pt idx="2519">
                  <c:v>42112</c:v>
                </c:pt>
                <c:pt idx="2520">
                  <c:v>42119</c:v>
                </c:pt>
                <c:pt idx="2521">
                  <c:v>42126</c:v>
                </c:pt>
                <c:pt idx="2522">
                  <c:v>42133</c:v>
                </c:pt>
                <c:pt idx="2523">
                  <c:v>42140</c:v>
                </c:pt>
                <c:pt idx="2524">
                  <c:v>42147</c:v>
                </c:pt>
                <c:pt idx="2525">
                  <c:v>42154</c:v>
                </c:pt>
                <c:pt idx="2526">
                  <c:v>42161</c:v>
                </c:pt>
                <c:pt idx="2527">
                  <c:v>42168</c:v>
                </c:pt>
                <c:pt idx="2528">
                  <c:v>42175</c:v>
                </c:pt>
                <c:pt idx="2529">
                  <c:v>42182</c:v>
                </c:pt>
                <c:pt idx="2530">
                  <c:v>42189</c:v>
                </c:pt>
                <c:pt idx="2531">
                  <c:v>42196</c:v>
                </c:pt>
                <c:pt idx="2532">
                  <c:v>42203</c:v>
                </c:pt>
                <c:pt idx="2533">
                  <c:v>42210</c:v>
                </c:pt>
                <c:pt idx="2534">
                  <c:v>42217</c:v>
                </c:pt>
                <c:pt idx="2535">
                  <c:v>42224</c:v>
                </c:pt>
                <c:pt idx="2536">
                  <c:v>42231</c:v>
                </c:pt>
                <c:pt idx="2537">
                  <c:v>42238</c:v>
                </c:pt>
                <c:pt idx="2538">
                  <c:v>42245</c:v>
                </c:pt>
                <c:pt idx="2539">
                  <c:v>42252</c:v>
                </c:pt>
                <c:pt idx="2540">
                  <c:v>42259</c:v>
                </c:pt>
                <c:pt idx="2541">
                  <c:v>42266</c:v>
                </c:pt>
                <c:pt idx="2542">
                  <c:v>42273</c:v>
                </c:pt>
                <c:pt idx="2543">
                  <c:v>42280</c:v>
                </c:pt>
                <c:pt idx="2544">
                  <c:v>42287</c:v>
                </c:pt>
                <c:pt idx="2545">
                  <c:v>42294</c:v>
                </c:pt>
                <c:pt idx="2546">
                  <c:v>42301</c:v>
                </c:pt>
                <c:pt idx="2547">
                  <c:v>42308</c:v>
                </c:pt>
                <c:pt idx="2548">
                  <c:v>42315</c:v>
                </c:pt>
                <c:pt idx="2549">
                  <c:v>42322</c:v>
                </c:pt>
                <c:pt idx="2550">
                  <c:v>42329</c:v>
                </c:pt>
                <c:pt idx="2551">
                  <c:v>42336</c:v>
                </c:pt>
                <c:pt idx="2552">
                  <c:v>42343</c:v>
                </c:pt>
                <c:pt idx="2553">
                  <c:v>42350</c:v>
                </c:pt>
                <c:pt idx="2554">
                  <c:v>42357</c:v>
                </c:pt>
                <c:pt idx="2555">
                  <c:v>42364</c:v>
                </c:pt>
                <c:pt idx="2556">
                  <c:v>42371</c:v>
                </c:pt>
                <c:pt idx="2557">
                  <c:v>42378</c:v>
                </c:pt>
                <c:pt idx="2558">
                  <c:v>42385</c:v>
                </c:pt>
                <c:pt idx="2559">
                  <c:v>42392</c:v>
                </c:pt>
                <c:pt idx="2560">
                  <c:v>42399</c:v>
                </c:pt>
                <c:pt idx="2561">
                  <c:v>42406</c:v>
                </c:pt>
                <c:pt idx="2562">
                  <c:v>42413</c:v>
                </c:pt>
                <c:pt idx="2563">
                  <c:v>42420</c:v>
                </c:pt>
                <c:pt idx="2564">
                  <c:v>42427</c:v>
                </c:pt>
                <c:pt idx="2565">
                  <c:v>42434</c:v>
                </c:pt>
                <c:pt idx="2566">
                  <c:v>42441</c:v>
                </c:pt>
                <c:pt idx="2567">
                  <c:v>42448</c:v>
                </c:pt>
                <c:pt idx="2568">
                  <c:v>42455</c:v>
                </c:pt>
                <c:pt idx="2569">
                  <c:v>42462</c:v>
                </c:pt>
                <c:pt idx="2570">
                  <c:v>42469</c:v>
                </c:pt>
                <c:pt idx="2571">
                  <c:v>42476</c:v>
                </c:pt>
                <c:pt idx="2572">
                  <c:v>42483</c:v>
                </c:pt>
                <c:pt idx="2573">
                  <c:v>42490</c:v>
                </c:pt>
                <c:pt idx="2574">
                  <c:v>42497</c:v>
                </c:pt>
                <c:pt idx="2575">
                  <c:v>42504</c:v>
                </c:pt>
                <c:pt idx="2576">
                  <c:v>42511</c:v>
                </c:pt>
                <c:pt idx="2577">
                  <c:v>42518</c:v>
                </c:pt>
                <c:pt idx="2578">
                  <c:v>42525</c:v>
                </c:pt>
                <c:pt idx="2579">
                  <c:v>42532</c:v>
                </c:pt>
                <c:pt idx="2580">
                  <c:v>42539</c:v>
                </c:pt>
                <c:pt idx="2581">
                  <c:v>42546</c:v>
                </c:pt>
                <c:pt idx="2582">
                  <c:v>42553</c:v>
                </c:pt>
                <c:pt idx="2583">
                  <c:v>42560</c:v>
                </c:pt>
                <c:pt idx="2584">
                  <c:v>42567</c:v>
                </c:pt>
                <c:pt idx="2585">
                  <c:v>42574</c:v>
                </c:pt>
                <c:pt idx="2586">
                  <c:v>42581</c:v>
                </c:pt>
                <c:pt idx="2587">
                  <c:v>42588</c:v>
                </c:pt>
                <c:pt idx="2588">
                  <c:v>42595</c:v>
                </c:pt>
                <c:pt idx="2589">
                  <c:v>42602</c:v>
                </c:pt>
                <c:pt idx="2590">
                  <c:v>42609</c:v>
                </c:pt>
                <c:pt idx="2591">
                  <c:v>42616</c:v>
                </c:pt>
                <c:pt idx="2592">
                  <c:v>42623</c:v>
                </c:pt>
                <c:pt idx="2593">
                  <c:v>42630</c:v>
                </c:pt>
                <c:pt idx="2594">
                  <c:v>42637</c:v>
                </c:pt>
                <c:pt idx="2595">
                  <c:v>42644</c:v>
                </c:pt>
                <c:pt idx="2596">
                  <c:v>42651</c:v>
                </c:pt>
                <c:pt idx="2597">
                  <c:v>42658</c:v>
                </c:pt>
                <c:pt idx="2598">
                  <c:v>42665</c:v>
                </c:pt>
                <c:pt idx="2599">
                  <c:v>42672</c:v>
                </c:pt>
                <c:pt idx="2600">
                  <c:v>42679</c:v>
                </c:pt>
                <c:pt idx="2601">
                  <c:v>42686</c:v>
                </c:pt>
                <c:pt idx="2602">
                  <c:v>42693</c:v>
                </c:pt>
                <c:pt idx="2603">
                  <c:v>42700</c:v>
                </c:pt>
                <c:pt idx="2604">
                  <c:v>42707</c:v>
                </c:pt>
                <c:pt idx="2605">
                  <c:v>42714</c:v>
                </c:pt>
                <c:pt idx="2606">
                  <c:v>42721</c:v>
                </c:pt>
                <c:pt idx="2607">
                  <c:v>42728</c:v>
                </c:pt>
                <c:pt idx="2608">
                  <c:v>42735</c:v>
                </c:pt>
                <c:pt idx="2609">
                  <c:v>42742</c:v>
                </c:pt>
                <c:pt idx="2610">
                  <c:v>42749</c:v>
                </c:pt>
                <c:pt idx="2611">
                  <c:v>42756</c:v>
                </c:pt>
                <c:pt idx="2612">
                  <c:v>42763</c:v>
                </c:pt>
                <c:pt idx="2613">
                  <c:v>42770</c:v>
                </c:pt>
                <c:pt idx="2614">
                  <c:v>42777</c:v>
                </c:pt>
                <c:pt idx="2615">
                  <c:v>42784</c:v>
                </c:pt>
                <c:pt idx="2616">
                  <c:v>42791</c:v>
                </c:pt>
                <c:pt idx="2617">
                  <c:v>42798</c:v>
                </c:pt>
                <c:pt idx="2618">
                  <c:v>42805</c:v>
                </c:pt>
                <c:pt idx="2619">
                  <c:v>42812</c:v>
                </c:pt>
                <c:pt idx="2620">
                  <c:v>42819</c:v>
                </c:pt>
                <c:pt idx="2621">
                  <c:v>42826</c:v>
                </c:pt>
                <c:pt idx="2622">
                  <c:v>42833</c:v>
                </c:pt>
                <c:pt idx="2623">
                  <c:v>42840</c:v>
                </c:pt>
                <c:pt idx="2624">
                  <c:v>42847</c:v>
                </c:pt>
                <c:pt idx="2625">
                  <c:v>42854</c:v>
                </c:pt>
                <c:pt idx="2626">
                  <c:v>42861</c:v>
                </c:pt>
                <c:pt idx="2627">
                  <c:v>42868</c:v>
                </c:pt>
                <c:pt idx="2628">
                  <c:v>42875</c:v>
                </c:pt>
                <c:pt idx="2629">
                  <c:v>42882</c:v>
                </c:pt>
                <c:pt idx="2630">
                  <c:v>42889</c:v>
                </c:pt>
                <c:pt idx="2631">
                  <c:v>42896</c:v>
                </c:pt>
                <c:pt idx="2632">
                  <c:v>42903</c:v>
                </c:pt>
                <c:pt idx="2633">
                  <c:v>42910</c:v>
                </c:pt>
                <c:pt idx="2634">
                  <c:v>42917</c:v>
                </c:pt>
                <c:pt idx="2635">
                  <c:v>42924</c:v>
                </c:pt>
                <c:pt idx="2636">
                  <c:v>42931</c:v>
                </c:pt>
                <c:pt idx="2637">
                  <c:v>42938</c:v>
                </c:pt>
                <c:pt idx="2638">
                  <c:v>42945</c:v>
                </c:pt>
                <c:pt idx="2639">
                  <c:v>42952</c:v>
                </c:pt>
                <c:pt idx="2640">
                  <c:v>42959</c:v>
                </c:pt>
                <c:pt idx="2641">
                  <c:v>42966</c:v>
                </c:pt>
                <c:pt idx="2642">
                  <c:v>42973</c:v>
                </c:pt>
                <c:pt idx="2643">
                  <c:v>42980</c:v>
                </c:pt>
                <c:pt idx="2644">
                  <c:v>42987</c:v>
                </c:pt>
                <c:pt idx="2645">
                  <c:v>42994</c:v>
                </c:pt>
                <c:pt idx="2646">
                  <c:v>43001</c:v>
                </c:pt>
                <c:pt idx="2647">
                  <c:v>43008</c:v>
                </c:pt>
                <c:pt idx="2648">
                  <c:v>43015</c:v>
                </c:pt>
                <c:pt idx="2649">
                  <c:v>43022</c:v>
                </c:pt>
                <c:pt idx="2650">
                  <c:v>43029</c:v>
                </c:pt>
                <c:pt idx="2651">
                  <c:v>43036</c:v>
                </c:pt>
                <c:pt idx="2652">
                  <c:v>43043</c:v>
                </c:pt>
                <c:pt idx="2653">
                  <c:v>43050</c:v>
                </c:pt>
                <c:pt idx="2654">
                  <c:v>43057</c:v>
                </c:pt>
                <c:pt idx="2655">
                  <c:v>43064</c:v>
                </c:pt>
                <c:pt idx="2656">
                  <c:v>43071</c:v>
                </c:pt>
                <c:pt idx="2657">
                  <c:v>43078</c:v>
                </c:pt>
                <c:pt idx="2658">
                  <c:v>43085</c:v>
                </c:pt>
                <c:pt idx="2659">
                  <c:v>43092</c:v>
                </c:pt>
                <c:pt idx="2660">
                  <c:v>43099</c:v>
                </c:pt>
                <c:pt idx="2661">
                  <c:v>43106</c:v>
                </c:pt>
                <c:pt idx="2662">
                  <c:v>43113</c:v>
                </c:pt>
                <c:pt idx="2663">
                  <c:v>43120</c:v>
                </c:pt>
                <c:pt idx="2664">
                  <c:v>43127</c:v>
                </c:pt>
                <c:pt idx="2665">
                  <c:v>43134</c:v>
                </c:pt>
                <c:pt idx="2666">
                  <c:v>43141</c:v>
                </c:pt>
                <c:pt idx="2667">
                  <c:v>43148</c:v>
                </c:pt>
                <c:pt idx="2668">
                  <c:v>43155</c:v>
                </c:pt>
                <c:pt idx="2669">
                  <c:v>43162</c:v>
                </c:pt>
                <c:pt idx="2670">
                  <c:v>43169</c:v>
                </c:pt>
                <c:pt idx="2671">
                  <c:v>43176</c:v>
                </c:pt>
                <c:pt idx="2672">
                  <c:v>43183</c:v>
                </c:pt>
                <c:pt idx="2673">
                  <c:v>43190</c:v>
                </c:pt>
                <c:pt idx="2674">
                  <c:v>43197</c:v>
                </c:pt>
                <c:pt idx="2675">
                  <c:v>43204</c:v>
                </c:pt>
                <c:pt idx="2676">
                  <c:v>43211</c:v>
                </c:pt>
                <c:pt idx="2677">
                  <c:v>43218</c:v>
                </c:pt>
                <c:pt idx="2678">
                  <c:v>43225</c:v>
                </c:pt>
                <c:pt idx="2679">
                  <c:v>43232</c:v>
                </c:pt>
                <c:pt idx="2680">
                  <c:v>43239</c:v>
                </c:pt>
                <c:pt idx="2681">
                  <c:v>43246</c:v>
                </c:pt>
                <c:pt idx="2682">
                  <c:v>43253</c:v>
                </c:pt>
                <c:pt idx="2683">
                  <c:v>43260</c:v>
                </c:pt>
                <c:pt idx="2684">
                  <c:v>43267</c:v>
                </c:pt>
                <c:pt idx="2685">
                  <c:v>43274</c:v>
                </c:pt>
                <c:pt idx="2686">
                  <c:v>43281</c:v>
                </c:pt>
                <c:pt idx="2687">
                  <c:v>43288</c:v>
                </c:pt>
                <c:pt idx="2688">
                  <c:v>43295</c:v>
                </c:pt>
                <c:pt idx="2689">
                  <c:v>43302</c:v>
                </c:pt>
                <c:pt idx="2690">
                  <c:v>43309</c:v>
                </c:pt>
                <c:pt idx="2691">
                  <c:v>43316</c:v>
                </c:pt>
                <c:pt idx="2692">
                  <c:v>43323</c:v>
                </c:pt>
                <c:pt idx="2693">
                  <c:v>43330</c:v>
                </c:pt>
                <c:pt idx="2694">
                  <c:v>43337</c:v>
                </c:pt>
                <c:pt idx="2695">
                  <c:v>43344</c:v>
                </c:pt>
                <c:pt idx="2696">
                  <c:v>43351</c:v>
                </c:pt>
                <c:pt idx="2697">
                  <c:v>43358</c:v>
                </c:pt>
                <c:pt idx="2698">
                  <c:v>43365</c:v>
                </c:pt>
                <c:pt idx="2699">
                  <c:v>43372</c:v>
                </c:pt>
                <c:pt idx="2700">
                  <c:v>43379</c:v>
                </c:pt>
                <c:pt idx="2701">
                  <c:v>43386</c:v>
                </c:pt>
                <c:pt idx="2702">
                  <c:v>43393</c:v>
                </c:pt>
                <c:pt idx="2703">
                  <c:v>43400</c:v>
                </c:pt>
                <c:pt idx="2704">
                  <c:v>43407</c:v>
                </c:pt>
                <c:pt idx="2705">
                  <c:v>43414</c:v>
                </c:pt>
                <c:pt idx="2706">
                  <c:v>43421</c:v>
                </c:pt>
                <c:pt idx="2707">
                  <c:v>43428</c:v>
                </c:pt>
                <c:pt idx="2708">
                  <c:v>43435</c:v>
                </c:pt>
                <c:pt idx="2709">
                  <c:v>43442</c:v>
                </c:pt>
                <c:pt idx="2710">
                  <c:v>43449</c:v>
                </c:pt>
                <c:pt idx="2711">
                  <c:v>43456</c:v>
                </c:pt>
                <c:pt idx="2712">
                  <c:v>43463</c:v>
                </c:pt>
                <c:pt idx="2713">
                  <c:v>43470</c:v>
                </c:pt>
                <c:pt idx="2714">
                  <c:v>43477</c:v>
                </c:pt>
                <c:pt idx="2715">
                  <c:v>43484</c:v>
                </c:pt>
                <c:pt idx="2716">
                  <c:v>43491</c:v>
                </c:pt>
                <c:pt idx="2717">
                  <c:v>43498</c:v>
                </c:pt>
                <c:pt idx="2718">
                  <c:v>43505</c:v>
                </c:pt>
                <c:pt idx="2719">
                  <c:v>43512</c:v>
                </c:pt>
                <c:pt idx="2720">
                  <c:v>43519</c:v>
                </c:pt>
                <c:pt idx="2721">
                  <c:v>43526</c:v>
                </c:pt>
                <c:pt idx="2722">
                  <c:v>43533</c:v>
                </c:pt>
                <c:pt idx="2723">
                  <c:v>43540</c:v>
                </c:pt>
                <c:pt idx="2724">
                  <c:v>43547</c:v>
                </c:pt>
                <c:pt idx="2725">
                  <c:v>43554</c:v>
                </c:pt>
                <c:pt idx="2726">
                  <c:v>43561</c:v>
                </c:pt>
                <c:pt idx="2727">
                  <c:v>43568</c:v>
                </c:pt>
                <c:pt idx="2728">
                  <c:v>43575</c:v>
                </c:pt>
                <c:pt idx="2729">
                  <c:v>43582</c:v>
                </c:pt>
                <c:pt idx="2730">
                  <c:v>43589</c:v>
                </c:pt>
                <c:pt idx="2731">
                  <c:v>43596</c:v>
                </c:pt>
                <c:pt idx="2732">
                  <c:v>43603</c:v>
                </c:pt>
                <c:pt idx="2733">
                  <c:v>43610</c:v>
                </c:pt>
                <c:pt idx="2734">
                  <c:v>43617</c:v>
                </c:pt>
                <c:pt idx="2735">
                  <c:v>43624</c:v>
                </c:pt>
                <c:pt idx="2736">
                  <c:v>43631</c:v>
                </c:pt>
                <c:pt idx="2737">
                  <c:v>43638</c:v>
                </c:pt>
                <c:pt idx="2738">
                  <c:v>43645</c:v>
                </c:pt>
                <c:pt idx="2739">
                  <c:v>43652</c:v>
                </c:pt>
                <c:pt idx="2740">
                  <c:v>43659</c:v>
                </c:pt>
                <c:pt idx="2741">
                  <c:v>43666</c:v>
                </c:pt>
                <c:pt idx="2742">
                  <c:v>43673</c:v>
                </c:pt>
                <c:pt idx="2743">
                  <c:v>43680</c:v>
                </c:pt>
                <c:pt idx="2744">
                  <c:v>43687</c:v>
                </c:pt>
                <c:pt idx="2745">
                  <c:v>43694</c:v>
                </c:pt>
                <c:pt idx="2746">
                  <c:v>43701</c:v>
                </c:pt>
                <c:pt idx="2747">
                  <c:v>43708</c:v>
                </c:pt>
                <c:pt idx="2748">
                  <c:v>43715</c:v>
                </c:pt>
                <c:pt idx="2749">
                  <c:v>43722</c:v>
                </c:pt>
                <c:pt idx="2750">
                  <c:v>43729</c:v>
                </c:pt>
                <c:pt idx="2751">
                  <c:v>43736</c:v>
                </c:pt>
                <c:pt idx="2752">
                  <c:v>43743</c:v>
                </c:pt>
                <c:pt idx="2753">
                  <c:v>43750</c:v>
                </c:pt>
                <c:pt idx="2754">
                  <c:v>43757</c:v>
                </c:pt>
                <c:pt idx="2755">
                  <c:v>43764</c:v>
                </c:pt>
                <c:pt idx="2756">
                  <c:v>43771</c:v>
                </c:pt>
                <c:pt idx="2757">
                  <c:v>43778</c:v>
                </c:pt>
                <c:pt idx="2758">
                  <c:v>43785</c:v>
                </c:pt>
                <c:pt idx="2759">
                  <c:v>43792</c:v>
                </c:pt>
                <c:pt idx="2760">
                  <c:v>43799</c:v>
                </c:pt>
                <c:pt idx="2761">
                  <c:v>43806</c:v>
                </c:pt>
                <c:pt idx="2762">
                  <c:v>43813</c:v>
                </c:pt>
                <c:pt idx="2763">
                  <c:v>43820</c:v>
                </c:pt>
                <c:pt idx="2764">
                  <c:v>43827</c:v>
                </c:pt>
                <c:pt idx="2765">
                  <c:v>43834</c:v>
                </c:pt>
                <c:pt idx="2766">
                  <c:v>43841</c:v>
                </c:pt>
                <c:pt idx="2767">
                  <c:v>43848</c:v>
                </c:pt>
                <c:pt idx="2768">
                  <c:v>43855</c:v>
                </c:pt>
                <c:pt idx="2769">
                  <c:v>43862</c:v>
                </c:pt>
                <c:pt idx="2770">
                  <c:v>43869</c:v>
                </c:pt>
                <c:pt idx="2771">
                  <c:v>43876</c:v>
                </c:pt>
                <c:pt idx="2772">
                  <c:v>43883</c:v>
                </c:pt>
                <c:pt idx="2773">
                  <c:v>43890</c:v>
                </c:pt>
                <c:pt idx="2774">
                  <c:v>43897</c:v>
                </c:pt>
                <c:pt idx="2775">
                  <c:v>43904</c:v>
                </c:pt>
                <c:pt idx="2776">
                  <c:v>43911</c:v>
                </c:pt>
                <c:pt idx="2777">
                  <c:v>43918</c:v>
                </c:pt>
                <c:pt idx="2778">
                  <c:v>43925</c:v>
                </c:pt>
                <c:pt idx="2779">
                  <c:v>43932</c:v>
                </c:pt>
                <c:pt idx="2780">
                  <c:v>43939</c:v>
                </c:pt>
                <c:pt idx="2781">
                  <c:v>43946</c:v>
                </c:pt>
                <c:pt idx="2782">
                  <c:v>43953</c:v>
                </c:pt>
                <c:pt idx="2783">
                  <c:v>43960</c:v>
                </c:pt>
                <c:pt idx="2784">
                  <c:v>43967</c:v>
                </c:pt>
                <c:pt idx="2785">
                  <c:v>43974</c:v>
                </c:pt>
                <c:pt idx="2786">
                  <c:v>43981</c:v>
                </c:pt>
                <c:pt idx="2787">
                  <c:v>43988</c:v>
                </c:pt>
                <c:pt idx="2788">
                  <c:v>43995</c:v>
                </c:pt>
                <c:pt idx="2789">
                  <c:v>44002</c:v>
                </c:pt>
                <c:pt idx="2790">
                  <c:v>44009</c:v>
                </c:pt>
              </c:numCache>
            </c:numRef>
          </c:cat>
          <c:val>
            <c:numRef>
              <c:f>Claims!$B$5:$B$2795</c:f>
              <c:numCache>
                <c:formatCode>#,##0</c:formatCode>
                <c:ptCount val="2791"/>
                <c:pt idx="0">
                  <c:v>208000</c:v>
                </c:pt>
                <c:pt idx="1">
                  <c:v>207000</c:v>
                </c:pt>
                <c:pt idx="2">
                  <c:v>217000</c:v>
                </c:pt>
                <c:pt idx="3">
                  <c:v>204000</c:v>
                </c:pt>
                <c:pt idx="4">
                  <c:v>216000</c:v>
                </c:pt>
                <c:pt idx="5">
                  <c:v>229000</c:v>
                </c:pt>
                <c:pt idx="6">
                  <c:v>229000</c:v>
                </c:pt>
                <c:pt idx="7">
                  <c:v>242000</c:v>
                </c:pt>
                <c:pt idx="8">
                  <c:v>310000</c:v>
                </c:pt>
                <c:pt idx="9">
                  <c:v>241000</c:v>
                </c:pt>
                <c:pt idx="10">
                  <c:v>245000</c:v>
                </c:pt>
                <c:pt idx="11">
                  <c:v>247000</c:v>
                </c:pt>
                <c:pt idx="12">
                  <c:v>259000</c:v>
                </c:pt>
                <c:pt idx="13">
                  <c:v>257000</c:v>
                </c:pt>
                <c:pt idx="14">
                  <c:v>299000</c:v>
                </c:pt>
                <c:pt idx="15">
                  <c:v>245000</c:v>
                </c:pt>
                <c:pt idx="16">
                  <c:v>255000</c:v>
                </c:pt>
                <c:pt idx="17">
                  <c:v>254000</c:v>
                </c:pt>
                <c:pt idx="18">
                  <c:v>231000</c:v>
                </c:pt>
                <c:pt idx="19">
                  <c:v>230000</c:v>
                </c:pt>
                <c:pt idx="20">
                  <c:v>228000</c:v>
                </c:pt>
                <c:pt idx="21">
                  <c:v>248000</c:v>
                </c:pt>
                <c:pt idx="22">
                  <c:v>238000</c:v>
                </c:pt>
                <c:pt idx="23">
                  <c:v>224000</c:v>
                </c:pt>
                <c:pt idx="24">
                  <c:v>218000</c:v>
                </c:pt>
                <c:pt idx="25">
                  <c:v>209000</c:v>
                </c:pt>
                <c:pt idx="26">
                  <c:v>240000</c:v>
                </c:pt>
                <c:pt idx="27">
                  <c:v>241000</c:v>
                </c:pt>
                <c:pt idx="28">
                  <c:v>240000</c:v>
                </c:pt>
                <c:pt idx="29">
                  <c:v>209000</c:v>
                </c:pt>
                <c:pt idx="30">
                  <c:v>221000</c:v>
                </c:pt>
                <c:pt idx="31">
                  <c:v>202000</c:v>
                </c:pt>
                <c:pt idx="32">
                  <c:v>215000</c:v>
                </c:pt>
                <c:pt idx="33">
                  <c:v>213000</c:v>
                </c:pt>
                <c:pt idx="34">
                  <c:v>218000</c:v>
                </c:pt>
                <c:pt idx="35">
                  <c:v>231000</c:v>
                </c:pt>
                <c:pt idx="36">
                  <c:v>220000</c:v>
                </c:pt>
                <c:pt idx="37">
                  <c:v>209000</c:v>
                </c:pt>
                <c:pt idx="38">
                  <c:v>204000</c:v>
                </c:pt>
                <c:pt idx="39">
                  <c:v>231000</c:v>
                </c:pt>
                <c:pt idx="40">
                  <c:v>206000</c:v>
                </c:pt>
                <c:pt idx="41">
                  <c:v>223000</c:v>
                </c:pt>
                <c:pt idx="42">
                  <c:v>207000</c:v>
                </c:pt>
                <c:pt idx="43">
                  <c:v>222000</c:v>
                </c:pt>
                <c:pt idx="44">
                  <c:v>214000</c:v>
                </c:pt>
                <c:pt idx="45">
                  <c:v>198000</c:v>
                </c:pt>
                <c:pt idx="46">
                  <c:v>191000</c:v>
                </c:pt>
                <c:pt idx="47">
                  <c:v>196000</c:v>
                </c:pt>
                <c:pt idx="48">
                  <c:v>221000</c:v>
                </c:pt>
                <c:pt idx="49">
                  <c:v>204000</c:v>
                </c:pt>
                <c:pt idx="50">
                  <c:v>219000</c:v>
                </c:pt>
                <c:pt idx="51">
                  <c:v>216000</c:v>
                </c:pt>
                <c:pt idx="52">
                  <c:v>222000</c:v>
                </c:pt>
                <c:pt idx="53">
                  <c:v>222000</c:v>
                </c:pt>
                <c:pt idx="54">
                  <c:v>221000</c:v>
                </c:pt>
                <c:pt idx="55">
                  <c:v>198000</c:v>
                </c:pt>
                <c:pt idx="56">
                  <c:v>244000</c:v>
                </c:pt>
                <c:pt idx="57">
                  <c:v>210000</c:v>
                </c:pt>
                <c:pt idx="58">
                  <c:v>196000</c:v>
                </c:pt>
                <c:pt idx="59">
                  <c:v>193000</c:v>
                </c:pt>
                <c:pt idx="60">
                  <c:v>190000</c:v>
                </c:pt>
                <c:pt idx="61">
                  <c:v>204000</c:v>
                </c:pt>
                <c:pt idx="62">
                  <c:v>190000</c:v>
                </c:pt>
                <c:pt idx="63">
                  <c:v>200000</c:v>
                </c:pt>
                <c:pt idx="64">
                  <c:v>192000</c:v>
                </c:pt>
                <c:pt idx="65">
                  <c:v>191000</c:v>
                </c:pt>
                <c:pt idx="66">
                  <c:v>171000</c:v>
                </c:pt>
                <c:pt idx="67">
                  <c:v>183000</c:v>
                </c:pt>
                <c:pt idx="68">
                  <c:v>251000</c:v>
                </c:pt>
                <c:pt idx="69">
                  <c:v>209000</c:v>
                </c:pt>
                <c:pt idx="70">
                  <c:v>194000</c:v>
                </c:pt>
                <c:pt idx="71">
                  <c:v>199000</c:v>
                </c:pt>
                <c:pt idx="72">
                  <c:v>194000</c:v>
                </c:pt>
                <c:pt idx="73">
                  <c:v>199000</c:v>
                </c:pt>
                <c:pt idx="74">
                  <c:v>192000</c:v>
                </c:pt>
                <c:pt idx="75">
                  <c:v>194000</c:v>
                </c:pt>
                <c:pt idx="76">
                  <c:v>189000</c:v>
                </c:pt>
                <c:pt idx="77">
                  <c:v>194000</c:v>
                </c:pt>
                <c:pt idx="78">
                  <c:v>214000</c:v>
                </c:pt>
                <c:pt idx="79">
                  <c:v>186000</c:v>
                </c:pt>
                <c:pt idx="80">
                  <c:v>180000</c:v>
                </c:pt>
                <c:pt idx="81">
                  <c:v>205000</c:v>
                </c:pt>
                <c:pt idx="82">
                  <c:v>206000</c:v>
                </c:pt>
                <c:pt idx="83">
                  <c:v>218000</c:v>
                </c:pt>
                <c:pt idx="84">
                  <c:v>192000</c:v>
                </c:pt>
                <c:pt idx="85">
                  <c:v>193000</c:v>
                </c:pt>
                <c:pt idx="86">
                  <c:v>188000</c:v>
                </c:pt>
                <c:pt idx="87">
                  <c:v>189000</c:v>
                </c:pt>
                <c:pt idx="88">
                  <c:v>195000</c:v>
                </c:pt>
                <c:pt idx="89">
                  <c:v>191000</c:v>
                </c:pt>
                <c:pt idx="90">
                  <c:v>189000</c:v>
                </c:pt>
                <c:pt idx="91">
                  <c:v>185000</c:v>
                </c:pt>
                <c:pt idx="92">
                  <c:v>186000</c:v>
                </c:pt>
                <c:pt idx="93">
                  <c:v>191000</c:v>
                </c:pt>
                <c:pt idx="94">
                  <c:v>182000</c:v>
                </c:pt>
                <c:pt idx="95">
                  <c:v>181000</c:v>
                </c:pt>
                <c:pt idx="96">
                  <c:v>183000</c:v>
                </c:pt>
                <c:pt idx="97">
                  <c:v>192000</c:v>
                </c:pt>
                <c:pt idx="98">
                  <c:v>199000</c:v>
                </c:pt>
                <c:pt idx="99">
                  <c:v>162000</c:v>
                </c:pt>
                <c:pt idx="100">
                  <c:v>188000</c:v>
                </c:pt>
                <c:pt idx="101">
                  <c:v>195000</c:v>
                </c:pt>
                <c:pt idx="102">
                  <c:v>192000</c:v>
                </c:pt>
                <c:pt idx="103">
                  <c:v>223000</c:v>
                </c:pt>
                <c:pt idx="104">
                  <c:v>190000</c:v>
                </c:pt>
                <c:pt idx="105">
                  <c:v>191000</c:v>
                </c:pt>
                <c:pt idx="106">
                  <c:v>192000</c:v>
                </c:pt>
                <c:pt idx="107">
                  <c:v>193000</c:v>
                </c:pt>
                <c:pt idx="108">
                  <c:v>203000</c:v>
                </c:pt>
                <c:pt idx="109">
                  <c:v>197000</c:v>
                </c:pt>
                <c:pt idx="110">
                  <c:v>192000</c:v>
                </c:pt>
                <c:pt idx="111">
                  <c:v>192000</c:v>
                </c:pt>
                <c:pt idx="112">
                  <c:v>201000</c:v>
                </c:pt>
                <c:pt idx="113">
                  <c:v>191000</c:v>
                </c:pt>
                <c:pt idx="114">
                  <c:v>189000</c:v>
                </c:pt>
                <c:pt idx="115">
                  <c:v>181000</c:v>
                </c:pt>
                <c:pt idx="116">
                  <c:v>183000</c:v>
                </c:pt>
                <c:pt idx="117">
                  <c:v>182000</c:v>
                </c:pt>
                <c:pt idx="118">
                  <c:v>190000</c:v>
                </c:pt>
                <c:pt idx="119">
                  <c:v>187000</c:v>
                </c:pt>
                <c:pt idx="120">
                  <c:v>177000</c:v>
                </c:pt>
                <c:pt idx="121">
                  <c:v>177000</c:v>
                </c:pt>
                <c:pt idx="122">
                  <c:v>183000</c:v>
                </c:pt>
                <c:pt idx="123">
                  <c:v>179000</c:v>
                </c:pt>
                <c:pt idx="124">
                  <c:v>180000</c:v>
                </c:pt>
                <c:pt idx="125">
                  <c:v>187000</c:v>
                </c:pt>
                <c:pt idx="126">
                  <c:v>192000</c:v>
                </c:pt>
                <c:pt idx="127">
                  <c:v>182000</c:v>
                </c:pt>
                <c:pt idx="128">
                  <c:v>191000</c:v>
                </c:pt>
                <c:pt idx="129">
                  <c:v>203000</c:v>
                </c:pt>
                <c:pt idx="130">
                  <c:v>227000</c:v>
                </c:pt>
                <c:pt idx="131">
                  <c:v>210000</c:v>
                </c:pt>
                <c:pt idx="132">
                  <c:v>206000</c:v>
                </c:pt>
                <c:pt idx="133">
                  <c:v>192000</c:v>
                </c:pt>
                <c:pt idx="134">
                  <c:v>196000</c:v>
                </c:pt>
                <c:pt idx="135">
                  <c:v>203000</c:v>
                </c:pt>
                <c:pt idx="136">
                  <c:v>199000</c:v>
                </c:pt>
                <c:pt idx="137">
                  <c:v>199000</c:v>
                </c:pt>
                <c:pt idx="138">
                  <c:v>195000</c:v>
                </c:pt>
                <c:pt idx="139">
                  <c:v>182000</c:v>
                </c:pt>
                <c:pt idx="140">
                  <c:v>209000</c:v>
                </c:pt>
                <c:pt idx="141">
                  <c:v>195000</c:v>
                </c:pt>
                <c:pt idx="142">
                  <c:v>193000</c:v>
                </c:pt>
                <c:pt idx="143">
                  <c:v>193000</c:v>
                </c:pt>
                <c:pt idx="144">
                  <c:v>200000</c:v>
                </c:pt>
                <c:pt idx="145">
                  <c:v>199000</c:v>
                </c:pt>
                <c:pt idx="146">
                  <c:v>205000</c:v>
                </c:pt>
                <c:pt idx="147">
                  <c:v>198000</c:v>
                </c:pt>
                <c:pt idx="148">
                  <c:v>211000</c:v>
                </c:pt>
                <c:pt idx="149">
                  <c:v>197000</c:v>
                </c:pt>
                <c:pt idx="150">
                  <c:v>217000</c:v>
                </c:pt>
                <c:pt idx="151">
                  <c:v>202000</c:v>
                </c:pt>
                <c:pt idx="152">
                  <c:v>202000</c:v>
                </c:pt>
                <c:pt idx="153">
                  <c:v>222000</c:v>
                </c:pt>
                <c:pt idx="154">
                  <c:v>232000</c:v>
                </c:pt>
                <c:pt idx="155">
                  <c:v>223000</c:v>
                </c:pt>
                <c:pt idx="156">
                  <c:v>230000</c:v>
                </c:pt>
                <c:pt idx="157">
                  <c:v>242000</c:v>
                </c:pt>
                <c:pt idx="158">
                  <c:v>268000</c:v>
                </c:pt>
                <c:pt idx="159">
                  <c:v>256000</c:v>
                </c:pt>
                <c:pt idx="160">
                  <c:v>239000</c:v>
                </c:pt>
                <c:pt idx="161">
                  <c:v>256000</c:v>
                </c:pt>
                <c:pt idx="162">
                  <c:v>265000</c:v>
                </c:pt>
                <c:pt idx="163">
                  <c:v>271000</c:v>
                </c:pt>
                <c:pt idx="164">
                  <c:v>242000</c:v>
                </c:pt>
                <c:pt idx="165">
                  <c:v>262000</c:v>
                </c:pt>
                <c:pt idx="166">
                  <c:v>271000</c:v>
                </c:pt>
                <c:pt idx="167">
                  <c:v>264000</c:v>
                </c:pt>
                <c:pt idx="168">
                  <c:v>276000</c:v>
                </c:pt>
                <c:pt idx="169">
                  <c:v>273000</c:v>
                </c:pt>
                <c:pt idx="170">
                  <c:v>305000</c:v>
                </c:pt>
                <c:pt idx="171">
                  <c:v>374000</c:v>
                </c:pt>
                <c:pt idx="172">
                  <c:v>349000</c:v>
                </c:pt>
                <c:pt idx="173">
                  <c:v>334000</c:v>
                </c:pt>
                <c:pt idx="174">
                  <c:v>318000</c:v>
                </c:pt>
                <c:pt idx="175">
                  <c:v>303000</c:v>
                </c:pt>
                <c:pt idx="176">
                  <c:v>296000</c:v>
                </c:pt>
                <c:pt idx="177">
                  <c:v>301000</c:v>
                </c:pt>
                <c:pt idx="178">
                  <c:v>301000</c:v>
                </c:pt>
                <c:pt idx="179">
                  <c:v>298000</c:v>
                </c:pt>
                <c:pt idx="180">
                  <c:v>296000</c:v>
                </c:pt>
                <c:pt idx="181">
                  <c:v>291000</c:v>
                </c:pt>
                <c:pt idx="182">
                  <c:v>277000</c:v>
                </c:pt>
                <c:pt idx="183">
                  <c:v>288000</c:v>
                </c:pt>
                <c:pt idx="184">
                  <c:v>294000</c:v>
                </c:pt>
                <c:pt idx="185">
                  <c:v>287000</c:v>
                </c:pt>
                <c:pt idx="186">
                  <c:v>261000</c:v>
                </c:pt>
                <c:pt idx="187">
                  <c:v>266000</c:v>
                </c:pt>
                <c:pt idx="188">
                  <c:v>300000</c:v>
                </c:pt>
                <c:pt idx="189">
                  <c:v>303000</c:v>
                </c:pt>
                <c:pt idx="190">
                  <c:v>297000</c:v>
                </c:pt>
                <c:pt idx="191">
                  <c:v>324000</c:v>
                </c:pt>
                <c:pt idx="192">
                  <c:v>292000</c:v>
                </c:pt>
                <c:pt idx="193">
                  <c:v>325000</c:v>
                </c:pt>
                <c:pt idx="194">
                  <c:v>333000</c:v>
                </c:pt>
                <c:pt idx="195">
                  <c:v>350000</c:v>
                </c:pt>
                <c:pt idx="196">
                  <c:v>327000</c:v>
                </c:pt>
                <c:pt idx="197">
                  <c:v>334000</c:v>
                </c:pt>
                <c:pt idx="198">
                  <c:v>330000</c:v>
                </c:pt>
                <c:pt idx="199">
                  <c:v>327000</c:v>
                </c:pt>
                <c:pt idx="200">
                  <c:v>336000</c:v>
                </c:pt>
                <c:pt idx="201">
                  <c:v>314000</c:v>
                </c:pt>
                <c:pt idx="202">
                  <c:v>314000</c:v>
                </c:pt>
                <c:pt idx="203">
                  <c:v>337000</c:v>
                </c:pt>
                <c:pt idx="204">
                  <c:v>308000</c:v>
                </c:pt>
                <c:pt idx="205">
                  <c:v>306000</c:v>
                </c:pt>
                <c:pt idx="206">
                  <c:v>289000</c:v>
                </c:pt>
                <c:pt idx="207">
                  <c:v>321000</c:v>
                </c:pt>
                <c:pt idx="208">
                  <c:v>303000</c:v>
                </c:pt>
                <c:pt idx="209">
                  <c:v>288000</c:v>
                </c:pt>
                <c:pt idx="210">
                  <c:v>299000</c:v>
                </c:pt>
                <c:pt idx="211">
                  <c:v>312000</c:v>
                </c:pt>
                <c:pt idx="212">
                  <c:v>292000</c:v>
                </c:pt>
                <c:pt idx="213">
                  <c:v>296000</c:v>
                </c:pt>
                <c:pt idx="214">
                  <c:v>282000</c:v>
                </c:pt>
                <c:pt idx="215">
                  <c:v>268000</c:v>
                </c:pt>
                <c:pt idx="216">
                  <c:v>290000</c:v>
                </c:pt>
                <c:pt idx="217">
                  <c:v>297000</c:v>
                </c:pt>
                <c:pt idx="218">
                  <c:v>287000</c:v>
                </c:pt>
                <c:pt idx="219">
                  <c:v>291000</c:v>
                </c:pt>
                <c:pt idx="220">
                  <c:v>300000</c:v>
                </c:pt>
                <c:pt idx="221">
                  <c:v>299000</c:v>
                </c:pt>
                <c:pt idx="222">
                  <c:v>279000</c:v>
                </c:pt>
                <c:pt idx="223">
                  <c:v>284000</c:v>
                </c:pt>
                <c:pt idx="224">
                  <c:v>288000</c:v>
                </c:pt>
                <c:pt idx="225">
                  <c:v>290000</c:v>
                </c:pt>
                <c:pt idx="226">
                  <c:v>293000</c:v>
                </c:pt>
                <c:pt idx="227">
                  <c:v>284000</c:v>
                </c:pt>
                <c:pt idx="228">
                  <c:v>295000</c:v>
                </c:pt>
                <c:pt idx="229">
                  <c:v>299000</c:v>
                </c:pt>
                <c:pt idx="230">
                  <c:v>301000</c:v>
                </c:pt>
                <c:pt idx="231">
                  <c:v>295000</c:v>
                </c:pt>
                <c:pt idx="232">
                  <c:v>299000</c:v>
                </c:pt>
                <c:pt idx="233">
                  <c:v>291000</c:v>
                </c:pt>
                <c:pt idx="234">
                  <c:v>277000</c:v>
                </c:pt>
                <c:pt idx="235">
                  <c:v>264000</c:v>
                </c:pt>
                <c:pt idx="236">
                  <c:v>313000</c:v>
                </c:pt>
                <c:pt idx="237">
                  <c:v>304000</c:v>
                </c:pt>
                <c:pt idx="238">
                  <c:v>308000</c:v>
                </c:pt>
                <c:pt idx="239">
                  <c:v>349000</c:v>
                </c:pt>
                <c:pt idx="240">
                  <c:v>325000</c:v>
                </c:pt>
                <c:pt idx="241">
                  <c:v>320000</c:v>
                </c:pt>
                <c:pt idx="242">
                  <c:v>307000</c:v>
                </c:pt>
                <c:pt idx="243">
                  <c:v>359000</c:v>
                </c:pt>
                <c:pt idx="244">
                  <c:v>312000</c:v>
                </c:pt>
                <c:pt idx="245">
                  <c:v>302000</c:v>
                </c:pt>
                <c:pt idx="246">
                  <c:v>308000</c:v>
                </c:pt>
                <c:pt idx="247">
                  <c:v>299000</c:v>
                </c:pt>
                <c:pt idx="248">
                  <c:v>313000</c:v>
                </c:pt>
                <c:pt idx="249">
                  <c:v>299000</c:v>
                </c:pt>
                <c:pt idx="250">
                  <c:v>294000</c:v>
                </c:pt>
                <c:pt idx="251">
                  <c:v>283000</c:v>
                </c:pt>
                <c:pt idx="252">
                  <c:v>301000</c:v>
                </c:pt>
                <c:pt idx="253">
                  <c:v>295000</c:v>
                </c:pt>
                <c:pt idx="254">
                  <c:v>274000</c:v>
                </c:pt>
                <c:pt idx="255">
                  <c:v>278000</c:v>
                </c:pt>
                <c:pt idx="256">
                  <c:v>299000</c:v>
                </c:pt>
                <c:pt idx="257">
                  <c:v>280000</c:v>
                </c:pt>
                <c:pt idx="258">
                  <c:v>269000</c:v>
                </c:pt>
                <c:pt idx="259">
                  <c:v>244000</c:v>
                </c:pt>
                <c:pt idx="260">
                  <c:v>279000</c:v>
                </c:pt>
                <c:pt idx="261">
                  <c:v>295000</c:v>
                </c:pt>
                <c:pt idx="262">
                  <c:v>250000</c:v>
                </c:pt>
                <c:pt idx="263">
                  <c:v>263000</c:v>
                </c:pt>
                <c:pt idx="264">
                  <c:v>269000</c:v>
                </c:pt>
                <c:pt idx="265">
                  <c:v>276000</c:v>
                </c:pt>
                <c:pt idx="266">
                  <c:v>266000</c:v>
                </c:pt>
                <c:pt idx="267">
                  <c:v>258000</c:v>
                </c:pt>
                <c:pt idx="268">
                  <c:v>254000</c:v>
                </c:pt>
                <c:pt idx="269">
                  <c:v>257000</c:v>
                </c:pt>
                <c:pt idx="270">
                  <c:v>264000</c:v>
                </c:pt>
                <c:pt idx="271">
                  <c:v>266000</c:v>
                </c:pt>
                <c:pt idx="272">
                  <c:v>264000</c:v>
                </c:pt>
                <c:pt idx="273">
                  <c:v>258000</c:v>
                </c:pt>
                <c:pt idx="274">
                  <c:v>274000</c:v>
                </c:pt>
                <c:pt idx="275">
                  <c:v>259000</c:v>
                </c:pt>
                <c:pt idx="276">
                  <c:v>259000</c:v>
                </c:pt>
                <c:pt idx="277">
                  <c:v>265000</c:v>
                </c:pt>
                <c:pt idx="278">
                  <c:v>271000</c:v>
                </c:pt>
                <c:pt idx="279">
                  <c:v>266000</c:v>
                </c:pt>
                <c:pt idx="280">
                  <c:v>267000</c:v>
                </c:pt>
                <c:pt idx="281">
                  <c:v>267000</c:v>
                </c:pt>
                <c:pt idx="282">
                  <c:v>264000</c:v>
                </c:pt>
                <c:pt idx="283">
                  <c:v>268000</c:v>
                </c:pt>
                <c:pt idx="284">
                  <c:v>275000</c:v>
                </c:pt>
                <c:pt idx="285">
                  <c:v>286000</c:v>
                </c:pt>
                <c:pt idx="286">
                  <c:v>350000</c:v>
                </c:pt>
                <c:pt idx="287">
                  <c:v>297000</c:v>
                </c:pt>
                <c:pt idx="288">
                  <c:v>318000</c:v>
                </c:pt>
                <c:pt idx="289">
                  <c:v>276000</c:v>
                </c:pt>
                <c:pt idx="290">
                  <c:v>247000</c:v>
                </c:pt>
                <c:pt idx="291">
                  <c:v>250000</c:v>
                </c:pt>
                <c:pt idx="292">
                  <c:v>246000</c:v>
                </c:pt>
                <c:pt idx="293">
                  <c:v>256000</c:v>
                </c:pt>
                <c:pt idx="294">
                  <c:v>262000</c:v>
                </c:pt>
                <c:pt idx="295">
                  <c:v>258000</c:v>
                </c:pt>
                <c:pt idx="296">
                  <c:v>259000</c:v>
                </c:pt>
                <c:pt idx="297">
                  <c:v>258000</c:v>
                </c:pt>
                <c:pt idx="298">
                  <c:v>255000</c:v>
                </c:pt>
                <c:pt idx="299">
                  <c:v>251000</c:v>
                </c:pt>
                <c:pt idx="300">
                  <c:v>263000</c:v>
                </c:pt>
                <c:pt idx="301">
                  <c:v>250000</c:v>
                </c:pt>
                <c:pt idx="302">
                  <c:v>257000</c:v>
                </c:pt>
                <c:pt idx="303">
                  <c:v>234000</c:v>
                </c:pt>
                <c:pt idx="304">
                  <c:v>255000</c:v>
                </c:pt>
                <c:pt idx="305">
                  <c:v>242000</c:v>
                </c:pt>
                <c:pt idx="306">
                  <c:v>271000</c:v>
                </c:pt>
                <c:pt idx="307">
                  <c:v>235000</c:v>
                </c:pt>
                <c:pt idx="308">
                  <c:v>226000</c:v>
                </c:pt>
                <c:pt idx="309">
                  <c:v>252000</c:v>
                </c:pt>
                <c:pt idx="310">
                  <c:v>263000</c:v>
                </c:pt>
                <c:pt idx="311">
                  <c:v>246000</c:v>
                </c:pt>
                <c:pt idx="312">
                  <c:v>225000</c:v>
                </c:pt>
                <c:pt idx="313">
                  <c:v>226000</c:v>
                </c:pt>
                <c:pt idx="314">
                  <c:v>245000</c:v>
                </c:pt>
                <c:pt idx="315">
                  <c:v>229000</c:v>
                </c:pt>
                <c:pt idx="316">
                  <c:v>214000</c:v>
                </c:pt>
                <c:pt idx="317">
                  <c:v>228000</c:v>
                </c:pt>
                <c:pt idx="318">
                  <c:v>226000</c:v>
                </c:pt>
                <c:pt idx="319">
                  <c:v>216000</c:v>
                </c:pt>
                <c:pt idx="320">
                  <c:v>218000</c:v>
                </c:pt>
                <c:pt idx="321">
                  <c:v>225000</c:v>
                </c:pt>
                <c:pt idx="322">
                  <c:v>229000</c:v>
                </c:pt>
                <c:pt idx="323">
                  <c:v>228000</c:v>
                </c:pt>
                <c:pt idx="324">
                  <c:v>232000</c:v>
                </c:pt>
                <c:pt idx="325">
                  <c:v>222000</c:v>
                </c:pt>
                <c:pt idx="326">
                  <c:v>247000</c:v>
                </c:pt>
                <c:pt idx="327">
                  <c:v>230000</c:v>
                </c:pt>
                <c:pt idx="328">
                  <c:v>243000</c:v>
                </c:pt>
                <c:pt idx="329">
                  <c:v>236000</c:v>
                </c:pt>
                <c:pt idx="330">
                  <c:v>248000</c:v>
                </c:pt>
                <c:pt idx="331">
                  <c:v>238000</c:v>
                </c:pt>
                <c:pt idx="332">
                  <c:v>237000</c:v>
                </c:pt>
                <c:pt idx="333">
                  <c:v>238000</c:v>
                </c:pt>
                <c:pt idx="334">
                  <c:v>232000</c:v>
                </c:pt>
                <c:pt idx="335">
                  <c:v>246000</c:v>
                </c:pt>
                <c:pt idx="336">
                  <c:v>237000</c:v>
                </c:pt>
                <c:pt idx="337">
                  <c:v>242000</c:v>
                </c:pt>
                <c:pt idx="338">
                  <c:v>237000</c:v>
                </c:pt>
                <c:pt idx="339">
                  <c:v>248000</c:v>
                </c:pt>
                <c:pt idx="340">
                  <c:v>232000</c:v>
                </c:pt>
                <c:pt idx="341">
                  <c:v>241000</c:v>
                </c:pt>
                <c:pt idx="342">
                  <c:v>250000</c:v>
                </c:pt>
                <c:pt idx="343">
                  <c:v>256000</c:v>
                </c:pt>
                <c:pt idx="344">
                  <c:v>265000</c:v>
                </c:pt>
                <c:pt idx="345">
                  <c:v>258000</c:v>
                </c:pt>
                <c:pt idx="346">
                  <c:v>254000</c:v>
                </c:pt>
                <c:pt idx="347">
                  <c:v>242000</c:v>
                </c:pt>
                <c:pt idx="348">
                  <c:v>252000</c:v>
                </c:pt>
                <c:pt idx="349">
                  <c:v>245000</c:v>
                </c:pt>
                <c:pt idx="350">
                  <c:v>246000</c:v>
                </c:pt>
                <c:pt idx="351">
                  <c:v>249000</c:v>
                </c:pt>
                <c:pt idx="352">
                  <c:v>236000</c:v>
                </c:pt>
                <c:pt idx="353">
                  <c:v>246000</c:v>
                </c:pt>
                <c:pt idx="354">
                  <c:v>249000</c:v>
                </c:pt>
                <c:pt idx="355">
                  <c:v>235000</c:v>
                </c:pt>
                <c:pt idx="356">
                  <c:v>246000</c:v>
                </c:pt>
                <c:pt idx="357">
                  <c:v>282000</c:v>
                </c:pt>
                <c:pt idx="358">
                  <c:v>254000</c:v>
                </c:pt>
                <c:pt idx="359">
                  <c:v>233000</c:v>
                </c:pt>
                <c:pt idx="360">
                  <c:v>256000</c:v>
                </c:pt>
                <c:pt idx="361">
                  <c:v>266000</c:v>
                </c:pt>
                <c:pt idx="362">
                  <c:v>272000</c:v>
                </c:pt>
                <c:pt idx="363">
                  <c:v>326000</c:v>
                </c:pt>
                <c:pt idx="364">
                  <c:v>300000</c:v>
                </c:pt>
                <c:pt idx="365">
                  <c:v>269000</c:v>
                </c:pt>
                <c:pt idx="366">
                  <c:v>340000</c:v>
                </c:pt>
                <c:pt idx="367">
                  <c:v>321000</c:v>
                </c:pt>
                <c:pt idx="368">
                  <c:v>291000</c:v>
                </c:pt>
                <c:pt idx="369">
                  <c:v>302000</c:v>
                </c:pt>
                <c:pt idx="370">
                  <c:v>369000</c:v>
                </c:pt>
                <c:pt idx="371">
                  <c:v>311000</c:v>
                </c:pt>
                <c:pt idx="372">
                  <c:v>292000</c:v>
                </c:pt>
                <c:pt idx="373">
                  <c:v>301000</c:v>
                </c:pt>
                <c:pt idx="374">
                  <c:v>305000</c:v>
                </c:pt>
                <c:pt idx="375">
                  <c:v>315000</c:v>
                </c:pt>
                <c:pt idx="376">
                  <c:v>314000</c:v>
                </c:pt>
                <c:pt idx="377">
                  <c:v>323000</c:v>
                </c:pt>
                <c:pt idx="378">
                  <c:v>296000</c:v>
                </c:pt>
                <c:pt idx="379">
                  <c:v>297000</c:v>
                </c:pt>
                <c:pt idx="380">
                  <c:v>296000</c:v>
                </c:pt>
                <c:pt idx="381">
                  <c:v>283000</c:v>
                </c:pt>
                <c:pt idx="382">
                  <c:v>287000</c:v>
                </c:pt>
                <c:pt idx="383">
                  <c:v>296000</c:v>
                </c:pt>
                <c:pt idx="384">
                  <c:v>298000</c:v>
                </c:pt>
                <c:pt idx="385">
                  <c:v>309000</c:v>
                </c:pt>
                <c:pt idx="386">
                  <c:v>278000</c:v>
                </c:pt>
                <c:pt idx="387">
                  <c:v>314000</c:v>
                </c:pt>
                <c:pt idx="388">
                  <c:v>303000</c:v>
                </c:pt>
                <c:pt idx="389">
                  <c:v>308000</c:v>
                </c:pt>
                <c:pt idx="390">
                  <c:v>325000</c:v>
                </c:pt>
                <c:pt idx="391">
                  <c:v>311000</c:v>
                </c:pt>
                <c:pt idx="392">
                  <c:v>304000</c:v>
                </c:pt>
                <c:pt idx="393">
                  <c:v>303000</c:v>
                </c:pt>
                <c:pt idx="394">
                  <c:v>320000</c:v>
                </c:pt>
                <c:pt idx="395">
                  <c:v>335000</c:v>
                </c:pt>
                <c:pt idx="396">
                  <c:v>347000</c:v>
                </c:pt>
                <c:pt idx="397">
                  <c:v>332000</c:v>
                </c:pt>
                <c:pt idx="398">
                  <c:v>343000</c:v>
                </c:pt>
                <c:pt idx="399">
                  <c:v>350000</c:v>
                </c:pt>
                <c:pt idx="400">
                  <c:v>350000</c:v>
                </c:pt>
                <c:pt idx="401">
                  <c:v>357000</c:v>
                </c:pt>
                <c:pt idx="402">
                  <c:v>370000</c:v>
                </c:pt>
                <c:pt idx="403">
                  <c:v>366000</c:v>
                </c:pt>
                <c:pt idx="404">
                  <c:v>371000</c:v>
                </c:pt>
                <c:pt idx="405">
                  <c:v>413000</c:v>
                </c:pt>
                <c:pt idx="406">
                  <c:v>389000</c:v>
                </c:pt>
                <c:pt idx="407">
                  <c:v>414000</c:v>
                </c:pt>
                <c:pt idx="408">
                  <c:v>406000</c:v>
                </c:pt>
                <c:pt idx="409">
                  <c:v>441000</c:v>
                </c:pt>
                <c:pt idx="410">
                  <c:v>449000</c:v>
                </c:pt>
                <c:pt idx="411">
                  <c:v>518000</c:v>
                </c:pt>
                <c:pt idx="412">
                  <c:v>474000</c:v>
                </c:pt>
                <c:pt idx="413">
                  <c:v>528000</c:v>
                </c:pt>
                <c:pt idx="414">
                  <c:v>510000</c:v>
                </c:pt>
                <c:pt idx="415">
                  <c:v>521000</c:v>
                </c:pt>
                <c:pt idx="416">
                  <c:v>537000</c:v>
                </c:pt>
                <c:pt idx="417">
                  <c:v>456000</c:v>
                </c:pt>
                <c:pt idx="418">
                  <c:v>554000</c:v>
                </c:pt>
                <c:pt idx="419">
                  <c:v>575000</c:v>
                </c:pt>
                <c:pt idx="420">
                  <c:v>555000</c:v>
                </c:pt>
                <c:pt idx="421">
                  <c:v>559000</c:v>
                </c:pt>
                <c:pt idx="422">
                  <c:v>545000</c:v>
                </c:pt>
                <c:pt idx="423">
                  <c:v>530000</c:v>
                </c:pt>
                <c:pt idx="424">
                  <c:v>544000</c:v>
                </c:pt>
                <c:pt idx="425">
                  <c:v>546000</c:v>
                </c:pt>
                <c:pt idx="426">
                  <c:v>551000</c:v>
                </c:pt>
                <c:pt idx="427">
                  <c:v>531000</c:v>
                </c:pt>
                <c:pt idx="428">
                  <c:v>550000</c:v>
                </c:pt>
                <c:pt idx="429">
                  <c:v>555000</c:v>
                </c:pt>
                <c:pt idx="430">
                  <c:v>537000</c:v>
                </c:pt>
                <c:pt idx="431">
                  <c:v>520000</c:v>
                </c:pt>
                <c:pt idx="432">
                  <c:v>531000</c:v>
                </c:pt>
                <c:pt idx="433">
                  <c:v>513000</c:v>
                </c:pt>
                <c:pt idx="434">
                  <c:v>505000</c:v>
                </c:pt>
                <c:pt idx="435">
                  <c:v>507000</c:v>
                </c:pt>
                <c:pt idx="436">
                  <c:v>514000</c:v>
                </c:pt>
                <c:pt idx="437">
                  <c:v>493000</c:v>
                </c:pt>
                <c:pt idx="438">
                  <c:v>475000</c:v>
                </c:pt>
                <c:pt idx="439">
                  <c:v>529000</c:v>
                </c:pt>
                <c:pt idx="440">
                  <c:v>497000</c:v>
                </c:pt>
                <c:pt idx="441">
                  <c:v>497000</c:v>
                </c:pt>
                <c:pt idx="442">
                  <c:v>459000</c:v>
                </c:pt>
                <c:pt idx="443">
                  <c:v>423000</c:v>
                </c:pt>
                <c:pt idx="444">
                  <c:v>446000</c:v>
                </c:pt>
                <c:pt idx="445">
                  <c:v>445000</c:v>
                </c:pt>
                <c:pt idx="446">
                  <c:v>454000</c:v>
                </c:pt>
                <c:pt idx="447">
                  <c:v>454000</c:v>
                </c:pt>
                <c:pt idx="448">
                  <c:v>459000</c:v>
                </c:pt>
                <c:pt idx="449">
                  <c:v>444000</c:v>
                </c:pt>
                <c:pt idx="450">
                  <c:v>457000</c:v>
                </c:pt>
                <c:pt idx="451">
                  <c:v>446000</c:v>
                </c:pt>
                <c:pt idx="452">
                  <c:v>447000</c:v>
                </c:pt>
                <c:pt idx="453">
                  <c:v>456000</c:v>
                </c:pt>
                <c:pt idx="454">
                  <c:v>433000</c:v>
                </c:pt>
                <c:pt idx="455">
                  <c:v>445000</c:v>
                </c:pt>
                <c:pt idx="456">
                  <c:v>426000</c:v>
                </c:pt>
                <c:pt idx="457">
                  <c:v>429000</c:v>
                </c:pt>
                <c:pt idx="458">
                  <c:v>404000</c:v>
                </c:pt>
                <c:pt idx="459">
                  <c:v>426000</c:v>
                </c:pt>
                <c:pt idx="460">
                  <c:v>414000</c:v>
                </c:pt>
                <c:pt idx="461">
                  <c:v>415000</c:v>
                </c:pt>
                <c:pt idx="462">
                  <c:v>386000</c:v>
                </c:pt>
                <c:pt idx="463">
                  <c:v>401000</c:v>
                </c:pt>
                <c:pt idx="464">
                  <c:v>387000</c:v>
                </c:pt>
                <c:pt idx="465">
                  <c:v>373000</c:v>
                </c:pt>
                <c:pt idx="466">
                  <c:v>368000</c:v>
                </c:pt>
                <c:pt idx="467">
                  <c:v>365000</c:v>
                </c:pt>
                <c:pt idx="468">
                  <c:v>391000</c:v>
                </c:pt>
                <c:pt idx="469">
                  <c:v>362000</c:v>
                </c:pt>
                <c:pt idx="470">
                  <c:v>402000</c:v>
                </c:pt>
                <c:pt idx="471">
                  <c:v>370000</c:v>
                </c:pt>
                <c:pt idx="472">
                  <c:v>363000</c:v>
                </c:pt>
                <c:pt idx="473">
                  <c:v>359000</c:v>
                </c:pt>
                <c:pt idx="474">
                  <c:v>353000</c:v>
                </c:pt>
                <c:pt idx="475">
                  <c:v>344000</c:v>
                </c:pt>
                <c:pt idx="476">
                  <c:v>347000</c:v>
                </c:pt>
                <c:pt idx="477">
                  <c:v>349000</c:v>
                </c:pt>
                <c:pt idx="478">
                  <c:v>348000</c:v>
                </c:pt>
                <c:pt idx="479">
                  <c:v>360000</c:v>
                </c:pt>
                <c:pt idx="480">
                  <c:v>368000</c:v>
                </c:pt>
                <c:pt idx="481">
                  <c:v>366000</c:v>
                </c:pt>
                <c:pt idx="482">
                  <c:v>380000</c:v>
                </c:pt>
                <c:pt idx="483">
                  <c:v>373000</c:v>
                </c:pt>
                <c:pt idx="484">
                  <c:v>361000</c:v>
                </c:pt>
                <c:pt idx="485">
                  <c:v>367000</c:v>
                </c:pt>
                <c:pt idx="486">
                  <c:v>385000</c:v>
                </c:pt>
                <c:pt idx="487">
                  <c:v>395000</c:v>
                </c:pt>
                <c:pt idx="488">
                  <c:v>382000</c:v>
                </c:pt>
                <c:pt idx="489">
                  <c:v>394000</c:v>
                </c:pt>
                <c:pt idx="490">
                  <c:v>402000</c:v>
                </c:pt>
                <c:pt idx="491">
                  <c:v>382000</c:v>
                </c:pt>
                <c:pt idx="492">
                  <c:v>407000</c:v>
                </c:pt>
                <c:pt idx="493">
                  <c:v>399000</c:v>
                </c:pt>
                <c:pt idx="494">
                  <c:v>387000</c:v>
                </c:pt>
                <c:pt idx="495">
                  <c:v>394000</c:v>
                </c:pt>
                <c:pt idx="496">
                  <c:v>372000</c:v>
                </c:pt>
                <c:pt idx="497">
                  <c:v>406000</c:v>
                </c:pt>
                <c:pt idx="498">
                  <c:v>394000</c:v>
                </c:pt>
                <c:pt idx="499">
                  <c:v>388000</c:v>
                </c:pt>
                <c:pt idx="500">
                  <c:v>378000</c:v>
                </c:pt>
                <c:pt idx="501">
                  <c:v>382000</c:v>
                </c:pt>
                <c:pt idx="502">
                  <c:v>400000</c:v>
                </c:pt>
                <c:pt idx="503">
                  <c:v>394000</c:v>
                </c:pt>
                <c:pt idx="504">
                  <c:v>421000</c:v>
                </c:pt>
                <c:pt idx="505">
                  <c:v>383000</c:v>
                </c:pt>
                <c:pt idx="506">
                  <c:v>403000</c:v>
                </c:pt>
                <c:pt idx="507">
                  <c:v>423000</c:v>
                </c:pt>
                <c:pt idx="508">
                  <c:v>408000</c:v>
                </c:pt>
                <c:pt idx="509">
                  <c:v>411000</c:v>
                </c:pt>
                <c:pt idx="510">
                  <c:v>403000</c:v>
                </c:pt>
                <c:pt idx="511">
                  <c:v>409000</c:v>
                </c:pt>
                <c:pt idx="512">
                  <c:v>414000</c:v>
                </c:pt>
                <c:pt idx="513">
                  <c:v>390000</c:v>
                </c:pt>
                <c:pt idx="514">
                  <c:v>383000</c:v>
                </c:pt>
                <c:pt idx="515">
                  <c:v>408000</c:v>
                </c:pt>
                <c:pt idx="516">
                  <c:v>377000</c:v>
                </c:pt>
                <c:pt idx="517">
                  <c:v>402000</c:v>
                </c:pt>
                <c:pt idx="518">
                  <c:v>395000</c:v>
                </c:pt>
                <c:pt idx="519">
                  <c:v>365000</c:v>
                </c:pt>
                <c:pt idx="520">
                  <c:v>333000</c:v>
                </c:pt>
                <c:pt idx="521">
                  <c:v>380000</c:v>
                </c:pt>
                <c:pt idx="522">
                  <c:v>416000</c:v>
                </c:pt>
                <c:pt idx="523">
                  <c:v>368000</c:v>
                </c:pt>
                <c:pt idx="524">
                  <c:v>423000</c:v>
                </c:pt>
                <c:pt idx="525">
                  <c:v>422000</c:v>
                </c:pt>
                <c:pt idx="526">
                  <c:v>565000</c:v>
                </c:pt>
                <c:pt idx="527">
                  <c:v>477000</c:v>
                </c:pt>
                <c:pt idx="528">
                  <c:v>399000</c:v>
                </c:pt>
                <c:pt idx="529">
                  <c:v>362000</c:v>
                </c:pt>
                <c:pt idx="530">
                  <c:v>361000</c:v>
                </c:pt>
                <c:pt idx="531">
                  <c:v>355000</c:v>
                </c:pt>
                <c:pt idx="532">
                  <c:v>369000</c:v>
                </c:pt>
                <c:pt idx="533">
                  <c:v>356000</c:v>
                </c:pt>
                <c:pt idx="534">
                  <c:v>350000</c:v>
                </c:pt>
                <c:pt idx="535">
                  <c:v>376000</c:v>
                </c:pt>
                <c:pt idx="536">
                  <c:v>361000</c:v>
                </c:pt>
                <c:pt idx="537">
                  <c:v>375000</c:v>
                </c:pt>
                <c:pt idx="538">
                  <c:v>375000</c:v>
                </c:pt>
                <c:pt idx="539">
                  <c:v>384000</c:v>
                </c:pt>
                <c:pt idx="540">
                  <c:v>381000</c:v>
                </c:pt>
                <c:pt idx="541">
                  <c:v>375000</c:v>
                </c:pt>
                <c:pt idx="542">
                  <c:v>381000</c:v>
                </c:pt>
                <c:pt idx="543">
                  <c:v>363000</c:v>
                </c:pt>
                <c:pt idx="544">
                  <c:v>358000</c:v>
                </c:pt>
                <c:pt idx="545">
                  <c:v>359000</c:v>
                </c:pt>
                <c:pt idx="546">
                  <c:v>365000</c:v>
                </c:pt>
                <c:pt idx="547">
                  <c:v>350000</c:v>
                </c:pt>
                <c:pt idx="548">
                  <c:v>361000</c:v>
                </c:pt>
                <c:pt idx="549">
                  <c:v>366000</c:v>
                </c:pt>
                <c:pt idx="550">
                  <c:v>365000</c:v>
                </c:pt>
                <c:pt idx="551">
                  <c:v>365000</c:v>
                </c:pt>
                <c:pt idx="552">
                  <c:v>378000</c:v>
                </c:pt>
                <c:pt idx="553">
                  <c:v>359000</c:v>
                </c:pt>
                <c:pt idx="554">
                  <c:v>367000</c:v>
                </c:pt>
                <c:pt idx="555">
                  <c:v>365000</c:v>
                </c:pt>
                <c:pt idx="556">
                  <c:v>374000</c:v>
                </c:pt>
                <c:pt idx="557">
                  <c:v>359000</c:v>
                </c:pt>
                <c:pt idx="558">
                  <c:v>362000</c:v>
                </c:pt>
                <c:pt idx="559">
                  <c:v>380000</c:v>
                </c:pt>
                <c:pt idx="560">
                  <c:v>348000</c:v>
                </c:pt>
                <c:pt idx="561">
                  <c:v>365000</c:v>
                </c:pt>
                <c:pt idx="562">
                  <c:v>358000</c:v>
                </c:pt>
                <c:pt idx="563">
                  <c:v>375000</c:v>
                </c:pt>
                <c:pt idx="564">
                  <c:v>349000</c:v>
                </c:pt>
                <c:pt idx="565">
                  <c:v>366000</c:v>
                </c:pt>
                <c:pt idx="566">
                  <c:v>334000</c:v>
                </c:pt>
                <c:pt idx="567">
                  <c:v>360000</c:v>
                </c:pt>
                <c:pt idx="568">
                  <c:v>354000</c:v>
                </c:pt>
                <c:pt idx="569">
                  <c:v>367000</c:v>
                </c:pt>
                <c:pt idx="570">
                  <c:v>364000</c:v>
                </c:pt>
                <c:pt idx="571">
                  <c:v>359000</c:v>
                </c:pt>
                <c:pt idx="572">
                  <c:v>344000</c:v>
                </c:pt>
                <c:pt idx="573">
                  <c:v>364000</c:v>
                </c:pt>
                <c:pt idx="574">
                  <c:v>346000</c:v>
                </c:pt>
                <c:pt idx="575">
                  <c:v>343000</c:v>
                </c:pt>
                <c:pt idx="576">
                  <c:v>352000</c:v>
                </c:pt>
                <c:pt idx="577">
                  <c:v>363000</c:v>
                </c:pt>
                <c:pt idx="578">
                  <c:v>360000</c:v>
                </c:pt>
                <c:pt idx="579">
                  <c:v>373000</c:v>
                </c:pt>
                <c:pt idx="580">
                  <c:v>429000</c:v>
                </c:pt>
                <c:pt idx="581">
                  <c:v>371000</c:v>
                </c:pt>
                <c:pt idx="582">
                  <c:v>355000</c:v>
                </c:pt>
                <c:pt idx="583">
                  <c:v>359000</c:v>
                </c:pt>
                <c:pt idx="584">
                  <c:v>347000</c:v>
                </c:pt>
                <c:pt idx="585">
                  <c:v>335000</c:v>
                </c:pt>
                <c:pt idx="586">
                  <c:v>333000</c:v>
                </c:pt>
                <c:pt idx="587">
                  <c:v>345000</c:v>
                </c:pt>
                <c:pt idx="588">
                  <c:v>309000</c:v>
                </c:pt>
                <c:pt idx="589">
                  <c:v>319000</c:v>
                </c:pt>
                <c:pt idx="590">
                  <c:v>324000</c:v>
                </c:pt>
                <c:pt idx="591">
                  <c:v>334000</c:v>
                </c:pt>
                <c:pt idx="592">
                  <c:v>322000</c:v>
                </c:pt>
                <c:pt idx="593">
                  <c:v>334000</c:v>
                </c:pt>
                <c:pt idx="594">
                  <c:v>318000</c:v>
                </c:pt>
                <c:pt idx="595">
                  <c:v>310000</c:v>
                </c:pt>
                <c:pt idx="596">
                  <c:v>331000</c:v>
                </c:pt>
                <c:pt idx="597">
                  <c:v>326000</c:v>
                </c:pt>
                <c:pt idx="598">
                  <c:v>330000</c:v>
                </c:pt>
                <c:pt idx="599">
                  <c:v>348000</c:v>
                </c:pt>
                <c:pt idx="600">
                  <c:v>356000</c:v>
                </c:pt>
                <c:pt idx="601">
                  <c:v>352000</c:v>
                </c:pt>
                <c:pt idx="602">
                  <c:v>349000</c:v>
                </c:pt>
                <c:pt idx="603">
                  <c:v>346000</c:v>
                </c:pt>
                <c:pt idx="604">
                  <c:v>365000</c:v>
                </c:pt>
                <c:pt idx="605">
                  <c:v>354000</c:v>
                </c:pt>
                <c:pt idx="606">
                  <c:v>343000</c:v>
                </c:pt>
                <c:pt idx="607">
                  <c:v>333000</c:v>
                </c:pt>
                <c:pt idx="608">
                  <c:v>313000</c:v>
                </c:pt>
                <c:pt idx="609">
                  <c:v>337000</c:v>
                </c:pt>
                <c:pt idx="610">
                  <c:v>322000</c:v>
                </c:pt>
                <c:pt idx="611">
                  <c:v>323000</c:v>
                </c:pt>
                <c:pt idx="612">
                  <c:v>318000</c:v>
                </c:pt>
                <c:pt idx="613">
                  <c:v>343000</c:v>
                </c:pt>
                <c:pt idx="614">
                  <c:v>316000</c:v>
                </c:pt>
                <c:pt idx="615">
                  <c:v>338000</c:v>
                </c:pt>
                <c:pt idx="616">
                  <c:v>316000</c:v>
                </c:pt>
                <c:pt idx="617">
                  <c:v>317000</c:v>
                </c:pt>
                <c:pt idx="618">
                  <c:v>304000</c:v>
                </c:pt>
                <c:pt idx="619">
                  <c:v>342000</c:v>
                </c:pt>
                <c:pt idx="620">
                  <c:v>359000</c:v>
                </c:pt>
                <c:pt idx="621">
                  <c:v>377000</c:v>
                </c:pt>
                <c:pt idx="622">
                  <c:v>344000</c:v>
                </c:pt>
                <c:pt idx="623">
                  <c:v>347000</c:v>
                </c:pt>
                <c:pt idx="624">
                  <c:v>352000</c:v>
                </c:pt>
                <c:pt idx="625">
                  <c:v>358000</c:v>
                </c:pt>
                <c:pt idx="626">
                  <c:v>359000</c:v>
                </c:pt>
                <c:pt idx="627">
                  <c:v>392000</c:v>
                </c:pt>
                <c:pt idx="628">
                  <c:v>337000</c:v>
                </c:pt>
                <c:pt idx="629">
                  <c:v>342000</c:v>
                </c:pt>
                <c:pt idx="630">
                  <c:v>348000</c:v>
                </c:pt>
                <c:pt idx="631">
                  <c:v>359000</c:v>
                </c:pt>
                <c:pt idx="632">
                  <c:v>367000</c:v>
                </c:pt>
                <c:pt idx="633">
                  <c:v>360000</c:v>
                </c:pt>
                <c:pt idx="634">
                  <c:v>355000</c:v>
                </c:pt>
                <c:pt idx="635">
                  <c:v>363000</c:v>
                </c:pt>
                <c:pt idx="636">
                  <c:v>359000</c:v>
                </c:pt>
                <c:pt idx="637">
                  <c:v>353000</c:v>
                </c:pt>
                <c:pt idx="638">
                  <c:v>360000</c:v>
                </c:pt>
                <c:pt idx="639">
                  <c:v>465000</c:v>
                </c:pt>
                <c:pt idx="640">
                  <c:v>457000</c:v>
                </c:pt>
                <c:pt idx="641">
                  <c:v>383000</c:v>
                </c:pt>
                <c:pt idx="642">
                  <c:v>357000</c:v>
                </c:pt>
                <c:pt idx="643">
                  <c:v>353000</c:v>
                </c:pt>
                <c:pt idx="644">
                  <c:v>344000</c:v>
                </c:pt>
                <c:pt idx="645">
                  <c:v>346000</c:v>
                </c:pt>
                <c:pt idx="646">
                  <c:v>349000</c:v>
                </c:pt>
                <c:pt idx="647">
                  <c:v>336000</c:v>
                </c:pt>
                <c:pt idx="648">
                  <c:v>365000</c:v>
                </c:pt>
                <c:pt idx="649">
                  <c:v>351000</c:v>
                </c:pt>
                <c:pt idx="650">
                  <c:v>379000</c:v>
                </c:pt>
                <c:pt idx="651">
                  <c:v>369000</c:v>
                </c:pt>
                <c:pt idx="652">
                  <c:v>368000</c:v>
                </c:pt>
                <c:pt idx="653">
                  <c:v>368000</c:v>
                </c:pt>
                <c:pt idx="654">
                  <c:v>395000</c:v>
                </c:pt>
                <c:pt idx="655">
                  <c:v>386000</c:v>
                </c:pt>
                <c:pt idx="656">
                  <c:v>412000</c:v>
                </c:pt>
                <c:pt idx="657">
                  <c:v>386000</c:v>
                </c:pt>
                <c:pt idx="658">
                  <c:v>387000</c:v>
                </c:pt>
                <c:pt idx="659">
                  <c:v>390000</c:v>
                </c:pt>
                <c:pt idx="660">
                  <c:v>389000</c:v>
                </c:pt>
                <c:pt idx="661">
                  <c:v>378000</c:v>
                </c:pt>
                <c:pt idx="662">
                  <c:v>384000</c:v>
                </c:pt>
                <c:pt idx="663">
                  <c:v>388000</c:v>
                </c:pt>
                <c:pt idx="664">
                  <c:v>390000</c:v>
                </c:pt>
                <c:pt idx="665">
                  <c:v>412000</c:v>
                </c:pt>
                <c:pt idx="666">
                  <c:v>393000</c:v>
                </c:pt>
                <c:pt idx="667">
                  <c:v>406000</c:v>
                </c:pt>
                <c:pt idx="668">
                  <c:v>398000</c:v>
                </c:pt>
                <c:pt idx="669">
                  <c:v>395000</c:v>
                </c:pt>
                <c:pt idx="670">
                  <c:v>414000</c:v>
                </c:pt>
                <c:pt idx="671">
                  <c:v>430000</c:v>
                </c:pt>
                <c:pt idx="672">
                  <c:v>414000</c:v>
                </c:pt>
                <c:pt idx="673">
                  <c:v>416000</c:v>
                </c:pt>
                <c:pt idx="674">
                  <c:v>415000</c:v>
                </c:pt>
                <c:pt idx="675">
                  <c:v>411000</c:v>
                </c:pt>
                <c:pt idx="676">
                  <c:v>471000</c:v>
                </c:pt>
                <c:pt idx="677">
                  <c:v>428000</c:v>
                </c:pt>
                <c:pt idx="678">
                  <c:v>394000</c:v>
                </c:pt>
                <c:pt idx="679">
                  <c:v>405000</c:v>
                </c:pt>
                <c:pt idx="680">
                  <c:v>446000</c:v>
                </c:pt>
                <c:pt idx="681">
                  <c:v>412000</c:v>
                </c:pt>
                <c:pt idx="682">
                  <c:v>404000</c:v>
                </c:pt>
                <c:pt idx="683">
                  <c:v>425000</c:v>
                </c:pt>
                <c:pt idx="684">
                  <c:v>415000</c:v>
                </c:pt>
                <c:pt idx="685">
                  <c:v>428000</c:v>
                </c:pt>
                <c:pt idx="686">
                  <c:v>409000</c:v>
                </c:pt>
                <c:pt idx="687">
                  <c:v>418000</c:v>
                </c:pt>
                <c:pt idx="688">
                  <c:v>432000</c:v>
                </c:pt>
                <c:pt idx="689">
                  <c:v>435000</c:v>
                </c:pt>
                <c:pt idx="690">
                  <c:v>475000</c:v>
                </c:pt>
                <c:pt idx="691">
                  <c:v>464000</c:v>
                </c:pt>
                <c:pt idx="692">
                  <c:v>544000</c:v>
                </c:pt>
                <c:pt idx="693">
                  <c:v>548000</c:v>
                </c:pt>
                <c:pt idx="694">
                  <c:v>563000</c:v>
                </c:pt>
                <c:pt idx="695">
                  <c:v>572000</c:v>
                </c:pt>
                <c:pt idx="696">
                  <c:v>601000</c:v>
                </c:pt>
                <c:pt idx="697">
                  <c:v>642000</c:v>
                </c:pt>
                <c:pt idx="698">
                  <c:v>627000</c:v>
                </c:pt>
                <c:pt idx="699">
                  <c:v>637000</c:v>
                </c:pt>
                <c:pt idx="700">
                  <c:v>610000</c:v>
                </c:pt>
                <c:pt idx="701">
                  <c:v>592000</c:v>
                </c:pt>
                <c:pt idx="702">
                  <c:v>599000</c:v>
                </c:pt>
                <c:pt idx="703">
                  <c:v>627000</c:v>
                </c:pt>
                <c:pt idx="704">
                  <c:v>579000</c:v>
                </c:pt>
                <c:pt idx="705">
                  <c:v>533000</c:v>
                </c:pt>
                <c:pt idx="706">
                  <c:v>567000</c:v>
                </c:pt>
                <c:pt idx="707">
                  <c:v>558000</c:v>
                </c:pt>
                <c:pt idx="708">
                  <c:v>569000</c:v>
                </c:pt>
                <c:pt idx="709">
                  <c:v>533000</c:v>
                </c:pt>
                <c:pt idx="710">
                  <c:v>525000</c:v>
                </c:pt>
                <c:pt idx="711">
                  <c:v>512000</c:v>
                </c:pt>
                <c:pt idx="712">
                  <c:v>502000</c:v>
                </c:pt>
                <c:pt idx="713">
                  <c:v>511000</c:v>
                </c:pt>
                <c:pt idx="714">
                  <c:v>492000</c:v>
                </c:pt>
                <c:pt idx="715">
                  <c:v>465000</c:v>
                </c:pt>
                <c:pt idx="716">
                  <c:v>463000</c:v>
                </c:pt>
                <c:pt idx="717">
                  <c:v>462000</c:v>
                </c:pt>
                <c:pt idx="718">
                  <c:v>447000</c:v>
                </c:pt>
                <c:pt idx="719">
                  <c:v>425000</c:v>
                </c:pt>
                <c:pt idx="720">
                  <c:v>418000</c:v>
                </c:pt>
                <c:pt idx="721">
                  <c:v>419000</c:v>
                </c:pt>
                <c:pt idx="722">
                  <c:v>407000</c:v>
                </c:pt>
                <c:pt idx="723">
                  <c:v>427000</c:v>
                </c:pt>
                <c:pt idx="724">
                  <c:v>398000</c:v>
                </c:pt>
                <c:pt idx="725">
                  <c:v>412000</c:v>
                </c:pt>
                <c:pt idx="726">
                  <c:v>416000</c:v>
                </c:pt>
                <c:pt idx="727">
                  <c:v>413000</c:v>
                </c:pt>
                <c:pt idx="728">
                  <c:v>412000</c:v>
                </c:pt>
                <c:pt idx="729">
                  <c:v>399000</c:v>
                </c:pt>
                <c:pt idx="730">
                  <c:v>410000</c:v>
                </c:pt>
                <c:pt idx="731">
                  <c:v>419000</c:v>
                </c:pt>
                <c:pt idx="732">
                  <c:v>421000</c:v>
                </c:pt>
                <c:pt idx="733">
                  <c:v>396000</c:v>
                </c:pt>
                <c:pt idx="734">
                  <c:v>419000</c:v>
                </c:pt>
                <c:pt idx="735">
                  <c:v>420000</c:v>
                </c:pt>
                <c:pt idx="736">
                  <c:v>423000</c:v>
                </c:pt>
                <c:pt idx="737">
                  <c:v>438000</c:v>
                </c:pt>
                <c:pt idx="738">
                  <c:v>434000</c:v>
                </c:pt>
                <c:pt idx="739">
                  <c:v>409000</c:v>
                </c:pt>
                <c:pt idx="740">
                  <c:v>408000</c:v>
                </c:pt>
                <c:pt idx="741">
                  <c:v>401000</c:v>
                </c:pt>
                <c:pt idx="742">
                  <c:v>412000</c:v>
                </c:pt>
                <c:pt idx="743">
                  <c:v>417000</c:v>
                </c:pt>
                <c:pt idx="744">
                  <c:v>396000</c:v>
                </c:pt>
                <c:pt idx="745">
                  <c:v>392000</c:v>
                </c:pt>
                <c:pt idx="746">
                  <c:v>436000</c:v>
                </c:pt>
                <c:pt idx="747">
                  <c:v>413000</c:v>
                </c:pt>
                <c:pt idx="748">
                  <c:v>423000</c:v>
                </c:pt>
                <c:pt idx="749">
                  <c:v>414000</c:v>
                </c:pt>
                <c:pt idx="750">
                  <c:v>415000</c:v>
                </c:pt>
                <c:pt idx="751">
                  <c:v>417000</c:v>
                </c:pt>
                <c:pt idx="752">
                  <c:v>428000</c:v>
                </c:pt>
                <c:pt idx="753">
                  <c:v>425000</c:v>
                </c:pt>
                <c:pt idx="754">
                  <c:v>435000</c:v>
                </c:pt>
                <c:pt idx="755">
                  <c:v>444000</c:v>
                </c:pt>
                <c:pt idx="756">
                  <c:v>460000</c:v>
                </c:pt>
                <c:pt idx="757">
                  <c:v>426000</c:v>
                </c:pt>
                <c:pt idx="758">
                  <c:v>430000</c:v>
                </c:pt>
                <c:pt idx="759">
                  <c:v>407000</c:v>
                </c:pt>
                <c:pt idx="760">
                  <c:v>476000</c:v>
                </c:pt>
                <c:pt idx="761">
                  <c:v>448000</c:v>
                </c:pt>
                <c:pt idx="762">
                  <c:v>442000</c:v>
                </c:pt>
                <c:pt idx="763">
                  <c:v>434000</c:v>
                </c:pt>
                <c:pt idx="764">
                  <c:v>451000</c:v>
                </c:pt>
                <c:pt idx="765">
                  <c:v>473000</c:v>
                </c:pt>
                <c:pt idx="766">
                  <c:v>454000</c:v>
                </c:pt>
                <c:pt idx="767">
                  <c:v>475000</c:v>
                </c:pt>
                <c:pt idx="768">
                  <c:v>491000</c:v>
                </c:pt>
                <c:pt idx="769">
                  <c:v>489000</c:v>
                </c:pt>
                <c:pt idx="770">
                  <c:v>491000</c:v>
                </c:pt>
                <c:pt idx="771">
                  <c:v>487000</c:v>
                </c:pt>
                <c:pt idx="772">
                  <c:v>483000</c:v>
                </c:pt>
                <c:pt idx="773">
                  <c:v>514000</c:v>
                </c:pt>
                <c:pt idx="774">
                  <c:v>514000</c:v>
                </c:pt>
                <c:pt idx="775">
                  <c:v>517000</c:v>
                </c:pt>
                <c:pt idx="776">
                  <c:v>464000</c:v>
                </c:pt>
                <c:pt idx="777">
                  <c:v>552000</c:v>
                </c:pt>
                <c:pt idx="778">
                  <c:v>558000</c:v>
                </c:pt>
                <c:pt idx="779">
                  <c:v>551000</c:v>
                </c:pt>
                <c:pt idx="780">
                  <c:v>539000</c:v>
                </c:pt>
                <c:pt idx="781">
                  <c:v>556000</c:v>
                </c:pt>
                <c:pt idx="782">
                  <c:v>495000</c:v>
                </c:pt>
                <c:pt idx="783">
                  <c:v>545000</c:v>
                </c:pt>
                <c:pt idx="784">
                  <c:v>489000</c:v>
                </c:pt>
                <c:pt idx="785">
                  <c:v>564000</c:v>
                </c:pt>
                <c:pt idx="786">
                  <c:v>583000</c:v>
                </c:pt>
                <c:pt idx="787">
                  <c:v>556000</c:v>
                </c:pt>
                <c:pt idx="788">
                  <c:v>507000</c:v>
                </c:pt>
                <c:pt idx="789">
                  <c:v>544000</c:v>
                </c:pt>
                <c:pt idx="790">
                  <c:v>528000</c:v>
                </c:pt>
                <c:pt idx="791">
                  <c:v>556000</c:v>
                </c:pt>
                <c:pt idx="792">
                  <c:v>539000</c:v>
                </c:pt>
                <c:pt idx="793">
                  <c:v>557000</c:v>
                </c:pt>
                <c:pt idx="794">
                  <c:v>574000</c:v>
                </c:pt>
                <c:pt idx="795">
                  <c:v>578000</c:v>
                </c:pt>
                <c:pt idx="796">
                  <c:v>585000</c:v>
                </c:pt>
                <c:pt idx="797">
                  <c:v>597000</c:v>
                </c:pt>
                <c:pt idx="798">
                  <c:v>588000</c:v>
                </c:pt>
                <c:pt idx="799">
                  <c:v>576000</c:v>
                </c:pt>
                <c:pt idx="800">
                  <c:v>584000</c:v>
                </c:pt>
                <c:pt idx="801">
                  <c:v>585000</c:v>
                </c:pt>
                <c:pt idx="802">
                  <c:v>586000</c:v>
                </c:pt>
                <c:pt idx="803">
                  <c:v>588000</c:v>
                </c:pt>
                <c:pt idx="804">
                  <c:v>611000</c:v>
                </c:pt>
                <c:pt idx="805">
                  <c:v>614000</c:v>
                </c:pt>
                <c:pt idx="806">
                  <c:v>591000</c:v>
                </c:pt>
                <c:pt idx="807">
                  <c:v>582000</c:v>
                </c:pt>
                <c:pt idx="808">
                  <c:v>600000</c:v>
                </c:pt>
                <c:pt idx="809">
                  <c:v>572000</c:v>
                </c:pt>
                <c:pt idx="810">
                  <c:v>567000</c:v>
                </c:pt>
                <c:pt idx="811">
                  <c:v>536000</c:v>
                </c:pt>
                <c:pt idx="812">
                  <c:v>605000</c:v>
                </c:pt>
                <c:pt idx="813">
                  <c:v>606000</c:v>
                </c:pt>
                <c:pt idx="814">
                  <c:v>637000</c:v>
                </c:pt>
                <c:pt idx="815">
                  <c:v>628000</c:v>
                </c:pt>
                <c:pt idx="816">
                  <c:v>647000</c:v>
                </c:pt>
                <c:pt idx="817">
                  <c:v>651000</c:v>
                </c:pt>
                <c:pt idx="818">
                  <c:v>641000</c:v>
                </c:pt>
                <c:pt idx="819">
                  <c:v>680000</c:v>
                </c:pt>
                <c:pt idx="820">
                  <c:v>671000</c:v>
                </c:pt>
                <c:pt idx="821">
                  <c:v>695000</c:v>
                </c:pt>
                <c:pt idx="822">
                  <c:v>651000</c:v>
                </c:pt>
                <c:pt idx="823">
                  <c:v>656000</c:v>
                </c:pt>
                <c:pt idx="824">
                  <c:v>623000</c:v>
                </c:pt>
                <c:pt idx="825">
                  <c:v>637000</c:v>
                </c:pt>
                <c:pt idx="826">
                  <c:v>589000</c:v>
                </c:pt>
                <c:pt idx="827">
                  <c:v>599000</c:v>
                </c:pt>
                <c:pt idx="828">
                  <c:v>577000</c:v>
                </c:pt>
                <c:pt idx="829">
                  <c:v>612000</c:v>
                </c:pt>
                <c:pt idx="830">
                  <c:v>557000</c:v>
                </c:pt>
                <c:pt idx="831">
                  <c:v>533000</c:v>
                </c:pt>
                <c:pt idx="832">
                  <c:v>516000</c:v>
                </c:pt>
                <c:pt idx="833">
                  <c:v>489000</c:v>
                </c:pt>
                <c:pt idx="834">
                  <c:v>534000</c:v>
                </c:pt>
                <c:pt idx="835">
                  <c:v>510000</c:v>
                </c:pt>
                <c:pt idx="836">
                  <c:v>479000</c:v>
                </c:pt>
                <c:pt idx="837">
                  <c:v>479000</c:v>
                </c:pt>
                <c:pt idx="838">
                  <c:v>503000</c:v>
                </c:pt>
                <c:pt idx="839">
                  <c:v>501000</c:v>
                </c:pt>
                <c:pt idx="840">
                  <c:v>486000</c:v>
                </c:pt>
                <c:pt idx="841">
                  <c:v>487000</c:v>
                </c:pt>
                <c:pt idx="842">
                  <c:v>481000</c:v>
                </c:pt>
                <c:pt idx="843">
                  <c:v>495000</c:v>
                </c:pt>
                <c:pt idx="844">
                  <c:v>475000</c:v>
                </c:pt>
                <c:pt idx="845">
                  <c:v>470000</c:v>
                </c:pt>
                <c:pt idx="846">
                  <c:v>481000</c:v>
                </c:pt>
                <c:pt idx="847">
                  <c:v>491000</c:v>
                </c:pt>
                <c:pt idx="848">
                  <c:v>496000</c:v>
                </c:pt>
                <c:pt idx="849">
                  <c:v>515000</c:v>
                </c:pt>
                <c:pt idx="850">
                  <c:v>488000</c:v>
                </c:pt>
                <c:pt idx="851">
                  <c:v>490000</c:v>
                </c:pt>
                <c:pt idx="852">
                  <c:v>494000</c:v>
                </c:pt>
                <c:pt idx="853">
                  <c:v>464000</c:v>
                </c:pt>
                <c:pt idx="854">
                  <c:v>460000</c:v>
                </c:pt>
                <c:pt idx="855">
                  <c:v>454000</c:v>
                </c:pt>
                <c:pt idx="856">
                  <c:v>459000</c:v>
                </c:pt>
                <c:pt idx="857">
                  <c:v>442000</c:v>
                </c:pt>
                <c:pt idx="858">
                  <c:v>434000</c:v>
                </c:pt>
                <c:pt idx="859">
                  <c:v>442000</c:v>
                </c:pt>
                <c:pt idx="860">
                  <c:v>422000</c:v>
                </c:pt>
                <c:pt idx="861">
                  <c:v>412000</c:v>
                </c:pt>
                <c:pt idx="862">
                  <c:v>396000</c:v>
                </c:pt>
                <c:pt idx="863">
                  <c:v>395000</c:v>
                </c:pt>
                <c:pt idx="864">
                  <c:v>415000</c:v>
                </c:pt>
                <c:pt idx="865">
                  <c:v>415000</c:v>
                </c:pt>
                <c:pt idx="866">
                  <c:v>457000</c:v>
                </c:pt>
                <c:pt idx="867">
                  <c:v>445000</c:v>
                </c:pt>
                <c:pt idx="868">
                  <c:v>426000</c:v>
                </c:pt>
                <c:pt idx="869">
                  <c:v>411000</c:v>
                </c:pt>
                <c:pt idx="870">
                  <c:v>403000</c:v>
                </c:pt>
                <c:pt idx="871">
                  <c:v>405000</c:v>
                </c:pt>
                <c:pt idx="872">
                  <c:v>416000</c:v>
                </c:pt>
                <c:pt idx="873">
                  <c:v>413000</c:v>
                </c:pt>
                <c:pt idx="874">
                  <c:v>406000</c:v>
                </c:pt>
                <c:pt idx="875">
                  <c:v>394000</c:v>
                </c:pt>
                <c:pt idx="876">
                  <c:v>394000</c:v>
                </c:pt>
                <c:pt idx="877">
                  <c:v>404000</c:v>
                </c:pt>
                <c:pt idx="878">
                  <c:v>395000</c:v>
                </c:pt>
                <c:pt idx="879">
                  <c:v>390000</c:v>
                </c:pt>
                <c:pt idx="880">
                  <c:v>387000</c:v>
                </c:pt>
                <c:pt idx="881">
                  <c:v>398000</c:v>
                </c:pt>
                <c:pt idx="882">
                  <c:v>365000</c:v>
                </c:pt>
                <c:pt idx="883">
                  <c:v>368000</c:v>
                </c:pt>
                <c:pt idx="884">
                  <c:v>362000</c:v>
                </c:pt>
                <c:pt idx="885">
                  <c:v>377000</c:v>
                </c:pt>
                <c:pt idx="886">
                  <c:v>372000</c:v>
                </c:pt>
                <c:pt idx="887">
                  <c:v>356000</c:v>
                </c:pt>
                <c:pt idx="888">
                  <c:v>351000</c:v>
                </c:pt>
                <c:pt idx="889">
                  <c:v>333000</c:v>
                </c:pt>
                <c:pt idx="890">
                  <c:v>364000</c:v>
                </c:pt>
                <c:pt idx="891">
                  <c:v>342000</c:v>
                </c:pt>
                <c:pt idx="892">
                  <c:v>338000</c:v>
                </c:pt>
                <c:pt idx="893">
                  <c:v>334000</c:v>
                </c:pt>
                <c:pt idx="894">
                  <c:v>343000</c:v>
                </c:pt>
                <c:pt idx="895">
                  <c:v>347000</c:v>
                </c:pt>
                <c:pt idx="896">
                  <c:v>346000</c:v>
                </c:pt>
                <c:pt idx="897">
                  <c:v>349000</c:v>
                </c:pt>
                <c:pt idx="898">
                  <c:v>346000</c:v>
                </c:pt>
                <c:pt idx="899">
                  <c:v>341000</c:v>
                </c:pt>
                <c:pt idx="900">
                  <c:v>381000</c:v>
                </c:pt>
                <c:pt idx="901">
                  <c:v>357000</c:v>
                </c:pt>
                <c:pt idx="902">
                  <c:v>364000</c:v>
                </c:pt>
                <c:pt idx="903">
                  <c:v>375000</c:v>
                </c:pt>
                <c:pt idx="904">
                  <c:v>365000</c:v>
                </c:pt>
                <c:pt idx="905">
                  <c:v>368000</c:v>
                </c:pt>
                <c:pt idx="906">
                  <c:v>354000</c:v>
                </c:pt>
                <c:pt idx="907">
                  <c:v>354000</c:v>
                </c:pt>
                <c:pt idx="908">
                  <c:v>355000</c:v>
                </c:pt>
                <c:pt idx="909">
                  <c:v>369000</c:v>
                </c:pt>
                <c:pt idx="910">
                  <c:v>361000</c:v>
                </c:pt>
                <c:pt idx="911">
                  <c:v>362000</c:v>
                </c:pt>
                <c:pt idx="912">
                  <c:v>360000</c:v>
                </c:pt>
                <c:pt idx="913">
                  <c:v>366000</c:v>
                </c:pt>
                <c:pt idx="914">
                  <c:v>360000</c:v>
                </c:pt>
                <c:pt idx="915">
                  <c:v>357000</c:v>
                </c:pt>
                <c:pt idx="916">
                  <c:v>359000</c:v>
                </c:pt>
                <c:pt idx="917">
                  <c:v>382000</c:v>
                </c:pt>
                <c:pt idx="918">
                  <c:v>380000</c:v>
                </c:pt>
                <c:pt idx="919">
                  <c:v>401000</c:v>
                </c:pt>
                <c:pt idx="920">
                  <c:v>395000</c:v>
                </c:pt>
                <c:pt idx="921">
                  <c:v>385000</c:v>
                </c:pt>
                <c:pt idx="922">
                  <c:v>402000</c:v>
                </c:pt>
                <c:pt idx="923">
                  <c:v>393000</c:v>
                </c:pt>
                <c:pt idx="924">
                  <c:v>395000</c:v>
                </c:pt>
                <c:pt idx="925">
                  <c:v>402000</c:v>
                </c:pt>
                <c:pt idx="926">
                  <c:v>403000</c:v>
                </c:pt>
                <c:pt idx="927">
                  <c:v>410000</c:v>
                </c:pt>
                <c:pt idx="928">
                  <c:v>439000</c:v>
                </c:pt>
                <c:pt idx="929">
                  <c:v>425000</c:v>
                </c:pt>
                <c:pt idx="930">
                  <c:v>423000</c:v>
                </c:pt>
                <c:pt idx="931">
                  <c:v>393000</c:v>
                </c:pt>
                <c:pt idx="932">
                  <c:v>383000</c:v>
                </c:pt>
                <c:pt idx="933">
                  <c:v>429000</c:v>
                </c:pt>
                <c:pt idx="934">
                  <c:v>401000</c:v>
                </c:pt>
                <c:pt idx="935">
                  <c:v>383000</c:v>
                </c:pt>
                <c:pt idx="936">
                  <c:v>386000</c:v>
                </c:pt>
                <c:pt idx="937">
                  <c:v>379000</c:v>
                </c:pt>
                <c:pt idx="938">
                  <c:v>379000</c:v>
                </c:pt>
                <c:pt idx="939">
                  <c:v>369000</c:v>
                </c:pt>
                <c:pt idx="940">
                  <c:v>387000</c:v>
                </c:pt>
                <c:pt idx="941">
                  <c:v>359000</c:v>
                </c:pt>
                <c:pt idx="942">
                  <c:v>368000</c:v>
                </c:pt>
                <c:pt idx="943">
                  <c:v>386000</c:v>
                </c:pt>
                <c:pt idx="944">
                  <c:v>401000</c:v>
                </c:pt>
                <c:pt idx="945">
                  <c:v>390000</c:v>
                </c:pt>
                <c:pt idx="946">
                  <c:v>390000</c:v>
                </c:pt>
                <c:pt idx="947">
                  <c:v>374000</c:v>
                </c:pt>
                <c:pt idx="948">
                  <c:v>385000</c:v>
                </c:pt>
                <c:pt idx="949">
                  <c:v>386000</c:v>
                </c:pt>
                <c:pt idx="950">
                  <c:v>373000</c:v>
                </c:pt>
                <c:pt idx="951">
                  <c:v>386000</c:v>
                </c:pt>
                <c:pt idx="952">
                  <c:v>405000</c:v>
                </c:pt>
                <c:pt idx="953">
                  <c:v>411000</c:v>
                </c:pt>
                <c:pt idx="954">
                  <c:v>391000</c:v>
                </c:pt>
                <c:pt idx="955">
                  <c:v>386000</c:v>
                </c:pt>
                <c:pt idx="956">
                  <c:v>390000</c:v>
                </c:pt>
                <c:pt idx="957">
                  <c:v>394000</c:v>
                </c:pt>
                <c:pt idx="958">
                  <c:v>391000</c:v>
                </c:pt>
                <c:pt idx="959">
                  <c:v>396000</c:v>
                </c:pt>
                <c:pt idx="960">
                  <c:v>393000</c:v>
                </c:pt>
                <c:pt idx="961">
                  <c:v>403000</c:v>
                </c:pt>
                <c:pt idx="962">
                  <c:v>390000</c:v>
                </c:pt>
                <c:pt idx="963">
                  <c:v>386000</c:v>
                </c:pt>
                <c:pt idx="964">
                  <c:v>390000</c:v>
                </c:pt>
                <c:pt idx="965">
                  <c:v>395000</c:v>
                </c:pt>
                <c:pt idx="966">
                  <c:v>386000</c:v>
                </c:pt>
                <c:pt idx="967">
                  <c:v>370000</c:v>
                </c:pt>
                <c:pt idx="968">
                  <c:v>362000</c:v>
                </c:pt>
                <c:pt idx="969">
                  <c:v>407000</c:v>
                </c:pt>
                <c:pt idx="970">
                  <c:v>402000</c:v>
                </c:pt>
                <c:pt idx="971">
                  <c:v>399000</c:v>
                </c:pt>
                <c:pt idx="972">
                  <c:v>405000</c:v>
                </c:pt>
                <c:pt idx="973">
                  <c:v>409000</c:v>
                </c:pt>
                <c:pt idx="974">
                  <c:v>426000</c:v>
                </c:pt>
                <c:pt idx="975">
                  <c:v>408000</c:v>
                </c:pt>
                <c:pt idx="976">
                  <c:v>401000</c:v>
                </c:pt>
                <c:pt idx="977">
                  <c:v>399000</c:v>
                </c:pt>
                <c:pt idx="978">
                  <c:v>405000</c:v>
                </c:pt>
                <c:pt idx="979">
                  <c:v>400000</c:v>
                </c:pt>
                <c:pt idx="980">
                  <c:v>400000</c:v>
                </c:pt>
                <c:pt idx="981">
                  <c:v>418000</c:v>
                </c:pt>
                <c:pt idx="982">
                  <c:v>398000</c:v>
                </c:pt>
                <c:pt idx="983">
                  <c:v>397000</c:v>
                </c:pt>
                <c:pt idx="984">
                  <c:v>397000</c:v>
                </c:pt>
                <c:pt idx="985">
                  <c:v>382000</c:v>
                </c:pt>
                <c:pt idx="986">
                  <c:v>393000</c:v>
                </c:pt>
                <c:pt idx="987">
                  <c:v>399000</c:v>
                </c:pt>
                <c:pt idx="988">
                  <c:v>382000</c:v>
                </c:pt>
                <c:pt idx="989">
                  <c:v>370000</c:v>
                </c:pt>
                <c:pt idx="990">
                  <c:v>390000</c:v>
                </c:pt>
                <c:pt idx="991">
                  <c:v>362000</c:v>
                </c:pt>
                <c:pt idx="992">
                  <c:v>397000</c:v>
                </c:pt>
                <c:pt idx="993">
                  <c:v>364000</c:v>
                </c:pt>
                <c:pt idx="994">
                  <c:v>344000</c:v>
                </c:pt>
                <c:pt idx="995">
                  <c:v>364000</c:v>
                </c:pt>
                <c:pt idx="996">
                  <c:v>366000</c:v>
                </c:pt>
                <c:pt idx="997">
                  <c:v>358000</c:v>
                </c:pt>
                <c:pt idx="998">
                  <c:v>390000</c:v>
                </c:pt>
                <c:pt idx="999">
                  <c:v>375000</c:v>
                </c:pt>
                <c:pt idx="1000">
                  <c:v>366000</c:v>
                </c:pt>
                <c:pt idx="1001">
                  <c:v>382000</c:v>
                </c:pt>
                <c:pt idx="1002">
                  <c:v>387000</c:v>
                </c:pt>
                <c:pt idx="1003">
                  <c:v>396000</c:v>
                </c:pt>
                <c:pt idx="1004">
                  <c:v>381000</c:v>
                </c:pt>
                <c:pt idx="1005">
                  <c:v>388000</c:v>
                </c:pt>
                <c:pt idx="1006">
                  <c:v>383000</c:v>
                </c:pt>
                <c:pt idx="1007">
                  <c:v>391000</c:v>
                </c:pt>
                <c:pt idx="1008">
                  <c:v>392000</c:v>
                </c:pt>
                <c:pt idx="1009">
                  <c:v>395000</c:v>
                </c:pt>
                <c:pt idx="1010">
                  <c:v>384000</c:v>
                </c:pt>
                <c:pt idx="1011">
                  <c:v>386000</c:v>
                </c:pt>
                <c:pt idx="1012">
                  <c:v>373000</c:v>
                </c:pt>
                <c:pt idx="1013">
                  <c:v>375000</c:v>
                </c:pt>
                <c:pt idx="1014">
                  <c:v>369000</c:v>
                </c:pt>
                <c:pt idx="1015">
                  <c:v>367000</c:v>
                </c:pt>
                <c:pt idx="1016">
                  <c:v>371000</c:v>
                </c:pt>
                <c:pt idx="1017">
                  <c:v>371000</c:v>
                </c:pt>
                <c:pt idx="1018">
                  <c:v>361000</c:v>
                </c:pt>
                <c:pt idx="1019">
                  <c:v>354000</c:v>
                </c:pt>
                <c:pt idx="1020">
                  <c:v>362000</c:v>
                </c:pt>
                <c:pt idx="1021">
                  <c:v>416000</c:v>
                </c:pt>
                <c:pt idx="1022">
                  <c:v>416000</c:v>
                </c:pt>
                <c:pt idx="1023">
                  <c:v>407000</c:v>
                </c:pt>
                <c:pt idx="1024">
                  <c:v>397000</c:v>
                </c:pt>
                <c:pt idx="1025">
                  <c:v>401000</c:v>
                </c:pt>
                <c:pt idx="1026">
                  <c:v>400000</c:v>
                </c:pt>
                <c:pt idx="1027">
                  <c:v>394000</c:v>
                </c:pt>
                <c:pt idx="1028">
                  <c:v>399000</c:v>
                </c:pt>
                <c:pt idx="1029">
                  <c:v>389000</c:v>
                </c:pt>
                <c:pt idx="1030">
                  <c:v>391000</c:v>
                </c:pt>
                <c:pt idx="1031">
                  <c:v>387000</c:v>
                </c:pt>
                <c:pt idx="1032">
                  <c:v>385000</c:v>
                </c:pt>
                <c:pt idx="1033">
                  <c:v>370000</c:v>
                </c:pt>
                <c:pt idx="1034">
                  <c:v>364000</c:v>
                </c:pt>
                <c:pt idx="1035">
                  <c:v>349000</c:v>
                </c:pt>
                <c:pt idx="1036">
                  <c:v>368000</c:v>
                </c:pt>
                <c:pt idx="1037">
                  <c:v>369000</c:v>
                </c:pt>
                <c:pt idx="1038">
                  <c:v>366000</c:v>
                </c:pt>
                <c:pt idx="1039">
                  <c:v>363000</c:v>
                </c:pt>
                <c:pt idx="1040">
                  <c:v>375000</c:v>
                </c:pt>
                <c:pt idx="1041">
                  <c:v>350000</c:v>
                </c:pt>
                <c:pt idx="1042">
                  <c:v>345000</c:v>
                </c:pt>
                <c:pt idx="1043">
                  <c:v>323000</c:v>
                </c:pt>
                <c:pt idx="1044">
                  <c:v>348000</c:v>
                </c:pt>
                <c:pt idx="1045">
                  <c:v>341000</c:v>
                </c:pt>
                <c:pt idx="1046">
                  <c:v>346000</c:v>
                </c:pt>
                <c:pt idx="1047">
                  <c:v>370000</c:v>
                </c:pt>
                <c:pt idx="1048">
                  <c:v>368000</c:v>
                </c:pt>
                <c:pt idx="1049">
                  <c:v>338000</c:v>
                </c:pt>
                <c:pt idx="1050">
                  <c:v>341000</c:v>
                </c:pt>
                <c:pt idx="1051">
                  <c:v>348000</c:v>
                </c:pt>
                <c:pt idx="1052">
                  <c:v>337000</c:v>
                </c:pt>
                <c:pt idx="1053">
                  <c:v>335000</c:v>
                </c:pt>
                <c:pt idx="1054">
                  <c:v>335000</c:v>
                </c:pt>
                <c:pt idx="1055">
                  <c:v>326000</c:v>
                </c:pt>
                <c:pt idx="1056">
                  <c:v>330000</c:v>
                </c:pt>
                <c:pt idx="1057">
                  <c:v>338000</c:v>
                </c:pt>
                <c:pt idx="1058">
                  <c:v>349000</c:v>
                </c:pt>
                <c:pt idx="1059">
                  <c:v>328000</c:v>
                </c:pt>
                <c:pt idx="1060">
                  <c:v>330000</c:v>
                </c:pt>
                <c:pt idx="1061">
                  <c:v>315000</c:v>
                </c:pt>
                <c:pt idx="1062">
                  <c:v>341000</c:v>
                </c:pt>
                <c:pt idx="1063">
                  <c:v>343000</c:v>
                </c:pt>
                <c:pt idx="1064">
                  <c:v>326000</c:v>
                </c:pt>
                <c:pt idx="1065">
                  <c:v>328000</c:v>
                </c:pt>
                <c:pt idx="1066">
                  <c:v>316000</c:v>
                </c:pt>
                <c:pt idx="1067">
                  <c:v>319000</c:v>
                </c:pt>
                <c:pt idx="1068">
                  <c:v>326000</c:v>
                </c:pt>
                <c:pt idx="1069">
                  <c:v>326000</c:v>
                </c:pt>
                <c:pt idx="1070">
                  <c:v>317000</c:v>
                </c:pt>
                <c:pt idx="1071">
                  <c:v>310000</c:v>
                </c:pt>
                <c:pt idx="1072">
                  <c:v>324000</c:v>
                </c:pt>
                <c:pt idx="1073">
                  <c:v>348000</c:v>
                </c:pt>
                <c:pt idx="1074">
                  <c:v>327000</c:v>
                </c:pt>
                <c:pt idx="1075">
                  <c:v>319000</c:v>
                </c:pt>
                <c:pt idx="1076">
                  <c:v>312000</c:v>
                </c:pt>
                <c:pt idx="1077">
                  <c:v>322000</c:v>
                </c:pt>
                <c:pt idx="1078">
                  <c:v>316000</c:v>
                </c:pt>
                <c:pt idx="1079">
                  <c:v>297000</c:v>
                </c:pt>
                <c:pt idx="1080">
                  <c:v>309000</c:v>
                </c:pt>
                <c:pt idx="1081">
                  <c:v>317000</c:v>
                </c:pt>
                <c:pt idx="1082">
                  <c:v>301000</c:v>
                </c:pt>
                <c:pt idx="1083">
                  <c:v>308000</c:v>
                </c:pt>
                <c:pt idx="1084">
                  <c:v>301000</c:v>
                </c:pt>
                <c:pt idx="1085">
                  <c:v>301000</c:v>
                </c:pt>
                <c:pt idx="1086">
                  <c:v>289000</c:v>
                </c:pt>
                <c:pt idx="1087">
                  <c:v>297000</c:v>
                </c:pt>
                <c:pt idx="1088">
                  <c:v>307000</c:v>
                </c:pt>
                <c:pt idx="1089">
                  <c:v>317000</c:v>
                </c:pt>
                <c:pt idx="1090">
                  <c:v>306000</c:v>
                </c:pt>
                <c:pt idx="1091">
                  <c:v>319000</c:v>
                </c:pt>
                <c:pt idx="1092">
                  <c:v>317000</c:v>
                </c:pt>
                <c:pt idx="1093">
                  <c:v>323000</c:v>
                </c:pt>
                <c:pt idx="1094">
                  <c:v>316000</c:v>
                </c:pt>
                <c:pt idx="1095">
                  <c:v>315000</c:v>
                </c:pt>
                <c:pt idx="1096">
                  <c:v>325000</c:v>
                </c:pt>
                <c:pt idx="1097">
                  <c:v>361000</c:v>
                </c:pt>
                <c:pt idx="1098">
                  <c:v>335000</c:v>
                </c:pt>
                <c:pt idx="1099">
                  <c:v>342000</c:v>
                </c:pt>
                <c:pt idx="1100">
                  <c:v>318000</c:v>
                </c:pt>
                <c:pt idx="1101">
                  <c:v>311000</c:v>
                </c:pt>
                <c:pt idx="1102">
                  <c:v>327000</c:v>
                </c:pt>
                <c:pt idx="1103">
                  <c:v>319000</c:v>
                </c:pt>
                <c:pt idx="1104">
                  <c:v>307000</c:v>
                </c:pt>
                <c:pt idx="1105">
                  <c:v>304000</c:v>
                </c:pt>
                <c:pt idx="1106">
                  <c:v>307000</c:v>
                </c:pt>
                <c:pt idx="1107">
                  <c:v>304000</c:v>
                </c:pt>
                <c:pt idx="1108">
                  <c:v>309000</c:v>
                </c:pt>
                <c:pt idx="1109">
                  <c:v>313000</c:v>
                </c:pt>
                <c:pt idx="1110">
                  <c:v>314000</c:v>
                </c:pt>
                <c:pt idx="1111">
                  <c:v>312000</c:v>
                </c:pt>
                <c:pt idx="1112">
                  <c:v>313000</c:v>
                </c:pt>
                <c:pt idx="1113">
                  <c:v>309000</c:v>
                </c:pt>
                <c:pt idx="1114">
                  <c:v>314000</c:v>
                </c:pt>
                <c:pt idx="1115">
                  <c:v>319000</c:v>
                </c:pt>
                <c:pt idx="1116">
                  <c:v>313000</c:v>
                </c:pt>
                <c:pt idx="1117">
                  <c:v>310000</c:v>
                </c:pt>
                <c:pt idx="1118">
                  <c:v>305000</c:v>
                </c:pt>
                <c:pt idx="1119">
                  <c:v>311000</c:v>
                </c:pt>
                <c:pt idx="1120">
                  <c:v>307000</c:v>
                </c:pt>
                <c:pt idx="1121">
                  <c:v>305000</c:v>
                </c:pt>
                <c:pt idx="1122">
                  <c:v>303000</c:v>
                </c:pt>
                <c:pt idx="1123">
                  <c:v>315000</c:v>
                </c:pt>
                <c:pt idx="1124">
                  <c:v>354000</c:v>
                </c:pt>
                <c:pt idx="1125">
                  <c:v>331000</c:v>
                </c:pt>
                <c:pt idx="1126">
                  <c:v>316000</c:v>
                </c:pt>
                <c:pt idx="1127">
                  <c:v>312000</c:v>
                </c:pt>
                <c:pt idx="1128">
                  <c:v>316000</c:v>
                </c:pt>
                <c:pt idx="1129">
                  <c:v>315000</c:v>
                </c:pt>
                <c:pt idx="1130">
                  <c:v>306000</c:v>
                </c:pt>
                <c:pt idx="1131">
                  <c:v>305000</c:v>
                </c:pt>
                <c:pt idx="1132">
                  <c:v>306000</c:v>
                </c:pt>
                <c:pt idx="1133">
                  <c:v>301000</c:v>
                </c:pt>
                <c:pt idx="1134">
                  <c:v>292000</c:v>
                </c:pt>
                <c:pt idx="1135">
                  <c:v>292000</c:v>
                </c:pt>
                <c:pt idx="1136">
                  <c:v>293000</c:v>
                </c:pt>
                <c:pt idx="1137">
                  <c:v>286000</c:v>
                </c:pt>
                <c:pt idx="1138">
                  <c:v>294000</c:v>
                </c:pt>
                <c:pt idx="1139">
                  <c:v>285000</c:v>
                </c:pt>
                <c:pt idx="1140">
                  <c:v>284000</c:v>
                </c:pt>
                <c:pt idx="1141">
                  <c:v>294000</c:v>
                </c:pt>
                <c:pt idx="1142">
                  <c:v>299000</c:v>
                </c:pt>
                <c:pt idx="1143">
                  <c:v>298000</c:v>
                </c:pt>
                <c:pt idx="1144">
                  <c:v>285000</c:v>
                </c:pt>
                <c:pt idx="1145">
                  <c:v>293000</c:v>
                </c:pt>
                <c:pt idx="1146">
                  <c:v>286000</c:v>
                </c:pt>
                <c:pt idx="1147">
                  <c:v>304000</c:v>
                </c:pt>
                <c:pt idx="1148">
                  <c:v>299000</c:v>
                </c:pt>
                <c:pt idx="1149">
                  <c:v>283000</c:v>
                </c:pt>
                <c:pt idx="1150">
                  <c:v>282000</c:v>
                </c:pt>
                <c:pt idx="1151">
                  <c:v>295000</c:v>
                </c:pt>
                <c:pt idx="1152">
                  <c:v>288000</c:v>
                </c:pt>
                <c:pt idx="1153">
                  <c:v>322000</c:v>
                </c:pt>
                <c:pt idx="1154">
                  <c:v>305000</c:v>
                </c:pt>
                <c:pt idx="1155">
                  <c:v>300000</c:v>
                </c:pt>
                <c:pt idx="1156">
                  <c:v>325000</c:v>
                </c:pt>
                <c:pt idx="1157">
                  <c:v>325000</c:v>
                </c:pt>
                <c:pt idx="1158">
                  <c:v>319000</c:v>
                </c:pt>
                <c:pt idx="1159">
                  <c:v>319000</c:v>
                </c:pt>
                <c:pt idx="1160">
                  <c:v>323000</c:v>
                </c:pt>
                <c:pt idx="1161">
                  <c:v>314000</c:v>
                </c:pt>
                <c:pt idx="1162">
                  <c:v>307000</c:v>
                </c:pt>
                <c:pt idx="1163">
                  <c:v>304000</c:v>
                </c:pt>
                <c:pt idx="1164">
                  <c:v>311000</c:v>
                </c:pt>
                <c:pt idx="1165">
                  <c:v>320000</c:v>
                </c:pt>
                <c:pt idx="1166">
                  <c:v>332000</c:v>
                </c:pt>
                <c:pt idx="1167">
                  <c:v>321000</c:v>
                </c:pt>
                <c:pt idx="1168">
                  <c:v>325000</c:v>
                </c:pt>
                <c:pt idx="1169">
                  <c:v>325000</c:v>
                </c:pt>
                <c:pt idx="1170">
                  <c:v>332000</c:v>
                </c:pt>
                <c:pt idx="1171">
                  <c:v>337000</c:v>
                </c:pt>
                <c:pt idx="1172">
                  <c:v>338000</c:v>
                </c:pt>
                <c:pt idx="1173">
                  <c:v>349000</c:v>
                </c:pt>
                <c:pt idx="1174">
                  <c:v>341000</c:v>
                </c:pt>
                <c:pt idx="1175">
                  <c:v>349000</c:v>
                </c:pt>
                <c:pt idx="1176">
                  <c:v>332000</c:v>
                </c:pt>
                <c:pt idx="1177">
                  <c:v>337000</c:v>
                </c:pt>
                <c:pt idx="1178">
                  <c:v>338000</c:v>
                </c:pt>
                <c:pt idx="1179">
                  <c:v>341000</c:v>
                </c:pt>
                <c:pt idx="1180">
                  <c:v>327000</c:v>
                </c:pt>
                <c:pt idx="1181">
                  <c:v>332000</c:v>
                </c:pt>
                <c:pt idx="1182">
                  <c:v>329000</c:v>
                </c:pt>
                <c:pt idx="1183">
                  <c:v>336000</c:v>
                </c:pt>
                <c:pt idx="1184">
                  <c:v>334000</c:v>
                </c:pt>
                <c:pt idx="1185">
                  <c:v>334000</c:v>
                </c:pt>
                <c:pt idx="1186">
                  <c:v>347000</c:v>
                </c:pt>
                <c:pt idx="1187">
                  <c:v>407000</c:v>
                </c:pt>
                <c:pt idx="1188">
                  <c:v>345000</c:v>
                </c:pt>
                <c:pt idx="1189">
                  <c:v>347000</c:v>
                </c:pt>
                <c:pt idx="1190">
                  <c:v>354000</c:v>
                </c:pt>
                <c:pt idx="1191">
                  <c:v>333000</c:v>
                </c:pt>
                <c:pt idx="1192">
                  <c:v>336000</c:v>
                </c:pt>
                <c:pt idx="1193">
                  <c:v>336000</c:v>
                </c:pt>
                <c:pt idx="1194">
                  <c:v>342000</c:v>
                </c:pt>
                <c:pt idx="1195">
                  <c:v>344000</c:v>
                </c:pt>
                <c:pt idx="1196">
                  <c:v>338000</c:v>
                </c:pt>
                <c:pt idx="1197">
                  <c:v>355000</c:v>
                </c:pt>
                <c:pt idx="1198">
                  <c:v>381000</c:v>
                </c:pt>
                <c:pt idx="1199">
                  <c:v>358000</c:v>
                </c:pt>
                <c:pt idx="1200">
                  <c:v>355000</c:v>
                </c:pt>
                <c:pt idx="1201">
                  <c:v>369000</c:v>
                </c:pt>
                <c:pt idx="1202">
                  <c:v>375000</c:v>
                </c:pt>
                <c:pt idx="1203">
                  <c:v>345000</c:v>
                </c:pt>
                <c:pt idx="1204">
                  <c:v>368000</c:v>
                </c:pt>
                <c:pt idx="1205">
                  <c:v>367000</c:v>
                </c:pt>
                <c:pt idx="1206">
                  <c:v>348000</c:v>
                </c:pt>
                <c:pt idx="1207">
                  <c:v>350000</c:v>
                </c:pt>
                <c:pt idx="1208">
                  <c:v>351000</c:v>
                </c:pt>
                <c:pt idx="1209">
                  <c:v>349000</c:v>
                </c:pt>
                <c:pt idx="1210">
                  <c:v>349000</c:v>
                </c:pt>
                <c:pt idx="1211">
                  <c:v>331000</c:v>
                </c:pt>
                <c:pt idx="1212">
                  <c:v>346000</c:v>
                </c:pt>
                <c:pt idx="1213">
                  <c:v>367000</c:v>
                </c:pt>
                <c:pt idx="1214">
                  <c:v>357000</c:v>
                </c:pt>
                <c:pt idx="1215">
                  <c:v>360000</c:v>
                </c:pt>
                <c:pt idx="1216">
                  <c:v>363000</c:v>
                </c:pt>
                <c:pt idx="1217">
                  <c:v>354000</c:v>
                </c:pt>
                <c:pt idx="1218">
                  <c:v>355000</c:v>
                </c:pt>
                <c:pt idx="1219">
                  <c:v>353000</c:v>
                </c:pt>
                <c:pt idx="1220">
                  <c:v>359000</c:v>
                </c:pt>
                <c:pt idx="1221">
                  <c:v>368000</c:v>
                </c:pt>
                <c:pt idx="1222">
                  <c:v>359000</c:v>
                </c:pt>
                <c:pt idx="1223">
                  <c:v>359000</c:v>
                </c:pt>
                <c:pt idx="1224">
                  <c:v>362000</c:v>
                </c:pt>
                <c:pt idx="1225">
                  <c:v>364000</c:v>
                </c:pt>
                <c:pt idx="1226">
                  <c:v>362000</c:v>
                </c:pt>
                <c:pt idx="1227">
                  <c:v>367000</c:v>
                </c:pt>
                <c:pt idx="1228">
                  <c:v>370000</c:v>
                </c:pt>
                <c:pt idx="1229">
                  <c:v>369000</c:v>
                </c:pt>
                <c:pt idx="1230">
                  <c:v>369000</c:v>
                </c:pt>
                <c:pt idx="1231">
                  <c:v>381000</c:v>
                </c:pt>
                <c:pt idx="1232">
                  <c:v>393000</c:v>
                </c:pt>
                <c:pt idx="1233">
                  <c:v>394000</c:v>
                </c:pt>
                <c:pt idx="1234">
                  <c:v>392000</c:v>
                </c:pt>
                <c:pt idx="1235">
                  <c:v>390000</c:v>
                </c:pt>
                <c:pt idx="1236">
                  <c:v>395000</c:v>
                </c:pt>
                <c:pt idx="1237">
                  <c:v>389000</c:v>
                </c:pt>
                <c:pt idx="1238">
                  <c:v>404000</c:v>
                </c:pt>
                <c:pt idx="1239">
                  <c:v>404000</c:v>
                </c:pt>
                <c:pt idx="1240">
                  <c:v>422000</c:v>
                </c:pt>
                <c:pt idx="1241">
                  <c:v>435000</c:v>
                </c:pt>
                <c:pt idx="1242">
                  <c:v>440000</c:v>
                </c:pt>
                <c:pt idx="1243">
                  <c:v>430000</c:v>
                </c:pt>
                <c:pt idx="1244">
                  <c:v>448000</c:v>
                </c:pt>
                <c:pt idx="1245">
                  <c:v>447000</c:v>
                </c:pt>
                <c:pt idx="1246">
                  <c:v>462000</c:v>
                </c:pt>
                <c:pt idx="1247">
                  <c:v>451000</c:v>
                </c:pt>
                <c:pt idx="1248">
                  <c:v>449000</c:v>
                </c:pt>
                <c:pt idx="1249">
                  <c:v>447000</c:v>
                </c:pt>
                <c:pt idx="1250">
                  <c:v>474000</c:v>
                </c:pt>
                <c:pt idx="1251">
                  <c:v>454000</c:v>
                </c:pt>
                <c:pt idx="1252">
                  <c:v>415000</c:v>
                </c:pt>
                <c:pt idx="1253">
                  <c:v>437000</c:v>
                </c:pt>
                <c:pt idx="1254">
                  <c:v>445000</c:v>
                </c:pt>
                <c:pt idx="1255">
                  <c:v>462000</c:v>
                </c:pt>
                <c:pt idx="1256">
                  <c:v>483000</c:v>
                </c:pt>
                <c:pt idx="1257">
                  <c:v>480000</c:v>
                </c:pt>
                <c:pt idx="1258">
                  <c:v>474000</c:v>
                </c:pt>
                <c:pt idx="1259">
                  <c:v>499000</c:v>
                </c:pt>
                <c:pt idx="1260">
                  <c:v>488000</c:v>
                </c:pt>
                <c:pt idx="1261">
                  <c:v>499000</c:v>
                </c:pt>
                <c:pt idx="1262">
                  <c:v>498000</c:v>
                </c:pt>
                <c:pt idx="1263">
                  <c:v>509000</c:v>
                </c:pt>
                <c:pt idx="1264">
                  <c:v>499000</c:v>
                </c:pt>
                <c:pt idx="1265">
                  <c:v>452000</c:v>
                </c:pt>
                <c:pt idx="1266">
                  <c:v>477000</c:v>
                </c:pt>
                <c:pt idx="1267">
                  <c:v>478000</c:v>
                </c:pt>
                <c:pt idx="1268">
                  <c:v>462000</c:v>
                </c:pt>
                <c:pt idx="1269">
                  <c:v>451000</c:v>
                </c:pt>
                <c:pt idx="1270">
                  <c:v>446000</c:v>
                </c:pt>
                <c:pt idx="1271">
                  <c:v>448000</c:v>
                </c:pt>
                <c:pt idx="1272">
                  <c:v>443000</c:v>
                </c:pt>
                <c:pt idx="1273">
                  <c:v>432000</c:v>
                </c:pt>
                <c:pt idx="1274">
                  <c:v>441000</c:v>
                </c:pt>
                <c:pt idx="1275">
                  <c:v>429000</c:v>
                </c:pt>
                <c:pt idx="1276">
                  <c:v>423000</c:v>
                </c:pt>
                <c:pt idx="1277">
                  <c:v>418000</c:v>
                </c:pt>
                <c:pt idx="1278">
                  <c:v>422000</c:v>
                </c:pt>
                <c:pt idx="1279">
                  <c:v>420000</c:v>
                </c:pt>
                <c:pt idx="1280">
                  <c:v>408000</c:v>
                </c:pt>
                <c:pt idx="1281">
                  <c:v>423000</c:v>
                </c:pt>
                <c:pt idx="1282">
                  <c:v>438000</c:v>
                </c:pt>
                <c:pt idx="1283">
                  <c:v>437000</c:v>
                </c:pt>
                <c:pt idx="1284">
                  <c:v>433000</c:v>
                </c:pt>
                <c:pt idx="1285">
                  <c:v>425000</c:v>
                </c:pt>
                <c:pt idx="1286">
                  <c:v>425000</c:v>
                </c:pt>
                <c:pt idx="1287">
                  <c:v>424000</c:v>
                </c:pt>
                <c:pt idx="1288">
                  <c:v>418000</c:v>
                </c:pt>
                <c:pt idx="1289">
                  <c:v>419000</c:v>
                </c:pt>
                <c:pt idx="1290">
                  <c:v>437000</c:v>
                </c:pt>
                <c:pt idx="1291">
                  <c:v>424000</c:v>
                </c:pt>
                <c:pt idx="1292">
                  <c:v>425000</c:v>
                </c:pt>
                <c:pt idx="1293">
                  <c:v>419000</c:v>
                </c:pt>
                <c:pt idx="1294">
                  <c:v>423000</c:v>
                </c:pt>
                <c:pt idx="1295">
                  <c:v>447000</c:v>
                </c:pt>
                <c:pt idx="1296">
                  <c:v>453000</c:v>
                </c:pt>
                <c:pt idx="1297">
                  <c:v>439000</c:v>
                </c:pt>
                <c:pt idx="1298">
                  <c:v>444000</c:v>
                </c:pt>
                <c:pt idx="1299">
                  <c:v>444000</c:v>
                </c:pt>
                <c:pt idx="1300">
                  <c:v>475000</c:v>
                </c:pt>
                <c:pt idx="1301">
                  <c:v>475000</c:v>
                </c:pt>
                <c:pt idx="1302">
                  <c:v>436000</c:v>
                </c:pt>
                <c:pt idx="1303">
                  <c:v>441000</c:v>
                </c:pt>
                <c:pt idx="1304">
                  <c:v>432000</c:v>
                </c:pt>
                <c:pt idx="1305">
                  <c:v>440000</c:v>
                </c:pt>
                <c:pt idx="1306">
                  <c:v>443000</c:v>
                </c:pt>
                <c:pt idx="1307">
                  <c:v>441000</c:v>
                </c:pt>
                <c:pt idx="1308">
                  <c:v>440000</c:v>
                </c:pt>
                <c:pt idx="1309">
                  <c:v>445000</c:v>
                </c:pt>
                <c:pt idx="1310">
                  <c:v>446000</c:v>
                </c:pt>
                <c:pt idx="1311">
                  <c:v>436000</c:v>
                </c:pt>
                <c:pt idx="1312">
                  <c:v>444000</c:v>
                </c:pt>
                <c:pt idx="1313">
                  <c:v>421000</c:v>
                </c:pt>
                <c:pt idx="1314">
                  <c:v>437000</c:v>
                </c:pt>
                <c:pt idx="1315">
                  <c:v>440000</c:v>
                </c:pt>
                <c:pt idx="1316">
                  <c:v>420000</c:v>
                </c:pt>
                <c:pt idx="1317">
                  <c:v>412000</c:v>
                </c:pt>
                <c:pt idx="1318">
                  <c:v>413000</c:v>
                </c:pt>
                <c:pt idx="1319">
                  <c:v>424000</c:v>
                </c:pt>
                <c:pt idx="1320">
                  <c:v>424000</c:v>
                </c:pt>
                <c:pt idx="1321">
                  <c:v>431000</c:v>
                </c:pt>
                <c:pt idx="1322">
                  <c:v>417000</c:v>
                </c:pt>
                <c:pt idx="1323">
                  <c:v>414000</c:v>
                </c:pt>
                <c:pt idx="1324">
                  <c:v>414000</c:v>
                </c:pt>
                <c:pt idx="1325">
                  <c:v>411000</c:v>
                </c:pt>
                <c:pt idx="1326">
                  <c:v>416000</c:v>
                </c:pt>
                <c:pt idx="1327">
                  <c:v>420000</c:v>
                </c:pt>
                <c:pt idx="1328">
                  <c:v>419000</c:v>
                </c:pt>
                <c:pt idx="1329">
                  <c:v>420000</c:v>
                </c:pt>
                <c:pt idx="1330">
                  <c:v>407000</c:v>
                </c:pt>
                <c:pt idx="1331">
                  <c:v>408000</c:v>
                </c:pt>
                <c:pt idx="1332">
                  <c:v>392000</c:v>
                </c:pt>
                <c:pt idx="1333">
                  <c:v>564000</c:v>
                </c:pt>
                <c:pt idx="1334">
                  <c:v>423000</c:v>
                </c:pt>
                <c:pt idx="1335">
                  <c:v>406000</c:v>
                </c:pt>
                <c:pt idx="1336">
                  <c:v>401000</c:v>
                </c:pt>
                <c:pt idx="1337">
                  <c:v>398000</c:v>
                </c:pt>
                <c:pt idx="1338">
                  <c:v>408000</c:v>
                </c:pt>
                <c:pt idx="1339">
                  <c:v>416000</c:v>
                </c:pt>
                <c:pt idx="1340">
                  <c:v>416000</c:v>
                </c:pt>
                <c:pt idx="1341">
                  <c:v>427000</c:v>
                </c:pt>
                <c:pt idx="1342">
                  <c:v>409000</c:v>
                </c:pt>
                <c:pt idx="1343">
                  <c:v>398000</c:v>
                </c:pt>
                <c:pt idx="1344">
                  <c:v>374000</c:v>
                </c:pt>
                <c:pt idx="1345">
                  <c:v>385000</c:v>
                </c:pt>
                <c:pt idx="1346">
                  <c:v>367000</c:v>
                </c:pt>
                <c:pt idx="1347">
                  <c:v>365000</c:v>
                </c:pt>
                <c:pt idx="1348">
                  <c:v>374000</c:v>
                </c:pt>
                <c:pt idx="1349">
                  <c:v>377000</c:v>
                </c:pt>
                <c:pt idx="1350">
                  <c:v>357000</c:v>
                </c:pt>
                <c:pt idx="1351">
                  <c:v>341000</c:v>
                </c:pt>
                <c:pt idx="1352">
                  <c:v>350000</c:v>
                </c:pt>
                <c:pt idx="1353">
                  <c:v>359000</c:v>
                </c:pt>
                <c:pt idx="1354">
                  <c:v>334000</c:v>
                </c:pt>
                <c:pt idx="1355">
                  <c:v>313000</c:v>
                </c:pt>
                <c:pt idx="1356">
                  <c:v>341000</c:v>
                </c:pt>
                <c:pt idx="1357">
                  <c:v>354000</c:v>
                </c:pt>
                <c:pt idx="1358">
                  <c:v>352000</c:v>
                </c:pt>
                <c:pt idx="1359">
                  <c:v>341000</c:v>
                </c:pt>
                <c:pt idx="1360">
                  <c:v>340000</c:v>
                </c:pt>
                <c:pt idx="1361">
                  <c:v>319000</c:v>
                </c:pt>
                <c:pt idx="1362">
                  <c:v>321000</c:v>
                </c:pt>
                <c:pt idx="1363">
                  <c:v>351000</c:v>
                </c:pt>
                <c:pt idx="1364">
                  <c:v>362000</c:v>
                </c:pt>
                <c:pt idx="1365">
                  <c:v>354000</c:v>
                </c:pt>
                <c:pt idx="1366">
                  <c:v>346000</c:v>
                </c:pt>
                <c:pt idx="1367">
                  <c:v>338000</c:v>
                </c:pt>
                <c:pt idx="1368">
                  <c:v>366000</c:v>
                </c:pt>
                <c:pt idx="1369">
                  <c:v>365000</c:v>
                </c:pt>
                <c:pt idx="1370">
                  <c:v>353000</c:v>
                </c:pt>
                <c:pt idx="1371">
                  <c:v>351000</c:v>
                </c:pt>
                <c:pt idx="1372">
                  <c:v>350000</c:v>
                </c:pt>
                <c:pt idx="1373">
                  <c:v>343000</c:v>
                </c:pt>
                <c:pt idx="1374">
                  <c:v>339000</c:v>
                </c:pt>
                <c:pt idx="1375">
                  <c:v>345000</c:v>
                </c:pt>
                <c:pt idx="1376">
                  <c:v>342000</c:v>
                </c:pt>
                <c:pt idx="1377">
                  <c:v>349000</c:v>
                </c:pt>
                <c:pt idx="1378">
                  <c:v>343000</c:v>
                </c:pt>
                <c:pt idx="1379">
                  <c:v>343000</c:v>
                </c:pt>
                <c:pt idx="1380">
                  <c:v>345000</c:v>
                </c:pt>
                <c:pt idx="1381">
                  <c:v>340000</c:v>
                </c:pt>
                <c:pt idx="1382">
                  <c:v>334000</c:v>
                </c:pt>
                <c:pt idx="1383">
                  <c:v>314000</c:v>
                </c:pt>
                <c:pt idx="1384">
                  <c:v>335000</c:v>
                </c:pt>
                <c:pt idx="1385">
                  <c:v>415000</c:v>
                </c:pt>
                <c:pt idx="1386">
                  <c:v>356000</c:v>
                </c:pt>
                <c:pt idx="1387">
                  <c:v>346000</c:v>
                </c:pt>
                <c:pt idx="1388">
                  <c:v>339000</c:v>
                </c:pt>
                <c:pt idx="1389">
                  <c:v>342000</c:v>
                </c:pt>
                <c:pt idx="1390">
                  <c:v>337000</c:v>
                </c:pt>
                <c:pt idx="1391">
                  <c:v>334000</c:v>
                </c:pt>
                <c:pt idx="1392">
                  <c:v>333000</c:v>
                </c:pt>
                <c:pt idx="1393">
                  <c:v>346000</c:v>
                </c:pt>
                <c:pt idx="1394">
                  <c:v>343000</c:v>
                </c:pt>
                <c:pt idx="1395">
                  <c:v>333000</c:v>
                </c:pt>
                <c:pt idx="1396">
                  <c:v>355000</c:v>
                </c:pt>
                <c:pt idx="1397">
                  <c:v>359000</c:v>
                </c:pt>
                <c:pt idx="1398">
                  <c:v>354000</c:v>
                </c:pt>
                <c:pt idx="1399">
                  <c:v>348000</c:v>
                </c:pt>
                <c:pt idx="1400">
                  <c:v>350000</c:v>
                </c:pt>
                <c:pt idx="1401">
                  <c:v>341000</c:v>
                </c:pt>
                <c:pt idx="1402">
                  <c:v>336000</c:v>
                </c:pt>
                <c:pt idx="1403">
                  <c:v>337000</c:v>
                </c:pt>
                <c:pt idx="1404">
                  <c:v>337000</c:v>
                </c:pt>
                <c:pt idx="1405">
                  <c:v>334000</c:v>
                </c:pt>
                <c:pt idx="1406">
                  <c:v>331000</c:v>
                </c:pt>
                <c:pt idx="1407">
                  <c:v>290000</c:v>
                </c:pt>
                <c:pt idx="1408">
                  <c:v>341000</c:v>
                </c:pt>
                <c:pt idx="1409">
                  <c:v>343000</c:v>
                </c:pt>
                <c:pt idx="1410">
                  <c:v>355000</c:v>
                </c:pt>
                <c:pt idx="1411">
                  <c:v>351000</c:v>
                </c:pt>
                <c:pt idx="1412">
                  <c:v>406000</c:v>
                </c:pt>
                <c:pt idx="1413">
                  <c:v>361000</c:v>
                </c:pt>
                <c:pt idx="1414">
                  <c:v>354000</c:v>
                </c:pt>
                <c:pt idx="1415">
                  <c:v>352000</c:v>
                </c:pt>
                <c:pt idx="1416">
                  <c:v>327000</c:v>
                </c:pt>
                <c:pt idx="1417">
                  <c:v>348000</c:v>
                </c:pt>
                <c:pt idx="1418">
                  <c:v>341000</c:v>
                </c:pt>
                <c:pt idx="1419">
                  <c:v>332000</c:v>
                </c:pt>
                <c:pt idx="1420">
                  <c:v>322000</c:v>
                </c:pt>
                <c:pt idx="1421">
                  <c:v>342000</c:v>
                </c:pt>
                <c:pt idx="1422">
                  <c:v>349000</c:v>
                </c:pt>
                <c:pt idx="1423">
                  <c:v>354000</c:v>
                </c:pt>
                <c:pt idx="1424">
                  <c:v>331000</c:v>
                </c:pt>
                <c:pt idx="1425">
                  <c:v>344000</c:v>
                </c:pt>
                <c:pt idx="1426">
                  <c:v>371000</c:v>
                </c:pt>
                <c:pt idx="1427">
                  <c:v>360000</c:v>
                </c:pt>
                <c:pt idx="1428">
                  <c:v>357000</c:v>
                </c:pt>
                <c:pt idx="1429">
                  <c:v>348000</c:v>
                </c:pt>
                <c:pt idx="1430">
                  <c:v>345000</c:v>
                </c:pt>
                <c:pt idx="1431">
                  <c:v>338000</c:v>
                </c:pt>
                <c:pt idx="1432">
                  <c:v>336000</c:v>
                </c:pt>
                <c:pt idx="1433">
                  <c:v>341000</c:v>
                </c:pt>
                <c:pt idx="1434">
                  <c:v>334000</c:v>
                </c:pt>
                <c:pt idx="1435">
                  <c:v>341000</c:v>
                </c:pt>
                <c:pt idx="1436">
                  <c:v>359000</c:v>
                </c:pt>
                <c:pt idx="1437">
                  <c:v>345000</c:v>
                </c:pt>
                <c:pt idx="1438">
                  <c:v>332000</c:v>
                </c:pt>
                <c:pt idx="1439">
                  <c:v>338000</c:v>
                </c:pt>
                <c:pt idx="1440">
                  <c:v>335000</c:v>
                </c:pt>
                <c:pt idx="1441">
                  <c:v>331000</c:v>
                </c:pt>
                <c:pt idx="1442">
                  <c:v>341000</c:v>
                </c:pt>
                <c:pt idx="1443">
                  <c:v>339000</c:v>
                </c:pt>
                <c:pt idx="1444">
                  <c:v>331000</c:v>
                </c:pt>
                <c:pt idx="1445">
                  <c:v>326000</c:v>
                </c:pt>
                <c:pt idx="1446">
                  <c:v>325000</c:v>
                </c:pt>
                <c:pt idx="1447">
                  <c:v>330000</c:v>
                </c:pt>
                <c:pt idx="1448">
                  <c:v>341000</c:v>
                </c:pt>
                <c:pt idx="1449">
                  <c:v>335000</c:v>
                </c:pt>
                <c:pt idx="1450">
                  <c:v>330000</c:v>
                </c:pt>
                <c:pt idx="1451">
                  <c:v>331000</c:v>
                </c:pt>
                <c:pt idx="1452">
                  <c:v>328000</c:v>
                </c:pt>
                <c:pt idx="1453">
                  <c:v>329000</c:v>
                </c:pt>
                <c:pt idx="1454">
                  <c:v>326000</c:v>
                </c:pt>
                <c:pt idx="1455">
                  <c:v>329000</c:v>
                </c:pt>
                <c:pt idx="1456">
                  <c:v>324000</c:v>
                </c:pt>
                <c:pt idx="1457">
                  <c:v>329000</c:v>
                </c:pt>
                <c:pt idx="1458">
                  <c:v>330000</c:v>
                </c:pt>
                <c:pt idx="1459">
                  <c:v>314000</c:v>
                </c:pt>
                <c:pt idx="1460">
                  <c:v>319000</c:v>
                </c:pt>
                <c:pt idx="1461">
                  <c:v>338000</c:v>
                </c:pt>
                <c:pt idx="1462">
                  <c:v>347000</c:v>
                </c:pt>
                <c:pt idx="1463">
                  <c:v>325000</c:v>
                </c:pt>
                <c:pt idx="1464">
                  <c:v>324000</c:v>
                </c:pt>
                <c:pt idx="1465">
                  <c:v>324000</c:v>
                </c:pt>
                <c:pt idx="1466">
                  <c:v>348000</c:v>
                </c:pt>
                <c:pt idx="1467">
                  <c:v>343000</c:v>
                </c:pt>
                <c:pt idx="1468">
                  <c:v>336000</c:v>
                </c:pt>
                <c:pt idx="1469">
                  <c:v>339000</c:v>
                </c:pt>
                <c:pt idx="1470">
                  <c:v>347000</c:v>
                </c:pt>
                <c:pt idx="1471">
                  <c:v>343000</c:v>
                </c:pt>
                <c:pt idx="1472">
                  <c:v>332000</c:v>
                </c:pt>
                <c:pt idx="1473">
                  <c:v>335000</c:v>
                </c:pt>
                <c:pt idx="1474">
                  <c:v>347000</c:v>
                </c:pt>
                <c:pt idx="1475">
                  <c:v>355000</c:v>
                </c:pt>
                <c:pt idx="1476">
                  <c:v>349000</c:v>
                </c:pt>
                <c:pt idx="1477">
                  <c:v>365000</c:v>
                </c:pt>
                <c:pt idx="1478">
                  <c:v>364000</c:v>
                </c:pt>
                <c:pt idx="1479">
                  <c:v>366000</c:v>
                </c:pt>
                <c:pt idx="1480">
                  <c:v>377000</c:v>
                </c:pt>
                <c:pt idx="1481">
                  <c:v>374000</c:v>
                </c:pt>
                <c:pt idx="1482">
                  <c:v>362000</c:v>
                </c:pt>
                <c:pt idx="1483">
                  <c:v>367000</c:v>
                </c:pt>
                <c:pt idx="1484">
                  <c:v>378000</c:v>
                </c:pt>
                <c:pt idx="1485">
                  <c:v>358000</c:v>
                </c:pt>
                <c:pt idx="1486">
                  <c:v>355000</c:v>
                </c:pt>
                <c:pt idx="1487">
                  <c:v>372000</c:v>
                </c:pt>
                <c:pt idx="1488">
                  <c:v>389000</c:v>
                </c:pt>
                <c:pt idx="1489">
                  <c:v>390000</c:v>
                </c:pt>
                <c:pt idx="1490">
                  <c:v>351000</c:v>
                </c:pt>
                <c:pt idx="1491">
                  <c:v>351000</c:v>
                </c:pt>
                <c:pt idx="1492">
                  <c:v>353000</c:v>
                </c:pt>
                <c:pt idx="1493">
                  <c:v>362000</c:v>
                </c:pt>
                <c:pt idx="1494">
                  <c:v>359000</c:v>
                </c:pt>
                <c:pt idx="1495">
                  <c:v>355000</c:v>
                </c:pt>
                <c:pt idx="1496">
                  <c:v>371000</c:v>
                </c:pt>
                <c:pt idx="1497">
                  <c:v>376000</c:v>
                </c:pt>
                <c:pt idx="1498">
                  <c:v>353000</c:v>
                </c:pt>
                <c:pt idx="1499">
                  <c:v>355000</c:v>
                </c:pt>
                <c:pt idx="1500">
                  <c:v>374000</c:v>
                </c:pt>
                <c:pt idx="1501">
                  <c:v>369000</c:v>
                </c:pt>
                <c:pt idx="1502">
                  <c:v>366000</c:v>
                </c:pt>
                <c:pt idx="1503">
                  <c:v>377000</c:v>
                </c:pt>
                <c:pt idx="1504">
                  <c:v>380000</c:v>
                </c:pt>
                <c:pt idx="1505">
                  <c:v>370000</c:v>
                </c:pt>
                <c:pt idx="1506">
                  <c:v>379000</c:v>
                </c:pt>
                <c:pt idx="1507">
                  <c:v>379000</c:v>
                </c:pt>
                <c:pt idx="1508">
                  <c:v>373000</c:v>
                </c:pt>
                <c:pt idx="1509">
                  <c:v>346000</c:v>
                </c:pt>
                <c:pt idx="1510">
                  <c:v>373000</c:v>
                </c:pt>
                <c:pt idx="1511">
                  <c:v>374000</c:v>
                </c:pt>
                <c:pt idx="1512">
                  <c:v>359000</c:v>
                </c:pt>
                <c:pt idx="1513">
                  <c:v>361000</c:v>
                </c:pt>
                <c:pt idx="1514">
                  <c:v>333000</c:v>
                </c:pt>
                <c:pt idx="1515">
                  <c:v>415000</c:v>
                </c:pt>
                <c:pt idx="1516">
                  <c:v>387000</c:v>
                </c:pt>
                <c:pt idx="1517">
                  <c:v>374000</c:v>
                </c:pt>
                <c:pt idx="1518">
                  <c:v>387000</c:v>
                </c:pt>
                <c:pt idx="1519">
                  <c:v>383000</c:v>
                </c:pt>
                <c:pt idx="1520">
                  <c:v>365000</c:v>
                </c:pt>
                <c:pt idx="1521">
                  <c:v>368000</c:v>
                </c:pt>
                <c:pt idx="1522">
                  <c:v>361000</c:v>
                </c:pt>
                <c:pt idx="1523">
                  <c:v>384000</c:v>
                </c:pt>
                <c:pt idx="1524">
                  <c:v>426000</c:v>
                </c:pt>
                <c:pt idx="1525">
                  <c:v>393000</c:v>
                </c:pt>
                <c:pt idx="1526">
                  <c:v>369000</c:v>
                </c:pt>
                <c:pt idx="1527">
                  <c:v>357000</c:v>
                </c:pt>
                <c:pt idx="1528">
                  <c:v>368000</c:v>
                </c:pt>
                <c:pt idx="1529">
                  <c:v>343000</c:v>
                </c:pt>
                <c:pt idx="1530">
                  <c:v>338000</c:v>
                </c:pt>
                <c:pt idx="1531">
                  <c:v>352000</c:v>
                </c:pt>
                <c:pt idx="1532">
                  <c:v>345000</c:v>
                </c:pt>
                <c:pt idx="1533">
                  <c:v>343000</c:v>
                </c:pt>
                <c:pt idx="1534">
                  <c:v>340000</c:v>
                </c:pt>
                <c:pt idx="1535">
                  <c:v>351000</c:v>
                </c:pt>
                <c:pt idx="1536">
                  <c:v>342000</c:v>
                </c:pt>
                <c:pt idx="1537">
                  <c:v>341000</c:v>
                </c:pt>
                <c:pt idx="1538">
                  <c:v>337000</c:v>
                </c:pt>
                <c:pt idx="1539">
                  <c:v>342000</c:v>
                </c:pt>
                <c:pt idx="1540">
                  <c:v>347000</c:v>
                </c:pt>
                <c:pt idx="1541">
                  <c:v>332000</c:v>
                </c:pt>
                <c:pt idx="1542">
                  <c:v>327000</c:v>
                </c:pt>
                <c:pt idx="1543">
                  <c:v>326000</c:v>
                </c:pt>
                <c:pt idx="1544">
                  <c:v>331000</c:v>
                </c:pt>
                <c:pt idx="1545">
                  <c:v>336000</c:v>
                </c:pt>
                <c:pt idx="1546">
                  <c:v>337000</c:v>
                </c:pt>
                <c:pt idx="1547">
                  <c:v>329000</c:v>
                </c:pt>
                <c:pt idx="1548">
                  <c:v>333000</c:v>
                </c:pt>
                <c:pt idx="1549">
                  <c:v>338000</c:v>
                </c:pt>
                <c:pt idx="1550">
                  <c:v>352000</c:v>
                </c:pt>
                <c:pt idx="1551">
                  <c:v>348000</c:v>
                </c:pt>
                <c:pt idx="1552">
                  <c:v>335000</c:v>
                </c:pt>
                <c:pt idx="1553">
                  <c:v>334000</c:v>
                </c:pt>
                <c:pt idx="1554">
                  <c:v>335000</c:v>
                </c:pt>
                <c:pt idx="1555">
                  <c:v>352000</c:v>
                </c:pt>
                <c:pt idx="1556">
                  <c:v>334000</c:v>
                </c:pt>
                <c:pt idx="1557">
                  <c:v>327000</c:v>
                </c:pt>
                <c:pt idx="1558">
                  <c:v>342000</c:v>
                </c:pt>
                <c:pt idx="1559">
                  <c:v>347000</c:v>
                </c:pt>
                <c:pt idx="1560">
                  <c:v>332000</c:v>
                </c:pt>
                <c:pt idx="1561">
                  <c:v>355000</c:v>
                </c:pt>
                <c:pt idx="1562">
                  <c:v>352000</c:v>
                </c:pt>
                <c:pt idx="1563">
                  <c:v>350000</c:v>
                </c:pt>
                <c:pt idx="1564">
                  <c:v>357000</c:v>
                </c:pt>
                <c:pt idx="1565">
                  <c:v>347000</c:v>
                </c:pt>
                <c:pt idx="1566">
                  <c:v>324000</c:v>
                </c:pt>
                <c:pt idx="1567">
                  <c:v>345000</c:v>
                </c:pt>
                <c:pt idx="1568">
                  <c:v>340000</c:v>
                </c:pt>
                <c:pt idx="1569">
                  <c:v>333000</c:v>
                </c:pt>
                <c:pt idx="1570">
                  <c:v>315000</c:v>
                </c:pt>
                <c:pt idx="1571">
                  <c:v>313000</c:v>
                </c:pt>
                <c:pt idx="1572">
                  <c:v>322000</c:v>
                </c:pt>
                <c:pt idx="1573">
                  <c:v>321000</c:v>
                </c:pt>
                <c:pt idx="1574">
                  <c:v>317000</c:v>
                </c:pt>
                <c:pt idx="1575">
                  <c:v>319000</c:v>
                </c:pt>
                <c:pt idx="1576">
                  <c:v>315000</c:v>
                </c:pt>
                <c:pt idx="1577">
                  <c:v>325000</c:v>
                </c:pt>
                <c:pt idx="1578">
                  <c:v>325000</c:v>
                </c:pt>
                <c:pt idx="1579">
                  <c:v>330000</c:v>
                </c:pt>
                <c:pt idx="1580">
                  <c:v>316000</c:v>
                </c:pt>
                <c:pt idx="1581">
                  <c:v>337000</c:v>
                </c:pt>
                <c:pt idx="1582">
                  <c:v>342000</c:v>
                </c:pt>
                <c:pt idx="1583">
                  <c:v>318000</c:v>
                </c:pt>
                <c:pt idx="1584">
                  <c:v>322000</c:v>
                </c:pt>
                <c:pt idx="1585">
                  <c:v>316000</c:v>
                </c:pt>
                <c:pt idx="1586">
                  <c:v>321000</c:v>
                </c:pt>
                <c:pt idx="1587">
                  <c:v>329000</c:v>
                </c:pt>
                <c:pt idx="1588">
                  <c:v>335000</c:v>
                </c:pt>
                <c:pt idx="1589">
                  <c:v>316000</c:v>
                </c:pt>
                <c:pt idx="1590">
                  <c:v>322000</c:v>
                </c:pt>
                <c:pt idx="1591">
                  <c:v>346000</c:v>
                </c:pt>
                <c:pt idx="1592">
                  <c:v>328000</c:v>
                </c:pt>
                <c:pt idx="1593">
                  <c:v>301000</c:v>
                </c:pt>
                <c:pt idx="1594">
                  <c:v>306000</c:v>
                </c:pt>
                <c:pt idx="1595">
                  <c:v>320000</c:v>
                </c:pt>
                <c:pt idx="1596">
                  <c:v>329000</c:v>
                </c:pt>
                <c:pt idx="1597">
                  <c:v>343000</c:v>
                </c:pt>
                <c:pt idx="1598">
                  <c:v>327000</c:v>
                </c:pt>
                <c:pt idx="1599">
                  <c:v>332000</c:v>
                </c:pt>
                <c:pt idx="1600">
                  <c:v>313000</c:v>
                </c:pt>
                <c:pt idx="1601">
                  <c:v>314000</c:v>
                </c:pt>
                <c:pt idx="1602">
                  <c:v>317000</c:v>
                </c:pt>
                <c:pt idx="1603">
                  <c:v>317000</c:v>
                </c:pt>
                <c:pt idx="1604">
                  <c:v>311000</c:v>
                </c:pt>
                <c:pt idx="1605">
                  <c:v>305000</c:v>
                </c:pt>
                <c:pt idx="1606">
                  <c:v>318000</c:v>
                </c:pt>
                <c:pt idx="1607">
                  <c:v>306000</c:v>
                </c:pt>
                <c:pt idx="1608">
                  <c:v>313000</c:v>
                </c:pt>
                <c:pt idx="1609">
                  <c:v>308000</c:v>
                </c:pt>
                <c:pt idx="1610">
                  <c:v>325000</c:v>
                </c:pt>
                <c:pt idx="1611">
                  <c:v>309000</c:v>
                </c:pt>
                <c:pt idx="1612">
                  <c:v>318000</c:v>
                </c:pt>
                <c:pt idx="1613">
                  <c:v>317000</c:v>
                </c:pt>
                <c:pt idx="1614">
                  <c:v>323000</c:v>
                </c:pt>
                <c:pt idx="1615">
                  <c:v>310000</c:v>
                </c:pt>
                <c:pt idx="1616">
                  <c:v>303000</c:v>
                </c:pt>
                <c:pt idx="1617">
                  <c:v>312000</c:v>
                </c:pt>
                <c:pt idx="1618">
                  <c:v>331000</c:v>
                </c:pt>
                <c:pt idx="1619">
                  <c:v>341000</c:v>
                </c:pt>
                <c:pt idx="1620">
                  <c:v>307000</c:v>
                </c:pt>
                <c:pt idx="1621">
                  <c:v>315000</c:v>
                </c:pt>
                <c:pt idx="1622">
                  <c:v>311000</c:v>
                </c:pt>
                <c:pt idx="1623">
                  <c:v>321000</c:v>
                </c:pt>
                <c:pt idx="1624">
                  <c:v>327000</c:v>
                </c:pt>
                <c:pt idx="1625">
                  <c:v>317000</c:v>
                </c:pt>
                <c:pt idx="1626">
                  <c:v>308000</c:v>
                </c:pt>
                <c:pt idx="1627">
                  <c:v>319000</c:v>
                </c:pt>
                <c:pt idx="1628">
                  <c:v>321000</c:v>
                </c:pt>
                <c:pt idx="1629">
                  <c:v>312000</c:v>
                </c:pt>
                <c:pt idx="1630">
                  <c:v>312000</c:v>
                </c:pt>
                <c:pt idx="1631">
                  <c:v>304000</c:v>
                </c:pt>
                <c:pt idx="1632">
                  <c:v>317000</c:v>
                </c:pt>
                <c:pt idx="1633">
                  <c:v>311000</c:v>
                </c:pt>
                <c:pt idx="1634">
                  <c:v>304000</c:v>
                </c:pt>
                <c:pt idx="1635">
                  <c:v>306000</c:v>
                </c:pt>
                <c:pt idx="1636">
                  <c:v>315000</c:v>
                </c:pt>
                <c:pt idx="1637">
                  <c:v>309000</c:v>
                </c:pt>
                <c:pt idx="1638">
                  <c:v>322000</c:v>
                </c:pt>
                <c:pt idx="1639">
                  <c:v>306000</c:v>
                </c:pt>
                <c:pt idx="1640">
                  <c:v>321000</c:v>
                </c:pt>
                <c:pt idx="1641">
                  <c:v>349000</c:v>
                </c:pt>
                <c:pt idx="1642">
                  <c:v>376000</c:v>
                </c:pt>
                <c:pt idx="1643">
                  <c:v>362000</c:v>
                </c:pt>
                <c:pt idx="1644">
                  <c:v>320000</c:v>
                </c:pt>
                <c:pt idx="1645">
                  <c:v>315000</c:v>
                </c:pt>
                <c:pt idx="1646">
                  <c:v>335000</c:v>
                </c:pt>
                <c:pt idx="1647">
                  <c:v>327000</c:v>
                </c:pt>
                <c:pt idx="1648">
                  <c:v>316000</c:v>
                </c:pt>
                <c:pt idx="1649">
                  <c:v>308000</c:v>
                </c:pt>
                <c:pt idx="1650">
                  <c:v>302000</c:v>
                </c:pt>
                <c:pt idx="1651">
                  <c:v>310000</c:v>
                </c:pt>
                <c:pt idx="1652">
                  <c:v>313000</c:v>
                </c:pt>
                <c:pt idx="1653">
                  <c:v>304000</c:v>
                </c:pt>
                <c:pt idx="1654">
                  <c:v>305000</c:v>
                </c:pt>
                <c:pt idx="1655">
                  <c:v>294000</c:v>
                </c:pt>
                <c:pt idx="1656">
                  <c:v>302000</c:v>
                </c:pt>
                <c:pt idx="1657">
                  <c:v>316000</c:v>
                </c:pt>
                <c:pt idx="1658">
                  <c:v>318000</c:v>
                </c:pt>
                <c:pt idx="1659">
                  <c:v>309000</c:v>
                </c:pt>
                <c:pt idx="1660">
                  <c:v>308000</c:v>
                </c:pt>
                <c:pt idx="1661">
                  <c:v>316000</c:v>
                </c:pt>
                <c:pt idx="1662">
                  <c:v>334000</c:v>
                </c:pt>
                <c:pt idx="1663">
                  <c:v>304000</c:v>
                </c:pt>
                <c:pt idx="1664">
                  <c:v>310000</c:v>
                </c:pt>
                <c:pt idx="1665">
                  <c:v>326000</c:v>
                </c:pt>
                <c:pt idx="1666">
                  <c:v>305000</c:v>
                </c:pt>
                <c:pt idx="1667">
                  <c:v>297000</c:v>
                </c:pt>
                <c:pt idx="1668">
                  <c:v>336000</c:v>
                </c:pt>
                <c:pt idx="1669">
                  <c:v>331000</c:v>
                </c:pt>
                <c:pt idx="1670">
                  <c:v>345000</c:v>
                </c:pt>
                <c:pt idx="1671">
                  <c:v>339000</c:v>
                </c:pt>
                <c:pt idx="1672">
                  <c:v>311000</c:v>
                </c:pt>
                <c:pt idx="1673">
                  <c:v>305000</c:v>
                </c:pt>
                <c:pt idx="1674">
                  <c:v>291000</c:v>
                </c:pt>
                <c:pt idx="1675">
                  <c:v>312000</c:v>
                </c:pt>
                <c:pt idx="1676">
                  <c:v>302000</c:v>
                </c:pt>
                <c:pt idx="1677">
                  <c:v>301000</c:v>
                </c:pt>
                <c:pt idx="1678">
                  <c:v>300000</c:v>
                </c:pt>
                <c:pt idx="1679">
                  <c:v>308000</c:v>
                </c:pt>
                <c:pt idx="1680">
                  <c:v>305000</c:v>
                </c:pt>
                <c:pt idx="1681">
                  <c:v>298000</c:v>
                </c:pt>
                <c:pt idx="1682">
                  <c:v>310000</c:v>
                </c:pt>
                <c:pt idx="1683">
                  <c:v>319000</c:v>
                </c:pt>
                <c:pt idx="1684">
                  <c:v>314000</c:v>
                </c:pt>
                <c:pt idx="1685">
                  <c:v>291000</c:v>
                </c:pt>
                <c:pt idx="1686">
                  <c:v>296000</c:v>
                </c:pt>
                <c:pt idx="1687">
                  <c:v>310000</c:v>
                </c:pt>
                <c:pt idx="1688">
                  <c:v>301000</c:v>
                </c:pt>
                <c:pt idx="1689">
                  <c:v>298000</c:v>
                </c:pt>
                <c:pt idx="1690">
                  <c:v>303000</c:v>
                </c:pt>
                <c:pt idx="1691">
                  <c:v>303000</c:v>
                </c:pt>
                <c:pt idx="1692">
                  <c:v>290000</c:v>
                </c:pt>
                <c:pt idx="1693">
                  <c:v>292000</c:v>
                </c:pt>
                <c:pt idx="1694">
                  <c:v>291000</c:v>
                </c:pt>
                <c:pt idx="1695">
                  <c:v>287000</c:v>
                </c:pt>
                <c:pt idx="1696">
                  <c:v>288000</c:v>
                </c:pt>
                <c:pt idx="1697">
                  <c:v>309000</c:v>
                </c:pt>
                <c:pt idx="1698">
                  <c:v>306000</c:v>
                </c:pt>
                <c:pt idx="1699">
                  <c:v>300000</c:v>
                </c:pt>
                <c:pt idx="1700">
                  <c:v>295000</c:v>
                </c:pt>
                <c:pt idx="1701">
                  <c:v>292000</c:v>
                </c:pt>
                <c:pt idx="1702">
                  <c:v>286000</c:v>
                </c:pt>
                <c:pt idx="1703">
                  <c:v>290000</c:v>
                </c:pt>
                <c:pt idx="1704">
                  <c:v>290000</c:v>
                </c:pt>
                <c:pt idx="1705">
                  <c:v>281000</c:v>
                </c:pt>
                <c:pt idx="1706">
                  <c:v>281000</c:v>
                </c:pt>
                <c:pt idx="1707">
                  <c:v>306000</c:v>
                </c:pt>
                <c:pt idx="1708">
                  <c:v>309000</c:v>
                </c:pt>
                <c:pt idx="1709">
                  <c:v>291000</c:v>
                </c:pt>
                <c:pt idx="1710">
                  <c:v>287000</c:v>
                </c:pt>
                <c:pt idx="1711">
                  <c:v>280000</c:v>
                </c:pt>
                <c:pt idx="1712">
                  <c:v>285000</c:v>
                </c:pt>
                <c:pt idx="1713">
                  <c:v>282000</c:v>
                </c:pt>
                <c:pt idx="1714">
                  <c:v>281000</c:v>
                </c:pt>
                <c:pt idx="1715">
                  <c:v>276000</c:v>
                </c:pt>
                <c:pt idx="1716">
                  <c:v>288000</c:v>
                </c:pt>
                <c:pt idx="1717">
                  <c:v>287000</c:v>
                </c:pt>
                <c:pt idx="1718">
                  <c:v>272000</c:v>
                </c:pt>
                <c:pt idx="1719">
                  <c:v>287000</c:v>
                </c:pt>
                <c:pt idx="1720">
                  <c:v>268000</c:v>
                </c:pt>
                <c:pt idx="1721">
                  <c:v>286000</c:v>
                </c:pt>
                <c:pt idx="1722">
                  <c:v>298000</c:v>
                </c:pt>
                <c:pt idx="1723">
                  <c:v>289000</c:v>
                </c:pt>
                <c:pt idx="1724">
                  <c:v>284000</c:v>
                </c:pt>
                <c:pt idx="1725">
                  <c:v>285000</c:v>
                </c:pt>
                <c:pt idx="1726">
                  <c:v>312000</c:v>
                </c:pt>
                <c:pt idx="1727">
                  <c:v>300000</c:v>
                </c:pt>
                <c:pt idx="1728">
                  <c:v>283000</c:v>
                </c:pt>
                <c:pt idx="1729">
                  <c:v>280000</c:v>
                </c:pt>
                <c:pt idx="1730">
                  <c:v>286000</c:v>
                </c:pt>
                <c:pt idx="1731">
                  <c:v>270000</c:v>
                </c:pt>
                <c:pt idx="1732">
                  <c:v>271000</c:v>
                </c:pt>
                <c:pt idx="1733">
                  <c:v>272000</c:v>
                </c:pt>
                <c:pt idx="1734">
                  <c:v>266000</c:v>
                </c:pt>
                <c:pt idx="1735">
                  <c:v>268000</c:v>
                </c:pt>
                <c:pt idx="1736">
                  <c:v>259000</c:v>
                </c:pt>
                <c:pt idx="1737">
                  <c:v>274000</c:v>
                </c:pt>
                <c:pt idx="1738">
                  <c:v>291000</c:v>
                </c:pt>
                <c:pt idx="1739">
                  <c:v>293000</c:v>
                </c:pt>
                <c:pt idx="1740">
                  <c:v>276000</c:v>
                </c:pt>
                <c:pt idx="1741">
                  <c:v>280000</c:v>
                </c:pt>
                <c:pt idx="1742">
                  <c:v>280000</c:v>
                </c:pt>
                <c:pt idx="1743">
                  <c:v>290000</c:v>
                </c:pt>
                <c:pt idx="1744">
                  <c:v>284000</c:v>
                </c:pt>
                <c:pt idx="1745">
                  <c:v>294000</c:v>
                </c:pt>
                <c:pt idx="1746">
                  <c:v>296000</c:v>
                </c:pt>
                <c:pt idx="1747">
                  <c:v>281000</c:v>
                </c:pt>
                <c:pt idx="1748">
                  <c:v>293000</c:v>
                </c:pt>
                <c:pt idx="1749">
                  <c:v>303000</c:v>
                </c:pt>
                <c:pt idx="1750">
                  <c:v>300000</c:v>
                </c:pt>
                <c:pt idx="1751">
                  <c:v>298000</c:v>
                </c:pt>
                <c:pt idx="1752">
                  <c:v>306000</c:v>
                </c:pt>
                <c:pt idx="1753">
                  <c:v>315000</c:v>
                </c:pt>
                <c:pt idx="1754">
                  <c:v>318000</c:v>
                </c:pt>
                <c:pt idx="1755">
                  <c:v>312000</c:v>
                </c:pt>
                <c:pt idx="1756">
                  <c:v>301000</c:v>
                </c:pt>
                <c:pt idx="1757">
                  <c:v>309000</c:v>
                </c:pt>
                <c:pt idx="1758">
                  <c:v>311000</c:v>
                </c:pt>
                <c:pt idx="1759">
                  <c:v>288000</c:v>
                </c:pt>
                <c:pt idx="1760">
                  <c:v>292000</c:v>
                </c:pt>
                <c:pt idx="1761">
                  <c:v>309000</c:v>
                </c:pt>
                <c:pt idx="1762">
                  <c:v>299000</c:v>
                </c:pt>
                <c:pt idx="1763">
                  <c:v>295000</c:v>
                </c:pt>
                <c:pt idx="1764">
                  <c:v>301000</c:v>
                </c:pt>
                <c:pt idx="1765">
                  <c:v>331000</c:v>
                </c:pt>
                <c:pt idx="1766">
                  <c:v>318000</c:v>
                </c:pt>
                <c:pt idx="1767">
                  <c:v>332000</c:v>
                </c:pt>
                <c:pt idx="1768">
                  <c:v>356000</c:v>
                </c:pt>
                <c:pt idx="1769">
                  <c:v>338000</c:v>
                </c:pt>
                <c:pt idx="1770">
                  <c:v>321000</c:v>
                </c:pt>
                <c:pt idx="1771">
                  <c:v>354000</c:v>
                </c:pt>
                <c:pt idx="1772">
                  <c:v>364000</c:v>
                </c:pt>
                <c:pt idx="1773">
                  <c:v>353000</c:v>
                </c:pt>
                <c:pt idx="1774">
                  <c:v>337000</c:v>
                </c:pt>
                <c:pt idx="1775">
                  <c:v>318000</c:v>
                </c:pt>
                <c:pt idx="1776">
                  <c:v>343000</c:v>
                </c:pt>
                <c:pt idx="1777">
                  <c:v>362000</c:v>
                </c:pt>
                <c:pt idx="1778">
                  <c:v>376000</c:v>
                </c:pt>
                <c:pt idx="1779">
                  <c:v>365000</c:v>
                </c:pt>
                <c:pt idx="1780">
                  <c:v>358000</c:v>
                </c:pt>
                <c:pt idx="1781">
                  <c:v>386000</c:v>
                </c:pt>
                <c:pt idx="1782">
                  <c:v>384000</c:v>
                </c:pt>
                <c:pt idx="1783">
                  <c:v>393000</c:v>
                </c:pt>
                <c:pt idx="1784">
                  <c:v>393000</c:v>
                </c:pt>
                <c:pt idx="1785">
                  <c:v>378000</c:v>
                </c:pt>
                <c:pt idx="1786">
                  <c:v>388000</c:v>
                </c:pt>
                <c:pt idx="1787">
                  <c:v>398000</c:v>
                </c:pt>
                <c:pt idx="1788">
                  <c:v>383000</c:v>
                </c:pt>
                <c:pt idx="1789">
                  <c:v>400000</c:v>
                </c:pt>
                <c:pt idx="1790">
                  <c:v>406000</c:v>
                </c:pt>
                <c:pt idx="1791">
                  <c:v>381000</c:v>
                </c:pt>
                <c:pt idx="1792">
                  <c:v>390000</c:v>
                </c:pt>
                <c:pt idx="1793">
                  <c:v>402000</c:v>
                </c:pt>
                <c:pt idx="1794">
                  <c:v>405000</c:v>
                </c:pt>
                <c:pt idx="1795">
                  <c:v>406000</c:v>
                </c:pt>
                <c:pt idx="1796">
                  <c:v>411000</c:v>
                </c:pt>
                <c:pt idx="1797">
                  <c:v>394000</c:v>
                </c:pt>
                <c:pt idx="1798">
                  <c:v>381000</c:v>
                </c:pt>
                <c:pt idx="1799">
                  <c:v>394000</c:v>
                </c:pt>
                <c:pt idx="1800">
                  <c:v>401000</c:v>
                </c:pt>
                <c:pt idx="1801">
                  <c:v>405000</c:v>
                </c:pt>
                <c:pt idx="1802">
                  <c:v>398000</c:v>
                </c:pt>
                <c:pt idx="1803">
                  <c:v>388000</c:v>
                </c:pt>
                <c:pt idx="1804">
                  <c:v>401000</c:v>
                </c:pt>
                <c:pt idx="1805">
                  <c:v>394000</c:v>
                </c:pt>
                <c:pt idx="1806">
                  <c:v>402000</c:v>
                </c:pt>
                <c:pt idx="1807">
                  <c:v>395000</c:v>
                </c:pt>
                <c:pt idx="1808">
                  <c:v>402000</c:v>
                </c:pt>
                <c:pt idx="1809">
                  <c:v>408000</c:v>
                </c:pt>
                <c:pt idx="1810">
                  <c:v>395000</c:v>
                </c:pt>
                <c:pt idx="1811">
                  <c:v>453000</c:v>
                </c:pt>
                <c:pt idx="1812">
                  <c:v>517000</c:v>
                </c:pt>
                <c:pt idx="1813">
                  <c:v>476000</c:v>
                </c:pt>
                <c:pt idx="1814">
                  <c:v>482000</c:v>
                </c:pt>
                <c:pt idx="1815">
                  <c:v>482000</c:v>
                </c:pt>
                <c:pt idx="1816">
                  <c:v>483000</c:v>
                </c:pt>
                <c:pt idx="1817">
                  <c:v>440000</c:v>
                </c:pt>
                <c:pt idx="1818">
                  <c:v>428000</c:v>
                </c:pt>
                <c:pt idx="1819">
                  <c:v>431000</c:v>
                </c:pt>
                <c:pt idx="1820">
                  <c:v>491000</c:v>
                </c:pt>
                <c:pt idx="1821">
                  <c:v>465000</c:v>
                </c:pt>
                <c:pt idx="1822">
                  <c:v>393000</c:v>
                </c:pt>
                <c:pt idx="1823">
                  <c:v>389000</c:v>
                </c:pt>
                <c:pt idx="1824">
                  <c:v>416000</c:v>
                </c:pt>
                <c:pt idx="1825">
                  <c:v>421000</c:v>
                </c:pt>
                <c:pt idx="1826">
                  <c:v>397000</c:v>
                </c:pt>
                <c:pt idx="1827">
                  <c:v>418000</c:v>
                </c:pt>
                <c:pt idx="1828">
                  <c:v>405000</c:v>
                </c:pt>
                <c:pt idx="1829">
                  <c:v>414000</c:v>
                </c:pt>
                <c:pt idx="1830">
                  <c:v>404000</c:v>
                </c:pt>
                <c:pt idx="1831">
                  <c:v>397000</c:v>
                </c:pt>
                <c:pt idx="1832">
                  <c:v>397000</c:v>
                </c:pt>
                <c:pt idx="1833">
                  <c:v>398000</c:v>
                </c:pt>
                <c:pt idx="1834">
                  <c:v>392000</c:v>
                </c:pt>
                <c:pt idx="1835">
                  <c:v>399000</c:v>
                </c:pt>
                <c:pt idx="1836">
                  <c:v>392000</c:v>
                </c:pt>
                <c:pt idx="1837">
                  <c:v>415000</c:v>
                </c:pt>
                <c:pt idx="1838">
                  <c:v>479000</c:v>
                </c:pt>
                <c:pt idx="1839">
                  <c:v>445000</c:v>
                </c:pt>
                <c:pt idx="1840">
                  <c:v>442000</c:v>
                </c:pt>
                <c:pt idx="1841">
                  <c:v>416000</c:v>
                </c:pt>
                <c:pt idx="1842">
                  <c:v>414000</c:v>
                </c:pt>
                <c:pt idx="1843">
                  <c:v>409000</c:v>
                </c:pt>
                <c:pt idx="1844">
                  <c:v>413000</c:v>
                </c:pt>
                <c:pt idx="1845">
                  <c:v>411000</c:v>
                </c:pt>
                <c:pt idx="1846">
                  <c:v>403000</c:v>
                </c:pt>
                <c:pt idx="1847">
                  <c:v>378000</c:v>
                </c:pt>
                <c:pt idx="1848">
                  <c:v>388000</c:v>
                </c:pt>
                <c:pt idx="1849">
                  <c:v>396000</c:v>
                </c:pt>
                <c:pt idx="1850">
                  <c:v>388000</c:v>
                </c:pt>
                <c:pt idx="1851">
                  <c:v>386000</c:v>
                </c:pt>
                <c:pt idx="1852">
                  <c:v>391000</c:v>
                </c:pt>
                <c:pt idx="1853">
                  <c:v>384000</c:v>
                </c:pt>
                <c:pt idx="1854">
                  <c:v>379000</c:v>
                </c:pt>
                <c:pt idx="1855">
                  <c:v>390000</c:v>
                </c:pt>
                <c:pt idx="1856">
                  <c:v>388000</c:v>
                </c:pt>
                <c:pt idx="1857">
                  <c:v>389000</c:v>
                </c:pt>
                <c:pt idx="1858">
                  <c:v>399000</c:v>
                </c:pt>
                <c:pt idx="1859">
                  <c:v>398000</c:v>
                </c:pt>
                <c:pt idx="1860">
                  <c:v>394000</c:v>
                </c:pt>
                <c:pt idx="1861">
                  <c:v>416000</c:v>
                </c:pt>
                <c:pt idx="1862">
                  <c:v>412000</c:v>
                </c:pt>
                <c:pt idx="1863">
                  <c:v>401000</c:v>
                </c:pt>
                <c:pt idx="1864">
                  <c:v>409000</c:v>
                </c:pt>
                <c:pt idx="1865">
                  <c:v>404000</c:v>
                </c:pt>
                <c:pt idx="1866">
                  <c:v>405000</c:v>
                </c:pt>
                <c:pt idx="1867">
                  <c:v>412000</c:v>
                </c:pt>
                <c:pt idx="1868">
                  <c:v>409000</c:v>
                </c:pt>
                <c:pt idx="1869">
                  <c:v>405000</c:v>
                </c:pt>
                <c:pt idx="1870">
                  <c:v>400000</c:v>
                </c:pt>
                <c:pt idx="1871">
                  <c:v>389000</c:v>
                </c:pt>
                <c:pt idx="1872">
                  <c:v>390000</c:v>
                </c:pt>
                <c:pt idx="1873">
                  <c:v>377000</c:v>
                </c:pt>
                <c:pt idx="1874">
                  <c:v>425000</c:v>
                </c:pt>
                <c:pt idx="1875">
                  <c:v>429000</c:v>
                </c:pt>
                <c:pt idx="1876">
                  <c:v>394000</c:v>
                </c:pt>
                <c:pt idx="1877">
                  <c:v>409000</c:v>
                </c:pt>
                <c:pt idx="1878">
                  <c:v>393000</c:v>
                </c:pt>
                <c:pt idx="1879">
                  <c:v>378000</c:v>
                </c:pt>
                <c:pt idx="1880">
                  <c:v>402000</c:v>
                </c:pt>
                <c:pt idx="1881">
                  <c:v>407000</c:v>
                </c:pt>
                <c:pt idx="1882">
                  <c:v>413000</c:v>
                </c:pt>
                <c:pt idx="1883">
                  <c:v>390000</c:v>
                </c:pt>
                <c:pt idx="1884">
                  <c:v>420000</c:v>
                </c:pt>
                <c:pt idx="1885">
                  <c:v>421000</c:v>
                </c:pt>
                <c:pt idx="1886">
                  <c:v>436000</c:v>
                </c:pt>
                <c:pt idx="1887">
                  <c:v>424000</c:v>
                </c:pt>
                <c:pt idx="1888">
                  <c:v>430000</c:v>
                </c:pt>
                <c:pt idx="1889">
                  <c:v>411000</c:v>
                </c:pt>
                <c:pt idx="1890">
                  <c:v>436000</c:v>
                </c:pt>
                <c:pt idx="1891">
                  <c:v>417000</c:v>
                </c:pt>
                <c:pt idx="1892">
                  <c:v>434000</c:v>
                </c:pt>
                <c:pt idx="1893">
                  <c:v>450000</c:v>
                </c:pt>
                <c:pt idx="1894">
                  <c:v>444000</c:v>
                </c:pt>
                <c:pt idx="1895">
                  <c:v>428000</c:v>
                </c:pt>
                <c:pt idx="1896">
                  <c:v>417000</c:v>
                </c:pt>
                <c:pt idx="1897">
                  <c:v>425000</c:v>
                </c:pt>
                <c:pt idx="1898">
                  <c:v>419000</c:v>
                </c:pt>
                <c:pt idx="1899">
                  <c:v>431000</c:v>
                </c:pt>
                <c:pt idx="1900">
                  <c:v>429000</c:v>
                </c:pt>
                <c:pt idx="1901">
                  <c:v>421000</c:v>
                </c:pt>
                <c:pt idx="1902">
                  <c:v>408000</c:v>
                </c:pt>
                <c:pt idx="1903">
                  <c:v>429000</c:v>
                </c:pt>
                <c:pt idx="1904">
                  <c:v>433000</c:v>
                </c:pt>
                <c:pt idx="1905">
                  <c:v>412000</c:v>
                </c:pt>
                <c:pt idx="1906">
                  <c:v>403000</c:v>
                </c:pt>
                <c:pt idx="1907">
                  <c:v>398000</c:v>
                </c:pt>
                <c:pt idx="1908">
                  <c:v>401000</c:v>
                </c:pt>
                <c:pt idx="1909">
                  <c:v>404000</c:v>
                </c:pt>
                <c:pt idx="1910">
                  <c:v>398000</c:v>
                </c:pt>
                <c:pt idx="1911">
                  <c:v>391000</c:v>
                </c:pt>
                <c:pt idx="1912">
                  <c:v>407000</c:v>
                </c:pt>
                <c:pt idx="1913">
                  <c:v>422000</c:v>
                </c:pt>
                <c:pt idx="1914">
                  <c:v>394000</c:v>
                </c:pt>
                <c:pt idx="1915">
                  <c:v>379000</c:v>
                </c:pt>
                <c:pt idx="1916">
                  <c:v>387000</c:v>
                </c:pt>
                <c:pt idx="1917">
                  <c:v>386000</c:v>
                </c:pt>
                <c:pt idx="1918">
                  <c:v>376000</c:v>
                </c:pt>
                <c:pt idx="1919">
                  <c:v>387000</c:v>
                </c:pt>
                <c:pt idx="1920">
                  <c:v>379000</c:v>
                </c:pt>
                <c:pt idx="1921">
                  <c:v>363000</c:v>
                </c:pt>
                <c:pt idx="1922">
                  <c:v>371000</c:v>
                </c:pt>
                <c:pt idx="1923">
                  <c:v>370000</c:v>
                </c:pt>
                <c:pt idx="1924">
                  <c:v>354000</c:v>
                </c:pt>
                <c:pt idx="1925">
                  <c:v>357000</c:v>
                </c:pt>
                <c:pt idx="1926">
                  <c:v>367000</c:v>
                </c:pt>
                <c:pt idx="1927">
                  <c:v>363000</c:v>
                </c:pt>
                <c:pt idx="1928">
                  <c:v>354000</c:v>
                </c:pt>
                <c:pt idx="1929">
                  <c:v>349000</c:v>
                </c:pt>
                <c:pt idx="1930">
                  <c:v>356000</c:v>
                </c:pt>
                <c:pt idx="1931">
                  <c:v>354000</c:v>
                </c:pt>
                <c:pt idx="1932">
                  <c:v>362000</c:v>
                </c:pt>
                <c:pt idx="1933">
                  <c:v>353000</c:v>
                </c:pt>
                <c:pt idx="1934">
                  <c:v>376000</c:v>
                </c:pt>
                <c:pt idx="1935">
                  <c:v>380000</c:v>
                </c:pt>
                <c:pt idx="1936">
                  <c:v>356000</c:v>
                </c:pt>
                <c:pt idx="1937">
                  <c:v>359000</c:v>
                </c:pt>
                <c:pt idx="1938">
                  <c:v>348000</c:v>
                </c:pt>
                <c:pt idx="1939">
                  <c:v>344000</c:v>
                </c:pt>
                <c:pt idx="1940">
                  <c:v>338000</c:v>
                </c:pt>
                <c:pt idx="1941">
                  <c:v>346000</c:v>
                </c:pt>
                <c:pt idx="1942">
                  <c:v>340000</c:v>
                </c:pt>
                <c:pt idx="1943">
                  <c:v>335000</c:v>
                </c:pt>
                <c:pt idx="1944">
                  <c:v>355000</c:v>
                </c:pt>
                <c:pt idx="1945">
                  <c:v>364000</c:v>
                </c:pt>
                <c:pt idx="1946">
                  <c:v>339000</c:v>
                </c:pt>
                <c:pt idx="1947">
                  <c:v>324000</c:v>
                </c:pt>
                <c:pt idx="1948">
                  <c:v>329000</c:v>
                </c:pt>
                <c:pt idx="1949">
                  <c:v>349000</c:v>
                </c:pt>
                <c:pt idx="1950">
                  <c:v>342000</c:v>
                </c:pt>
                <c:pt idx="1951">
                  <c:v>337000</c:v>
                </c:pt>
                <c:pt idx="1952">
                  <c:v>355000</c:v>
                </c:pt>
                <c:pt idx="1953">
                  <c:v>339000</c:v>
                </c:pt>
                <c:pt idx="1954">
                  <c:v>354000</c:v>
                </c:pt>
                <c:pt idx="1955">
                  <c:v>348000</c:v>
                </c:pt>
                <c:pt idx="1956">
                  <c:v>326000</c:v>
                </c:pt>
                <c:pt idx="1957">
                  <c:v>345000</c:v>
                </c:pt>
                <c:pt idx="1958">
                  <c:v>355000</c:v>
                </c:pt>
                <c:pt idx="1959">
                  <c:v>348000</c:v>
                </c:pt>
                <c:pt idx="1960">
                  <c:v>341000</c:v>
                </c:pt>
                <c:pt idx="1961">
                  <c:v>336000</c:v>
                </c:pt>
                <c:pt idx="1962">
                  <c:v>332000</c:v>
                </c:pt>
                <c:pt idx="1963">
                  <c:v>343000</c:v>
                </c:pt>
                <c:pt idx="1964">
                  <c:v>352000</c:v>
                </c:pt>
                <c:pt idx="1965">
                  <c:v>326000</c:v>
                </c:pt>
                <c:pt idx="1966">
                  <c:v>331000</c:v>
                </c:pt>
                <c:pt idx="1967">
                  <c:v>341000</c:v>
                </c:pt>
                <c:pt idx="1968">
                  <c:v>351000</c:v>
                </c:pt>
                <c:pt idx="1969">
                  <c:v>335000</c:v>
                </c:pt>
                <c:pt idx="1970">
                  <c:v>338000</c:v>
                </c:pt>
                <c:pt idx="1971">
                  <c:v>327000</c:v>
                </c:pt>
                <c:pt idx="1972">
                  <c:v>338000</c:v>
                </c:pt>
                <c:pt idx="1973">
                  <c:v>332000</c:v>
                </c:pt>
                <c:pt idx="1974">
                  <c:v>330000</c:v>
                </c:pt>
                <c:pt idx="1975">
                  <c:v>337000</c:v>
                </c:pt>
                <c:pt idx="1976">
                  <c:v>313000</c:v>
                </c:pt>
                <c:pt idx="1977">
                  <c:v>335000</c:v>
                </c:pt>
                <c:pt idx="1978">
                  <c:v>343000</c:v>
                </c:pt>
                <c:pt idx="1979">
                  <c:v>316000</c:v>
                </c:pt>
                <c:pt idx="1980">
                  <c:v>322000</c:v>
                </c:pt>
                <c:pt idx="1981">
                  <c:v>320000</c:v>
                </c:pt>
                <c:pt idx="1982">
                  <c:v>356000</c:v>
                </c:pt>
                <c:pt idx="1983">
                  <c:v>369000</c:v>
                </c:pt>
                <c:pt idx="1984">
                  <c:v>332000</c:v>
                </c:pt>
                <c:pt idx="1985">
                  <c:v>329000</c:v>
                </c:pt>
                <c:pt idx="1986">
                  <c:v>331000</c:v>
                </c:pt>
                <c:pt idx="1987">
                  <c:v>307000</c:v>
                </c:pt>
                <c:pt idx="1988">
                  <c:v>308000</c:v>
                </c:pt>
                <c:pt idx="1989">
                  <c:v>318000</c:v>
                </c:pt>
                <c:pt idx="1990">
                  <c:v>314000</c:v>
                </c:pt>
                <c:pt idx="1991">
                  <c:v>333000</c:v>
                </c:pt>
                <c:pt idx="1992">
                  <c:v>324000</c:v>
                </c:pt>
                <c:pt idx="1993">
                  <c:v>329000</c:v>
                </c:pt>
                <c:pt idx="1994">
                  <c:v>342000</c:v>
                </c:pt>
                <c:pt idx="1995">
                  <c:v>335000</c:v>
                </c:pt>
                <c:pt idx="1996">
                  <c:v>323000</c:v>
                </c:pt>
                <c:pt idx="1997">
                  <c:v>307000</c:v>
                </c:pt>
                <c:pt idx="1998">
                  <c:v>317000</c:v>
                </c:pt>
                <c:pt idx="1999">
                  <c:v>334000</c:v>
                </c:pt>
                <c:pt idx="2000">
                  <c:v>327000</c:v>
                </c:pt>
                <c:pt idx="2001">
                  <c:v>321000</c:v>
                </c:pt>
                <c:pt idx="2002">
                  <c:v>320000</c:v>
                </c:pt>
                <c:pt idx="2003">
                  <c:v>340000</c:v>
                </c:pt>
                <c:pt idx="2004">
                  <c:v>338000</c:v>
                </c:pt>
                <c:pt idx="2005">
                  <c:v>333000</c:v>
                </c:pt>
                <c:pt idx="2006">
                  <c:v>321000</c:v>
                </c:pt>
                <c:pt idx="2007">
                  <c:v>311000</c:v>
                </c:pt>
                <c:pt idx="2008">
                  <c:v>327000</c:v>
                </c:pt>
                <c:pt idx="2009">
                  <c:v>338000</c:v>
                </c:pt>
                <c:pt idx="2010">
                  <c:v>323000</c:v>
                </c:pt>
                <c:pt idx="2011">
                  <c:v>318000</c:v>
                </c:pt>
                <c:pt idx="2012">
                  <c:v>316000</c:v>
                </c:pt>
                <c:pt idx="2013">
                  <c:v>311000</c:v>
                </c:pt>
                <c:pt idx="2014">
                  <c:v>319000</c:v>
                </c:pt>
                <c:pt idx="2015">
                  <c:v>315000</c:v>
                </c:pt>
                <c:pt idx="2016">
                  <c:v>318000</c:v>
                </c:pt>
                <c:pt idx="2017">
                  <c:v>326000</c:v>
                </c:pt>
                <c:pt idx="2018">
                  <c:v>422000</c:v>
                </c:pt>
                <c:pt idx="2019">
                  <c:v>424000</c:v>
                </c:pt>
                <c:pt idx="2020">
                  <c:v>359000</c:v>
                </c:pt>
                <c:pt idx="2021">
                  <c:v>384000</c:v>
                </c:pt>
                <c:pt idx="2022">
                  <c:v>383000</c:v>
                </c:pt>
                <c:pt idx="2023">
                  <c:v>348000</c:v>
                </c:pt>
                <c:pt idx="2024">
                  <c:v>324000</c:v>
                </c:pt>
                <c:pt idx="2025">
                  <c:v>322000</c:v>
                </c:pt>
                <c:pt idx="2026">
                  <c:v>325000</c:v>
                </c:pt>
                <c:pt idx="2027">
                  <c:v>309000</c:v>
                </c:pt>
                <c:pt idx="2028">
                  <c:v>324000</c:v>
                </c:pt>
                <c:pt idx="2029">
                  <c:v>311000</c:v>
                </c:pt>
                <c:pt idx="2030">
                  <c:v>321000</c:v>
                </c:pt>
                <c:pt idx="2031">
                  <c:v>327000</c:v>
                </c:pt>
                <c:pt idx="2032">
                  <c:v>312000</c:v>
                </c:pt>
                <c:pt idx="2033">
                  <c:v>320000</c:v>
                </c:pt>
                <c:pt idx="2034">
                  <c:v>302000</c:v>
                </c:pt>
                <c:pt idx="2035">
                  <c:v>326000</c:v>
                </c:pt>
                <c:pt idx="2036">
                  <c:v>285000</c:v>
                </c:pt>
                <c:pt idx="2037">
                  <c:v>290000</c:v>
                </c:pt>
                <c:pt idx="2038">
                  <c:v>282000</c:v>
                </c:pt>
                <c:pt idx="2039">
                  <c:v>289000</c:v>
                </c:pt>
                <c:pt idx="2040">
                  <c:v>298000</c:v>
                </c:pt>
                <c:pt idx="2041">
                  <c:v>283000</c:v>
                </c:pt>
                <c:pt idx="2042">
                  <c:v>293000</c:v>
                </c:pt>
                <c:pt idx="2043">
                  <c:v>302000</c:v>
                </c:pt>
                <c:pt idx="2044">
                  <c:v>307000</c:v>
                </c:pt>
                <c:pt idx="2045">
                  <c:v>303000</c:v>
                </c:pt>
                <c:pt idx="2046">
                  <c:v>295000</c:v>
                </c:pt>
                <c:pt idx="2047">
                  <c:v>291000</c:v>
                </c:pt>
                <c:pt idx="2048">
                  <c:v>299000</c:v>
                </c:pt>
                <c:pt idx="2049">
                  <c:v>299000</c:v>
                </c:pt>
                <c:pt idx="2050">
                  <c:v>308000</c:v>
                </c:pt>
                <c:pt idx="2051">
                  <c:v>321000</c:v>
                </c:pt>
                <c:pt idx="2052">
                  <c:v>347000</c:v>
                </c:pt>
                <c:pt idx="2053">
                  <c:v>335000</c:v>
                </c:pt>
                <c:pt idx="2054">
                  <c:v>319000</c:v>
                </c:pt>
                <c:pt idx="2055">
                  <c:v>330000</c:v>
                </c:pt>
                <c:pt idx="2056">
                  <c:v>307000</c:v>
                </c:pt>
                <c:pt idx="2057">
                  <c:v>298000</c:v>
                </c:pt>
                <c:pt idx="2058">
                  <c:v>308000</c:v>
                </c:pt>
                <c:pt idx="2059">
                  <c:v>309000</c:v>
                </c:pt>
                <c:pt idx="2060">
                  <c:v>316000</c:v>
                </c:pt>
                <c:pt idx="2061">
                  <c:v>343000</c:v>
                </c:pt>
                <c:pt idx="2062">
                  <c:v>318000</c:v>
                </c:pt>
                <c:pt idx="2063">
                  <c:v>306000</c:v>
                </c:pt>
                <c:pt idx="2064">
                  <c:v>311000</c:v>
                </c:pt>
                <c:pt idx="2065">
                  <c:v>318000</c:v>
                </c:pt>
                <c:pt idx="2066">
                  <c:v>310000</c:v>
                </c:pt>
                <c:pt idx="2067">
                  <c:v>315000</c:v>
                </c:pt>
                <c:pt idx="2068">
                  <c:v>314000</c:v>
                </c:pt>
                <c:pt idx="2069">
                  <c:v>315000</c:v>
                </c:pt>
                <c:pt idx="2070">
                  <c:v>314000</c:v>
                </c:pt>
                <c:pt idx="2071">
                  <c:v>324000</c:v>
                </c:pt>
                <c:pt idx="2072">
                  <c:v>319000</c:v>
                </c:pt>
                <c:pt idx="2073">
                  <c:v>309000</c:v>
                </c:pt>
                <c:pt idx="2074">
                  <c:v>316000</c:v>
                </c:pt>
                <c:pt idx="2075">
                  <c:v>305000</c:v>
                </c:pt>
                <c:pt idx="2076">
                  <c:v>313000</c:v>
                </c:pt>
                <c:pt idx="2077">
                  <c:v>328000</c:v>
                </c:pt>
                <c:pt idx="2078">
                  <c:v>319000</c:v>
                </c:pt>
                <c:pt idx="2079">
                  <c:v>311000</c:v>
                </c:pt>
                <c:pt idx="2080">
                  <c:v>326000</c:v>
                </c:pt>
                <c:pt idx="2081">
                  <c:v>349000</c:v>
                </c:pt>
                <c:pt idx="2082">
                  <c:v>327000</c:v>
                </c:pt>
                <c:pt idx="2083">
                  <c:v>311000</c:v>
                </c:pt>
                <c:pt idx="2084">
                  <c:v>318000</c:v>
                </c:pt>
                <c:pt idx="2085">
                  <c:v>323000</c:v>
                </c:pt>
                <c:pt idx="2086">
                  <c:v>341000</c:v>
                </c:pt>
                <c:pt idx="2087">
                  <c:v>330000</c:v>
                </c:pt>
                <c:pt idx="2088">
                  <c:v>296000</c:v>
                </c:pt>
                <c:pt idx="2089">
                  <c:v>335000</c:v>
                </c:pt>
                <c:pt idx="2090">
                  <c:v>308000</c:v>
                </c:pt>
                <c:pt idx="2091">
                  <c:v>310000</c:v>
                </c:pt>
                <c:pt idx="2092">
                  <c:v>338000</c:v>
                </c:pt>
                <c:pt idx="2093">
                  <c:v>321000</c:v>
                </c:pt>
                <c:pt idx="2094">
                  <c:v>322000</c:v>
                </c:pt>
                <c:pt idx="2095">
                  <c:v>320000</c:v>
                </c:pt>
                <c:pt idx="2096">
                  <c:v>308000</c:v>
                </c:pt>
                <c:pt idx="2097">
                  <c:v>309000</c:v>
                </c:pt>
                <c:pt idx="2098">
                  <c:v>303000</c:v>
                </c:pt>
                <c:pt idx="2099">
                  <c:v>307000</c:v>
                </c:pt>
                <c:pt idx="2100">
                  <c:v>332000</c:v>
                </c:pt>
                <c:pt idx="2101">
                  <c:v>327000</c:v>
                </c:pt>
                <c:pt idx="2102">
                  <c:v>321000</c:v>
                </c:pt>
                <c:pt idx="2103">
                  <c:v>301000</c:v>
                </c:pt>
                <c:pt idx="2104">
                  <c:v>300000</c:v>
                </c:pt>
                <c:pt idx="2105">
                  <c:v>297000</c:v>
                </c:pt>
                <c:pt idx="2106">
                  <c:v>310000</c:v>
                </c:pt>
                <c:pt idx="2107">
                  <c:v>310000</c:v>
                </c:pt>
                <c:pt idx="2108">
                  <c:v>313000</c:v>
                </c:pt>
                <c:pt idx="2109">
                  <c:v>313000</c:v>
                </c:pt>
                <c:pt idx="2110">
                  <c:v>320000</c:v>
                </c:pt>
                <c:pt idx="2111">
                  <c:v>313000</c:v>
                </c:pt>
                <c:pt idx="2112">
                  <c:v>317000</c:v>
                </c:pt>
                <c:pt idx="2113">
                  <c:v>321000</c:v>
                </c:pt>
                <c:pt idx="2114">
                  <c:v>317000</c:v>
                </c:pt>
                <c:pt idx="2115">
                  <c:v>310000</c:v>
                </c:pt>
                <c:pt idx="2116">
                  <c:v>305000</c:v>
                </c:pt>
                <c:pt idx="2117">
                  <c:v>314000</c:v>
                </c:pt>
                <c:pt idx="2118">
                  <c:v>316000</c:v>
                </c:pt>
                <c:pt idx="2119">
                  <c:v>321000</c:v>
                </c:pt>
                <c:pt idx="2120">
                  <c:v>329000</c:v>
                </c:pt>
                <c:pt idx="2121">
                  <c:v>314000</c:v>
                </c:pt>
                <c:pt idx="2122">
                  <c:v>321000</c:v>
                </c:pt>
                <c:pt idx="2123">
                  <c:v>313000</c:v>
                </c:pt>
                <c:pt idx="2124">
                  <c:v>302000</c:v>
                </c:pt>
                <c:pt idx="2125">
                  <c:v>317000</c:v>
                </c:pt>
                <c:pt idx="2126">
                  <c:v>316000</c:v>
                </c:pt>
                <c:pt idx="2127">
                  <c:v>335000</c:v>
                </c:pt>
                <c:pt idx="2128">
                  <c:v>334000</c:v>
                </c:pt>
                <c:pt idx="2129">
                  <c:v>328000</c:v>
                </c:pt>
                <c:pt idx="2130">
                  <c:v>327000</c:v>
                </c:pt>
                <c:pt idx="2131">
                  <c:v>333000</c:v>
                </c:pt>
                <c:pt idx="2132">
                  <c:v>332000</c:v>
                </c:pt>
                <c:pt idx="2133">
                  <c:v>352000</c:v>
                </c:pt>
                <c:pt idx="2134">
                  <c:v>344000</c:v>
                </c:pt>
                <c:pt idx="2135">
                  <c:v>332000</c:v>
                </c:pt>
                <c:pt idx="2136">
                  <c:v>350000</c:v>
                </c:pt>
                <c:pt idx="2137">
                  <c:v>355000</c:v>
                </c:pt>
                <c:pt idx="2138">
                  <c:v>360000</c:v>
                </c:pt>
                <c:pt idx="2139">
                  <c:v>346000</c:v>
                </c:pt>
                <c:pt idx="2140">
                  <c:v>322000</c:v>
                </c:pt>
                <c:pt idx="2141">
                  <c:v>321000</c:v>
                </c:pt>
                <c:pt idx="2142">
                  <c:v>366000</c:v>
                </c:pt>
                <c:pt idx="2143">
                  <c:v>350000</c:v>
                </c:pt>
                <c:pt idx="2144">
                  <c:v>344000</c:v>
                </c:pt>
                <c:pt idx="2145">
                  <c:v>339000</c:v>
                </c:pt>
                <c:pt idx="2146">
                  <c:v>354000</c:v>
                </c:pt>
                <c:pt idx="2147">
                  <c:v>345000</c:v>
                </c:pt>
                <c:pt idx="2148">
                  <c:v>348000</c:v>
                </c:pt>
                <c:pt idx="2149">
                  <c:v>369000</c:v>
                </c:pt>
                <c:pt idx="2150">
                  <c:v>368000</c:v>
                </c:pt>
                <c:pt idx="2151">
                  <c:v>387000</c:v>
                </c:pt>
                <c:pt idx="2152">
                  <c:v>354000</c:v>
                </c:pt>
                <c:pt idx="2153">
                  <c:v>365000</c:v>
                </c:pt>
                <c:pt idx="2154">
                  <c:v>349000</c:v>
                </c:pt>
                <c:pt idx="2155">
                  <c:v>370000</c:v>
                </c:pt>
                <c:pt idx="2156">
                  <c:v>370000</c:v>
                </c:pt>
                <c:pt idx="2157">
                  <c:v>366000</c:v>
                </c:pt>
                <c:pt idx="2158">
                  <c:v>367000</c:v>
                </c:pt>
                <c:pt idx="2159">
                  <c:v>369000</c:v>
                </c:pt>
                <c:pt idx="2160">
                  <c:v>362000</c:v>
                </c:pt>
                <c:pt idx="2161">
                  <c:v>382000</c:v>
                </c:pt>
                <c:pt idx="2162">
                  <c:v>378000</c:v>
                </c:pt>
                <c:pt idx="2163">
                  <c:v>381000</c:v>
                </c:pt>
                <c:pt idx="2164">
                  <c:v>392000</c:v>
                </c:pt>
                <c:pt idx="2165">
                  <c:v>371000</c:v>
                </c:pt>
                <c:pt idx="2166">
                  <c:v>385000</c:v>
                </c:pt>
                <c:pt idx="2167">
                  <c:v>402000</c:v>
                </c:pt>
                <c:pt idx="2168">
                  <c:v>434000</c:v>
                </c:pt>
                <c:pt idx="2169">
                  <c:v>448000</c:v>
                </c:pt>
                <c:pt idx="2170">
                  <c:v>430000</c:v>
                </c:pt>
                <c:pt idx="2171">
                  <c:v>424000</c:v>
                </c:pt>
                <c:pt idx="2172">
                  <c:v>421000</c:v>
                </c:pt>
                <c:pt idx="2173">
                  <c:v>442000</c:v>
                </c:pt>
                <c:pt idx="2174">
                  <c:v>441000</c:v>
                </c:pt>
                <c:pt idx="2175">
                  <c:v>449000</c:v>
                </c:pt>
                <c:pt idx="2176">
                  <c:v>483000</c:v>
                </c:pt>
                <c:pt idx="2177">
                  <c:v>483000</c:v>
                </c:pt>
                <c:pt idx="2178">
                  <c:v>482000</c:v>
                </c:pt>
                <c:pt idx="2179">
                  <c:v>461000</c:v>
                </c:pt>
                <c:pt idx="2180">
                  <c:v>478000</c:v>
                </c:pt>
                <c:pt idx="2181">
                  <c:v>480000</c:v>
                </c:pt>
                <c:pt idx="2182">
                  <c:v>490000</c:v>
                </c:pt>
                <c:pt idx="2183">
                  <c:v>512000</c:v>
                </c:pt>
                <c:pt idx="2184">
                  <c:v>536000</c:v>
                </c:pt>
                <c:pt idx="2185">
                  <c:v>532000</c:v>
                </c:pt>
                <c:pt idx="2186">
                  <c:v>529000</c:v>
                </c:pt>
                <c:pt idx="2187">
                  <c:v>570000</c:v>
                </c:pt>
                <c:pt idx="2188">
                  <c:v>566000</c:v>
                </c:pt>
                <c:pt idx="2189">
                  <c:v>587000</c:v>
                </c:pt>
                <c:pt idx="2190">
                  <c:v>533000</c:v>
                </c:pt>
                <c:pt idx="2191">
                  <c:v>503000</c:v>
                </c:pt>
                <c:pt idx="2192">
                  <c:v>551000</c:v>
                </c:pt>
                <c:pt idx="2193">
                  <c:v>591000</c:v>
                </c:pt>
                <c:pt idx="2194">
                  <c:v>586000</c:v>
                </c:pt>
                <c:pt idx="2195">
                  <c:v>629000</c:v>
                </c:pt>
                <c:pt idx="2196">
                  <c:v>637000</c:v>
                </c:pt>
                <c:pt idx="2197">
                  <c:v>632000</c:v>
                </c:pt>
                <c:pt idx="2198">
                  <c:v>655000</c:v>
                </c:pt>
                <c:pt idx="2199">
                  <c:v>652000</c:v>
                </c:pt>
                <c:pt idx="2200">
                  <c:v>660000</c:v>
                </c:pt>
                <c:pt idx="2201">
                  <c:v>651000</c:v>
                </c:pt>
                <c:pt idx="2202">
                  <c:v>661000</c:v>
                </c:pt>
                <c:pt idx="2203">
                  <c:v>665000</c:v>
                </c:pt>
                <c:pt idx="2204">
                  <c:v>653000</c:v>
                </c:pt>
                <c:pt idx="2205">
                  <c:v>599000</c:v>
                </c:pt>
                <c:pt idx="2206">
                  <c:v>639000</c:v>
                </c:pt>
                <c:pt idx="2207">
                  <c:v>620000</c:v>
                </c:pt>
                <c:pt idx="2208">
                  <c:v>602000</c:v>
                </c:pt>
                <c:pt idx="2209">
                  <c:v>625000</c:v>
                </c:pt>
                <c:pt idx="2210">
                  <c:v>620000</c:v>
                </c:pt>
                <c:pt idx="2211">
                  <c:v>606000</c:v>
                </c:pt>
                <c:pt idx="2212">
                  <c:v>607000</c:v>
                </c:pt>
                <c:pt idx="2213">
                  <c:v>596000</c:v>
                </c:pt>
                <c:pt idx="2214">
                  <c:v>595000</c:v>
                </c:pt>
                <c:pt idx="2215">
                  <c:v>608000</c:v>
                </c:pt>
                <c:pt idx="2216">
                  <c:v>594000</c:v>
                </c:pt>
                <c:pt idx="2217">
                  <c:v>573000</c:v>
                </c:pt>
                <c:pt idx="2218">
                  <c:v>546000</c:v>
                </c:pt>
                <c:pt idx="2219">
                  <c:v>560000</c:v>
                </c:pt>
                <c:pt idx="2220">
                  <c:v>587000</c:v>
                </c:pt>
                <c:pt idx="2221">
                  <c:v>555000</c:v>
                </c:pt>
                <c:pt idx="2222">
                  <c:v>555000</c:v>
                </c:pt>
                <c:pt idx="2223">
                  <c:v>562000</c:v>
                </c:pt>
                <c:pt idx="2224">
                  <c:v>560000</c:v>
                </c:pt>
                <c:pt idx="2225">
                  <c:v>564000</c:v>
                </c:pt>
                <c:pt idx="2226">
                  <c:v>558000</c:v>
                </c:pt>
                <c:pt idx="2227">
                  <c:v>542000</c:v>
                </c:pt>
                <c:pt idx="2228">
                  <c:v>536000</c:v>
                </c:pt>
                <c:pt idx="2229">
                  <c:v>554000</c:v>
                </c:pt>
                <c:pt idx="2230">
                  <c:v>533000</c:v>
                </c:pt>
                <c:pt idx="2231">
                  <c:v>511000</c:v>
                </c:pt>
                <c:pt idx="2232">
                  <c:v>531000</c:v>
                </c:pt>
                <c:pt idx="2233">
                  <c:v>530000</c:v>
                </c:pt>
                <c:pt idx="2234">
                  <c:v>522000</c:v>
                </c:pt>
                <c:pt idx="2235">
                  <c:v>512000</c:v>
                </c:pt>
                <c:pt idx="2236">
                  <c:v>507000</c:v>
                </c:pt>
                <c:pt idx="2237">
                  <c:v>482000</c:v>
                </c:pt>
                <c:pt idx="2238">
                  <c:v>475000</c:v>
                </c:pt>
                <c:pt idx="2239">
                  <c:v>497000</c:v>
                </c:pt>
                <c:pt idx="2240">
                  <c:v>498000</c:v>
                </c:pt>
                <c:pt idx="2241">
                  <c:v>479000</c:v>
                </c:pt>
                <c:pt idx="2242">
                  <c:v>468000</c:v>
                </c:pt>
                <c:pt idx="2243">
                  <c:v>456000</c:v>
                </c:pt>
                <c:pt idx="2244">
                  <c:v>469000</c:v>
                </c:pt>
                <c:pt idx="2245">
                  <c:v>507000</c:v>
                </c:pt>
                <c:pt idx="2246">
                  <c:v>471000</c:v>
                </c:pt>
                <c:pt idx="2247">
                  <c:v>496000</c:v>
                </c:pt>
                <c:pt idx="2248">
                  <c:v>466000</c:v>
                </c:pt>
                <c:pt idx="2249">
                  <c:v>489000</c:v>
                </c:pt>
                <c:pt idx="2250">
                  <c:v>500000</c:v>
                </c:pt>
                <c:pt idx="2251">
                  <c:v>488000</c:v>
                </c:pt>
                <c:pt idx="2252">
                  <c:v>472000</c:v>
                </c:pt>
                <c:pt idx="2253">
                  <c:v>478000</c:v>
                </c:pt>
                <c:pt idx="2254">
                  <c:v>472000</c:v>
                </c:pt>
                <c:pt idx="2255">
                  <c:v>459000</c:v>
                </c:pt>
                <c:pt idx="2256">
                  <c:v>479000</c:v>
                </c:pt>
                <c:pt idx="2257">
                  <c:v>479000</c:v>
                </c:pt>
                <c:pt idx="2258">
                  <c:v>469000</c:v>
                </c:pt>
                <c:pt idx="2259">
                  <c:v>449000</c:v>
                </c:pt>
                <c:pt idx="2260">
                  <c:v>451000</c:v>
                </c:pt>
                <c:pt idx="2261">
                  <c:v>451000</c:v>
                </c:pt>
                <c:pt idx="2262">
                  <c:v>474000</c:v>
                </c:pt>
                <c:pt idx="2263">
                  <c:v>463000</c:v>
                </c:pt>
                <c:pt idx="2264">
                  <c:v>458000</c:v>
                </c:pt>
                <c:pt idx="2265">
                  <c:v>459000</c:v>
                </c:pt>
                <c:pt idx="2266">
                  <c:v>467000</c:v>
                </c:pt>
                <c:pt idx="2267">
                  <c:v>452000</c:v>
                </c:pt>
                <c:pt idx="2268">
                  <c:v>464000</c:v>
                </c:pt>
                <c:pt idx="2269">
                  <c:v>454000</c:v>
                </c:pt>
                <c:pt idx="2270">
                  <c:v>439000</c:v>
                </c:pt>
                <c:pt idx="2271">
                  <c:v>462000</c:v>
                </c:pt>
                <c:pt idx="2272">
                  <c:v>465000</c:v>
                </c:pt>
                <c:pt idx="2273">
                  <c:v>476000</c:v>
                </c:pt>
                <c:pt idx="2274">
                  <c:v>483000</c:v>
                </c:pt>
                <c:pt idx="2275">
                  <c:v>486000</c:v>
                </c:pt>
                <c:pt idx="2276">
                  <c:v>464000</c:v>
                </c:pt>
                <c:pt idx="2277">
                  <c:v>467000</c:v>
                </c:pt>
                <c:pt idx="2278">
                  <c:v>452000</c:v>
                </c:pt>
                <c:pt idx="2279">
                  <c:v>444000</c:v>
                </c:pt>
                <c:pt idx="2280">
                  <c:v>459000</c:v>
                </c:pt>
                <c:pt idx="2281">
                  <c:v>459000</c:v>
                </c:pt>
                <c:pt idx="2282">
                  <c:v>446000</c:v>
                </c:pt>
                <c:pt idx="2283">
                  <c:v>459000</c:v>
                </c:pt>
                <c:pt idx="2284">
                  <c:v>444000</c:v>
                </c:pt>
                <c:pt idx="2285">
                  <c:v>432000</c:v>
                </c:pt>
                <c:pt idx="2286">
                  <c:v>453000</c:v>
                </c:pt>
                <c:pt idx="2287">
                  <c:v>434000</c:v>
                </c:pt>
                <c:pt idx="2288">
                  <c:v>432000</c:v>
                </c:pt>
                <c:pt idx="2289">
                  <c:v>407000</c:v>
                </c:pt>
                <c:pt idx="2290">
                  <c:v>432000</c:v>
                </c:pt>
                <c:pt idx="2291">
                  <c:v>428000</c:v>
                </c:pt>
                <c:pt idx="2292">
                  <c:v>425000</c:v>
                </c:pt>
                <c:pt idx="2293">
                  <c:v>424000</c:v>
                </c:pt>
                <c:pt idx="2294">
                  <c:v>404000</c:v>
                </c:pt>
                <c:pt idx="2295">
                  <c:v>413000</c:v>
                </c:pt>
                <c:pt idx="2296">
                  <c:v>434000</c:v>
                </c:pt>
                <c:pt idx="2297">
                  <c:v>421000</c:v>
                </c:pt>
                <c:pt idx="2298">
                  <c:v>446000</c:v>
                </c:pt>
                <c:pt idx="2299">
                  <c:v>420000</c:v>
                </c:pt>
                <c:pt idx="2300">
                  <c:v>402000</c:v>
                </c:pt>
                <c:pt idx="2301">
                  <c:v>425000</c:v>
                </c:pt>
                <c:pt idx="2302">
                  <c:v>394000</c:v>
                </c:pt>
                <c:pt idx="2303">
                  <c:v>385000</c:v>
                </c:pt>
                <c:pt idx="2304">
                  <c:v>414000</c:v>
                </c:pt>
                <c:pt idx="2305">
                  <c:v>404000</c:v>
                </c:pt>
                <c:pt idx="2306">
                  <c:v>407000</c:v>
                </c:pt>
                <c:pt idx="2307">
                  <c:v>399000</c:v>
                </c:pt>
                <c:pt idx="2308">
                  <c:v>395000</c:v>
                </c:pt>
                <c:pt idx="2309">
                  <c:v>416000</c:v>
                </c:pt>
                <c:pt idx="2310">
                  <c:v>402000</c:v>
                </c:pt>
                <c:pt idx="2311">
                  <c:v>422000</c:v>
                </c:pt>
                <c:pt idx="2312">
                  <c:v>468000</c:v>
                </c:pt>
                <c:pt idx="2313">
                  <c:v>435000</c:v>
                </c:pt>
                <c:pt idx="2314">
                  <c:v>414000</c:v>
                </c:pt>
                <c:pt idx="2315">
                  <c:v>423000</c:v>
                </c:pt>
                <c:pt idx="2316">
                  <c:v>418000</c:v>
                </c:pt>
                <c:pt idx="2317">
                  <c:v>423000</c:v>
                </c:pt>
                <c:pt idx="2318">
                  <c:v>413000</c:v>
                </c:pt>
                <c:pt idx="2319">
                  <c:v>416000</c:v>
                </c:pt>
                <c:pt idx="2320">
                  <c:v>421000</c:v>
                </c:pt>
                <c:pt idx="2321">
                  <c:v>418000</c:v>
                </c:pt>
                <c:pt idx="2322">
                  <c:v>408000</c:v>
                </c:pt>
                <c:pt idx="2323">
                  <c:v>420000</c:v>
                </c:pt>
                <c:pt idx="2324">
                  <c:v>411000</c:v>
                </c:pt>
                <c:pt idx="2325">
                  <c:v>406000</c:v>
                </c:pt>
                <c:pt idx="2326">
                  <c:v>405000</c:v>
                </c:pt>
                <c:pt idx="2327">
                  <c:v>409000</c:v>
                </c:pt>
                <c:pt idx="2328">
                  <c:v>415000</c:v>
                </c:pt>
                <c:pt idx="2329">
                  <c:v>409000</c:v>
                </c:pt>
                <c:pt idx="2330">
                  <c:v>414000</c:v>
                </c:pt>
                <c:pt idx="2331">
                  <c:v>429000</c:v>
                </c:pt>
                <c:pt idx="2332">
                  <c:v>422000</c:v>
                </c:pt>
                <c:pt idx="2333">
                  <c:v>406000</c:v>
                </c:pt>
                <c:pt idx="2334">
                  <c:v>405000</c:v>
                </c:pt>
                <c:pt idx="2335">
                  <c:v>410000</c:v>
                </c:pt>
                <c:pt idx="2336">
                  <c:v>395000</c:v>
                </c:pt>
                <c:pt idx="2337">
                  <c:v>403000</c:v>
                </c:pt>
                <c:pt idx="2338">
                  <c:v>399000</c:v>
                </c:pt>
                <c:pt idx="2339">
                  <c:v>392000</c:v>
                </c:pt>
                <c:pt idx="2340">
                  <c:v>383000</c:v>
                </c:pt>
                <c:pt idx="2341">
                  <c:v>385000</c:v>
                </c:pt>
                <c:pt idx="2342">
                  <c:v>397000</c:v>
                </c:pt>
                <c:pt idx="2343">
                  <c:v>387000</c:v>
                </c:pt>
                <c:pt idx="2344">
                  <c:v>368000</c:v>
                </c:pt>
                <c:pt idx="2345">
                  <c:v>368000</c:v>
                </c:pt>
                <c:pt idx="2346">
                  <c:v>386000</c:v>
                </c:pt>
                <c:pt idx="2347">
                  <c:v>376000</c:v>
                </c:pt>
                <c:pt idx="2348">
                  <c:v>391000</c:v>
                </c:pt>
                <c:pt idx="2349">
                  <c:v>367000</c:v>
                </c:pt>
                <c:pt idx="2350">
                  <c:v>381000</c:v>
                </c:pt>
                <c:pt idx="2351">
                  <c:v>372000</c:v>
                </c:pt>
                <c:pt idx="2352">
                  <c:v>368000</c:v>
                </c:pt>
                <c:pt idx="2353">
                  <c:v>361000</c:v>
                </c:pt>
                <c:pt idx="2354">
                  <c:v>359000</c:v>
                </c:pt>
                <c:pt idx="2355">
                  <c:v>365000</c:v>
                </c:pt>
                <c:pt idx="2356">
                  <c:v>375000</c:v>
                </c:pt>
                <c:pt idx="2357">
                  <c:v>369000</c:v>
                </c:pt>
                <c:pt idx="2358">
                  <c:v>368000</c:v>
                </c:pt>
                <c:pt idx="2359">
                  <c:v>363000</c:v>
                </c:pt>
                <c:pt idx="2360">
                  <c:v>358000</c:v>
                </c:pt>
                <c:pt idx="2361">
                  <c:v>387000</c:v>
                </c:pt>
                <c:pt idx="2362">
                  <c:v>381000</c:v>
                </c:pt>
                <c:pt idx="2363">
                  <c:v>387000</c:v>
                </c:pt>
                <c:pt idx="2364">
                  <c:v>372000</c:v>
                </c:pt>
                <c:pt idx="2365">
                  <c:v>373000</c:v>
                </c:pt>
                <c:pt idx="2366">
                  <c:v>369000</c:v>
                </c:pt>
                <c:pt idx="2367">
                  <c:v>371000</c:v>
                </c:pt>
                <c:pt idx="2368">
                  <c:v>381000</c:v>
                </c:pt>
                <c:pt idx="2369">
                  <c:v>377000</c:v>
                </c:pt>
                <c:pt idx="2370">
                  <c:v>383000</c:v>
                </c:pt>
                <c:pt idx="2371">
                  <c:v>384000</c:v>
                </c:pt>
                <c:pt idx="2372">
                  <c:v>380000</c:v>
                </c:pt>
                <c:pt idx="2373">
                  <c:v>372000</c:v>
                </c:pt>
                <c:pt idx="2374">
                  <c:v>360000</c:v>
                </c:pt>
                <c:pt idx="2375">
                  <c:v>390000</c:v>
                </c:pt>
                <c:pt idx="2376">
                  <c:v>368000</c:v>
                </c:pt>
                <c:pt idx="2377">
                  <c:v>372000</c:v>
                </c:pt>
                <c:pt idx="2378">
                  <c:v>371000</c:v>
                </c:pt>
                <c:pt idx="2379">
                  <c:v>369000</c:v>
                </c:pt>
                <c:pt idx="2380">
                  <c:v>376000</c:v>
                </c:pt>
                <c:pt idx="2381">
                  <c:v>377000</c:v>
                </c:pt>
                <c:pt idx="2382">
                  <c:v>371000</c:v>
                </c:pt>
                <c:pt idx="2383">
                  <c:v>393000</c:v>
                </c:pt>
                <c:pt idx="2384">
                  <c:v>392000</c:v>
                </c:pt>
                <c:pt idx="2385">
                  <c:v>377000</c:v>
                </c:pt>
                <c:pt idx="2386">
                  <c:v>376000</c:v>
                </c:pt>
                <c:pt idx="2387">
                  <c:v>350000</c:v>
                </c:pt>
                <c:pt idx="2388">
                  <c:v>386000</c:v>
                </c:pt>
                <c:pt idx="2389">
                  <c:v>374000</c:v>
                </c:pt>
                <c:pt idx="2390">
                  <c:v>364000</c:v>
                </c:pt>
                <c:pt idx="2391">
                  <c:v>365000</c:v>
                </c:pt>
                <c:pt idx="2392">
                  <c:v>446000</c:v>
                </c:pt>
                <c:pt idx="2393">
                  <c:v>406000</c:v>
                </c:pt>
                <c:pt idx="2394">
                  <c:v>388000</c:v>
                </c:pt>
                <c:pt idx="2395">
                  <c:v>375000</c:v>
                </c:pt>
                <c:pt idx="2396">
                  <c:v>340000</c:v>
                </c:pt>
                <c:pt idx="2397">
                  <c:v>356000</c:v>
                </c:pt>
                <c:pt idx="2398">
                  <c:v>362000</c:v>
                </c:pt>
                <c:pt idx="2399">
                  <c:v>362000</c:v>
                </c:pt>
                <c:pt idx="2400">
                  <c:v>363000</c:v>
                </c:pt>
                <c:pt idx="2401">
                  <c:v>344000</c:v>
                </c:pt>
                <c:pt idx="2402">
                  <c:v>339000</c:v>
                </c:pt>
                <c:pt idx="2403">
                  <c:v>366000</c:v>
                </c:pt>
                <c:pt idx="2404">
                  <c:v>361000</c:v>
                </c:pt>
                <c:pt idx="2405">
                  <c:v>347000</c:v>
                </c:pt>
                <c:pt idx="2406">
                  <c:v>362000</c:v>
                </c:pt>
                <c:pt idx="2407">
                  <c:v>342000</c:v>
                </c:pt>
                <c:pt idx="2408">
                  <c:v>340000</c:v>
                </c:pt>
                <c:pt idx="2409">
                  <c:v>343000</c:v>
                </c:pt>
                <c:pt idx="2410">
                  <c:v>343000</c:v>
                </c:pt>
                <c:pt idx="2411">
                  <c:v>358000</c:v>
                </c:pt>
                <c:pt idx="2412">
                  <c:v>375000</c:v>
                </c:pt>
                <c:pt idx="2413">
                  <c:v>359000</c:v>
                </c:pt>
                <c:pt idx="2414">
                  <c:v>356000</c:v>
                </c:pt>
                <c:pt idx="2415">
                  <c:v>343000</c:v>
                </c:pt>
                <c:pt idx="2416">
                  <c:v>331000</c:v>
                </c:pt>
                <c:pt idx="2417">
                  <c:v>335000</c:v>
                </c:pt>
                <c:pt idx="2418">
                  <c:v>360000</c:v>
                </c:pt>
                <c:pt idx="2419">
                  <c:v>343000</c:v>
                </c:pt>
                <c:pt idx="2420">
                  <c:v>353000</c:v>
                </c:pt>
                <c:pt idx="2421">
                  <c:v>346000</c:v>
                </c:pt>
                <c:pt idx="2422">
                  <c:v>337000</c:v>
                </c:pt>
                <c:pt idx="2423">
                  <c:v>353000</c:v>
                </c:pt>
                <c:pt idx="2424">
                  <c:v>347000</c:v>
                </c:pt>
                <c:pt idx="2425">
                  <c:v>340000</c:v>
                </c:pt>
                <c:pt idx="2426">
                  <c:v>351000</c:v>
                </c:pt>
                <c:pt idx="2427">
                  <c:v>344000</c:v>
                </c:pt>
                <c:pt idx="2428">
                  <c:v>355000</c:v>
                </c:pt>
                <c:pt idx="2429">
                  <c:v>334000</c:v>
                </c:pt>
                <c:pt idx="2430">
                  <c:v>339000</c:v>
                </c:pt>
                <c:pt idx="2431">
                  <c:v>327000</c:v>
                </c:pt>
                <c:pt idx="2432">
                  <c:v>340000</c:v>
                </c:pt>
                <c:pt idx="2433">
                  <c:v>336000</c:v>
                </c:pt>
                <c:pt idx="2434">
                  <c:v>325000</c:v>
                </c:pt>
                <c:pt idx="2435">
                  <c:v>300000</c:v>
                </c:pt>
                <c:pt idx="2436">
                  <c:v>323000</c:v>
                </c:pt>
                <c:pt idx="2437">
                  <c:v>314000</c:v>
                </c:pt>
                <c:pt idx="2438">
                  <c:v>319000</c:v>
                </c:pt>
                <c:pt idx="2439">
                  <c:v>368000</c:v>
                </c:pt>
                <c:pt idx="2440">
                  <c:v>368000</c:v>
                </c:pt>
                <c:pt idx="2441">
                  <c:v>351000</c:v>
                </c:pt>
                <c:pt idx="2442">
                  <c:v>347000</c:v>
                </c:pt>
                <c:pt idx="2443">
                  <c:v>342000</c:v>
                </c:pt>
                <c:pt idx="2444">
                  <c:v>340000</c:v>
                </c:pt>
                <c:pt idx="2445">
                  <c:v>331000</c:v>
                </c:pt>
                <c:pt idx="2446">
                  <c:v>316000</c:v>
                </c:pt>
                <c:pt idx="2447">
                  <c:v>312000</c:v>
                </c:pt>
                <c:pt idx="2448">
                  <c:v>354000</c:v>
                </c:pt>
                <c:pt idx="2449">
                  <c:v>364000</c:v>
                </c:pt>
                <c:pt idx="2450">
                  <c:v>334000</c:v>
                </c:pt>
                <c:pt idx="2451">
                  <c:v>332000</c:v>
                </c:pt>
                <c:pt idx="2452">
                  <c:v>322000</c:v>
                </c:pt>
                <c:pt idx="2453">
                  <c:v>318000</c:v>
                </c:pt>
                <c:pt idx="2454">
                  <c:v>327000</c:v>
                </c:pt>
                <c:pt idx="2455">
                  <c:v>340000</c:v>
                </c:pt>
                <c:pt idx="2456">
                  <c:v>331000</c:v>
                </c:pt>
                <c:pt idx="2457">
                  <c:v>337000</c:v>
                </c:pt>
                <c:pt idx="2458">
                  <c:v>332000</c:v>
                </c:pt>
                <c:pt idx="2459">
                  <c:v>341000</c:v>
                </c:pt>
                <c:pt idx="2460">
                  <c:v>319000</c:v>
                </c:pt>
                <c:pt idx="2461">
                  <c:v>322000</c:v>
                </c:pt>
                <c:pt idx="2462">
                  <c:v>321000</c:v>
                </c:pt>
                <c:pt idx="2463">
                  <c:v>313000</c:v>
                </c:pt>
                <c:pt idx="2464">
                  <c:v>330000</c:v>
                </c:pt>
                <c:pt idx="2465">
                  <c:v>311000</c:v>
                </c:pt>
                <c:pt idx="2466">
                  <c:v>308000</c:v>
                </c:pt>
                <c:pt idx="2467">
                  <c:v>327000</c:v>
                </c:pt>
                <c:pt idx="2468">
                  <c:v>345000</c:v>
                </c:pt>
                <c:pt idx="2469">
                  <c:v>325000</c:v>
                </c:pt>
                <c:pt idx="2470">
                  <c:v>303000</c:v>
                </c:pt>
                <c:pt idx="2471">
                  <c:v>324000</c:v>
                </c:pt>
                <c:pt idx="2472">
                  <c:v>305000</c:v>
                </c:pt>
                <c:pt idx="2473">
                  <c:v>312000</c:v>
                </c:pt>
                <c:pt idx="2474">
                  <c:v>317000</c:v>
                </c:pt>
                <c:pt idx="2475">
                  <c:v>314000</c:v>
                </c:pt>
                <c:pt idx="2476">
                  <c:v>315000</c:v>
                </c:pt>
                <c:pt idx="2477">
                  <c:v>308000</c:v>
                </c:pt>
                <c:pt idx="2478">
                  <c:v>302000</c:v>
                </c:pt>
                <c:pt idx="2479">
                  <c:v>308000</c:v>
                </c:pt>
                <c:pt idx="2480">
                  <c:v>294000</c:v>
                </c:pt>
                <c:pt idx="2481">
                  <c:v>303000</c:v>
                </c:pt>
                <c:pt idx="2482">
                  <c:v>295000</c:v>
                </c:pt>
                <c:pt idx="2483">
                  <c:v>309000</c:v>
                </c:pt>
                <c:pt idx="2484">
                  <c:v>303000</c:v>
                </c:pt>
                <c:pt idx="2485">
                  <c:v>300000</c:v>
                </c:pt>
                <c:pt idx="2486">
                  <c:v>303000</c:v>
                </c:pt>
                <c:pt idx="2487">
                  <c:v>307000</c:v>
                </c:pt>
                <c:pt idx="2488">
                  <c:v>288000</c:v>
                </c:pt>
                <c:pt idx="2489">
                  <c:v>295000</c:v>
                </c:pt>
                <c:pt idx="2490">
                  <c:v>290000</c:v>
                </c:pt>
                <c:pt idx="2491">
                  <c:v>293000</c:v>
                </c:pt>
                <c:pt idx="2492">
                  <c:v>281000</c:v>
                </c:pt>
                <c:pt idx="2493">
                  <c:v>290000</c:v>
                </c:pt>
                <c:pt idx="2494">
                  <c:v>291000</c:v>
                </c:pt>
                <c:pt idx="2495">
                  <c:v>280000</c:v>
                </c:pt>
                <c:pt idx="2496">
                  <c:v>291000</c:v>
                </c:pt>
                <c:pt idx="2497">
                  <c:v>293000</c:v>
                </c:pt>
                <c:pt idx="2498">
                  <c:v>303000</c:v>
                </c:pt>
                <c:pt idx="2499">
                  <c:v>291000</c:v>
                </c:pt>
                <c:pt idx="2500">
                  <c:v>291000</c:v>
                </c:pt>
                <c:pt idx="2501">
                  <c:v>286000</c:v>
                </c:pt>
                <c:pt idx="2502">
                  <c:v>276000</c:v>
                </c:pt>
                <c:pt idx="2503">
                  <c:v>285000</c:v>
                </c:pt>
                <c:pt idx="2504">
                  <c:v>294000</c:v>
                </c:pt>
                <c:pt idx="2505">
                  <c:v>304000</c:v>
                </c:pt>
                <c:pt idx="2506">
                  <c:v>298000</c:v>
                </c:pt>
                <c:pt idx="2507">
                  <c:v>261000</c:v>
                </c:pt>
                <c:pt idx="2508">
                  <c:v>281000</c:v>
                </c:pt>
                <c:pt idx="2509">
                  <c:v>298000</c:v>
                </c:pt>
                <c:pt idx="2510">
                  <c:v>285000</c:v>
                </c:pt>
                <c:pt idx="2511">
                  <c:v>305000</c:v>
                </c:pt>
                <c:pt idx="2512">
                  <c:v>317000</c:v>
                </c:pt>
                <c:pt idx="2513">
                  <c:v>293000</c:v>
                </c:pt>
                <c:pt idx="2514">
                  <c:v>290000</c:v>
                </c:pt>
                <c:pt idx="2515">
                  <c:v>284000</c:v>
                </c:pt>
                <c:pt idx="2516">
                  <c:v>269000</c:v>
                </c:pt>
                <c:pt idx="2517">
                  <c:v>282000</c:v>
                </c:pt>
                <c:pt idx="2518">
                  <c:v>298000</c:v>
                </c:pt>
                <c:pt idx="2519">
                  <c:v>295000</c:v>
                </c:pt>
                <c:pt idx="2520">
                  <c:v>269000</c:v>
                </c:pt>
                <c:pt idx="2521">
                  <c:v>267000</c:v>
                </c:pt>
                <c:pt idx="2522">
                  <c:v>271000</c:v>
                </c:pt>
                <c:pt idx="2523">
                  <c:v>276000</c:v>
                </c:pt>
                <c:pt idx="2524">
                  <c:v>281000</c:v>
                </c:pt>
                <c:pt idx="2525">
                  <c:v>275000</c:v>
                </c:pt>
                <c:pt idx="2526">
                  <c:v>278000</c:v>
                </c:pt>
                <c:pt idx="2527">
                  <c:v>269000</c:v>
                </c:pt>
                <c:pt idx="2528">
                  <c:v>273000</c:v>
                </c:pt>
                <c:pt idx="2529">
                  <c:v>275000</c:v>
                </c:pt>
                <c:pt idx="2530">
                  <c:v>292000</c:v>
                </c:pt>
                <c:pt idx="2531">
                  <c:v>285000</c:v>
                </c:pt>
                <c:pt idx="2532">
                  <c:v>265000</c:v>
                </c:pt>
                <c:pt idx="2533">
                  <c:v>269000</c:v>
                </c:pt>
                <c:pt idx="2534">
                  <c:v>270000</c:v>
                </c:pt>
                <c:pt idx="2535">
                  <c:v>274000</c:v>
                </c:pt>
                <c:pt idx="2536">
                  <c:v>279000</c:v>
                </c:pt>
                <c:pt idx="2537">
                  <c:v>274000</c:v>
                </c:pt>
                <c:pt idx="2538">
                  <c:v>279000</c:v>
                </c:pt>
                <c:pt idx="2539">
                  <c:v>273000</c:v>
                </c:pt>
                <c:pt idx="2540">
                  <c:v>264000</c:v>
                </c:pt>
                <c:pt idx="2541">
                  <c:v>269000</c:v>
                </c:pt>
                <c:pt idx="2542">
                  <c:v>272000</c:v>
                </c:pt>
                <c:pt idx="2543">
                  <c:v>267000</c:v>
                </c:pt>
                <c:pt idx="2544">
                  <c:v>265000</c:v>
                </c:pt>
                <c:pt idx="2545">
                  <c:v>264000</c:v>
                </c:pt>
                <c:pt idx="2546">
                  <c:v>264000</c:v>
                </c:pt>
                <c:pt idx="2547">
                  <c:v>275000</c:v>
                </c:pt>
                <c:pt idx="2548">
                  <c:v>276000</c:v>
                </c:pt>
                <c:pt idx="2549">
                  <c:v>272000</c:v>
                </c:pt>
                <c:pt idx="2550">
                  <c:v>261000</c:v>
                </c:pt>
                <c:pt idx="2551">
                  <c:v>265000</c:v>
                </c:pt>
                <c:pt idx="2552">
                  <c:v>280000</c:v>
                </c:pt>
                <c:pt idx="2553">
                  <c:v>268000</c:v>
                </c:pt>
                <c:pt idx="2554">
                  <c:v>260000</c:v>
                </c:pt>
                <c:pt idx="2555">
                  <c:v>276000</c:v>
                </c:pt>
                <c:pt idx="2556">
                  <c:v>273000</c:v>
                </c:pt>
                <c:pt idx="2557">
                  <c:v>284000</c:v>
                </c:pt>
                <c:pt idx="2558">
                  <c:v>290000</c:v>
                </c:pt>
                <c:pt idx="2559">
                  <c:v>269000</c:v>
                </c:pt>
                <c:pt idx="2560">
                  <c:v>282000</c:v>
                </c:pt>
                <c:pt idx="2561">
                  <c:v>266000</c:v>
                </c:pt>
                <c:pt idx="2562">
                  <c:v>262000</c:v>
                </c:pt>
                <c:pt idx="2563">
                  <c:v>270000</c:v>
                </c:pt>
                <c:pt idx="2564">
                  <c:v>269000</c:v>
                </c:pt>
                <c:pt idx="2565">
                  <c:v>255000</c:v>
                </c:pt>
                <c:pt idx="2566">
                  <c:v>263000</c:v>
                </c:pt>
                <c:pt idx="2567">
                  <c:v>264000</c:v>
                </c:pt>
                <c:pt idx="2568">
                  <c:v>271000</c:v>
                </c:pt>
                <c:pt idx="2569">
                  <c:v>273000</c:v>
                </c:pt>
                <c:pt idx="2570">
                  <c:v>263000</c:v>
                </c:pt>
                <c:pt idx="2571">
                  <c:v>257000</c:v>
                </c:pt>
                <c:pt idx="2572">
                  <c:v>259000</c:v>
                </c:pt>
                <c:pt idx="2573">
                  <c:v>278000</c:v>
                </c:pt>
                <c:pt idx="2574">
                  <c:v>289000</c:v>
                </c:pt>
                <c:pt idx="2575">
                  <c:v>279000</c:v>
                </c:pt>
                <c:pt idx="2576">
                  <c:v>267000</c:v>
                </c:pt>
                <c:pt idx="2577">
                  <c:v>263000</c:v>
                </c:pt>
                <c:pt idx="2578">
                  <c:v>265000</c:v>
                </c:pt>
                <c:pt idx="2579">
                  <c:v>273000</c:v>
                </c:pt>
                <c:pt idx="2580">
                  <c:v>261000</c:v>
                </c:pt>
                <c:pt idx="2581">
                  <c:v>262000</c:v>
                </c:pt>
                <c:pt idx="2582">
                  <c:v>255000</c:v>
                </c:pt>
                <c:pt idx="2583">
                  <c:v>252000</c:v>
                </c:pt>
                <c:pt idx="2584">
                  <c:v>260000</c:v>
                </c:pt>
                <c:pt idx="2585">
                  <c:v>264000</c:v>
                </c:pt>
                <c:pt idx="2586">
                  <c:v>266000</c:v>
                </c:pt>
                <c:pt idx="2587">
                  <c:v>265000</c:v>
                </c:pt>
                <c:pt idx="2588">
                  <c:v>264000</c:v>
                </c:pt>
                <c:pt idx="2589">
                  <c:v>264000</c:v>
                </c:pt>
                <c:pt idx="2590">
                  <c:v>261000</c:v>
                </c:pt>
                <c:pt idx="2591">
                  <c:v>257000</c:v>
                </c:pt>
                <c:pt idx="2592">
                  <c:v>252000</c:v>
                </c:pt>
                <c:pt idx="2593">
                  <c:v>250000</c:v>
                </c:pt>
                <c:pt idx="2594">
                  <c:v>247000</c:v>
                </c:pt>
                <c:pt idx="2595">
                  <c:v>245000</c:v>
                </c:pt>
                <c:pt idx="2596">
                  <c:v>250000</c:v>
                </c:pt>
                <c:pt idx="2597">
                  <c:v>263000</c:v>
                </c:pt>
                <c:pt idx="2598">
                  <c:v>256000</c:v>
                </c:pt>
                <c:pt idx="2599">
                  <c:v>265000</c:v>
                </c:pt>
                <c:pt idx="2600">
                  <c:v>250000</c:v>
                </c:pt>
                <c:pt idx="2601">
                  <c:v>232000</c:v>
                </c:pt>
                <c:pt idx="2602">
                  <c:v>246000</c:v>
                </c:pt>
                <c:pt idx="2603">
                  <c:v>255000</c:v>
                </c:pt>
                <c:pt idx="2604">
                  <c:v>248000</c:v>
                </c:pt>
                <c:pt idx="2605">
                  <c:v>252000</c:v>
                </c:pt>
                <c:pt idx="2606">
                  <c:v>260000</c:v>
                </c:pt>
                <c:pt idx="2607">
                  <c:v>257000</c:v>
                </c:pt>
                <c:pt idx="2608">
                  <c:v>244000</c:v>
                </c:pt>
                <c:pt idx="2609">
                  <c:v>243000</c:v>
                </c:pt>
                <c:pt idx="2610">
                  <c:v>244000</c:v>
                </c:pt>
                <c:pt idx="2611">
                  <c:v>254000</c:v>
                </c:pt>
                <c:pt idx="2612">
                  <c:v>245000</c:v>
                </c:pt>
                <c:pt idx="2613">
                  <c:v>237000</c:v>
                </c:pt>
                <c:pt idx="2614">
                  <c:v>243000</c:v>
                </c:pt>
                <c:pt idx="2615">
                  <c:v>248000</c:v>
                </c:pt>
                <c:pt idx="2616">
                  <c:v>231000</c:v>
                </c:pt>
                <c:pt idx="2617">
                  <c:v>246000</c:v>
                </c:pt>
                <c:pt idx="2618">
                  <c:v>244000</c:v>
                </c:pt>
                <c:pt idx="2619">
                  <c:v>255000</c:v>
                </c:pt>
                <c:pt idx="2620">
                  <c:v>256000</c:v>
                </c:pt>
                <c:pt idx="2621">
                  <c:v>237000</c:v>
                </c:pt>
                <c:pt idx="2622">
                  <c:v>238000</c:v>
                </c:pt>
                <c:pt idx="2623">
                  <c:v>242000</c:v>
                </c:pt>
                <c:pt idx="2624">
                  <c:v>252000</c:v>
                </c:pt>
                <c:pt idx="2625">
                  <c:v>241000</c:v>
                </c:pt>
                <c:pt idx="2626">
                  <c:v>237000</c:v>
                </c:pt>
                <c:pt idx="2627">
                  <c:v>237000</c:v>
                </c:pt>
                <c:pt idx="2628">
                  <c:v>234000</c:v>
                </c:pt>
                <c:pt idx="2629">
                  <c:v>251000</c:v>
                </c:pt>
                <c:pt idx="2630">
                  <c:v>244000</c:v>
                </c:pt>
                <c:pt idx="2631">
                  <c:v>237000</c:v>
                </c:pt>
                <c:pt idx="2632">
                  <c:v>243000</c:v>
                </c:pt>
                <c:pt idx="2633">
                  <c:v>237000</c:v>
                </c:pt>
                <c:pt idx="2634">
                  <c:v>247000</c:v>
                </c:pt>
                <c:pt idx="2635">
                  <c:v>243000</c:v>
                </c:pt>
                <c:pt idx="2636">
                  <c:v>241000</c:v>
                </c:pt>
                <c:pt idx="2637">
                  <c:v>245000</c:v>
                </c:pt>
                <c:pt idx="2638">
                  <c:v>242000</c:v>
                </c:pt>
                <c:pt idx="2639">
                  <c:v>245000</c:v>
                </c:pt>
                <c:pt idx="2640">
                  <c:v>236000</c:v>
                </c:pt>
                <c:pt idx="2641">
                  <c:v>240000</c:v>
                </c:pt>
                <c:pt idx="2642">
                  <c:v>238000</c:v>
                </c:pt>
                <c:pt idx="2643">
                  <c:v>298000</c:v>
                </c:pt>
                <c:pt idx="2644">
                  <c:v>274000</c:v>
                </c:pt>
                <c:pt idx="2645">
                  <c:v>259000</c:v>
                </c:pt>
                <c:pt idx="2646">
                  <c:v>262000</c:v>
                </c:pt>
                <c:pt idx="2647">
                  <c:v>254000</c:v>
                </c:pt>
                <c:pt idx="2648">
                  <c:v>245000</c:v>
                </c:pt>
                <c:pt idx="2649">
                  <c:v>230000</c:v>
                </c:pt>
                <c:pt idx="2650">
                  <c:v>235000</c:v>
                </c:pt>
                <c:pt idx="2651">
                  <c:v>235000</c:v>
                </c:pt>
                <c:pt idx="2652">
                  <c:v>239000</c:v>
                </c:pt>
                <c:pt idx="2653">
                  <c:v>247000</c:v>
                </c:pt>
                <c:pt idx="2654">
                  <c:v>235000</c:v>
                </c:pt>
                <c:pt idx="2655">
                  <c:v>233000</c:v>
                </c:pt>
                <c:pt idx="2656">
                  <c:v>230000</c:v>
                </c:pt>
                <c:pt idx="2657">
                  <c:v>226000</c:v>
                </c:pt>
                <c:pt idx="2658">
                  <c:v>239000</c:v>
                </c:pt>
                <c:pt idx="2659">
                  <c:v>243000</c:v>
                </c:pt>
                <c:pt idx="2660">
                  <c:v>241000</c:v>
                </c:pt>
                <c:pt idx="2661">
                  <c:v>249000</c:v>
                </c:pt>
                <c:pt idx="2662">
                  <c:v>228000</c:v>
                </c:pt>
                <c:pt idx="2663">
                  <c:v>233000</c:v>
                </c:pt>
                <c:pt idx="2664">
                  <c:v>227000</c:v>
                </c:pt>
                <c:pt idx="2665">
                  <c:v>224000</c:v>
                </c:pt>
                <c:pt idx="2666">
                  <c:v>227000</c:v>
                </c:pt>
                <c:pt idx="2667">
                  <c:v>220000</c:v>
                </c:pt>
                <c:pt idx="2668">
                  <c:v>215000</c:v>
                </c:pt>
                <c:pt idx="2669">
                  <c:v>226000</c:v>
                </c:pt>
                <c:pt idx="2670">
                  <c:v>223000</c:v>
                </c:pt>
                <c:pt idx="2671">
                  <c:v>224000</c:v>
                </c:pt>
                <c:pt idx="2672">
                  <c:v>220000</c:v>
                </c:pt>
                <c:pt idx="2673">
                  <c:v>235000</c:v>
                </c:pt>
                <c:pt idx="2674">
                  <c:v>235000</c:v>
                </c:pt>
                <c:pt idx="2675">
                  <c:v>235000</c:v>
                </c:pt>
                <c:pt idx="2676">
                  <c:v>208000</c:v>
                </c:pt>
                <c:pt idx="2677">
                  <c:v>212000</c:v>
                </c:pt>
                <c:pt idx="2678">
                  <c:v>210000</c:v>
                </c:pt>
                <c:pt idx="2679">
                  <c:v>224000</c:v>
                </c:pt>
                <c:pt idx="2680">
                  <c:v>230000</c:v>
                </c:pt>
                <c:pt idx="2681">
                  <c:v>221000</c:v>
                </c:pt>
                <c:pt idx="2682">
                  <c:v>221000</c:v>
                </c:pt>
                <c:pt idx="2683">
                  <c:v>218000</c:v>
                </c:pt>
                <c:pt idx="2684">
                  <c:v>220000</c:v>
                </c:pt>
                <c:pt idx="2685">
                  <c:v>220000</c:v>
                </c:pt>
                <c:pt idx="2686">
                  <c:v>229000</c:v>
                </c:pt>
                <c:pt idx="2687">
                  <c:v>229000</c:v>
                </c:pt>
                <c:pt idx="2688">
                  <c:v>212000</c:v>
                </c:pt>
                <c:pt idx="2689">
                  <c:v>220000</c:v>
                </c:pt>
                <c:pt idx="2690">
                  <c:v>218000</c:v>
                </c:pt>
                <c:pt idx="2691">
                  <c:v>217000</c:v>
                </c:pt>
                <c:pt idx="2692">
                  <c:v>212000</c:v>
                </c:pt>
                <c:pt idx="2693">
                  <c:v>215000</c:v>
                </c:pt>
                <c:pt idx="2694">
                  <c:v>214000</c:v>
                </c:pt>
                <c:pt idx="2695">
                  <c:v>209000</c:v>
                </c:pt>
                <c:pt idx="2696">
                  <c:v>210000</c:v>
                </c:pt>
                <c:pt idx="2697">
                  <c:v>212000</c:v>
                </c:pt>
                <c:pt idx="2698">
                  <c:v>212000</c:v>
                </c:pt>
                <c:pt idx="2699">
                  <c:v>216000</c:v>
                </c:pt>
                <c:pt idx="2700">
                  <c:v>212000</c:v>
                </c:pt>
                <c:pt idx="2701">
                  <c:v>212000</c:v>
                </c:pt>
                <c:pt idx="2702">
                  <c:v>219000</c:v>
                </c:pt>
                <c:pt idx="2703">
                  <c:v>216000</c:v>
                </c:pt>
                <c:pt idx="2704">
                  <c:v>216000</c:v>
                </c:pt>
                <c:pt idx="2705">
                  <c:v>217000</c:v>
                </c:pt>
                <c:pt idx="2706">
                  <c:v>220000</c:v>
                </c:pt>
                <c:pt idx="2707">
                  <c:v>230000</c:v>
                </c:pt>
                <c:pt idx="2708">
                  <c:v>225000</c:v>
                </c:pt>
                <c:pt idx="2709">
                  <c:v>203000</c:v>
                </c:pt>
                <c:pt idx="2710">
                  <c:v>214000</c:v>
                </c:pt>
                <c:pt idx="2711">
                  <c:v>220000</c:v>
                </c:pt>
                <c:pt idx="2712">
                  <c:v>226000</c:v>
                </c:pt>
                <c:pt idx="2713">
                  <c:v>218000</c:v>
                </c:pt>
                <c:pt idx="2714">
                  <c:v>215000</c:v>
                </c:pt>
                <c:pt idx="2715">
                  <c:v>211000</c:v>
                </c:pt>
                <c:pt idx="2716">
                  <c:v>236000</c:v>
                </c:pt>
                <c:pt idx="2717">
                  <c:v>233000</c:v>
                </c:pt>
                <c:pt idx="2718">
                  <c:v>232000</c:v>
                </c:pt>
                <c:pt idx="2719">
                  <c:v>218000</c:v>
                </c:pt>
                <c:pt idx="2720">
                  <c:v>223000</c:v>
                </c:pt>
                <c:pt idx="2721">
                  <c:v>220000</c:v>
                </c:pt>
                <c:pt idx="2722">
                  <c:v>225000</c:v>
                </c:pt>
                <c:pt idx="2723">
                  <c:v>218000</c:v>
                </c:pt>
                <c:pt idx="2724">
                  <c:v>215000</c:v>
                </c:pt>
                <c:pt idx="2725">
                  <c:v>211000</c:v>
                </c:pt>
                <c:pt idx="2726">
                  <c:v>203000</c:v>
                </c:pt>
                <c:pt idx="2727">
                  <c:v>203000</c:v>
                </c:pt>
                <c:pt idx="2728">
                  <c:v>224000</c:v>
                </c:pt>
                <c:pt idx="2729">
                  <c:v>230000</c:v>
                </c:pt>
                <c:pt idx="2730">
                  <c:v>225000</c:v>
                </c:pt>
                <c:pt idx="2731">
                  <c:v>216000</c:v>
                </c:pt>
                <c:pt idx="2732">
                  <c:v>213000</c:v>
                </c:pt>
                <c:pt idx="2733">
                  <c:v>218000</c:v>
                </c:pt>
                <c:pt idx="2734">
                  <c:v>220000</c:v>
                </c:pt>
                <c:pt idx="2735">
                  <c:v>220000</c:v>
                </c:pt>
                <c:pt idx="2736">
                  <c:v>219000</c:v>
                </c:pt>
                <c:pt idx="2737">
                  <c:v>224000</c:v>
                </c:pt>
                <c:pt idx="2738">
                  <c:v>223000</c:v>
                </c:pt>
                <c:pt idx="2739">
                  <c:v>205000</c:v>
                </c:pt>
                <c:pt idx="2740">
                  <c:v>217000</c:v>
                </c:pt>
                <c:pt idx="2741">
                  <c:v>210000</c:v>
                </c:pt>
                <c:pt idx="2742">
                  <c:v>216000</c:v>
                </c:pt>
                <c:pt idx="2743">
                  <c:v>214000</c:v>
                </c:pt>
                <c:pt idx="2744">
                  <c:v>218000</c:v>
                </c:pt>
                <c:pt idx="2745">
                  <c:v>214000</c:v>
                </c:pt>
                <c:pt idx="2746">
                  <c:v>215000</c:v>
                </c:pt>
                <c:pt idx="2747">
                  <c:v>218000</c:v>
                </c:pt>
                <c:pt idx="2748">
                  <c:v>208000</c:v>
                </c:pt>
                <c:pt idx="2749">
                  <c:v>211000</c:v>
                </c:pt>
                <c:pt idx="2750">
                  <c:v>215000</c:v>
                </c:pt>
                <c:pt idx="2751">
                  <c:v>217000</c:v>
                </c:pt>
                <c:pt idx="2752">
                  <c:v>212000</c:v>
                </c:pt>
                <c:pt idx="2753">
                  <c:v>217000</c:v>
                </c:pt>
                <c:pt idx="2754">
                  <c:v>212000</c:v>
                </c:pt>
                <c:pt idx="2755">
                  <c:v>216000</c:v>
                </c:pt>
                <c:pt idx="2756">
                  <c:v>211000</c:v>
                </c:pt>
                <c:pt idx="2757">
                  <c:v>222000</c:v>
                </c:pt>
                <c:pt idx="2758">
                  <c:v>221000</c:v>
                </c:pt>
                <c:pt idx="2759">
                  <c:v>215000</c:v>
                </c:pt>
                <c:pt idx="2760">
                  <c:v>219000</c:v>
                </c:pt>
                <c:pt idx="2761">
                  <c:v>238000</c:v>
                </c:pt>
                <c:pt idx="2762">
                  <c:v>227000</c:v>
                </c:pt>
                <c:pt idx="2763">
                  <c:v>218000</c:v>
                </c:pt>
                <c:pt idx="2764">
                  <c:v>218000</c:v>
                </c:pt>
                <c:pt idx="2765">
                  <c:v>210000</c:v>
                </c:pt>
                <c:pt idx="2766">
                  <c:v>206000</c:v>
                </c:pt>
                <c:pt idx="2767">
                  <c:v>219000</c:v>
                </c:pt>
                <c:pt idx="2768">
                  <c:v>210000</c:v>
                </c:pt>
                <c:pt idx="2769">
                  <c:v>205000</c:v>
                </c:pt>
                <c:pt idx="2770">
                  <c:v>207000</c:v>
                </c:pt>
                <c:pt idx="2771">
                  <c:v>215000</c:v>
                </c:pt>
                <c:pt idx="2772">
                  <c:v>218000</c:v>
                </c:pt>
                <c:pt idx="2773">
                  <c:v>216000</c:v>
                </c:pt>
                <c:pt idx="2774">
                  <c:v>212000</c:v>
                </c:pt>
                <c:pt idx="2775">
                  <c:v>256000</c:v>
                </c:pt>
                <c:pt idx="2776">
                  <c:v>2923000</c:v>
                </c:pt>
                <c:pt idx="2777">
                  <c:v>5985000</c:v>
                </c:pt>
                <c:pt idx="2778">
                  <c:v>6149000</c:v>
                </c:pt>
                <c:pt idx="2779">
                  <c:v>4869000</c:v>
                </c:pt>
                <c:pt idx="2780">
                  <c:v>4202000</c:v>
                </c:pt>
                <c:pt idx="2781">
                  <c:v>3451000</c:v>
                </c:pt>
                <c:pt idx="2782">
                  <c:v>2784000</c:v>
                </c:pt>
                <c:pt idx="2783">
                  <c:v>2315000</c:v>
                </c:pt>
                <c:pt idx="2784">
                  <c:v>2149000</c:v>
                </c:pt>
                <c:pt idx="2785">
                  <c:v>1887000</c:v>
                </c:pt>
                <c:pt idx="2786">
                  <c:v>1605000</c:v>
                </c:pt>
                <c:pt idx="2787">
                  <c:v>1537000</c:v>
                </c:pt>
                <c:pt idx="2788">
                  <c:v>1472000</c:v>
                </c:pt>
                <c:pt idx="2789">
                  <c:v>1460000</c:v>
                </c:pt>
                <c:pt idx="2790">
                  <c:v>1436000</c:v>
                </c:pt>
              </c:numCache>
            </c:numRef>
          </c:val>
          <c:smooth val="0"/>
          <c:extLst>
            <c:ext xmlns:c16="http://schemas.microsoft.com/office/drawing/2014/chart" uri="{C3380CC4-5D6E-409C-BE32-E72D297353CC}">
              <c16:uniqueId val="{00000000-8DC2-47F6-BD64-322D477C2996}"/>
            </c:ext>
          </c:extLst>
        </c:ser>
        <c:dLbls>
          <c:showLegendKey val="0"/>
          <c:showVal val="0"/>
          <c:showCatName val="0"/>
          <c:showSerName val="0"/>
          <c:showPercent val="0"/>
          <c:showBubbleSize val="0"/>
        </c:dLbls>
        <c:smooth val="0"/>
        <c:axId val="1717239216"/>
        <c:axId val="1717239544"/>
      </c:lineChart>
      <c:dateAx>
        <c:axId val="1717239216"/>
        <c:scaling>
          <c:orientation val="minMax"/>
          <c:max val="43972"/>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7239544"/>
        <c:crosses val="autoZero"/>
        <c:auto val="1"/>
        <c:lblOffset val="100"/>
        <c:baseTimeUnit val="days"/>
      </c:dateAx>
      <c:valAx>
        <c:axId val="1717239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72392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NFP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spPr>
            <a:ln w="28575" cap="rnd">
              <a:solidFill>
                <a:schemeClr val="accent3"/>
              </a:solidFill>
              <a:round/>
            </a:ln>
            <a:effectLst/>
          </c:spPr>
          <c:marker>
            <c:symbol val="none"/>
          </c:marker>
          <c:cat>
            <c:numRef>
              <c:f>NFP!$A$300:$A$1021</c:f>
              <c:numCache>
                <c:formatCode>yyyy\-mm\-dd</c:formatCode>
                <c:ptCount val="722"/>
                <c:pt idx="0">
                  <c:v>23012</c:v>
                </c:pt>
                <c:pt idx="1">
                  <c:v>23043</c:v>
                </c:pt>
                <c:pt idx="2">
                  <c:v>23071</c:v>
                </c:pt>
                <c:pt idx="3">
                  <c:v>23102</c:v>
                </c:pt>
                <c:pt idx="4">
                  <c:v>23132</c:v>
                </c:pt>
                <c:pt idx="5">
                  <c:v>23163</c:v>
                </c:pt>
                <c:pt idx="6">
                  <c:v>23193</c:v>
                </c:pt>
                <c:pt idx="7">
                  <c:v>23224</c:v>
                </c:pt>
                <c:pt idx="8">
                  <c:v>23255</c:v>
                </c:pt>
                <c:pt idx="9">
                  <c:v>23285</c:v>
                </c:pt>
                <c:pt idx="10">
                  <c:v>23316</c:v>
                </c:pt>
                <c:pt idx="11">
                  <c:v>23346</c:v>
                </c:pt>
                <c:pt idx="12">
                  <c:v>23377</c:v>
                </c:pt>
                <c:pt idx="13">
                  <c:v>23408</c:v>
                </c:pt>
                <c:pt idx="14">
                  <c:v>23437</c:v>
                </c:pt>
                <c:pt idx="15">
                  <c:v>23468</c:v>
                </c:pt>
                <c:pt idx="16">
                  <c:v>23498</c:v>
                </c:pt>
                <c:pt idx="17">
                  <c:v>23529</c:v>
                </c:pt>
                <c:pt idx="18">
                  <c:v>23559</c:v>
                </c:pt>
                <c:pt idx="19">
                  <c:v>23590</c:v>
                </c:pt>
                <c:pt idx="20">
                  <c:v>23621</c:v>
                </c:pt>
                <c:pt idx="21">
                  <c:v>23651</c:v>
                </c:pt>
                <c:pt idx="22">
                  <c:v>23682</c:v>
                </c:pt>
                <c:pt idx="23">
                  <c:v>23712</c:v>
                </c:pt>
                <c:pt idx="24">
                  <c:v>23743</c:v>
                </c:pt>
                <c:pt idx="25">
                  <c:v>23774</c:v>
                </c:pt>
                <c:pt idx="26">
                  <c:v>23802</c:v>
                </c:pt>
                <c:pt idx="27">
                  <c:v>23833</c:v>
                </c:pt>
                <c:pt idx="28">
                  <c:v>23863</c:v>
                </c:pt>
                <c:pt idx="29">
                  <c:v>23894</c:v>
                </c:pt>
                <c:pt idx="30">
                  <c:v>23924</c:v>
                </c:pt>
                <c:pt idx="31">
                  <c:v>23955</c:v>
                </c:pt>
                <c:pt idx="32">
                  <c:v>23986</c:v>
                </c:pt>
                <c:pt idx="33">
                  <c:v>24016</c:v>
                </c:pt>
                <c:pt idx="34">
                  <c:v>24047</c:v>
                </c:pt>
                <c:pt idx="35">
                  <c:v>24077</c:v>
                </c:pt>
                <c:pt idx="36">
                  <c:v>24108</c:v>
                </c:pt>
                <c:pt idx="37">
                  <c:v>24139</c:v>
                </c:pt>
                <c:pt idx="38">
                  <c:v>24167</c:v>
                </c:pt>
                <c:pt idx="39">
                  <c:v>24198</c:v>
                </c:pt>
                <c:pt idx="40">
                  <c:v>24228</c:v>
                </c:pt>
                <c:pt idx="41">
                  <c:v>24259</c:v>
                </c:pt>
                <c:pt idx="42">
                  <c:v>24289</c:v>
                </c:pt>
                <c:pt idx="43">
                  <c:v>24320</c:v>
                </c:pt>
                <c:pt idx="44">
                  <c:v>24351</c:v>
                </c:pt>
                <c:pt idx="45">
                  <c:v>24381</c:v>
                </c:pt>
                <c:pt idx="46">
                  <c:v>24412</c:v>
                </c:pt>
                <c:pt idx="47">
                  <c:v>24442</c:v>
                </c:pt>
                <c:pt idx="48">
                  <c:v>24473</c:v>
                </c:pt>
                <c:pt idx="49">
                  <c:v>24504</c:v>
                </c:pt>
                <c:pt idx="50">
                  <c:v>24532</c:v>
                </c:pt>
                <c:pt idx="51">
                  <c:v>24563</c:v>
                </c:pt>
                <c:pt idx="52">
                  <c:v>24593</c:v>
                </c:pt>
                <c:pt idx="53">
                  <c:v>24624</c:v>
                </c:pt>
                <c:pt idx="54">
                  <c:v>24654</c:v>
                </c:pt>
                <c:pt idx="55">
                  <c:v>24685</c:v>
                </c:pt>
                <c:pt idx="56">
                  <c:v>24716</c:v>
                </c:pt>
                <c:pt idx="57">
                  <c:v>24746</c:v>
                </c:pt>
                <c:pt idx="58">
                  <c:v>24777</c:v>
                </c:pt>
                <c:pt idx="59">
                  <c:v>24807</c:v>
                </c:pt>
                <c:pt idx="60">
                  <c:v>24838</c:v>
                </c:pt>
                <c:pt idx="61">
                  <c:v>24869</c:v>
                </c:pt>
                <c:pt idx="62">
                  <c:v>24898</c:v>
                </c:pt>
                <c:pt idx="63">
                  <c:v>24929</c:v>
                </c:pt>
                <c:pt idx="64">
                  <c:v>24959</c:v>
                </c:pt>
                <c:pt idx="65">
                  <c:v>24990</c:v>
                </c:pt>
                <c:pt idx="66">
                  <c:v>25020</c:v>
                </c:pt>
                <c:pt idx="67">
                  <c:v>25051</c:v>
                </c:pt>
                <c:pt idx="68">
                  <c:v>25082</c:v>
                </c:pt>
                <c:pt idx="69">
                  <c:v>25112</c:v>
                </c:pt>
                <c:pt idx="70">
                  <c:v>25143</c:v>
                </c:pt>
                <c:pt idx="71">
                  <c:v>25173</c:v>
                </c:pt>
                <c:pt idx="72">
                  <c:v>25204</c:v>
                </c:pt>
                <c:pt idx="73">
                  <c:v>25235</c:v>
                </c:pt>
                <c:pt idx="74">
                  <c:v>25263</c:v>
                </c:pt>
                <c:pt idx="75">
                  <c:v>25294</c:v>
                </c:pt>
                <c:pt idx="76">
                  <c:v>25324</c:v>
                </c:pt>
                <c:pt idx="77">
                  <c:v>25355</c:v>
                </c:pt>
                <c:pt idx="78">
                  <c:v>25385</c:v>
                </c:pt>
                <c:pt idx="79">
                  <c:v>25416</c:v>
                </c:pt>
                <c:pt idx="80">
                  <c:v>25447</c:v>
                </c:pt>
                <c:pt idx="81">
                  <c:v>25477</c:v>
                </c:pt>
                <c:pt idx="82">
                  <c:v>25508</c:v>
                </c:pt>
                <c:pt idx="83">
                  <c:v>25538</c:v>
                </c:pt>
                <c:pt idx="84">
                  <c:v>25569</c:v>
                </c:pt>
                <c:pt idx="85">
                  <c:v>25600</c:v>
                </c:pt>
                <c:pt idx="86">
                  <c:v>25628</c:v>
                </c:pt>
                <c:pt idx="87">
                  <c:v>25659</c:v>
                </c:pt>
                <c:pt idx="88">
                  <c:v>25689</c:v>
                </c:pt>
                <c:pt idx="89">
                  <c:v>25720</c:v>
                </c:pt>
                <c:pt idx="90">
                  <c:v>25750</c:v>
                </c:pt>
                <c:pt idx="91">
                  <c:v>25781</c:v>
                </c:pt>
                <c:pt idx="92">
                  <c:v>25812</c:v>
                </c:pt>
                <c:pt idx="93">
                  <c:v>25842</c:v>
                </c:pt>
                <c:pt idx="94">
                  <c:v>25873</c:v>
                </c:pt>
                <c:pt idx="95">
                  <c:v>25903</c:v>
                </c:pt>
                <c:pt idx="96">
                  <c:v>25934</c:v>
                </c:pt>
                <c:pt idx="97">
                  <c:v>25965</c:v>
                </c:pt>
                <c:pt idx="98">
                  <c:v>25993</c:v>
                </c:pt>
                <c:pt idx="99">
                  <c:v>26024</c:v>
                </c:pt>
                <c:pt idx="100">
                  <c:v>26054</c:v>
                </c:pt>
                <c:pt idx="101">
                  <c:v>26085</c:v>
                </c:pt>
                <c:pt idx="102">
                  <c:v>26115</c:v>
                </c:pt>
                <c:pt idx="103">
                  <c:v>26146</c:v>
                </c:pt>
                <c:pt idx="104">
                  <c:v>26177</c:v>
                </c:pt>
                <c:pt idx="105">
                  <c:v>26207</c:v>
                </c:pt>
                <c:pt idx="106">
                  <c:v>26238</c:v>
                </c:pt>
                <c:pt idx="107">
                  <c:v>26268</c:v>
                </c:pt>
                <c:pt idx="108">
                  <c:v>26299</c:v>
                </c:pt>
                <c:pt idx="109">
                  <c:v>26330</c:v>
                </c:pt>
                <c:pt idx="110">
                  <c:v>26359</c:v>
                </c:pt>
                <c:pt idx="111">
                  <c:v>26390</c:v>
                </c:pt>
                <c:pt idx="112">
                  <c:v>26420</c:v>
                </c:pt>
                <c:pt idx="113">
                  <c:v>26451</c:v>
                </c:pt>
                <c:pt idx="114">
                  <c:v>26481</c:v>
                </c:pt>
                <c:pt idx="115">
                  <c:v>26512</c:v>
                </c:pt>
                <c:pt idx="116">
                  <c:v>26543</c:v>
                </c:pt>
                <c:pt idx="117">
                  <c:v>26573</c:v>
                </c:pt>
                <c:pt idx="118">
                  <c:v>26604</c:v>
                </c:pt>
                <c:pt idx="119">
                  <c:v>26634</c:v>
                </c:pt>
                <c:pt idx="120">
                  <c:v>26665</c:v>
                </c:pt>
                <c:pt idx="121">
                  <c:v>26696</c:v>
                </c:pt>
                <c:pt idx="122">
                  <c:v>26724</c:v>
                </c:pt>
                <c:pt idx="123">
                  <c:v>26755</c:v>
                </c:pt>
                <c:pt idx="124">
                  <c:v>26785</c:v>
                </c:pt>
                <c:pt idx="125">
                  <c:v>26816</c:v>
                </c:pt>
                <c:pt idx="126">
                  <c:v>26846</c:v>
                </c:pt>
                <c:pt idx="127">
                  <c:v>26877</c:v>
                </c:pt>
                <c:pt idx="128">
                  <c:v>26908</c:v>
                </c:pt>
                <c:pt idx="129">
                  <c:v>26938</c:v>
                </c:pt>
                <c:pt idx="130">
                  <c:v>26969</c:v>
                </c:pt>
                <c:pt idx="131">
                  <c:v>26999</c:v>
                </c:pt>
                <c:pt idx="132">
                  <c:v>27030</c:v>
                </c:pt>
                <c:pt idx="133">
                  <c:v>27061</c:v>
                </c:pt>
                <c:pt idx="134">
                  <c:v>27089</c:v>
                </c:pt>
                <c:pt idx="135">
                  <c:v>27120</c:v>
                </c:pt>
                <c:pt idx="136">
                  <c:v>27150</c:v>
                </c:pt>
                <c:pt idx="137">
                  <c:v>27181</c:v>
                </c:pt>
                <c:pt idx="138">
                  <c:v>27211</c:v>
                </c:pt>
                <c:pt idx="139">
                  <c:v>27242</c:v>
                </c:pt>
                <c:pt idx="140">
                  <c:v>27273</c:v>
                </c:pt>
                <c:pt idx="141">
                  <c:v>27303</c:v>
                </c:pt>
                <c:pt idx="142">
                  <c:v>27334</c:v>
                </c:pt>
                <c:pt idx="143">
                  <c:v>27364</c:v>
                </c:pt>
                <c:pt idx="144">
                  <c:v>27395</c:v>
                </c:pt>
                <c:pt idx="145">
                  <c:v>27426</c:v>
                </c:pt>
                <c:pt idx="146">
                  <c:v>27454</c:v>
                </c:pt>
                <c:pt idx="147">
                  <c:v>27485</c:v>
                </c:pt>
                <c:pt idx="148">
                  <c:v>27515</c:v>
                </c:pt>
                <c:pt idx="149">
                  <c:v>27546</c:v>
                </c:pt>
                <c:pt idx="150">
                  <c:v>27576</c:v>
                </c:pt>
                <c:pt idx="151">
                  <c:v>27607</c:v>
                </c:pt>
                <c:pt idx="152">
                  <c:v>27638</c:v>
                </c:pt>
                <c:pt idx="153">
                  <c:v>27668</c:v>
                </c:pt>
                <c:pt idx="154">
                  <c:v>27699</c:v>
                </c:pt>
                <c:pt idx="155">
                  <c:v>27729</c:v>
                </c:pt>
                <c:pt idx="156">
                  <c:v>27760</c:v>
                </c:pt>
                <c:pt idx="157">
                  <c:v>27791</c:v>
                </c:pt>
                <c:pt idx="158">
                  <c:v>27820</c:v>
                </c:pt>
                <c:pt idx="159">
                  <c:v>27851</c:v>
                </c:pt>
                <c:pt idx="160">
                  <c:v>27881</c:v>
                </c:pt>
                <c:pt idx="161">
                  <c:v>27912</c:v>
                </c:pt>
                <c:pt idx="162">
                  <c:v>27942</c:v>
                </c:pt>
                <c:pt idx="163">
                  <c:v>27973</c:v>
                </c:pt>
                <c:pt idx="164">
                  <c:v>28004</c:v>
                </c:pt>
                <c:pt idx="165">
                  <c:v>28034</c:v>
                </c:pt>
                <c:pt idx="166">
                  <c:v>28065</c:v>
                </c:pt>
                <c:pt idx="167">
                  <c:v>28095</c:v>
                </c:pt>
                <c:pt idx="168">
                  <c:v>28126</c:v>
                </c:pt>
                <c:pt idx="169">
                  <c:v>28157</c:v>
                </c:pt>
                <c:pt idx="170">
                  <c:v>28185</c:v>
                </c:pt>
                <c:pt idx="171">
                  <c:v>28216</c:v>
                </c:pt>
                <c:pt idx="172">
                  <c:v>28246</c:v>
                </c:pt>
                <c:pt idx="173">
                  <c:v>28277</c:v>
                </c:pt>
                <c:pt idx="174">
                  <c:v>28307</c:v>
                </c:pt>
                <c:pt idx="175">
                  <c:v>28338</c:v>
                </c:pt>
                <c:pt idx="176">
                  <c:v>28369</c:v>
                </c:pt>
                <c:pt idx="177">
                  <c:v>28399</c:v>
                </c:pt>
                <c:pt idx="178">
                  <c:v>28430</c:v>
                </c:pt>
                <c:pt idx="179">
                  <c:v>28460</c:v>
                </c:pt>
                <c:pt idx="180">
                  <c:v>28491</c:v>
                </c:pt>
                <c:pt idx="181">
                  <c:v>28522</c:v>
                </c:pt>
                <c:pt idx="182">
                  <c:v>28550</c:v>
                </c:pt>
                <c:pt idx="183">
                  <c:v>28581</c:v>
                </c:pt>
                <c:pt idx="184">
                  <c:v>28611</c:v>
                </c:pt>
                <c:pt idx="185">
                  <c:v>28642</c:v>
                </c:pt>
                <c:pt idx="186">
                  <c:v>28672</c:v>
                </c:pt>
                <c:pt idx="187">
                  <c:v>28703</c:v>
                </c:pt>
                <c:pt idx="188">
                  <c:v>28734</c:v>
                </c:pt>
                <c:pt idx="189">
                  <c:v>28764</c:v>
                </c:pt>
                <c:pt idx="190">
                  <c:v>28795</c:v>
                </c:pt>
                <c:pt idx="191">
                  <c:v>28825</c:v>
                </c:pt>
                <c:pt idx="192">
                  <c:v>28856</c:v>
                </c:pt>
                <c:pt idx="193">
                  <c:v>28887</c:v>
                </c:pt>
                <c:pt idx="194">
                  <c:v>28915</c:v>
                </c:pt>
                <c:pt idx="195">
                  <c:v>28946</c:v>
                </c:pt>
                <c:pt idx="196">
                  <c:v>28976</c:v>
                </c:pt>
                <c:pt idx="197">
                  <c:v>29007</c:v>
                </c:pt>
                <c:pt idx="198">
                  <c:v>29037</c:v>
                </c:pt>
                <c:pt idx="199">
                  <c:v>29068</c:v>
                </c:pt>
                <c:pt idx="200">
                  <c:v>29099</c:v>
                </c:pt>
                <c:pt idx="201">
                  <c:v>29129</c:v>
                </c:pt>
                <c:pt idx="202">
                  <c:v>29160</c:v>
                </c:pt>
                <c:pt idx="203">
                  <c:v>29190</c:v>
                </c:pt>
                <c:pt idx="204">
                  <c:v>29221</c:v>
                </c:pt>
                <c:pt idx="205">
                  <c:v>29252</c:v>
                </c:pt>
                <c:pt idx="206">
                  <c:v>29281</c:v>
                </c:pt>
                <c:pt idx="207">
                  <c:v>29312</c:v>
                </c:pt>
                <c:pt idx="208">
                  <c:v>29342</c:v>
                </c:pt>
                <c:pt idx="209">
                  <c:v>29373</c:v>
                </c:pt>
                <c:pt idx="210">
                  <c:v>29403</c:v>
                </c:pt>
                <c:pt idx="211">
                  <c:v>29434</c:v>
                </c:pt>
                <c:pt idx="212">
                  <c:v>29465</c:v>
                </c:pt>
                <c:pt idx="213">
                  <c:v>29495</c:v>
                </c:pt>
                <c:pt idx="214">
                  <c:v>29526</c:v>
                </c:pt>
                <c:pt idx="215">
                  <c:v>29556</c:v>
                </c:pt>
                <c:pt idx="216">
                  <c:v>29587</c:v>
                </c:pt>
                <c:pt idx="217">
                  <c:v>29618</c:v>
                </c:pt>
                <c:pt idx="218">
                  <c:v>29646</c:v>
                </c:pt>
                <c:pt idx="219">
                  <c:v>29677</c:v>
                </c:pt>
                <c:pt idx="220">
                  <c:v>29707</c:v>
                </c:pt>
                <c:pt idx="221">
                  <c:v>29738</c:v>
                </c:pt>
                <c:pt idx="222">
                  <c:v>29768</c:v>
                </c:pt>
                <c:pt idx="223">
                  <c:v>29799</c:v>
                </c:pt>
                <c:pt idx="224">
                  <c:v>29830</c:v>
                </c:pt>
                <c:pt idx="225">
                  <c:v>29860</c:v>
                </c:pt>
                <c:pt idx="226">
                  <c:v>29891</c:v>
                </c:pt>
                <c:pt idx="227">
                  <c:v>29921</c:v>
                </c:pt>
                <c:pt idx="228">
                  <c:v>29952</c:v>
                </c:pt>
                <c:pt idx="229">
                  <c:v>29983</c:v>
                </c:pt>
                <c:pt idx="230">
                  <c:v>30011</c:v>
                </c:pt>
                <c:pt idx="231">
                  <c:v>30042</c:v>
                </c:pt>
                <c:pt idx="232">
                  <c:v>30072</c:v>
                </c:pt>
                <c:pt idx="233">
                  <c:v>30103</c:v>
                </c:pt>
                <c:pt idx="234">
                  <c:v>30133</c:v>
                </c:pt>
                <c:pt idx="235">
                  <c:v>30164</c:v>
                </c:pt>
                <c:pt idx="236">
                  <c:v>30195</c:v>
                </c:pt>
                <c:pt idx="237">
                  <c:v>30225</c:v>
                </c:pt>
                <c:pt idx="238">
                  <c:v>30256</c:v>
                </c:pt>
                <c:pt idx="239">
                  <c:v>30286</c:v>
                </c:pt>
                <c:pt idx="240">
                  <c:v>30317</c:v>
                </c:pt>
                <c:pt idx="241">
                  <c:v>30348</c:v>
                </c:pt>
                <c:pt idx="242">
                  <c:v>30376</c:v>
                </c:pt>
                <c:pt idx="243">
                  <c:v>30407</c:v>
                </c:pt>
                <c:pt idx="244">
                  <c:v>30437</c:v>
                </c:pt>
                <c:pt idx="245">
                  <c:v>30468</c:v>
                </c:pt>
                <c:pt idx="246">
                  <c:v>30498</c:v>
                </c:pt>
                <c:pt idx="247">
                  <c:v>30529</c:v>
                </c:pt>
                <c:pt idx="248">
                  <c:v>30560</c:v>
                </c:pt>
                <c:pt idx="249">
                  <c:v>30590</c:v>
                </c:pt>
                <c:pt idx="250">
                  <c:v>30621</c:v>
                </c:pt>
                <c:pt idx="251">
                  <c:v>30651</c:v>
                </c:pt>
                <c:pt idx="252">
                  <c:v>30682</c:v>
                </c:pt>
                <c:pt idx="253">
                  <c:v>30713</c:v>
                </c:pt>
                <c:pt idx="254">
                  <c:v>30742</c:v>
                </c:pt>
                <c:pt idx="255">
                  <c:v>30773</c:v>
                </c:pt>
                <c:pt idx="256">
                  <c:v>30803</c:v>
                </c:pt>
                <c:pt idx="257">
                  <c:v>30834</c:v>
                </c:pt>
                <c:pt idx="258">
                  <c:v>30864</c:v>
                </c:pt>
                <c:pt idx="259">
                  <c:v>30895</c:v>
                </c:pt>
                <c:pt idx="260">
                  <c:v>30926</c:v>
                </c:pt>
                <c:pt idx="261">
                  <c:v>30956</c:v>
                </c:pt>
                <c:pt idx="262">
                  <c:v>30987</c:v>
                </c:pt>
                <c:pt idx="263">
                  <c:v>31017</c:v>
                </c:pt>
                <c:pt idx="264">
                  <c:v>31048</c:v>
                </c:pt>
                <c:pt idx="265">
                  <c:v>31079</c:v>
                </c:pt>
                <c:pt idx="266">
                  <c:v>31107</c:v>
                </c:pt>
                <c:pt idx="267">
                  <c:v>31138</c:v>
                </c:pt>
                <c:pt idx="268">
                  <c:v>31168</c:v>
                </c:pt>
                <c:pt idx="269">
                  <c:v>31199</c:v>
                </c:pt>
                <c:pt idx="270">
                  <c:v>31229</c:v>
                </c:pt>
                <c:pt idx="271">
                  <c:v>31260</c:v>
                </c:pt>
                <c:pt idx="272">
                  <c:v>31291</c:v>
                </c:pt>
                <c:pt idx="273">
                  <c:v>31321</c:v>
                </c:pt>
                <c:pt idx="274">
                  <c:v>31352</c:v>
                </c:pt>
                <c:pt idx="275">
                  <c:v>31382</c:v>
                </c:pt>
                <c:pt idx="276">
                  <c:v>31413</c:v>
                </c:pt>
                <c:pt idx="277">
                  <c:v>31444</c:v>
                </c:pt>
                <c:pt idx="278">
                  <c:v>31472</c:v>
                </c:pt>
                <c:pt idx="279">
                  <c:v>31503</c:v>
                </c:pt>
                <c:pt idx="280">
                  <c:v>31533</c:v>
                </c:pt>
                <c:pt idx="281">
                  <c:v>31564</c:v>
                </c:pt>
                <c:pt idx="282">
                  <c:v>31594</c:v>
                </c:pt>
                <c:pt idx="283">
                  <c:v>31625</c:v>
                </c:pt>
                <c:pt idx="284">
                  <c:v>31656</c:v>
                </c:pt>
                <c:pt idx="285">
                  <c:v>31686</c:v>
                </c:pt>
                <c:pt idx="286">
                  <c:v>31717</c:v>
                </c:pt>
                <c:pt idx="287">
                  <c:v>31747</c:v>
                </c:pt>
                <c:pt idx="288">
                  <c:v>31778</c:v>
                </c:pt>
                <c:pt idx="289">
                  <c:v>31809</c:v>
                </c:pt>
                <c:pt idx="290">
                  <c:v>31837</c:v>
                </c:pt>
                <c:pt idx="291">
                  <c:v>31868</c:v>
                </c:pt>
                <c:pt idx="292">
                  <c:v>31898</c:v>
                </c:pt>
                <c:pt idx="293">
                  <c:v>31929</c:v>
                </c:pt>
                <c:pt idx="294">
                  <c:v>31959</c:v>
                </c:pt>
                <c:pt idx="295">
                  <c:v>31990</c:v>
                </c:pt>
                <c:pt idx="296">
                  <c:v>32021</c:v>
                </c:pt>
                <c:pt idx="297">
                  <c:v>32051</c:v>
                </c:pt>
                <c:pt idx="298">
                  <c:v>32082</c:v>
                </c:pt>
                <c:pt idx="299">
                  <c:v>32112</c:v>
                </c:pt>
                <c:pt idx="300">
                  <c:v>32143</c:v>
                </c:pt>
                <c:pt idx="301">
                  <c:v>32174</c:v>
                </c:pt>
                <c:pt idx="302">
                  <c:v>32203</c:v>
                </c:pt>
                <c:pt idx="303">
                  <c:v>32234</c:v>
                </c:pt>
                <c:pt idx="304">
                  <c:v>32264</c:v>
                </c:pt>
                <c:pt idx="305">
                  <c:v>32295</c:v>
                </c:pt>
                <c:pt idx="306">
                  <c:v>32325</c:v>
                </c:pt>
                <c:pt idx="307">
                  <c:v>32356</c:v>
                </c:pt>
                <c:pt idx="308">
                  <c:v>32387</c:v>
                </c:pt>
                <c:pt idx="309">
                  <c:v>32417</c:v>
                </c:pt>
                <c:pt idx="310">
                  <c:v>32448</c:v>
                </c:pt>
                <c:pt idx="311">
                  <c:v>32478</c:v>
                </c:pt>
                <c:pt idx="312">
                  <c:v>32509</c:v>
                </c:pt>
                <c:pt idx="313">
                  <c:v>32540</c:v>
                </c:pt>
                <c:pt idx="314">
                  <c:v>32568</c:v>
                </c:pt>
                <c:pt idx="315">
                  <c:v>32599</c:v>
                </c:pt>
                <c:pt idx="316">
                  <c:v>32629</c:v>
                </c:pt>
                <c:pt idx="317">
                  <c:v>32660</c:v>
                </c:pt>
                <c:pt idx="318">
                  <c:v>32690</c:v>
                </c:pt>
                <c:pt idx="319">
                  <c:v>32721</c:v>
                </c:pt>
                <c:pt idx="320">
                  <c:v>32752</c:v>
                </c:pt>
                <c:pt idx="321">
                  <c:v>32782</c:v>
                </c:pt>
                <c:pt idx="322">
                  <c:v>32813</c:v>
                </c:pt>
                <c:pt idx="323">
                  <c:v>32843</c:v>
                </c:pt>
                <c:pt idx="324">
                  <c:v>32874</c:v>
                </c:pt>
                <c:pt idx="325">
                  <c:v>32905</c:v>
                </c:pt>
                <c:pt idx="326">
                  <c:v>32933</c:v>
                </c:pt>
                <c:pt idx="327">
                  <c:v>32964</c:v>
                </c:pt>
                <c:pt idx="328">
                  <c:v>32994</c:v>
                </c:pt>
                <c:pt idx="329">
                  <c:v>33025</c:v>
                </c:pt>
                <c:pt idx="330">
                  <c:v>33055</c:v>
                </c:pt>
                <c:pt idx="331">
                  <c:v>33086</c:v>
                </c:pt>
                <c:pt idx="332">
                  <c:v>33117</c:v>
                </c:pt>
                <c:pt idx="333">
                  <c:v>33147</c:v>
                </c:pt>
                <c:pt idx="334">
                  <c:v>33178</c:v>
                </c:pt>
                <c:pt idx="335">
                  <c:v>33208</c:v>
                </c:pt>
                <c:pt idx="336">
                  <c:v>33239</c:v>
                </c:pt>
                <c:pt idx="337">
                  <c:v>33270</c:v>
                </c:pt>
                <c:pt idx="338">
                  <c:v>33298</c:v>
                </c:pt>
                <c:pt idx="339">
                  <c:v>33329</c:v>
                </c:pt>
                <c:pt idx="340">
                  <c:v>33359</c:v>
                </c:pt>
                <c:pt idx="341">
                  <c:v>33390</c:v>
                </c:pt>
                <c:pt idx="342">
                  <c:v>33420</c:v>
                </c:pt>
                <c:pt idx="343">
                  <c:v>33451</c:v>
                </c:pt>
                <c:pt idx="344">
                  <c:v>33482</c:v>
                </c:pt>
                <c:pt idx="345">
                  <c:v>33512</c:v>
                </c:pt>
                <c:pt idx="346">
                  <c:v>33543</c:v>
                </c:pt>
                <c:pt idx="347">
                  <c:v>33573</c:v>
                </c:pt>
                <c:pt idx="348">
                  <c:v>33604</c:v>
                </c:pt>
                <c:pt idx="349">
                  <c:v>33635</c:v>
                </c:pt>
                <c:pt idx="350">
                  <c:v>33664</c:v>
                </c:pt>
                <c:pt idx="351">
                  <c:v>33695</c:v>
                </c:pt>
                <c:pt idx="352">
                  <c:v>33725</c:v>
                </c:pt>
                <c:pt idx="353">
                  <c:v>33756</c:v>
                </c:pt>
                <c:pt idx="354">
                  <c:v>33786</c:v>
                </c:pt>
                <c:pt idx="355">
                  <c:v>33817</c:v>
                </c:pt>
                <c:pt idx="356">
                  <c:v>33848</c:v>
                </c:pt>
                <c:pt idx="357">
                  <c:v>33878</c:v>
                </c:pt>
                <c:pt idx="358">
                  <c:v>33909</c:v>
                </c:pt>
                <c:pt idx="359">
                  <c:v>33939</c:v>
                </c:pt>
                <c:pt idx="360">
                  <c:v>33970</c:v>
                </c:pt>
                <c:pt idx="361">
                  <c:v>34001</c:v>
                </c:pt>
                <c:pt idx="362">
                  <c:v>34029</c:v>
                </c:pt>
                <c:pt idx="363">
                  <c:v>34060</c:v>
                </c:pt>
                <c:pt idx="364">
                  <c:v>34090</c:v>
                </c:pt>
                <c:pt idx="365">
                  <c:v>34121</c:v>
                </c:pt>
                <c:pt idx="366">
                  <c:v>34151</c:v>
                </c:pt>
                <c:pt idx="367">
                  <c:v>34182</c:v>
                </c:pt>
                <c:pt idx="368">
                  <c:v>34213</c:v>
                </c:pt>
                <c:pt idx="369">
                  <c:v>34243</c:v>
                </c:pt>
                <c:pt idx="370">
                  <c:v>34274</c:v>
                </c:pt>
                <c:pt idx="371">
                  <c:v>34304</c:v>
                </c:pt>
                <c:pt idx="372">
                  <c:v>34335</c:v>
                </c:pt>
                <c:pt idx="373">
                  <c:v>34366</c:v>
                </c:pt>
                <c:pt idx="374">
                  <c:v>34394</c:v>
                </c:pt>
                <c:pt idx="375">
                  <c:v>34425</c:v>
                </c:pt>
                <c:pt idx="376">
                  <c:v>34455</c:v>
                </c:pt>
                <c:pt idx="377">
                  <c:v>34486</c:v>
                </c:pt>
                <c:pt idx="378">
                  <c:v>34516</c:v>
                </c:pt>
                <c:pt idx="379">
                  <c:v>34547</c:v>
                </c:pt>
                <c:pt idx="380">
                  <c:v>34578</c:v>
                </c:pt>
                <c:pt idx="381">
                  <c:v>34608</c:v>
                </c:pt>
                <c:pt idx="382">
                  <c:v>34639</c:v>
                </c:pt>
                <c:pt idx="383">
                  <c:v>34669</c:v>
                </c:pt>
                <c:pt idx="384">
                  <c:v>34700</c:v>
                </c:pt>
                <c:pt idx="385">
                  <c:v>34731</c:v>
                </c:pt>
                <c:pt idx="386">
                  <c:v>34759</c:v>
                </c:pt>
                <c:pt idx="387">
                  <c:v>34790</c:v>
                </c:pt>
                <c:pt idx="388">
                  <c:v>34820</c:v>
                </c:pt>
                <c:pt idx="389">
                  <c:v>34851</c:v>
                </c:pt>
                <c:pt idx="390">
                  <c:v>34881</c:v>
                </c:pt>
                <c:pt idx="391">
                  <c:v>34912</c:v>
                </c:pt>
                <c:pt idx="392">
                  <c:v>34943</c:v>
                </c:pt>
                <c:pt idx="393">
                  <c:v>34973</c:v>
                </c:pt>
                <c:pt idx="394">
                  <c:v>35004</c:v>
                </c:pt>
                <c:pt idx="395">
                  <c:v>35034</c:v>
                </c:pt>
                <c:pt idx="396">
                  <c:v>35065</c:v>
                </c:pt>
                <c:pt idx="397">
                  <c:v>35096</c:v>
                </c:pt>
                <c:pt idx="398">
                  <c:v>35125</c:v>
                </c:pt>
                <c:pt idx="399">
                  <c:v>35156</c:v>
                </c:pt>
                <c:pt idx="400">
                  <c:v>35186</c:v>
                </c:pt>
                <c:pt idx="401">
                  <c:v>35217</c:v>
                </c:pt>
                <c:pt idx="402">
                  <c:v>35247</c:v>
                </c:pt>
                <c:pt idx="403">
                  <c:v>35278</c:v>
                </c:pt>
                <c:pt idx="404">
                  <c:v>35309</c:v>
                </c:pt>
                <c:pt idx="405">
                  <c:v>35339</c:v>
                </c:pt>
                <c:pt idx="406">
                  <c:v>35370</c:v>
                </c:pt>
                <c:pt idx="407">
                  <c:v>35400</c:v>
                </c:pt>
                <c:pt idx="408">
                  <c:v>35431</c:v>
                </c:pt>
                <c:pt idx="409">
                  <c:v>35462</c:v>
                </c:pt>
                <c:pt idx="410">
                  <c:v>35490</c:v>
                </c:pt>
                <c:pt idx="411">
                  <c:v>35521</c:v>
                </c:pt>
                <c:pt idx="412">
                  <c:v>35551</c:v>
                </c:pt>
                <c:pt idx="413">
                  <c:v>35582</c:v>
                </c:pt>
                <c:pt idx="414">
                  <c:v>35612</c:v>
                </c:pt>
                <c:pt idx="415">
                  <c:v>35643</c:v>
                </c:pt>
                <c:pt idx="416">
                  <c:v>35674</c:v>
                </c:pt>
                <c:pt idx="417">
                  <c:v>35704</c:v>
                </c:pt>
                <c:pt idx="418">
                  <c:v>35735</c:v>
                </c:pt>
                <c:pt idx="419">
                  <c:v>35765</c:v>
                </c:pt>
                <c:pt idx="420">
                  <c:v>35796</c:v>
                </c:pt>
                <c:pt idx="421">
                  <c:v>35827</c:v>
                </c:pt>
                <c:pt idx="422">
                  <c:v>35855</c:v>
                </c:pt>
                <c:pt idx="423">
                  <c:v>35886</c:v>
                </c:pt>
                <c:pt idx="424">
                  <c:v>35916</c:v>
                </c:pt>
                <c:pt idx="425">
                  <c:v>35947</c:v>
                </c:pt>
                <c:pt idx="426">
                  <c:v>35977</c:v>
                </c:pt>
                <c:pt idx="427">
                  <c:v>36008</c:v>
                </c:pt>
                <c:pt idx="428">
                  <c:v>36039</c:v>
                </c:pt>
                <c:pt idx="429">
                  <c:v>36069</c:v>
                </c:pt>
                <c:pt idx="430">
                  <c:v>36100</c:v>
                </c:pt>
                <c:pt idx="431">
                  <c:v>36130</c:v>
                </c:pt>
                <c:pt idx="432">
                  <c:v>36161</c:v>
                </c:pt>
                <c:pt idx="433">
                  <c:v>36192</c:v>
                </c:pt>
                <c:pt idx="434">
                  <c:v>36220</c:v>
                </c:pt>
                <c:pt idx="435">
                  <c:v>36251</c:v>
                </c:pt>
                <c:pt idx="436">
                  <c:v>36281</c:v>
                </c:pt>
                <c:pt idx="437">
                  <c:v>36312</c:v>
                </c:pt>
                <c:pt idx="438">
                  <c:v>36342</c:v>
                </c:pt>
                <c:pt idx="439">
                  <c:v>36373</c:v>
                </c:pt>
                <c:pt idx="440">
                  <c:v>36404</c:v>
                </c:pt>
                <c:pt idx="441">
                  <c:v>36434</c:v>
                </c:pt>
                <c:pt idx="442">
                  <c:v>36465</c:v>
                </c:pt>
                <c:pt idx="443">
                  <c:v>36495</c:v>
                </c:pt>
                <c:pt idx="444">
                  <c:v>36526</c:v>
                </c:pt>
                <c:pt idx="445">
                  <c:v>36557</c:v>
                </c:pt>
                <c:pt idx="446">
                  <c:v>36586</c:v>
                </c:pt>
                <c:pt idx="447">
                  <c:v>36617</c:v>
                </c:pt>
                <c:pt idx="448">
                  <c:v>36647</c:v>
                </c:pt>
                <c:pt idx="449">
                  <c:v>36678</c:v>
                </c:pt>
                <c:pt idx="450">
                  <c:v>36708</c:v>
                </c:pt>
                <c:pt idx="451">
                  <c:v>36739</c:v>
                </c:pt>
                <c:pt idx="452">
                  <c:v>36770</c:v>
                </c:pt>
                <c:pt idx="453">
                  <c:v>36800</c:v>
                </c:pt>
                <c:pt idx="454">
                  <c:v>36831</c:v>
                </c:pt>
                <c:pt idx="455">
                  <c:v>36861</c:v>
                </c:pt>
                <c:pt idx="456">
                  <c:v>36892</c:v>
                </c:pt>
                <c:pt idx="457">
                  <c:v>36923</c:v>
                </c:pt>
                <c:pt idx="458">
                  <c:v>36951</c:v>
                </c:pt>
                <c:pt idx="459">
                  <c:v>36982</c:v>
                </c:pt>
                <c:pt idx="460">
                  <c:v>37012</c:v>
                </c:pt>
                <c:pt idx="461">
                  <c:v>37043</c:v>
                </c:pt>
                <c:pt idx="462">
                  <c:v>37073</c:v>
                </c:pt>
                <c:pt idx="463">
                  <c:v>37104</c:v>
                </c:pt>
                <c:pt idx="464">
                  <c:v>37135</c:v>
                </c:pt>
                <c:pt idx="465">
                  <c:v>37165</c:v>
                </c:pt>
                <c:pt idx="466">
                  <c:v>37196</c:v>
                </c:pt>
                <c:pt idx="467">
                  <c:v>37226</c:v>
                </c:pt>
                <c:pt idx="468">
                  <c:v>37257</c:v>
                </c:pt>
                <c:pt idx="469">
                  <c:v>37288</c:v>
                </c:pt>
                <c:pt idx="470">
                  <c:v>37316</c:v>
                </c:pt>
                <c:pt idx="471">
                  <c:v>37347</c:v>
                </c:pt>
                <c:pt idx="472">
                  <c:v>37377</c:v>
                </c:pt>
                <c:pt idx="473">
                  <c:v>37408</c:v>
                </c:pt>
                <c:pt idx="474">
                  <c:v>37438</c:v>
                </c:pt>
                <c:pt idx="475">
                  <c:v>37469</c:v>
                </c:pt>
                <c:pt idx="476">
                  <c:v>37500</c:v>
                </c:pt>
                <c:pt idx="477">
                  <c:v>37530</c:v>
                </c:pt>
                <c:pt idx="478">
                  <c:v>37561</c:v>
                </c:pt>
                <c:pt idx="479">
                  <c:v>37591</c:v>
                </c:pt>
                <c:pt idx="480">
                  <c:v>37622</c:v>
                </c:pt>
                <c:pt idx="481">
                  <c:v>37653</c:v>
                </c:pt>
                <c:pt idx="482">
                  <c:v>37681</c:v>
                </c:pt>
                <c:pt idx="483">
                  <c:v>37712</c:v>
                </c:pt>
                <c:pt idx="484">
                  <c:v>37742</c:v>
                </c:pt>
                <c:pt idx="485">
                  <c:v>37773</c:v>
                </c:pt>
                <c:pt idx="486">
                  <c:v>37803</c:v>
                </c:pt>
                <c:pt idx="487">
                  <c:v>37834</c:v>
                </c:pt>
                <c:pt idx="488">
                  <c:v>37865</c:v>
                </c:pt>
                <c:pt idx="489">
                  <c:v>37895</c:v>
                </c:pt>
                <c:pt idx="490">
                  <c:v>37926</c:v>
                </c:pt>
                <c:pt idx="491">
                  <c:v>37956</c:v>
                </c:pt>
                <c:pt idx="492">
                  <c:v>37987</c:v>
                </c:pt>
                <c:pt idx="493">
                  <c:v>38018</c:v>
                </c:pt>
                <c:pt idx="494">
                  <c:v>38047</c:v>
                </c:pt>
                <c:pt idx="495">
                  <c:v>38078</c:v>
                </c:pt>
                <c:pt idx="496">
                  <c:v>38108</c:v>
                </c:pt>
                <c:pt idx="497">
                  <c:v>38139</c:v>
                </c:pt>
                <c:pt idx="498">
                  <c:v>38169</c:v>
                </c:pt>
                <c:pt idx="499">
                  <c:v>38200</c:v>
                </c:pt>
                <c:pt idx="500">
                  <c:v>38231</c:v>
                </c:pt>
                <c:pt idx="501">
                  <c:v>38261</c:v>
                </c:pt>
                <c:pt idx="502">
                  <c:v>38292</c:v>
                </c:pt>
                <c:pt idx="503">
                  <c:v>38322</c:v>
                </c:pt>
                <c:pt idx="504">
                  <c:v>38353</c:v>
                </c:pt>
                <c:pt idx="505">
                  <c:v>38384</c:v>
                </c:pt>
                <c:pt idx="506">
                  <c:v>38412</c:v>
                </c:pt>
                <c:pt idx="507">
                  <c:v>38443</c:v>
                </c:pt>
                <c:pt idx="508">
                  <c:v>38473</c:v>
                </c:pt>
                <c:pt idx="509">
                  <c:v>38504</c:v>
                </c:pt>
                <c:pt idx="510">
                  <c:v>38534</c:v>
                </c:pt>
                <c:pt idx="511">
                  <c:v>38565</c:v>
                </c:pt>
                <c:pt idx="512">
                  <c:v>38596</c:v>
                </c:pt>
                <c:pt idx="513">
                  <c:v>38626</c:v>
                </c:pt>
                <c:pt idx="514">
                  <c:v>38657</c:v>
                </c:pt>
                <c:pt idx="515">
                  <c:v>38687</c:v>
                </c:pt>
                <c:pt idx="516">
                  <c:v>38718</c:v>
                </c:pt>
                <c:pt idx="517">
                  <c:v>38749</c:v>
                </c:pt>
                <c:pt idx="518">
                  <c:v>38777</c:v>
                </c:pt>
                <c:pt idx="519">
                  <c:v>38808</c:v>
                </c:pt>
                <c:pt idx="520">
                  <c:v>38838</c:v>
                </c:pt>
                <c:pt idx="521">
                  <c:v>38869</c:v>
                </c:pt>
                <c:pt idx="522">
                  <c:v>38899</c:v>
                </c:pt>
                <c:pt idx="523">
                  <c:v>38930</c:v>
                </c:pt>
                <c:pt idx="524">
                  <c:v>38961</c:v>
                </c:pt>
                <c:pt idx="525">
                  <c:v>38991</c:v>
                </c:pt>
                <c:pt idx="526">
                  <c:v>39022</c:v>
                </c:pt>
                <c:pt idx="527">
                  <c:v>39052</c:v>
                </c:pt>
                <c:pt idx="528">
                  <c:v>39083</c:v>
                </c:pt>
                <c:pt idx="529">
                  <c:v>39114</c:v>
                </c:pt>
                <c:pt idx="530">
                  <c:v>39142</c:v>
                </c:pt>
                <c:pt idx="531">
                  <c:v>39173</c:v>
                </c:pt>
                <c:pt idx="532">
                  <c:v>39203</c:v>
                </c:pt>
                <c:pt idx="533">
                  <c:v>39234</c:v>
                </c:pt>
                <c:pt idx="534">
                  <c:v>39264</c:v>
                </c:pt>
                <c:pt idx="535">
                  <c:v>39295</c:v>
                </c:pt>
                <c:pt idx="536">
                  <c:v>39326</c:v>
                </c:pt>
                <c:pt idx="537">
                  <c:v>39356</c:v>
                </c:pt>
                <c:pt idx="538">
                  <c:v>39387</c:v>
                </c:pt>
                <c:pt idx="539">
                  <c:v>39417</c:v>
                </c:pt>
                <c:pt idx="540">
                  <c:v>39448</c:v>
                </c:pt>
                <c:pt idx="541">
                  <c:v>39479</c:v>
                </c:pt>
                <c:pt idx="542">
                  <c:v>39508</c:v>
                </c:pt>
                <c:pt idx="543">
                  <c:v>39539</c:v>
                </c:pt>
                <c:pt idx="544">
                  <c:v>39569</c:v>
                </c:pt>
                <c:pt idx="545">
                  <c:v>39600</c:v>
                </c:pt>
                <c:pt idx="546">
                  <c:v>39630</c:v>
                </c:pt>
                <c:pt idx="547">
                  <c:v>39661</c:v>
                </c:pt>
                <c:pt idx="548">
                  <c:v>39692</c:v>
                </c:pt>
                <c:pt idx="549">
                  <c:v>39722</c:v>
                </c:pt>
                <c:pt idx="550">
                  <c:v>39753</c:v>
                </c:pt>
                <c:pt idx="551">
                  <c:v>39783</c:v>
                </c:pt>
                <c:pt idx="552">
                  <c:v>39814</c:v>
                </c:pt>
                <c:pt idx="553">
                  <c:v>39845</c:v>
                </c:pt>
                <c:pt idx="554">
                  <c:v>39873</c:v>
                </c:pt>
                <c:pt idx="555">
                  <c:v>39904</c:v>
                </c:pt>
                <c:pt idx="556">
                  <c:v>39934</c:v>
                </c:pt>
                <c:pt idx="557">
                  <c:v>39965</c:v>
                </c:pt>
                <c:pt idx="558">
                  <c:v>39995</c:v>
                </c:pt>
                <c:pt idx="559">
                  <c:v>40026</c:v>
                </c:pt>
                <c:pt idx="560">
                  <c:v>40057</c:v>
                </c:pt>
                <c:pt idx="561">
                  <c:v>40087</c:v>
                </c:pt>
                <c:pt idx="562">
                  <c:v>40118</c:v>
                </c:pt>
                <c:pt idx="563">
                  <c:v>40148</c:v>
                </c:pt>
                <c:pt idx="564">
                  <c:v>40179</c:v>
                </c:pt>
                <c:pt idx="565">
                  <c:v>40210</c:v>
                </c:pt>
                <c:pt idx="566">
                  <c:v>40238</c:v>
                </c:pt>
                <c:pt idx="567">
                  <c:v>40269</c:v>
                </c:pt>
                <c:pt idx="568">
                  <c:v>40299</c:v>
                </c:pt>
                <c:pt idx="569">
                  <c:v>40330</c:v>
                </c:pt>
                <c:pt idx="570">
                  <c:v>40360</c:v>
                </c:pt>
                <c:pt idx="571">
                  <c:v>40391</c:v>
                </c:pt>
                <c:pt idx="572">
                  <c:v>40422</c:v>
                </c:pt>
                <c:pt idx="573">
                  <c:v>40452</c:v>
                </c:pt>
                <c:pt idx="574">
                  <c:v>40483</c:v>
                </c:pt>
                <c:pt idx="575">
                  <c:v>40513</c:v>
                </c:pt>
                <c:pt idx="576">
                  <c:v>40544</c:v>
                </c:pt>
                <c:pt idx="577">
                  <c:v>40575</c:v>
                </c:pt>
                <c:pt idx="578">
                  <c:v>40603</c:v>
                </c:pt>
                <c:pt idx="579">
                  <c:v>40634</c:v>
                </c:pt>
                <c:pt idx="580">
                  <c:v>40664</c:v>
                </c:pt>
                <c:pt idx="581">
                  <c:v>40695</c:v>
                </c:pt>
                <c:pt idx="582">
                  <c:v>40725</c:v>
                </c:pt>
                <c:pt idx="583">
                  <c:v>40756</c:v>
                </c:pt>
                <c:pt idx="584">
                  <c:v>40787</c:v>
                </c:pt>
                <c:pt idx="585">
                  <c:v>40817</c:v>
                </c:pt>
                <c:pt idx="586">
                  <c:v>40848</c:v>
                </c:pt>
                <c:pt idx="587">
                  <c:v>40878</c:v>
                </c:pt>
                <c:pt idx="588">
                  <c:v>40909</c:v>
                </c:pt>
                <c:pt idx="589">
                  <c:v>40940</c:v>
                </c:pt>
                <c:pt idx="590">
                  <c:v>40969</c:v>
                </c:pt>
                <c:pt idx="591">
                  <c:v>41000</c:v>
                </c:pt>
                <c:pt idx="592">
                  <c:v>41030</c:v>
                </c:pt>
                <c:pt idx="593">
                  <c:v>41061</c:v>
                </c:pt>
                <c:pt idx="594">
                  <c:v>41091</c:v>
                </c:pt>
                <c:pt idx="595">
                  <c:v>41122</c:v>
                </c:pt>
                <c:pt idx="596">
                  <c:v>41153</c:v>
                </c:pt>
                <c:pt idx="597">
                  <c:v>41183</c:v>
                </c:pt>
                <c:pt idx="598">
                  <c:v>41214</c:v>
                </c:pt>
                <c:pt idx="599">
                  <c:v>41244</c:v>
                </c:pt>
                <c:pt idx="600">
                  <c:v>41275</c:v>
                </c:pt>
                <c:pt idx="601">
                  <c:v>41306</c:v>
                </c:pt>
                <c:pt idx="602">
                  <c:v>41334</c:v>
                </c:pt>
                <c:pt idx="603">
                  <c:v>41365</c:v>
                </c:pt>
                <c:pt idx="604">
                  <c:v>41395</c:v>
                </c:pt>
                <c:pt idx="605">
                  <c:v>41426</c:v>
                </c:pt>
                <c:pt idx="606">
                  <c:v>41456</c:v>
                </c:pt>
                <c:pt idx="607">
                  <c:v>41487</c:v>
                </c:pt>
                <c:pt idx="608">
                  <c:v>41518</c:v>
                </c:pt>
                <c:pt idx="609">
                  <c:v>41548</c:v>
                </c:pt>
                <c:pt idx="610">
                  <c:v>41579</c:v>
                </c:pt>
                <c:pt idx="611">
                  <c:v>41609</c:v>
                </c:pt>
                <c:pt idx="612">
                  <c:v>41640</c:v>
                </c:pt>
                <c:pt idx="613">
                  <c:v>41671</c:v>
                </c:pt>
                <c:pt idx="614">
                  <c:v>41699</c:v>
                </c:pt>
                <c:pt idx="615">
                  <c:v>41730</c:v>
                </c:pt>
                <c:pt idx="616">
                  <c:v>41760</c:v>
                </c:pt>
                <c:pt idx="617">
                  <c:v>41791</c:v>
                </c:pt>
                <c:pt idx="618">
                  <c:v>41821</c:v>
                </c:pt>
                <c:pt idx="619">
                  <c:v>41852</c:v>
                </c:pt>
                <c:pt idx="620">
                  <c:v>41883</c:v>
                </c:pt>
                <c:pt idx="621">
                  <c:v>41913</c:v>
                </c:pt>
                <c:pt idx="622">
                  <c:v>41944</c:v>
                </c:pt>
                <c:pt idx="623">
                  <c:v>41974</c:v>
                </c:pt>
                <c:pt idx="624">
                  <c:v>42005</c:v>
                </c:pt>
                <c:pt idx="625">
                  <c:v>42036</c:v>
                </c:pt>
                <c:pt idx="626">
                  <c:v>42064</c:v>
                </c:pt>
                <c:pt idx="627">
                  <c:v>42095</c:v>
                </c:pt>
                <c:pt idx="628">
                  <c:v>42125</c:v>
                </c:pt>
                <c:pt idx="629">
                  <c:v>42156</c:v>
                </c:pt>
                <c:pt idx="630">
                  <c:v>42186</c:v>
                </c:pt>
                <c:pt idx="631">
                  <c:v>42217</c:v>
                </c:pt>
                <c:pt idx="632">
                  <c:v>42248</c:v>
                </c:pt>
                <c:pt idx="633">
                  <c:v>42278</c:v>
                </c:pt>
                <c:pt idx="634">
                  <c:v>42309</c:v>
                </c:pt>
                <c:pt idx="635">
                  <c:v>42339</c:v>
                </c:pt>
                <c:pt idx="636">
                  <c:v>42370</c:v>
                </c:pt>
                <c:pt idx="637">
                  <c:v>42401</c:v>
                </c:pt>
                <c:pt idx="638">
                  <c:v>42430</c:v>
                </c:pt>
                <c:pt idx="639">
                  <c:v>42461</c:v>
                </c:pt>
                <c:pt idx="640">
                  <c:v>42491</c:v>
                </c:pt>
                <c:pt idx="641">
                  <c:v>42522</c:v>
                </c:pt>
                <c:pt idx="642">
                  <c:v>42552</c:v>
                </c:pt>
                <c:pt idx="643">
                  <c:v>42583</c:v>
                </c:pt>
                <c:pt idx="644">
                  <c:v>42614</c:v>
                </c:pt>
                <c:pt idx="645">
                  <c:v>42644</c:v>
                </c:pt>
                <c:pt idx="646">
                  <c:v>42675</c:v>
                </c:pt>
                <c:pt idx="647">
                  <c:v>42705</c:v>
                </c:pt>
                <c:pt idx="648">
                  <c:v>42736</c:v>
                </c:pt>
                <c:pt idx="649">
                  <c:v>42767</c:v>
                </c:pt>
                <c:pt idx="650">
                  <c:v>42795</c:v>
                </c:pt>
                <c:pt idx="651">
                  <c:v>42826</c:v>
                </c:pt>
                <c:pt idx="652">
                  <c:v>42856</c:v>
                </c:pt>
                <c:pt idx="653">
                  <c:v>42887</c:v>
                </c:pt>
                <c:pt idx="654">
                  <c:v>42917</c:v>
                </c:pt>
                <c:pt idx="655">
                  <c:v>42948</c:v>
                </c:pt>
                <c:pt idx="656">
                  <c:v>42979</c:v>
                </c:pt>
                <c:pt idx="657">
                  <c:v>43009</c:v>
                </c:pt>
                <c:pt idx="658">
                  <c:v>43040</c:v>
                </c:pt>
                <c:pt idx="659">
                  <c:v>43070</c:v>
                </c:pt>
                <c:pt idx="660">
                  <c:v>43101</c:v>
                </c:pt>
                <c:pt idx="661">
                  <c:v>43132</c:v>
                </c:pt>
                <c:pt idx="662">
                  <c:v>43160</c:v>
                </c:pt>
                <c:pt idx="663">
                  <c:v>43191</c:v>
                </c:pt>
                <c:pt idx="664">
                  <c:v>43221</c:v>
                </c:pt>
                <c:pt idx="665">
                  <c:v>43252</c:v>
                </c:pt>
                <c:pt idx="666">
                  <c:v>43282</c:v>
                </c:pt>
                <c:pt idx="667">
                  <c:v>43313</c:v>
                </c:pt>
                <c:pt idx="668">
                  <c:v>43344</c:v>
                </c:pt>
                <c:pt idx="669">
                  <c:v>43374</c:v>
                </c:pt>
                <c:pt idx="670">
                  <c:v>43405</c:v>
                </c:pt>
                <c:pt idx="671">
                  <c:v>43435</c:v>
                </c:pt>
                <c:pt idx="672">
                  <c:v>43466</c:v>
                </c:pt>
                <c:pt idx="673">
                  <c:v>43497</c:v>
                </c:pt>
                <c:pt idx="674">
                  <c:v>43525</c:v>
                </c:pt>
                <c:pt idx="675">
                  <c:v>43556</c:v>
                </c:pt>
                <c:pt idx="676">
                  <c:v>43586</c:v>
                </c:pt>
                <c:pt idx="677">
                  <c:v>43617</c:v>
                </c:pt>
                <c:pt idx="678">
                  <c:v>43647</c:v>
                </c:pt>
                <c:pt idx="679">
                  <c:v>43678</c:v>
                </c:pt>
                <c:pt idx="680">
                  <c:v>43709</c:v>
                </c:pt>
                <c:pt idx="681">
                  <c:v>43739</c:v>
                </c:pt>
                <c:pt idx="682">
                  <c:v>43770</c:v>
                </c:pt>
                <c:pt idx="683">
                  <c:v>43800</c:v>
                </c:pt>
                <c:pt idx="684">
                  <c:v>43831</c:v>
                </c:pt>
                <c:pt idx="685">
                  <c:v>43862</c:v>
                </c:pt>
                <c:pt idx="686">
                  <c:v>43891</c:v>
                </c:pt>
                <c:pt idx="687">
                  <c:v>43922</c:v>
                </c:pt>
                <c:pt idx="688">
                  <c:v>43952</c:v>
                </c:pt>
                <c:pt idx="689">
                  <c:v>43983</c:v>
                </c:pt>
                <c:pt idx="690">
                  <c:v>44013</c:v>
                </c:pt>
                <c:pt idx="691">
                  <c:v>44044</c:v>
                </c:pt>
                <c:pt idx="692">
                  <c:v>44075</c:v>
                </c:pt>
                <c:pt idx="693">
                  <c:v>44105</c:v>
                </c:pt>
                <c:pt idx="694">
                  <c:v>44136</c:v>
                </c:pt>
                <c:pt idx="695">
                  <c:v>44166</c:v>
                </c:pt>
                <c:pt idx="696">
                  <c:v>44197</c:v>
                </c:pt>
                <c:pt idx="697">
                  <c:v>44228</c:v>
                </c:pt>
                <c:pt idx="698">
                  <c:v>44256</c:v>
                </c:pt>
                <c:pt idx="699">
                  <c:v>44287</c:v>
                </c:pt>
                <c:pt idx="700">
                  <c:v>44317</c:v>
                </c:pt>
                <c:pt idx="701">
                  <c:v>44348</c:v>
                </c:pt>
                <c:pt idx="702">
                  <c:v>44378</c:v>
                </c:pt>
                <c:pt idx="703">
                  <c:v>44409</c:v>
                </c:pt>
              </c:numCache>
            </c:numRef>
          </c:cat>
          <c:val>
            <c:numRef>
              <c:f>NFP!$C$300:$C$1021</c:f>
              <c:numCache>
                <c:formatCode>0</c:formatCode>
                <c:ptCount val="722"/>
                <c:pt idx="0">
                  <c:v>87</c:v>
                </c:pt>
                <c:pt idx="1">
                  <c:v>115</c:v>
                </c:pt>
                <c:pt idx="2">
                  <c:v>90</c:v>
                </c:pt>
                <c:pt idx="3">
                  <c:v>260</c:v>
                </c:pt>
                <c:pt idx="4">
                  <c:v>36</c:v>
                </c:pt>
                <c:pt idx="5">
                  <c:v>43</c:v>
                </c:pt>
                <c:pt idx="6">
                  <c:v>135</c:v>
                </c:pt>
                <c:pt idx="7">
                  <c:v>116</c:v>
                </c:pt>
                <c:pt idx="8">
                  <c:v>168</c:v>
                </c:pt>
                <c:pt idx="9">
                  <c:v>205</c:v>
                </c:pt>
                <c:pt idx="10">
                  <c:v>-28</c:v>
                </c:pt>
                <c:pt idx="11">
                  <c:v>106</c:v>
                </c:pt>
                <c:pt idx="12">
                  <c:v>126</c:v>
                </c:pt>
                <c:pt idx="13">
                  <c:v>266</c:v>
                </c:pt>
                <c:pt idx="14">
                  <c:v>144</c:v>
                </c:pt>
                <c:pt idx="15">
                  <c:v>25</c:v>
                </c:pt>
                <c:pt idx="16">
                  <c:v>167</c:v>
                </c:pt>
                <c:pt idx="17">
                  <c:v>130</c:v>
                </c:pt>
                <c:pt idx="18">
                  <c:v>193</c:v>
                </c:pt>
                <c:pt idx="19">
                  <c:v>207</c:v>
                </c:pt>
                <c:pt idx="20">
                  <c:v>284</c:v>
                </c:pt>
                <c:pt idx="21">
                  <c:v>-110</c:v>
                </c:pt>
                <c:pt idx="22">
                  <c:v>425</c:v>
                </c:pt>
                <c:pt idx="23">
                  <c:v>203</c:v>
                </c:pt>
                <c:pt idx="24">
                  <c:v>161</c:v>
                </c:pt>
                <c:pt idx="25">
                  <c:v>218</c:v>
                </c:pt>
                <c:pt idx="26">
                  <c:v>203</c:v>
                </c:pt>
                <c:pt idx="27">
                  <c:v>256</c:v>
                </c:pt>
                <c:pt idx="28">
                  <c:v>232</c:v>
                </c:pt>
                <c:pt idx="29">
                  <c:v>199</c:v>
                </c:pt>
                <c:pt idx="30">
                  <c:v>275</c:v>
                </c:pt>
                <c:pt idx="31">
                  <c:v>263</c:v>
                </c:pt>
                <c:pt idx="32">
                  <c:v>262</c:v>
                </c:pt>
                <c:pt idx="33">
                  <c:v>229</c:v>
                </c:pt>
                <c:pt idx="34">
                  <c:v>277</c:v>
                </c:pt>
                <c:pt idx="35">
                  <c:v>326</c:v>
                </c:pt>
                <c:pt idx="36">
                  <c:v>207</c:v>
                </c:pt>
                <c:pt idx="37">
                  <c:v>267</c:v>
                </c:pt>
                <c:pt idx="38">
                  <c:v>396</c:v>
                </c:pt>
                <c:pt idx="39">
                  <c:v>245</c:v>
                </c:pt>
                <c:pt idx="40">
                  <c:v>275</c:v>
                </c:pt>
                <c:pt idx="41">
                  <c:v>399</c:v>
                </c:pt>
                <c:pt idx="42">
                  <c:v>190</c:v>
                </c:pt>
                <c:pt idx="43">
                  <c:v>206</c:v>
                </c:pt>
                <c:pt idx="44">
                  <c:v>136</c:v>
                </c:pt>
                <c:pt idx="45">
                  <c:v>211</c:v>
                </c:pt>
                <c:pt idx="46">
                  <c:v>165</c:v>
                </c:pt>
                <c:pt idx="47">
                  <c:v>180</c:v>
                </c:pt>
                <c:pt idx="48">
                  <c:v>208</c:v>
                </c:pt>
                <c:pt idx="49">
                  <c:v>22</c:v>
                </c:pt>
                <c:pt idx="50">
                  <c:v>101</c:v>
                </c:pt>
                <c:pt idx="51">
                  <c:v>-64</c:v>
                </c:pt>
                <c:pt idx="52">
                  <c:v>154</c:v>
                </c:pt>
                <c:pt idx="53">
                  <c:v>130</c:v>
                </c:pt>
                <c:pt idx="54">
                  <c:v>138</c:v>
                </c:pt>
                <c:pt idx="55">
                  <c:v>255</c:v>
                </c:pt>
                <c:pt idx="56">
                  <c:v>21</c:v>
                </c:pt>
                <c:pt idx="57">
                  <c:v>61</c:v>
                </c:pt>
                <c:pt idx="58">
                  <c:v>478</c:v>
                </c:pt>
                <c:pt idx="59">
                  <c:v>197</c:v>
                </c:pt>
                <c:pt idx="60">
                  <c:v>-96</c:v>
                </c:pt>
                <c:pt idx="61">
                  <c:v>411</c:v>
                </c:pt>
                <c:pt idx="62">
                  <c:v>80</c:v>
                </c:pt>
                <c:pt idx="63">
                  <c:v>261</c:v>
                </c:pt>
                <c:pt idx="64">
                  <c:v>96</c:v>
                </c:pt>
                <c:pt idx="65">
                  <c:v>253</c:v>
                </c:pt>
                <c:pt idx="66">
                  <c:v>221</c:v>
                </c:pt>
                <c:pt idx="67">
                  <c:v>204</c:v>
                </c:pt>
                <c:pt idx="68">
                  <c:v>154</c:v>
                </c:pt>
                <c:pt idx="69">
                  <c:v>237</c:v>
                </c:pt>
                <c:pt idx="70">
                  <c:v>263</c:v>
                </c:pt>
                <c:pt idx="71">
                  <c:v>264</c:v>
                </c:pt>
                <c:pt idx="72">
                  <c:v>191</c:v>
                </c:pt>
                <c:pt idx="73">
                  <c:v>260</c:v>
                </c:pt>
                <c:pt idx="74">
                  <c:v>206</c:v>
                </c:pt>
                <c:pt idx="75">
                  <c:v>167</c:v>
                </c:pt>
                <c:pt idx="76">
                  <c:v>256</c:v>
                </c:pt>
                <c:pt idx="77">
                  <c:v>308</c:v>
                </c:pt>
                <c:pt idx="78">
                  <c:v>93</c:v>
                </c:pt>
                <c:pt idx="79">
                  <c:v>279</c:v>
                </c:pt>
                <c:pt idx="80">
                  <c:v>-94</c:v>
                </c:pt>
                <c:pt idx="81">
                  <c:v>207</c:v>
                </c:pt>
                <c:pt idx="82">
                  <c:v>-35</c:v>
                </c:pt>
                <c:pt idx="83">
                  <c:v>155</c:v>
                </c:pt>
                <c:pt idx="84">
                  <c:v>-65</c:v>
                </c:pt>
                <c:pt idx="85">
                  <c:v>129</c:v>
                </c:pt>
                <c:pt idx="86">
                  <c:v>146</c:v>
                </c:pt>
                <c:pt idx="87">
                  <c:v>-103</c:v>
                </c:pt>
                <c:pt idx="88">
                  <c:v>-224</c:v>
                </c:pt>
                <c:pt idx="89">
                  <c:v>-95</c:v>
                </c:pt>
                <c:pt idx="90">
                  <c:v>24</c:v>
                </c:pt>
                <c:pt idx="91">
                  <c:v>-116</c:v>
                </c:pt>
                <c:pt idx="92">
                  <c:v>7</c:v>
                </c:pt>
                <c:pt idx="93">
                  <c:v>-423</c:v>
                </c:pt>
                <c:pt idx="94">
                  <c:v>-112</c:v>
                </c:pt>
                <c:pt idx="95">
                  <c:v>383</c:v>
                </c:pt>
                <c:pt idx="96">
                  <c:v>73</c:v>
                </c:pt>
                <c:pt idx="97">
                  <c:v>-58</c:v>
                </c:pt>
                <c:pt idx="98">
                  <c:v>53</c:v>
                </c:pt>
                <c:pt idx="99">
                  <c:v>176</c:v>
                </c:pt>
                <c:pt idx="100">
                  <c:v>211</c:v>
                </c:pt>
                <c:pt idx="101">
                  <c:v>7</c:v>
                </c:pt>
                <c:pt idx="102">
                  <c:v>61</c:v>
                </c:pt>
                <c:pt idx="103">
                  <c:v>58</c:v>
                </c:pt>
                <c:pt idx="104">
                  <c:v>241</c:v>
                </c:pt>
                <c:pt idx="105">
                  <c:v>28</c:v>
                </c:pt>
                <c:pt idx="106">
                  <c:v>205</c:v>
                </c:pt>
                <c:pt idx="107">
                  <c:v>262</c:v>
                </c:pt>
                <c:pt idx="108">
                  <c:v>332</c:v>
                </c:pt>
                <c:pt idx="109">
                  <c:v>207</c:v>
                </c:pt>
                <c:pt idx="110">
                  <c:v>296</c:v>
                </c:pt>
                <c:pt idx="111">
                  <c:v>218</c:v>
                </c:pt>
                <c:pt idx="112">
                  <c:v>307</c:v>
                </c:pt>
                <c:pt idx="113">
                  <c:v>289</c:v>
                </c:pt>
                <c:pt idx="114">
                  <c:v>-49</c:v>
                </c:pt>
                <c:pt idx="115">
                  <c:v>432</c:v>
                </c:pt>
                <c:pt idx="116">
                  <c:v>123</c:v>
                </c:pt>
                <c:pt idx="117">
                  <c:v>410</c:v>
                </c:pt>
                <c:pt idx="118">
                  <c:v>299</c:v>
                </c:pt>
                <c:pt idx="119">
                  <c:v>295</c:v>
                </c:pt>
                <c:pt idx="120">
                  <c:v>349</c:v>
                </c:pt>
                <c:pt idx="121">
                  <c:v>397</c:v>
                </c:pt>
                <c:pt idx="122">
                  <c:v>270</c:v>
                </c:pt>
                <c:pt idx="123">
                  <c:v>171</c:v>
                </c:pt>
                <c:pt idx="124">
                  <c:v>193</c:v>
                </c:pt>
                <c:pt idx="125">
                  <c:v>239</c:v>
                </c:pt>
                <c:pt idx="126">
                  <c:v>26</c:v>
                </c:pt>
                <c:pt idx="127">
                  <c:v>255</c:v>
                </c:pt>
                <c:pt idx="128">
                  <c:v>108</c:v>
                </c:pt>
                <c:pt idx="129">
                  <c:v>331</c:v>
                </c:pt>
                <c:pt idx="130">
                  <c:v>313</c:v>
                </c:pt>
                <c:pt idx="131">
                  <c:v>111</c:v>
                </c:pt>
                <c:pt idx="132">
                  <c:v>69</c:v>
                </c:pt>
                <c:pt idx="133">
                  <c:v>154</c:v>
                </c:pt>
                <c:pt idx="134">
                  <c:v>42</c:v>
                </c:pt>
                <c:pt idx="135">
                  <c:v>86</c:v>
                </c:pt>
                <c:pt idx="136">
                  <c:v>167</c:v>
                </c:pt>
                <c:pt idx="137">
                  <c:v>55</c:v>
                </c:pt>
                <c:pt idx="138">
                  <c:v>32</c:v>
                </c:pt>
                <c:pt idx="139">
                  <c:v>-17</c:v>
                </c:pt>
                <c:pt idx="140">
                  <c:v>-9</c:v>
                </c:pt>
                <c:pt idx="141">
                  <c:v>20</c:v>
                </c:pt>
                <c:pt idx="142">
                  <c:v>-365</c:v>
                </c:pt>
                <c:pt idx="143">
                  <c:v>-613</c:v>
                </c:pt>
                <c:pt idx="144">
                  <c:v>-359</c:v>
                </c:pt>
                <c:pt idx="145">
                  <c:v>-375</c:v>
                </c:pt>
                <c:pt idx="146">
                  <c:v>-270</c:v>
                </c:pt>
                <c:pt idx="147">
                  <c:v>-188</c:v>
                </c:pt>
                <c:pt idx="148">
                  <c:v>164</c:v>
                </c:pt>
                <c:pt idx="149">
                  <c:v>-103</c:v>
                </c:pt>
                <c:pt idx="150">
                  <c:v>249</c:v>
                </c:pt>
                <c:pt idx="151">
                  <c:v>383</c:v>
                </c:pt>
                <c:pt idx="152">
                  <c:v>75</c:v>
                </c:pt>
                <c:pt idx="153">
                  <c:v>312</c:v>
                </c:pt>
                <c:pt idx="154">
                  <c:v>145</c:v>
                </c:pt>
                <c:pt idx="155">
                  <c:v>332</c:v>
                </c:pt>
                <c:pt idx="156">
                  <c:v>486</c:v>
                </c:pt>
                <c:pt idx="157">
                  <c:v>313</c:v>
                </c:pt>
                <c:pt idx="158">
                  <c:v>232</c:v>
                </c:pt>
                <c:pt idx="159">
                  <c:v>244</c:v>
                </c:pt>
                <c:pt idx="160">
                  <c:v>20</c:v>
                </c:pt>
                <c:pt idx="161">
                  <c:v>64</c:v>
                </c:pt>
                <c:pt idx="162">
                  <c:v>171</c:v>
                </c:pt>
                <c:pt idx="163">
                  <c:v>157</c:v>
                </c:pt>
                <c:pt idx="164">
                  <c:v>188</c:v>
                </c:pt>
                <c:pt idx="165">
                  <c:v>19</c:v>
                </c:pt>
                <c:pt idx="166">
                  <c:v>329</c:v>
                </c:pt>
                <c:pt idx="167">
                  <c:v>208</c:v>
                </c:pt>
                <c:pt idx="168">
                  <c:v>242</c:v>
                </c:pt>
                <c:pt idx="169">
                  <c:v>298</c:v>
                </c:pt>
                <c:pt idx="170">
                  <c:v>403</c:v>
                </c:pt>
                <c:pt idx="171">
                  <c:v>337</c:v>
                </c:pt>
                <c:pt idx="172">
                  <c:v>360</c:v>
                </c:pt>
                <c:pt idx="173">
                  <c:v>400</c:v>
                </c:pt>
                <c:pt idx="174">
                  <c:v>346</c:v>
                </c:pt>
                <c:pt idx="175">
                  <c:v>241</c:v>
                </c:pt>
                <c:pt idx="176">
                  <c:v>457</c:v>
                </c:pt>
                <c:pt idx="177">
                  <c:v>268</c:v>
                </c:pt>
                <c:pt idx="178">
                  <c:v>373</c:v>
                </c:pt>
                <c:pt idx="179">
                  <c:v>237</c:v>
                </c:pt>
                <c:pt idx="180">
                  <c:v>184</c:v>
                </c:pt>
                <c:pt idx="181">
                  <c:v>354</c:v>
                </c:pt>
                <c:pt idx="182">
                  <c:v>512</c:v>
                </c:pt>
                <c:pt idx="183">
                  <c:v>702</c:v>
                </c:pt>
                <c:pt idx="184">
                  <c:v>347</c:v>
                </c:pt>
                <c:pt idx="185">
                  <c:v>441</c:v>
                </c:pt>
                <c:pt idx="186">
                  <c:v>254</c:v>
                </c:pt>
                <c:pt idx="187">
                  <c:v>279</c:v>
                </c:pt>
                <c:pt idx="188">
                  <c:v>138</c:v>
                </c:pt>
                <c:pt idx="189">
                  <c:v>335</c:v>
                </c:pt>
                <c:pt idx="190">
                  <c:v>435</c:v>
                </c:pt>
                <c:pt idx="191">
                  <c:v>280</c:v>
                </c:pt>
                <c:pt idx="192">
                  <c:v>137</c:v>
                </c:pt>
                <c:pt idx="193">
                  <c:v>247</c:v>
                </c:pt>
                <c:pt idx="194">
                  <c:v>424</c:v>
                </c:pt>
                <c:pt idx="195">
                  <c:v>-62</c:v>
                </c:pt>
                <c:pt idx="196">
                  <c:v>372</c:v>
                </c:pt>
                <c:pt idx="197">
                  <c:v>319</c:v>
                </c:pt>
                <c:pt idx="198">
                  <c:v>109</c:v>
                </c:pt>
                <c:pt idx="199">
                  <c:v>83</c:v>
                </c:pt>
                <c:pt idx="200">
                  <c:v>27</c:v>
                </c:pt>
                <c:pt idx="201">
                  <c:v>154</c:v>
                </c:pt>
                <c:pt idx="202">
                  <c:v>92</c:v>
                </c:pt>
                <c:pt idx="203">
                  <c:v>99</c:v>
                </c:pt>
                <c:pt idx="204">
                  <c:v>128</c:v>
                </c:pt>
                <c:pt idx="205">
                  <c:v>83</c:v>
                </c:pt>
                <c:pt idx="206">
                  <c:v>111</c:v>
                </c:pt>
                <c:pt idx="207">
                  <c:v>-145</c:v>
                </c:pt>
                <c:pt idx="208">
                  <c:v>-429</c:v>
                </c:pt>
                <c:pt idx="209">
                  <c:v>-319</c:v>
                </c:pt>
                <c:pt idx="210">
                  <c:v>-261</c:v>
                </c:pt>
                <c:pt idx="211">
                  <c:v>259</c:v>
                </c:pt>
                <c:pt idx="212">
                  <c:v>114</c:v>
                </c:pt>
                <c:pt idx="213">
                  <c:v>277</c:v>
                </c:pt>
                <c:pt idx="214">
                  <c:v>257</c:v>
                </c:pt>
                <c:pt idx="215">
                  <c:v>196</c:v>
                </c:pt>
                <c:pt idx="216">
                  <c:v>90</c:v>
                </c:pt>
                <c:pt idx="217">
                  <c:v>72</c:v>
                </c:pt>
                <c:pt idx="218">
                  <c:v>105</c:v>
                </c:pt>
                <c:pt idx="219">
                  <c:v>73</c:v>
                </c:pt>
                <c:pt idx="220">
                  <c:v>13</c:v>
                </c:pt>
                <c:pt idx="221">
                  <c:v>194</c:v>
                </c:pt>
                <c:pt idx="222">
                  <c:v>111</c:v>
                </c:pt>
                <c:pt idx="223">
                  <c:v>-36</c:v>
                </c:pt>
                <c:pt idx="224">
                  <c:v>-88</c:v>
                </c:pt>
                <c:pt idx="225">
                  <c:v>-97</c:v>
                </c:pt>
                <c:pt idx="226">
                  <c:v>-209</c:v>
                </c:pt>
                <c:pt idx="227">
                  <c:v>-276</c:v>
                </c:pt>
                <c:pt idx="228">
                  <c:v>-330</c:v>
                </c:pt>
                <c:pt idx="229">
                  <c:v>-2</c:v>
                </c:pt>
                <c:pt idx="230">
                  <c:v>-129</c:v>
                </c:pt>
                <c:pt idx="231">
                  <c:v>-284</c:v>
                </c:pt>
                <c:pt idx="232">
                  <c:v>-43</c:v>
                </c:pt>
                <c:pt idx="233">
                  <c:v>-242</c:v>
                </c:pt>
                <c:pt idx="234">
                  <c:v>-344</c:v>
                </c:pt>
                <c:pt idx="235">
                  <c:v>-158</c:v>
                </c:pt>
                <c:pt idx="236">
                  <c:v>-180</c:v>
                </c:pt>
                <c:pt idx="237">
                  <c:v>-276</c:v>
                </c:pt>
                <c:pt idx="238">
                  <c:v>-121</c:v>
                </c:pt>
                <c:pt idx="239">
                  <c:v>-15</c:v>
                </c:pt>
                <c:pt idx="240">
                  <c:v>219</c:v>
                </c:pt>
                <c:pt idx="241">
                  <c:v>-73</c:v>
                </c:pt>
                <c:pt idx="242">
                  <c:v>173</c:v>
                </c:pt>
                <c:pt idx="243">
                  <c:v>274</c:v>
                </c:pt>
                <c:pt idx="244">
                  <c:v>280</c:v>
                </c:pt>
                <c:pt idx="245">
                  <c:v>377</c:v>
                </c:pt>
                <c:pt idx="246">
                  <c:v>416</c:v>
                </c:pt>
                <c:pt idx="247">
                  <c:v>-308</c:v>
                </c:pt>
                <c:pt idx="248">
                  <c:v>1118</c:v>
                </c:pt>
                <c:pt idx="249">
                  <c:v>273</c:v>
                </c:pt>
                <c:pt idx="250">
                  <c:v>355</c:v>
                </c:pt>
                <c:pt idx="251">
                  <c:v>355</c:v>
                </c:pt>
                <c:pt idx="252">
                  <c:v>443</c:v>
                </c:pt>
                <c:pt idx="253">
                  <c:v>484</c:v>
                </c:pt>
                <c:pt idx="254">
                  <c:v>272</c:v>
                </c:pt>
                <c:pt idx="255">
                  <c:v>363</c:v>
                </c:pt>
                <c:pt idx="256">
                  <c:v>306</c:v>
                </c:pt>
                <c:pt idx="257">
                  <c:v>381</c:v>
                </c:pt>
                <c:pt idx="258">
                  <c:v>310</c:v>
                </c:pt>
                <c:pt idx="259">
                  <c:v>243</c:v>
                </c:pt>
                <c:pt idx="260">
                  <c:v>312</c:v>
                </c:pt>
                <c:pt idx="261">
                  <c:v>285</c:v>
                </c:pt>
                <c:pt idx="262">
                  <c:v>353</c:v>
                </c:pt>
                <c:pt idx="263">
                  <c:v>125</c:v>
                </c:pt>
                <c:pt idx="264">
                  <c:v>265</c:v>
                </c:pt>
                <c:pt idx="265">
                  <c:v>131</c:v>
                </c:pt>
                <c:pt idx="266">
                  <c:v>339</c:v>
                </c:pt>
                <c:pt idx="267">
                  <c:v>196</c:v>
                </c:pt>
                <c:pt idx="268">
                  <c:v>274</c:v>
                </c:pt>
                <c:pt idx="269">
                  <c:v>147</c:v>
                </c:pt>
                <c:pt idx="270">
                  <c:v>189</c:v>
                </c:pt>
                <c:pt idx="271">
                  <c:v>192</c:v>
                </c:pt>
                <c:pt idx="272">
                  <c:v>205</c:v>
                </c:pt>
                <c:pt idx="273">
                  <c:v>188</c:v>
                </c:pt>
                <c:pt idx="274">
                  <c:v>210</c:v>
                </c:pt>
                <c:pt idx="275">
                  <c:v>166</c:v>
                </c:pt>
                <c:pt idx="276">
                  <c:v>123</c:v>
                </c:pt>
                <c:pt idx="277">
                  <c:v>115</c:v>
                </c:pt>
                <c:pt idx="278">
                  <c:v>87</c:v>
                </c:pt>
                <c:pt idx="279">
                  <c:v>187</c:v>
                </c:pt>
                <c:pt idx="280">
                  <c:v>127</c:v>
                </c:pt>
                <c:pt idx="281">
                  <c:v>-93</c:v>
                </c:pt>
                <c:pt idx="282">
                  <c:v>318</c:v>
                </c:pt>
                <c:pt idx="283">
                  <c:v>115</c:v>
                </c:pt>
                <c:pt idx="284">
                  <c:v>346</c:v>
                </c:pt>
                <c:pt idx="285">
                  <c:v>187</c:v>
                </c:pt>
                <c:pt idx="286">
                  <c:v>187</c:v>
                </c:pt>
                <c:pt idx="287">
                  <c:v>201</c:v>
                </c:pt>
                <c:pt idx="288">
                  <c:v>169</c:v>
                </c:pt>
                <c:pt idx="289">
                  <c:v>241</c:v>
                </c:pt>
                <c:pt idx="290">
                  <c:v>245</c:v>
                </c:pt>
                <c:pt idx="291">
                  <c:v>335</c:v>
                </c:pt>
                <c:pt idx="292">
                  <c:v>229</c:v>
                </c:pt>
                <c:pt idx="293">
                  <c:v>172</c:v>
                </c:pt>
                <c:pt idx="294">
                  <c:v>347</c:v>
                </c:pt>
                <c:pt idx="295">
                  <c:v>173</c:v>
                </c:pt>
                <c:pt idx="296">
                  <c:v>227</c:v>
                </c:pt>
                <c:pt idx="297">
                  <c:v>491</c:v>
                </c:pt>
                <c:pt idx="298">
                  <c:v>234</c:v>
                </c:pt>
                <c:pt idx="299">
                  <c:v>289</c:v>
                </c:pt>
                <c:pt idx="300">
                  <c:v>92</c:v>
                </c:pt>
                <c:pt idx="301">
                  <c:v>461</c:v>
                </c:pt>
                <c:pt idx="302">
                  <c:v>275</c:v>
                </c:pt>
                <c:pt idx="303">
                  <c:v>243</c:v>
                </c:pt>
                <c:pt idx="304">
                  <c:v>230</c:v>
                </c:pt>
                <c:pt idx="305">
                  <c:v>364</c:v>
                </c:pt>
                <c:pt idx="306">
                  <c:v>224</c:v>
                </c:pt>
                <c:pt idx="307">
                  <c:v>124</c:v>
                </c:pt>
                <c:pt idx="308">
                  <c:v>339</c:v>
                </c:pt>
                <c:pt idx="309">
                  <c:v>263</c:v>
                </c:pt>
                <c:pt idx="310">
                  <c:v>341</c:v>
                </c:pt>
                <c:pt idx="311">
                  <c:v>281</c:v>
                </c:pt>
                <c:pt idx="312">
                  <c:v>263</c:v>
                </c:pt>
                <c:pt idx="313">
                  <c:v>266</c:v>
                </c:pt>
                <c:pt idx="314">
                  <c:v>194</c:v>
                </c:pt>
                <c:pt idx="315">
                  <c:v>170</c:v>
                </c:pt>
                <c:pt idx="316">
                  <c:v>122</c:v>
                </c:pt>
                <c:pt idx="317">
                  <c:v>114</c:v>
                </c:pt>
                <c:pt idx="318">
                  <c:v>42</c:v>
                </c:pt>
                <c:pt idx="319">
                  <c:v>51</c:v>
                </c:pt>
                <c:pt idx="320">
                  <c:v>249</c:v>
                </c:pt>
                <c:pt idx="321">
                  <c:v>107</c:v>
                </c:pt>
                <c:pt idx="322">
                  <c:v>276</c:v>
                </c:pt>
                <c:pt idx="323">
                  <c:v>84</c:v>
                </c:pt>
                <c:pt idx="324">
                  <c:v>363</c:v>
                </c:pt>
                <c:pt idx="325">
                  <c:v>236</c:v>
                </c:pt>
                <c:pt idx="326">
                  <c:v>209</c:v>
                </c:pt>
                <c:pt idx="327">
                  <c:v>42</c:v>
                </c:pt>
                <c:pt idx="328">
                  <c:v>153</c:v>
                </c:pt>
                <c:pt idx="329">
                  <c:v>17</c:v>
                </c:pt>
                <c:pt idx="330">
                  <c:v>-32</c:v>
                </c:pt>
                <c:pt idx="331">
                  <c:v>-208</c:v>
                </c:pt>
                <c:pt idx="332">
                  <c:v>-98</c:v>
                </c:pt>
                <c:pt idx="333">
                  <c:v>-151</c:v>
                </c:pt>
                <c:pt idx="334">
                  <c:v>-153</c:v>
                </c:pt>
                <c:pt idx="335">
                  <c:v>-48</c:v>
                </c:pt>
                <c:pt idx="336">
                  <c:v>-111</c:v>
                </c:pt>
                <c:pt idx="337">
                  <c:v>-321</c:v>
                </c:pt>
                <c:pt idx="338">
                  <c:v>-160</c:v>
                </c:pt>
                <c:pt idx="339">
                  <c:v>-210</c:v>
                </c:pt>
                <c:pt idx="340">
                  <c:v>-115</c:v>
                </c:pt>
                <c:pt idx="341">
                  <c:v>85</c:v>
                </c:pt>
                <c:pt idx="342">
                  <c:v>-42</c:v>
                </c:pt>
                <c:pt idx="343">
                  <c:v>18</c:v>
                </c:pt>
                <c:pt idx="344">
                  <c:v>26</c:v>
                </c:pt>
                <c:pt idx="345">
                  <c:v>21</c:v>
                </c:pt>
                <c:pt idx="346">
                  <c:v>-61</c:v>
                </c:pt>
                <c:pt idx="347">
                  <c:v>32</c:v>
                </c:pt>
                <c:pt idx="348">
                  <c:v>41</c:v>
                </c:pt>
                <c:pt idx="349">
                  <c:v>-58</c:v>
                </c:pt>
                <c:pt idx="350">
                  <c:v>54</c:v>
                </c:pt>
                <c:pt idx="351">
                  <c:v>154</c:v>
                </c:pt>
                <c:pt idx="352">
                  <c:v>130</c:v>
                </c:pt>
                <c:pt idx="353">
                  <c:v>66</c:v>
                </c:pt>
                <c:pt idx="354">
                  <c:v>78</c:v>
                </c:pt>
                <c:pt idx="355">
                  <c:v>132</c:v>
                </c:pt>
                <c:pt idx="356">
                  <c:v>34</c:v>
                </c:pt>
                <c:pt idx="357">
                  <c:v>180</c:v>
                </c:pt>
                <c:pt idx="358">
                  <c:v>133</c:v>
                </c:pt>
                <c:pt idx="359">
                  <c:v>223</c:v>
                </c:pt>
                <c:pt idx="360">
                  <c:v>299</c:v>
                </c:pt>
                <c:pt idx="361">
                  <c:v>250</c:v>
                </c:pt>
                <c:pt idx="362">
                  <c:v>-50</c:v>
                </c:pt>
                <c:pt idx="363">
                  <c:v>302</c:v>
                </c:pt>
                <c:pt idx="364">
                  <c:v>272</c:v>
                </c:pt>
                <c:pt idx="365">
                  <c:v>181</c:v>
                </c:pt>
                <c:pt idx="366">
                  <c:v>306</c:v>
                </c:pt>
                <c:pt idx="367">
                  <c:v>151</c:v>
                </c:pt>
                <c:pt idx="368">
                  <c:v>242</c:v>
                </c:pt>
                <c:pt idx="369">
                  <c:v>285</c:v>
                </c:pt>
                <c:pt idx="370">
                  <c:v>251</c:v>
                </c:pt>
                <c:pt idx="371">
                  <c:v>330</c:v>
                </c:pt>
                <c:pt idx="372">
                  <c:v>281</c:v>
                </c:pt>
                <c:pt idx="373">
                  <c:v>186</c:v>
                </c:pt>
                <c:pt idx="374">
                  <c:v>461</c:v>
                </c:pt>
                <c:pt idx="375">
                  <c:v>344</c:v>
                </c:pt>
                <c:pt idx="376">
                  <c:v>335</c:v>
                </c:pt>
                <c:pt idx="377">
                  <c:v>317</c:v>
                </c:pt>
                <c:pt idx="378">
                  <c:v>372</c:v>
                </c:pt>
                <c:pt idx="379">
                  <c:v>286</c:v>
                </c:pt>
                <c:pt idx="380">
                  <c:v>351</c:v>
                </c:pt>
                <c:pt idx="381">
                  <c:v>211</c:v>
                </c:pt>
                <c:pt idx="382">
                  <c:v>411</c:v>
                </c:pt>
                <c:pt idx="383">
                  <c:v>296</c:v>
                </c:pt>
                <c:pt idx="384">
                  <c:v>336</c:v>
                </c:pt>
                <c:pt idx="385">
                  <c:v>196</c:v>
                </c:pt>
                <c:pt idx="386">
                  <c:v>210</c:v>
                </c:pt>
                <c:pt idx="387">
                  <c:v>162</c:v>
                </c:pt>
                <c:pt idx="388">
                  <c:v>-20</c:v>
                </c:pt>
                <c:pt idx="389">
                  <c:v>237</c:v>
                </c:pt>
                <c:pt idx="390">
                  <c:v>94</c:v>
                </c:pt>
                <c:pt idx="391">
                  <c:v>254</c:v>
                </c:pt>
                <c:pt idx="392">
                  <c:v>241</c:v>
                </c:pt>
                <c:pt idx="393">
                  <c:v>156</c:v>
                </c:pt>
                <c:pt idx="394">
                  <c:v>144</c:v>
                </c:pt>
                <c:pt idx="395">
                  <c:v>145</c:v>
                </c:pt>
                <c:pt idx="396">
                  <c:v>-4</c:v>
                </c:pt>
                <c:pt idx="397">
                  <c:v>423</c:v>
                </c:pt>
                <c:pt idx="398">
                  <c:v>254</c:v>
                </c:pt>
                <c:pt idx="399">
                  <c:v>165</c:v>
                </c:pt>
                <c:pt idx="400">
                  <c:v>328</c:v>
                </c:pt>
                <c:pt idx="401">
                  <c:v>283</c:v>
                </c:pt>
                <c:pt idx="402">
                  <c:v>246</c:v>
                </c:pt>
                <c:pt idx="403">
                  <c:v>184</c:v>
                </c:pt>
                <c:pt idx="404">
                  <c:v>211</c:v>
                </c:pt>
                <c:pt idx="405">
                  <c:v>255</c:v>
                </c:pt>
                <c:pt idx="406">
                  <c:v>296</c:v>
                </c:pt>
                <c:pt idx="407">
                  <c:v>182</c:v>
                </c:pt>
                <c:pt idx="408">
                  <c:v>220</c:v>
                </c:pt>
                <c:pt idx="409">
                  <c:v>312</c:v>
                </c:pt>
                <c:pt idx="410">
                  <c:v>315</c:v>
                </c:pt>
                <c:pt idx="411">
                  <c:v>296</c:v>
                </c:pt>
                <c:pt idx="412">
                  <c:v>260</c:v>
                </c:pt>
                <c:pt idx="413">
                  <c:v>268</c:v>
                </c:pt>
                <c:pt idx="414">
                  <c:v>297</c:v>
                </c:pt>
                <c:pt idx="415">
                  <c:v>-18</c:v>
                </c:pt>
                <c:pt idx="416">
                  <c:v>492</c:v>
                </c:pt>
                <c:pt idx="417">
                  <c:v>344</c:v>
                </c:pt>
                <c:pt idx="418">
                  <c:v>306</c:v>
                </c:pt>
                <c:pt idx="419">
                  <c:v>314</c:v>
                </c:pt>
                <c:pt idx="420">
                  <c:v>263</c:v>
                </c:pt>
                <c:pt idx="421">
                  <c:v>204</c:v>
                </c:pt>
                <c:pt idx="422">
                  <c:v>148</c:v>
                </c:pt>
                <c:pt idx="423">
                  <c:v>278</c:v>
                </c:pt>
                <c:pt idx="424">
                  <c:v>402</c:v>
                </c:pt>
                <c:pt idx="425">
                  <c:v>232</c:v>
                </c:pt>
                <c:pt idx="426">
                  <c:v>129</c:v>
                </c:pt>
                <c:pt idx="427">
                  <c:v>339</c:v>
                </c:pt>
                <c:pt idx="428">
                  <c:v>208</c:v>
                </c:pt>
                <c:pt idx="429">
                  <c:v>202</c:v>
                </c:pt>
                <c:pt idx="430">
                  <c:v>277</c:v>
                </c:pt>
                <c:pt idx="431">
                  <c:v>365</c:v>
                </c:pt>
                <c:pt idx="432">
                  <c:v>106</c:v>
                </c:pt>
                <c:pt idx="433">
                  <c:v>418</c:v>
                </c:pt>
                <c:pt idx="434">
                  <c:v>107</c:v>
                </c:pt>
                <c:pt idx="435">
                  <c:v>370</c:v>
                </c:pt>
                <c:pt idx="436">
                  <c:v>211</c:v>
                </c:pt>
                <c:pt idx="437">
                  <c:v>281</c:v>
                </c:pt>
                <c:pt idx="438">
                  <c:v>325</c:v>
                </c:pt>
                <c:pt idx="439">
                  <c:v>155</c:v>
                </c:pt>
                <c:pt idx="440">
                  <c:v>203</c:v>
                </c:pt>
                <c:pt idx="441">
                  <c:v>405</c:v>
                </c:pt>
                <c:pt idx="442">
                  <c:v>289</c:v>
                </c:pt>
                <c:pt idx="443">
                  <c:v>306</c:v>
                </c:pt>
                <c:pt idx="444">
                  <c:v>233</c:v>
                </c:pt>
                <c:pt idx="445">
                  <c:v>119</c:v>
                </c:pt>
                <c:pt idx="446">
                  <c:v>472</c:v>
                </c:pt>
                <c:pt idx="447">
                  <c:v>292</c:v>
                </c:pt>
                <c:pt idx="448">
                  <c:v>217</c:v>
                </c:pt>
                <c:pt idx="449">
                  <c:v>-44</c:v>
                </c:pt>
                <c:pt idx="450">
                  <c:v>175</c:v>
                </c:pt>
                <c:pt idx="451">
                  <c:v>-6</c:v>
                </c:pt>
                <c:pt idx="452">
                  <c:v>123</c:v>
                </c:pt>
                <c:pt idx="453">
                  <c:v>-2</c:v>
                </c:pt>
                <c:pt idx="454">
                  <c:v>205</c:v>
                </c:pt>
                <c:pt idx="455">
                  <c:v>153</c:v>
                </c:pt>
                <c:pt idx="456">
                  <c:v>-11</c:v>
                </c:pt>
                <c:pt idx="457">
                  <c:v>91</c:v>
                </c:pt>
                <c:pt idx="458">
                  <c:v>-42</c:v>
                </c:pt>
                <c:pt idx="459">
                  <c:v>-284</c:v>
                </c:pt>
                <c:pt idx="460">
                  <c:v>-53</c:v>
                </c:pt>
                <c:pt idx="461">
                  <c:v>-111</c:v>
                </c:pt>
                <c:pt idx="462">
                  <c:v>-122</c:v>
                </c:pt>
                <c:pt idx="463">
                  <c:v>-149</c:v>
                </c:pt>
                <c:pt idx="464">
                  <c:v>-257</c:v>
                </c:pt>
                <c:pt idx="465">
                  <c:v>-317</c:v>
                </c:pt>
                <c:pt idx="466">
                  <c:v>-312</c:v>
                </c:pt>
                <c:pt idx="467">
                  <c:v>-160</c:v>
                </c:pt>
                <c:pt idx="468">
                  <c:v>-130</c:v>
                </c:pt>
                <c:pt idx="469">
                  <c:v>-116</c:v>
                </c:pt>
                <c:pt idx="470">
                  <c:v>-19</c:v>
                </c:pt>
                <c:pt idx="471">
                  <c:v>-94</c:v>
                </c:pt>
                <c:pt idx="472">
                  <c:v>11</c:v>
                </c:pt>
                <c:pt idx="473">
                  <c:v>50</c:v>
                </c:pt>
                <c:pt idx="474">
                  <c:v>-94</c:v>
                </c:pt>
                <c:pt idx="475">
                  <c:v>-3</c:v>
                </c:pt>
                <c:pt idx="476">
                  <c:v>-86</c:v>
                </c:pt>
                <c:pt idx="477">
                  <c:v>127</c:v>
                </c:pt>
                <c:pt idx="478">
                  <c:v>-13</c:v>
                </c:pt>
                <c:pt idx="479">
                  <c:v>-143</c:v>
                </c:pt>
                <c:pt idx="480">
                  <c:v>108</c:v>
                </c:pt>
                <c:pt idx="481">
                  <c:v>-136</c:v>
                </c:pt>
                <c:pt idx="482">
                  <c:v>-212</c:v>
                </c:pt>
                <c:pt idx="483">
                  <c:v>-55</c:v>
                </c:pt>
                <c:pt idx="484">
                  <c:v>19</c:v>
                </c:pt>
                <c:pt idx="485">
                  <c:v>-2</c:v>
                </c:pt>
                <c:pt idx="486">
                  <c:v>-3</c:v>
                </c:pt>
                <c:pt idx="487">
                  <c:v>-42</c:v>
                </c:pt>
                <c:pt idx="488">
                  <c:v>105</c:v>
                </c:pt>
                <c:pt idx="489">
                  <c:v>200</c:v>
                </c:pt>
                <c:pt idx="490">
                  <c:v>20</c:v>
                </c:pt>
                <c:pt idx="491">
                  <c:v>114</c:v>
                </c:pt>
                <c:pt idx="492">
                  <c:v>181</c:v>
                </c:pt>
                <c:pt idx="493">
                  <c:v>56</c:v>
                </c:pt>
                <c:pt idx="494">
                  <c:v>317</c:v>
                </c:pt>
                <c:pt idx="495">
                  <c:v>269</c:v>
                </c:pt>
                <c:pt idx="496">
                  <c:v>283</c:v>
                </c:pt>
                <c:pt idx="497">
                  <c:v>99</c:v>
                </c:pt>
                <c:pt idx="498">
                  <c:v>55</c:v>
                </c:pt>
                <c:pt idx="499">
                  <c:v>89</c:v>
                </c:pt>
                <c:pt idx="500">
                  <c:v>156</c:v>
                </c:pt>
                <c:pt idx="501">
                  <c:v>354</c:v>
                </c:pt>
                <c:pt idx="502">
                  <c:v>56</c:v>
                </c:pt>
                <c:pt idx="503">
                  <c:v>121</c:v>
                </c:pt>
                <c:pt idx="504">
                  <c:v>150</c:v>
                </c:pt>
                <c:pt idx="505">
                  <c:v>258</c:v>
                </c:pt>
                <c:pt idx="506">
                  <c:v>124</c:v>
                </c:pt>
                <c:pt idx="507">
                  <c:v>362</c:v>
                </c:pt>
                <c:pt idx="508">
                  <c:v>172</c:v>
                </c:pt>
                <c:pt idx="509">
                  <c:v>252</c:v>
                </c:pt>
                <c:pt idx="510">
                  <c:v>354</c:v>
                </c:pt>
                <c:pt idx="511">
                  <c:v>202</c:v>
                </c:pt>
                <c:pt idx="512">
                  <c:v>68</c:v>
                </c:pt>
                <c:pt idx="513">
                  <c:v>89</c:v>
                </c:pt>
                <c:pt idx="514">
                  <c:v>338</c:v>
                </c:pt>
                <c:pt idx="515">
                  <c:v>156</c:v>
                </c:pt>
                <c:pt idx="516">
                  <c:v>280</c:v>
                </c:pt>
                <c:pt idx="517">
                  <c:v>308</c:v>
                </c:pt>
                <c:pt idx="518">
                  <c:v>310</c:v>
                </c:pt>
                <c:pt idx="519">
                  <c:v>158</c:v>
                </c:pt>
                <c:pt idx="520">
                  <c:v>39</c:v>
                </c:pt>
                <c:pt idx="521">
                  <c:v>81</c:v>
                </c:pt>
                <c:pt idx="522">
                  <c:v>195</c:v>
                </c:pt>
                <c:pt idx="523">
                  <c:v>174</c:v>
                </c:pt>
                <c:pt idx="524">
                  <c:v>149</c:v>
                </c:pt>
                <c:pt idx="525">
                  <c:v>9</c:v>
                </c:pt>
                <c:pt idx="526">
                  <c:v>211</c:v>
                </c:pt>
                <c:pt idx="527">
                  <c:v>186</c:v>
                </c:pt>
                <c:pt idx="528">
                  <c:v>228</c:v>
                </c:pt>
                <c:pt idx="529">
                  <c:v>81</c:v>
                </c:pt>
                <c:pt idx="530">
                  <c:v>235</c:v>
                </c:pt>
                <c:pt idx="531">
                  <c:v>49</c:v>
                </c:pt>
                <c:pt idx="532">
                  <c:v>151</c:v>
                </c:pt>
                <c:pt idx="533">
                  <c:v>76</c:v>
                </c:pt>
                <c:pt idx="534">
                  <c:v>-31</c:v>
                </c:pt>
                <c:pt idx="535">
                  <c:v>-23</c:v>
                </c:pt>
                <c:pt idx="536">
                  <c:v>80</c:v>
                </c:pt>
                <c:pt idx="537">
                  <c:v>79</c:v>
                </c:pt>
                <c:pt idx="538">
                  <c:v>110</c:v>
                </c:pt>
                <c:pt idx="539">
                  <c:v>108</c:v>
                </c:pt>
                <c:pt idx="540">
                  <c:v>11</c:v>
                </c:pt>
                <c:pt idx="541">
                  <c:v>-79</c:v>
                </c:pt>
                <c:pt idx="542">
                  <c:v>-49</c:v>
                </c:pt>
                <c:pt idx="543">
                  <c:v>-240</c:v>
                </c:pt>
                <c:pt idx="544">
                  <c:v>-177</c:v>
                </c:pt>
                <c:pt idx="545">
                  <c:v>-171</c:v>
                </c:pt>
                <c:pt idx="546">
                  <c:v>-196</c:v>
                </c:pt>
                <c:pt idx="547">
                  <c:v>-278</c:v>
                </c:pt>
                <c:pt idx="548">
                  <c:v>-460</c:v>
                </c:pt>
                <c:pt idx="549">
                  <c:v>-481</c:v>
                </c:pt>
                <c:pt idx="550">
                  <c:v>-727</c:v>
                </c:pt>
                <c:pt idx="551">
                  <c:v>-706</c:v>
                </c:pt>
                <c:pt idx="552">
                  <c:v>-784</c:v>
                </c:pt>
                <c:pt idx="553">
                  <c:v>-743</c:v>
                </c:pt>
                <c:pt idx="554">
                  <c:v>-800</c:v>
                </c:pt>
                <c:pt idx="555">
                  <c:v>-695</c:v>
                </c:pt>
                <c:pt idx="556">
                  <c:v>-342</c:v>
                </c:pt>
                <c:pt idx="557">
                  <c:v>-467</c:v>
                </c:pt>
                <c:pt idx="558">
                  <c:v>-340</c:v>
                </c:pt>
                <c:pt idx="559">
                  <c:v>-183</c:v>
                </c:pt>
                <c:pt idx="560">
                  <c:v>-241</c:v>
                </c:pt>
                <c:pt idx="561">
                  <c:v>-199</c:v>
                </c:pt>
                <c:pt idx="562">
                  <c:v>12</c:v>
                </c:pt>
                <c:pt idx="563">
                  <c:v>-269</c:v>
                </c:pt>
                <c:pt idx="564">
                  <c:v>2</c:v>
                </c:pt>
                <c:pt idx="565">
                  <c:v>-92</c:v>
                </c:pt>
                <c:pt idx="566">
                  <c:v>181</c:v>
                </c:pt>
                <c:pt idx="567">
                  <c:v>231</c:v>
                </c:pt>
                <c:pt idx="568">
                  <c:v>540</c:v>
                </c:pt>
                <c:pt idx="569">
                  <c:v>-139</c:v>
                </c:pt>
                <c:pt idx="570">
                  <c:v>-84</c:v>
                </c:pt>
                <c:pt idx="571">
                  <c:v>-5</c:v>
                </c:pt>
                <c:pt idx="572">
                  <c:v>-65</c:v>
                </c:pt>
                <c:pt idx="573">
                  <c:v>268</c:v>
                </c:pt>
                <c:pt idx="574">
                  <c:v>125</c:v>
                </c:pt>
                <c:pt idx="575">
                  <c:v>72</c:v>
                </c:pt>
                <c:pt idx="576">
                  <c:v>19</c:v>
                </c:pt>
                <c:pt idx="577">
                  <c:v>212</c:v>
                </c:pt>
                <c:pt idx="578">
                  <c:v>235</c:v>
                </c:pt>
                <c:pt idx="579">
                  <c:v>314</c:v>
                </c:pt>
                <c:pt idx="580">
                  <c:v>101</c:v>
                </c:pt>
                <c:pt idx="581">
                  <c:v>236</c:v>
                </c:pt>
                <c:pt idx="582">
                  <c:v>60</c:v>
                </c:pt>
                <c:pt idx="583">
                  <c:v>126</c:v>
                </c:pt>
                <c:pt idx="584">
                  <c:v>233</c:v>
                </c:pt>
                <c:pt idx="585">
                  <c:v>204</c:v>
                </c:pt>
                <c:pt idx="586">
                  <c:v>132</c:v>
                </c:pt>
                <c:pt idx="587">
                  <c:v>202</c:v>
                </c:pt>
                <c:pt idx="588">
                  <c:v>354</c:v>
                </c:pt>
                <c:pt idx="589">
                  <c:v>262</c:v>
                </c:pt>
                <c:pt idx="590">
                  <c:v>240</c:v>
                </c:pt>
                <c:pt idx="591">
                  <c:v>82</c:v>
                </c:pt>
                <c:pt idx="592">
                  <c:v>100</c:v>
                </c:pt>
                <c:pt idx="593">
                  <c:v>73</c:v>
                </c:pt>
                <c:pt idx="594">
                  <c:v>152</c:v>
                </c:pt>
                <c:pt idx="595">
                  <c:v>172</c:v>
                </c:pt>
                <c:pt idx="596">
                  <c:v>187</c:v>
                </c:pt>
                <c:pt idx="597">
                  <c:v>159</c:v>
                </c:pt>
                <c:pt idx="598">
                  <c:v>156</c:v>
                </c:pt>
                <c:pt idx="599">
                  <c:v>239</c:v>
                </c:pt>
                <c:pt idx="600">
                  <c:v>191</c:v>
                </c:pt>
                <c:pt idx="601">
                  <c:v>278</c:v>
                </c:pt>
                <c:pt idx="602">
                  <c:v>139</c:v>
                </c:pt>
                <c:pt idx="603">
                  <c:v>191</c:v>
                </c:pt>
                <c:pt idx="604">
                  <c:v>222</c:v>
                </c:pt>
                <c:pt idx="605">
                  <c:v>181</c:v>
                </c:pt>
                <c:pt idx="606">
                  <c:v>112</c:v>
                </c:pt>
                <c:pt idx="607">
                  <c:v>242</c:v>
                </c:pt>
                <c:pt idx="608">
                  <c:v>187</c:v>
                </c:pt>
                <c:pt idx="609">
                  <c:v>225</c:v>
                </c:pt>
                <c:pt idx="610">
                  <c:v>264</c:v>
                </c:pt>
                <c:pt idx="611">
                  <c:v>69</c:v>
                </c:pt>
                <c:pt idx="612">
                  <c:v>175</c:v>
                </c:pt>
                <c:pt idx="613">
                  <c:v>166</c:v>
                </c:pt>
                <c:pt idx="614">
                  <c:v>254</c:v>
                </c:pt>
                <c:pt idx="615">
                  <c:v>325</c:v>
                </c:pt>
                <c:pt idx="616">
                  <c:v>218</c:v>
                </c:pt>
                <c:pt idx="617">
                  <c:v>326</c:v>
                </c:pt>
                <c:pt idx="618">
                  <c:v>232</c:v>
                </c:pt>
                <c:pt idx="619">
                  <c:v>188</c:v>
                </c:pt>
                <c:pt idx="620">
                  <c:v>309</c:v>
                </c:pt>
                <c:pt idx="621">
                  <c:v>252</c:v>
                </c:pt>
                <c:pt idx="622">
                  <c:v>291</c:v>
                </c:pt>
                <c:pt idx="623">
                  <c:v>268</c:v>
                </c:pt>
                <c:pt idx="624">
                  <c:v>191</c:v>
                </c:pt>
                <c:pt idx="625">
                  <c:v>271</c:v>
                </c:pt>
                <c:pt idx="626">
                  <c:v>71</c:v>
                </c:pt>
                <c:pt idx="627">
                  <c:v>284</c:v>
                </c:pt>
                <c:pt idx="628">
                  <c:v>331</c:v>
                </c:pt>
                <c:pt idx="629">
                  <c:v>174</c:v>
                </c:pt>
                <c:pt idx="630">
                  <c:v>302</c:v>
                </c:pt>
                <c:pt idx="631">
                  <c:v>125</c:v>
                </c:pt>
                <c:pt idx="632">
                  <c:v>155</c:v>
                </c:pt>
                <c:pt idx="633">
                  <c:v>306</c:v>
                </c:pt>
                <c:pt idx="634">
                  <c:v>237</c:v>
                </c:pt>
                <c:pt idx="635">
                  <c:v>273</c:v>
                </c:pt>
                <c:pt idx="636">
                  <c:v>108</c:v>
                </c:pt>
                <c:pt idx="637">
                  <c:v>212</c:v>
                </c:pt>
                <c:pt idx="638">
                  <c:v>237</c:v>
                </c:pt>
                <c:pt idx="639">
                  <c:v>197</c:v>
                </c:pt>
                <c:pt idx="640">
                  <c:v>41</c:v>
                </c:pt>
                <c:pt idx="641">
                  <c:v>258</c:v>
                </c:pt>
                <c:pt idx="642">
                  <c:v>371</c:v>
                </c:pt>
                <c:pt idx="643">
                  <c:v>143</c:v>
                </c:pt>
                <c:pt idx="644">
                  <c:v>289</c:v>
                </c:pt>
                <c:pt idx="645">
                  <c:v>118</c:v>
                </c:pt>
                <c:pt idx="646">
                  <c:v>130</c:v>
                </c:pt>
                <c:pt idx="647">
                  <c:v>214</c:v>
                </c:pt>
                <c:pt idx="648">
                  <c:v>197</c:v>
                </c:pt>
                <c:pt idx="649">
                  <c:v>183</c:v>
                </c:pt>
                <c:pt idx="650">
                  <c:v>139</c:v>
                </c:pt>
                <c:pt idx="651">
                  <c:v>220</c:v>
                </c:pt>
                <c:pt idx="652">
                  <c:v>141</c:v>
                </c:pt>
                <c:pt idx="653">
                  <c:v>211</c:v>
                </c:pt>
                <c:pt idx="654">
                  <c:v>228</c:v>
                </c:pt>
                <c:pt idx="655">
                  <c:v>190</c:v>
                </c:pt>
                <c:pt idx="656">
                  <c:v>42</c:v>
                </c:pt>
                <c:pt idx="657">
                  <c:v>249</c:v>
                </c:pt>
                <c:pt idx="658">
                  <c:v>196</c:v>
                </c:pt>
                <c:pt idx="659">
                  <c:v>179</c:v>
                </c:pt>
                <c:pt idx="660">
                  <c:v>81</c:v>
                </c:pt>
                <c:pt idx="661">
                  <c:v>378</c:v>
                </c:pt>
                <c:pt idx="662">
                  <c:v>195</c:v>
                </c:pt>
                <c:pt idx="663">
                  <c:v>153</c:v>
                </c:pt>
                <c:pt idx="664">
                  <c:v>270</c:v>
                </c:pt>
                <c:pt idx="665">
                  <c:v>214</c:v>
                </c:pt>
                <c:pt idx="666">
                  <c:v>149</c:v>
                </c:pt>
                <c:pt idx="667">
                  <c:v>229</c:v>
                </c:pt>
                <c:pt idx="668">
                  <c:v>105</c:v>
                </c:pt>
                <c:pt idx="669">
                  <c:v>212</c:v>
                </c:pt>
                <c:pt idx="670">
                  <c:v>92</c:v>
                </c:pt>
                <c:pt idx="671">
                  <c:v>240</c:v>
                </c:pt>
                <c:pt idx="672">
                  <c:v>237</c:v>
                </c:pt>
                <c:pt idx="673">
                  <c:v>-50</c:v>
                </c:pt>
                <c:pt idx="674">
                  <c:v>168</c:v>
                </c:pt>
                <c:pt idx="675">
                  <c:v>219</c:v>
                </c:pt>
                <c:pt idx="676">
                  <c:v>63</c:v>
                </c:pt>
                <c:pt idx="677">
                  <c:v>175</c:v>
                </c:pt>
                <c:pt idx="678">
                  <c:v>193</c:v>
                </c:pt>
                <c:pt idx="679">
                  <c:v>195</c:v>
                </c:pt>
                <c:pt idx="680">
                  <c:v>221</c:v>
                </c:pt>
                <c:pt idx="681">
                  <c:v>195</c:v>
                </c:pt>
                <c:pt idx="682">
                  <c:v>234</c:v>
                </c:pt>
                <c:pt idx="683">
                  <c:v>161</c:v>
                </c:pt>
                <c:pt idx="684">
                  <c:v>315</c:v>
                </c:pt>
                <c:pt idx="685">
                  <c:v>289</c:v>
                </c:pt>
                <c:pt idx="686">
                  <c:v>-1683</c:v>
                </c:pt>
                <c:pt idx="687">
                  <c:v>-20679</c:v>
                </c:pt>
                <c:pt idx="688">
                  <c:v>2833</c:v>
                </c:pt>
                <c:pt idx="689">
                  <c:v>4846</c:v>
                </c:pt>
                <c:pt idx="690">
                  <c:v>1726</c:v>
                </c:pt>
                <c:pt idx="691">
                  <c:v>1583</c:v>
                </c:pt>
                <c:pt idx="692">
                  <c:v>716</c:v>
                </c:pt>
                <c:pt idx="693">
                  <c:v>680</c:v>
                </c:pt>
                <c:pt idx="694">
                  <c:v>264</c:v>
                </c:pt>
                <c:pt idx="695">
                  <c:v>-306</c:v>
                </c:pt>
                <c:pt idx="696">
                  <c:v>233</c:v>
                </c:pt>
                <c:pt idx="697">
                  <c:v>536</c:v>
                </c:pt>
                <c:pt idx="698">
                  <c:v>785</c:v>
                </c:pt>
                <c:pt idx="699">
                  <c:v>269</c:v>
                </c:pt>
                <c:pt idx="700">
                  <c:v>614</c:v>
                </c:pt>
                <c:pt idx="701">
                  <c:v>962</c:v>
                </c:pt>
                <c:pt idx="702">
                  <c:v>1053</c:v>
                </c:pt>
                <c:pt idx="703">
                  <c:v>235</c:v>
                </c:pt>
              </c:numCache>
            </c:numRef>
          </c:val>
          <c:smooth val="0"/>
          <c:extLst>
            <c:ext xmlns:c16="http://schemas.microsoft.com/office/drawing/2014/chart" uri="{C3380CC4-5D6E-409C-BE32-E72D297353CC}">
              <c16:uniqueId val="{00000000-391E-4F7D-A01F-C92E7E23AF17}"/>
            </c:ext>
          </c:extLst>
        </c:ser>
        <c:dLbls>
          <c:showLegendKey val="0"/>
          <c:showVal val="0"/>
          <c:showCatName val="0"/>
          <c:showSerName val="0"/>
          <c:showPercent val="0"/>
          <c:showBubbleSize val="0"/>
        </c:dLbls>
        <c:smooth val="0"/>
        <c:axId val="1034261896"/>
        <c:axId val="1034262288"/>
      </c:lineChart>
      <c:dateAx>
        <c:axId val="1034261896"/>
        <c:scaling>
          <c:orientation val="minMax"/>
          <c:min val="23012"/>
        </c:scaling>
        <c:delete val="0"/>
        <c:axPos val="b"/>
        <c:numFmt formatCode="yyyy\-mm\-dd"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262288"/>
        <c:crosses val="autoZero"/>
        <c:auto val="1"/>
        <c:lblOffset val="100"/>
        <c:baseTimeUnit val="months"/>
      </c:dateAx>
      <c:valAx>
        <c:axId val="10342622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261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NFP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spPr>
            <a:ln w="28575" cap="rnd">
              <a:solidFill>
                <a:schemeClr val="accent3"/>
              </a:solidFill>
              <a:round/>
            </a:ln>
            <a:effectLst/>
          </c:spPr>
          <c:marker>
            <c:symbol val="none"/>
          </c:marker>
          <c:cat>
            <c:numRef>
              <c:f>NFP!$A$800:$A$1021</c:f>
              <c:numCache>
                <c:formatCode>yyyy\-mm\-dd</c:formatCode>
                <c:ptCount val="222"/>
                <c:pt idx="0">
                  <c:v>38231</c:v>
                </c:pt>
                <c:pt idx="1">
                  <c:v>38261</c:v>
                </c:pt>
                <c:pt idx="2">
                  <c:v>38292</c:v>
                </c:pt>
                <c:pt idx="3">
                  <c:v>38322</c:v>
                </c:pt>
                <c:pt idx="4">
                  <c:v>38353</c:v>
                </c:pt>
                <c:pt idx="5">
                  <c:v>38384</c:v>
                </c:pt>
                <c:pt idx="6">
                  <c:v>38412</c:v>
                </c:pt>
                <c:pt idx="7">
                  <c:v>38443</c:v>
                </c:pt>
                <c:pt idx="8">
                  <c:v>38473</c:v>
                </c:pt>
                <c:pt idx="9">
                  <c:v>38504</c:v>
                </c:pt>
                <c:pt idx="10">
                  <c:v>38534</c:v>
                </c:pt>
                <c:pt idx="11">
                  <c:v>38565</c:v>
                </c:pt>
                <c:pt idx="12">
                  <c:v>38596</c:v>
                </c:pt>
                <c:pt idx="13">
                  <c:v>38626</c:v>
                </c:pt>
                <c:pt idx="14">
                  <c:v>38657</c:v>
                </c:pt>
                <c:pt idx="15">
                  <c:v>38687</c:v>
                </c:pt>
                <c:pt idx="16">
                  <c:v>38718</c:v>
                </c:pt>
                <c:pt idx="17">
                  <c:v>38749</c:v>
                </c:pt>
                <c:pt idx="18">
                  <c:v>38777</c:v>
                </c:pt>
                <c:pt idx="19">
                  <c:v>38808</c:v>
                </c:pt>
                <c:pt idx="20">
                  <c:v>38838</c:v>
                </c:pt>
                <c:pt idx="21">
                  <c:v>38869</c:v>
                </c:pt>
                <c:pt idx="22">
                  <c:v>38899</c:v>
                </c:pt>
                <c:pt idx="23">
                  <c:v>38930</c:v>
                </c:pt>
                <c:pt idx="24">
                  <c:v>38961</c:v>
                </c:pt>
                <c:pt idx="25">
                  <c:v>38991</c:v>
                </c:pt>
                <c:pt idx="26">
                  <c:v>39022</c:v>
                </c:pt>
                <c:pt idx="27">
                  <c:v>39052</c:v>
                </c:pt>
                <c:pt idx="28">
                  <c:v>39083</c:v>
                </c:pt>
                <c:pt idx="29">
                  <c:v>39114</c:v>
                </c:pt>
                <c:pt idx="30">
                  <c:v>39142</c:v>
                </c:pt>
                <c:pt idx="31">
                  <c:v>39173</c:v>
                </c:pt>
                <c:pt idx="32">
                  <c:v>39203</c:v>
                </c:pt>
                <c:pt idx="33">
                  <c:v>39234</c:v>
                </c:pt>
                <c:pt idx="34">
                  <c:v>39264</c:v>
                </c:pt>
                <c:pt idx="35">
                  <c:v>39295</c:v>
                </c:pt>
                <c:pt idx="36">
                  <c:v>39326</c:v>
                </c:pt>
                <c:pt idx="37">
                  <c:v>39356</c:v>
                </c:pt>
                <c:pt idx="38">
                  <c:v>39387</c:v>
                </c:pt>
                <c:pt idx="39">
                  <c:v>39417</c:v>
                </c:pt>
                <c:pt idx="40">
                  <c:v>39448</c:v>
                </c:pt>
                <c:pt idx="41">
                  <c:v>39479</c:v>
                </c:pt>
                <c:pt idx="42">
                  <c:v>39508</c:v>
                </c:pt>
                <c:pt idx="43">
                  <c:v>39539</c:v>
                </c:pt>
                <c:pt idx="44">
                  <c:v>39569</c:v>
                </c:pt>
                <c:pt idx="45">
                  <c:v>39600</c:v>
                </c:pt>
                <c:pt idx="46">
                  <c:v>39630</c:v>
                </c:pt>
                <c:pt idx="47">
                  <c:v>39661</c:v>
                </c:pt>
                <c:pt idx="48">
                  <c:v>39692</c:v>
                </c:pt>
                <c:pt idx="49">
                  <c:v>39722</c:v>
                </c:pt>
                <c:pt idx="50">
                  <c:v>39753</c:v>
                </c:pt>
                <c:pt idx="51">
                  <c:v>39783</c:v>
                </c:pt>
                <c:pt idx="52">
                  <c:v>39814</c:v>
                </c:pt>
                <c:pt idx="53">
                  <c:v>39845</c:v>
                </c:pt>
                <c:pt idx="54">
                  <c:v>39873</c:v>
                </c:pt>
                <c:pt idx="55">
                  <c:v>39904</c:v>
                </c:pt>
                <c:pt idx="56">
                  <c:v>39934</c:v>
                </c:pt>
                <c:pt idx="57">
                  <c:v>39965</c:v>
                </c:pt>
                <c:pt idx="58">
                  <c:v>39995</c:v>
                </c:pt>
                <c:pt idx="59">
                  <c:v>40026</c:v>
                </c:pt>
                <c:pt idx="60">
                  <c:v>40057</c:v>
                </c:pt>
                <c:pt idx="61">
                  <c:v>40087</c:v>
                </c:pt>
                <c:pt idx="62">
                  <c:v>40118</c:v>
                </c:pt>
                <c:pt idx="63">
                  <c:v>40148</c:v>
                </c:pt>
                <c:pt idx="64">
                  <c:v>40179</c:v>
                </c:pt>
                <c:pt idx="65">
                  <c:v>40210</c:v>
                </c:pt>
                <c:pt idx="66">
                  <c:v>40238</c:v>
                </c:pt>
                <c:pt idx="67">
                  <c:v>40269</c:v>
                </c:pt>
                <c:pt idx="68">
                  <c:v>40299</c:v>
                </c:pt>
                <c:pt idx="69">
                  <c:v>40330</c:v>
                </c:pt>
                <c:pt idx="70">
                  <c:v>40360</c:v>
                </c:pt>
                <c:pt idx="71">
                  <c:v>40391</c:v>
                </c:pt>
                <c:pt idx="72">
                  <c:v>40422</c:v>
                </c:pt>
                <c:pt idx="73">
                  <c:v>40452</c:v>
                </c:pt>
                <c:pt idx="74">
                  <c:v>40483</c:v>
                </c:pt>
                <c:pt idx="75">
                  <c:v>40513</c:v>
                </c:pt>
                <c:pt idx="76">
                  <c:v>40544</c:v>
                </c:pt>
                <c:pt idx="77">
                  <c:v>40575</c:v>
                </c:pt>
                <c:pt idx="78">
                  <c:v>40603</c:v>
                </c:pt>
                <c:pt idx="79">
                  <c:v>40634</c:v>
                </c:pt>
                <c:pt idx="80">
                  <c:v>40664</c:v>
                </c:pt>
                <c:pt idx="81">
                  <c:v>40695</c:v>
                </c:pt>
                <c:pt idx="82">
                  <c:v>40725</c:v>
                </c:pt>
                <c:pt idx="83">
                  <c:v>40756</c:v>
                </c:pt>
                <c:pt idx="84">
                  <c:v>40787</c:v>
                </c:pt>
                <c:pt idx="85">
                  <c:v>40817</c:v>
                </c:pt>
                <c:pt idx="86">
                  <c:v>40848</c:v>
                </c:pt>
                <c:pt idx="87">
                  <c:v>40878</c:v>
                </c:pt>
                <c:pt idx="88">
                  <c:v>40909</c:v>
                </c:pt>
                <c:pt idx="89">
                  <c:v>40940</c:v>
                </c:pt>
                <c:pt idx="90">
                  <c:v>40969</c:v>
                </c:pt>
                <c:pt idx="91">
                  <c:v>41000</c:v>
                </c:pt>
                <c:pt idx="92">
                  <c:v>41030</c:v>
                </c:pt>
                <c:pt idx="93">
                  <c:v>41061</c:v>
                </c:pt>
                <c:pt idx="94">
                  <c:v>41091</c:v>
                </c:pt>
                <c:pt idx="95">
                  <c:v>41122</c:v>
                </c:pt>
                <c:pt idx="96">
                  <c:v>41153</c:v>
                </c:pt>
                <c:pt idx="97">
                  <c:v>41183</c:v>
                </c:pt>
                <c:pt idx="98">
                  <c:v>41214</c:v>
                </c:pt>
                <c:pt idx="99">
                  <c:v>41244</c:v>
                </c:pt>
                <c:pt idx="100">
                  <c:v>41275</c:v>
                </c:pt>
                <c:pt idx="101">
                  <c:v>41306</c:v>
                </c:pt>
                <c:pt idx="102">
                  <c:v>41334</c:v>
                </c:pt>
                <c:pt idx="103">
                  <c:v>41365</c:v>
                </c:pt>
                <c:pt idx="104">
                  <c:v>41395</c:v>
                </c:pt>
                <c:pt idx="105">
                  <c:v>41426</c:v>
                </c:pt>
                <c:pt idx="106">
                  <c:v>41456</c:v>
                </c:pt>
                <c:pt idx="107">
                  <c:v>41487</c:v>
                </c:pt>
                <c:pt idx="108">
                  <c:v>41518</c:v>
                </c:pt>
                <c:pt idx="109">
                  <c:v>41548</c:v>
                </c:pt>
                <c:pt idx="110">
                  <c:v>41579</c:v>
                </c:pt>
                <c:pt idx="111">
                  <c:v>41609</c:v>
                </c:pt>
                <c:pt idx="112">
                  <c:v>41640</c:v>
                </c:pt>
                <c:pt idx="113">
                  <c:v>41671</c:v>
                </c:pt>
                <c:pt idx="114">
                  <c:v>41699</c:v>
                </c:pt>
                <c:pt idx="115">
                  <c:v>41730</c:v>
                </c:pt>
                <c:pt idx="116">
                  <c:v>41760</c:v>
                </c:pt>
                <c:pt idx="117">
                  <c:v>41791</c:v>
                </c:pt>
                <c:pt idx="118">
                  <c:v>41821</c:v>
                </c:pt>
                <c:pt idx="119">
                  <c:v>41852</c:v>
                </c:pt>
                <c:pt idx="120">
                  <c:v>41883</c:v>
                </c:pt>
                <c:pt idx="121">
                  <c:v>41913</c:v>
                </c:pt>
                <c:pt idx="122">
                  <c:v>41944</c:v>
                </c:pt>
                <c:pt idx="123">
                  <c:v>41974</c:v>
                </c:pt>
                <c:pt idx="124">
                  <c:v>42005</c:v>
                </c:pt>
                <c:pt idx="125">
                  <c:v>42036</c:v>
                </c:pt>
                <c:pt idx="126">
                  <c:v>42064</c:v>
                </c:pt>
                <c:pt idx="127">
                  <c:v>42095</c:v>
                </c:pt>
                <c:pt idx="128">
                  <c:v>42125</c:v>
                </c:pt>
                <c:pt idx="129">
                  <c:v>42156</c:v>
                </c:pt>
                <c:pt idx="130">
                  <c:v>42186</c:v>
                </c:pt>
                <c:pt idx="131">
                  <c:v>42217</c:v>
                </c:pt>
                <c:pt idx="132">
                  <c:v>42248</c:v>
                </c:pt>
                <c:pt idx="133">
                  <c:v>42278</c:v>
                </c:pt>
                <c:pt idx="134">
                  <c:v>42309</c:v>
                </c:pt>
                <c:pt idx="135">
                  <c:v>42339</c:v>
                </c:pt>
                <c:pt idx="136">
                  <c:v>42370</c:v>
                </c:pt>
                <c:pt idx="137">
                  <c:v>42401</c:v>
                </c:pt>
                <c:pt idx="138">
                  <c:v>42430</c:v>
                </c:pt>
                <c:pt idx="139">
                  <c:v>42461</c:v>
                </c:pt>
                <c:pt idx="140">
                  <c:v>42491</c:v>
                </c:pt>
                <c:pt idx="141">
                  <c:v>42522</c:v>
                </c:pt>
                <c:pt idx="142">
                  <c:v>42552</c:v>
                </c:pt>
                <c:pt idx="143">
                  <c:v>42583</c:v>
                </c:pt>
                <c:pt idx="144">
                  <c:v>42614</c:v>
                </c:pt>
                <c:pt idx="145">
                  <c:v>42644</c:v>
                </c:pt>
                <c:pt idx="146">
                  <c:v>42675</c:v>
                </c:pt>
                <c:pt idx="147">
                  <c:v>42705</c:v>
                </c:pt>
                <c:pt idx="148">
                  <c:v>42736</c:v>
                </c:pt>
                <c:pt idx="149">
                  <c:v>42767</c:v>
                </c:pt>
                <c:pt idx="150">
                  <c:v>42795</c:v>
                </c:pt>
                <c:pt idx="151">
                  <c:v>42826</c:v>
                </c:pt>
                <c:pt idx="152">
                  <c:v>42856</c:v>
                </c:pt>
                <c:pt idx="153">
                  <c:v>42887</c:v>
                </c:pt>
                <c:pt idx="154">
                  <c:v>42917</c:v>
                </c:pt>
                <c:pt idx="155">
                  <c:v>42948</c:v>
                </c:pt>
                <c:pt idx="156">
                  <c:v>42979</c:v>
                </c:pt>
                <c:pt idx="157">
                  <c:v>43009</c:v>
                </c:pt>
                <c:pt idx="158">
                  <c:v>43040</c:v>
                </c:pt>
                <c:pt idx="159">
                  <c:v>43070</c:v>
                </c:pt>
                <c:pt idx="160">
                  <c:v>43101</c:v>
                </c:pt>
                <c:pt idx="161">
                  <c:v>43132</c:v>
                </c:pt>
                <c:pt idx="162">
                  <c:v>43160</c:v>
                </c:pt>
                <c:pt idx="163">
                  <c:v>43191</c:v>
                </c:pt>
                <c:pt idx="164">
                  <c:v>43221</c:v>
                </c:pt>
                <c:pt idx="165">
                  <c:v>43252</c:v>
                </c:pt>
                <c:pt idx="166">
                  <c:v>43282</c:v>
                </c:pt>
                <c:pt idx="167">
                  <c:v>43313</c:v>
                </c:pt>
                <c:pt idx="168">
                  <c:v>43344</c:v>
                </c:pt>
                <c:pt idx="169">
                  <c:v>43374</c:v>
                </c:pt>
                <c:pt idx="170">
                  <c:v>43405</c:v>
                </c:pt>
                <c:pt idx="171">
                  <c:v>43435</c:v>
                </c:pt>
                <c:pt idx="172">
                  <c:v>43466</c:v>
                </c:pt>
                <c:pt idx="173">
                  <c:v>43497</c:v>
                </c:pt>
                <c:pt idx="174">
                  <c:v>43525</c:v>
                </c:pt>
                <c:pt idx="175">
                  <c:v>43556</c:v>
                </c:pt>
                <c:pt idx="176">
                  <c:v>43586</c:v>
                </c:pt>
                <c:pt idx="177">
                  <c:v>43617</c:v>
                </c:pt>
                <c:pt idx="178">
                  <c:v>43647</c:v>
                </c:pt>
                <c:pt idx="179">
                  <c:v>43678</c:v>
                </c:pt>
                <c:pt idx="180">
                  <c:v>43709</c:v>
                </c:pt>
                <c:pt idx="181">
                  <c:v>43739</c:v>
                </c:pt>
                <c:pt idx="182">
                  <c:v>43770</c:v>
                </c:pt>
                <c:pt idx="183">
                  <c:v>43800</c:v>
                </c:pt>
                <c:pt idx="184">
                  <c:v>43831</c:v>
                </c:pt>
                <c:pt idx="185">
                  <c:v>43862</c:v>
                </c:pt>
                <c:pt idx="186">
                  <c:v>43891</c:v>
                </c:pt>
                <c:pt idx="187">
                  <c:v>43922</c:v>
                </c:pt>
                <c:pt idx="188">
                  <c:v>43952</c:v>
                </c:pt>
                <c:pt idx="189">
                  <c:v>43983</c:v>
                </c:pt>
                <c:pt idx="190">
                  <c:v>44013</c:v>
                </c:pt>
                <c:pt idx="191">
                  <c:v>44044</c:v>
                </c:pt>
                <c:pt idx="192">
                  <c:v>44075</c:v>
                </c:pt>
                <c:pt idx="193">
                  <c:v>44105</c:v>
                </c:pt>
                <c:pt idx="194">
                  <c:v>44136</c:v>
                </c:pt>
                <c:pt idx="195">
                  <c:v>44166</c:v>
                </c:pt>
                <c:pt idx="196">
                  <c:v>44197</c:v>
                </c:pt>
                <c:pt idx="197">
                  <c:v>44228</c:v>
                </c:pt>
                <c:pt idx="198">
                  <c:v>44256</c:v>
                </c:pt>
                <c:pt idx="199">
                  <c:v>44287</c:v>
                </c:pt>
                <c:pt idx="200">
                  <c:v>44317</c:v>
                </c:pt>
                <c:pt idx="201">
                  <c:v>44348</c:v>
                </c:pt>
                <c:pt idx="202">
                  <c:v>44378</c:v>
                </c:pt>
                <c:pt idx="203">
                  <c:v>44409</c:v>
                </c:pt>
              </c:numCache>
            </c:numRef>
          </c:cat>
          <c:val>
            <c:numRef>
              <c:f>NFP!$C$800:$C$1021</c:f>
              <c:numCache>
                <c:formatCode>0</c:formatCode>
                <c:ptCount val="222"/>
                <c:pt idx="0">
                  <c:v>156</c:v>
                </c:pt>
                <c:pt idx="1">
                  <c:v>354</c:v>
                </c:pt>
                <c:pt idx="2">
                  <c:v>56</c:v>
                </c:pt>
                <c:pt idx="3">
                  <c:v>121</c:v>
                </c:pt>
                <c:pt idx="4">
                  <c:v>150</c:v>
                </c:pt>
                <c:pt idx="5">
                  <c:v>258</c:v>
                </c:pt>
                <c:pt idx="6">
                  <c:v>124</c:v>
                </c:pt>
                <c:pt idx="7">
                  <c:v>362</c:v>
                </c:pt>
                <c:pt idx="8">
                  <c:v>172</c:v>
                </c:pt>
                <c:pt idx="9">
                  <c:v>252</c:v>
                </c:pt>
                <c:pt idx="10">
                  <c:v>354</c:v>
                </c:pt>
                <c:pt idx="11">
                  <c:v>202</c:v>
                </c:pt>
                <c:pt idx="12">
                  <c:v>68</c:v>
                </c:pt>
                <c:pt idx="13">
                  <c:v>89</c:v>
                </c:pt>
                <c:pt idx="14">
                  <c:v>338</c:v>
                </c:pt>
                <c:pt idx="15">
                  <c:v>156</c:v>
                </c:pt>
                <c:pt idx="16">
                  <c:v>280</c:v>
                </c:pt>
                <c:pt idx="17">
                  <c:v>308</c:v>
                </c:pt>
                <c:pt idx="18">
                  <c:v>310</c:v>
                </c:pt>
                <c:pt idx="19">
                  <c:v>158</c:v>
                </c:pt>
                <c:pt idx="20">
                  <c:v>39</c:v>
                </c:pt>
                <c:pt idx="21">
                  <c:v>81</c:v>
                </c:pt>
                <c:pt idx="22">
                  <c:v>195</c:v>
                </c:pt>
                <c:pt idx="23">
                  <c:v>174</c:v>
                </c:pt>
                <c:pt idx="24">
                  <c:v>149</c:v>
                </c:pt>
                <c:pt idx="25">
                  <c:v>9</c:v>
                </c:pt>
                <c:pt idx="26">
                  <c:v>211</c:v>
                </c:pt>
                <c:pt idx="27">
                  <c:v>186</c:v>
                </c:pt>
                <c:pt idx="28">
                  <c:v>228</c:v>
                </c:pt>
                <c:pt idx="29">
                  <c:v>81</c:v>
                </c:pt>
                <c:pt idx="30">
                  <c:v>235</c:v>
                </c:pt>
                <c:pt idx="31">
                  <c:v>49</c:v>
                </c:pt>
                <c:pt idx="32">
                  <c:v>151</c:v>
                </c:pt>
                <c:pt idx="33">
                  <c:v>76</c:v>
                </c:pt>
                <c:pt idx="34">
                  <c:v>-31</c:v>
                </c:pt>
                <c:pt idx="35">
                  <c:v>-23</c:v>
                </c:pt>
                <c:pt idx="36">
                  <c:v>80</c:v>
                </c:pt>
                <c:pt idx="37">
                  <c:v>79</c:v>
                </c:pt>
                <c:pt idx="38">
                  <c:v>110</c:v>
                </c:pt>
                <c:pt idx="39">
                  <c:v>108</c:v>
                </c:pt>
                <c:pt idx="40">
                  <c:v>11</c:v>
                </c:pt>
                <c:pt idx="41">
                  <c:v>-79</c:v>
                </c:pt>
                <c:pt idx="42">
                  <c:v>-49</c:v>
                </c:pt>
                <c:pt idx="43">
                  <c:v>-240</c:v>
                </c:pt>
                <c:pt idx="44">
                  <c:v>-177</c:v>
                </c:pt>
                <c:pt idx="45">
                  <c:v>-171</c:v>
                </c:pt>
                <c:pt idx="46">
                  <c:v>-196</c:v>
                </c:pt>
                <c:pt idx="47">
                  <c:v>-278</c:v>
                </c:pt>
                <c:pt idx="48">
                  <c:v>-460</c:v>
                </c:pt>
                <c:pt idx="49">
                  <c:v>-481</c:v>
                </c:pt>
                <c:pt idx="50">
                  <c:v>-727</c:v>
                </c:pt>
                <c:pt idx="51">
                  <c:v>-706</c:v>
                </c:pt>
                <c:pt idx="52">
                  <c:v>-784</c:v>
                </c:pt>
                <c:pt idx="53">
                  <c:v>-743</c:v>
                </c:pt>
                <c:pt idx="54">
                  <c:v>-800</c:v>
                </c:pt>
                <c:pt idx="55">
                  <c:v>-695</c:v>
                </c:pt>
                <c:pt idx="56">
                  <c:v>-342</c:v>
                </c:pt>
                <c:pt idx="57">
                  <c:v>-467</c:v>
                </c:pt>
                <c:pt idx="58">
                  <c:v>-340</c:v>
                </c:pt>
                <c:pt idx="59">
                  <c:v>-183</c:v>
                </c:pt>
                <c:pt idx="60">
                  <c:v>-241</c:v>
                </c:pt>
                <c:pt idx="61">
                  <c:v>-199</c:v>
                </c:pt>
                <c:pt idx="62">
                  <c:v>12</c:v>
                </c:pt>
                <c:pt idx="63">
                  <c:v>-269</c:v>
                </c:pt>
                <c:pt idx="64">
                  <c:v>2</c:v>
                </c:pt>
                <c:pt idx="65">
                  <c:v>-92</c:v>
                </c:pt>
                <c:pt idx="66">
                  <c:v>181</c:v>
                </c:pt>
                <c:pt idx="67">
                  <c:v>231</c:v>
                </c:pt>
                <c:pt idx="68">
                  <c:v>540</c:v>
                </c:pt>
                <c:pt idx="69">
                  <c:v>-139</c:v>
                </c:pt>
                <c:pt idx="70">
                  <c:v>-84</c:v>
                </c:pt>
                <c:pt idx="71">
                  <c:v>-5</c:v>
                </c:pt>
                <c:pt idx="72">
                  <c:v>-65</c:v>
                </c:pt>
                <c:pt idx="73">
                  <c:v>268</c:v>
                </c:pt>
                <c:pt idx="74">
                  <c:v>125</c:v>
                </c:pt>
                <c:pt idx="75">
                  <c:v>72</c:v>
                </c:pt>
                <c:pt idx="76">
                  <c:v>19</c:v>
                </c:pt>
                <c:pt idx="77">
                  <c:v>212</c:v>
                </c:pt>
                <c:pt idx="78">
                  <c:v>235</c:v>
                </c:pt>
                <c:pt idx="79">
                  <c:v>314</c:v>
                </c:pt>
                <c:pt idx="80">
                  <c:v>101</c:v>
                </c:pt>
                <c:pt idx="81">
                  <c:v>236</c:v>
                </c:pt>
                <c:pt idx="82">
                  <c:v>60</c:v>
                </c:pt>
                <c:pt idx="83">
                  <c:v>126</c:v>
                </c:pt>
                <c:pt idx="84">
                  <c:v>233</c:v>
                </c:pt>
                <c:pt idx="85">
                  <c:v>204</c:v>
                </c:pt>
                <c:pt idx="86">
                  <c:v>132</c:v>
                </c:pt>
                <c:pt idx="87">
                  <c:v>202</c:v>
                </c:pt>
                <c:pt idx="88">
                  <c:v>354</c:v>
                </c:pt>
                <c:pt idx="89">
                  <c:v>262</c:v>
                </c:pt>
                <c:pt idx="90">
                  <c:v>240</c:v>
                </c:pt>
                <c:pt idx="91">
                  <c:v>82</c:v>
                </c:pt>
                <c:pt idx="92">
                  <c:v>100</c:v>
                </c:pt>
                <c:pt idx="93">
                  <c:v>73</c:v>
                </c:pt>
                <c:pt idx="94">
                  <c:v>152</c:v>
                </c:pt>
                <c:pt idx="95">
                  <c:v>172</c:v>
                </c:pt>
                <c:pt idx="96">
                  <c:v>187</c:v>
                </c:pt>
                <c:pt idx="97">
                  <c:v>159</c:v>
                </c:pt>
                <c:pt idx="98">
                  <c:v>156</c:v>
                </c:pt>
                <c:pt idx="99">
                  <c:v>239</c:v>
                </c:pt>
                <c:pt idx="100">
                  <c:v>191</c:v>
                </c:pt>
                <c:pt idx="101">
                  <c:v>278</c:v>
                </c:pt>
                <c:pt idx="102">
                  <c:v>139</c:v>
                </c:pt>
                <c:pt idx="103">
                  <c:v>191</c:v>
                </c:pt>
                <c:pt idx="104">
                  <c:v>222</c:v>
                </c:pt>
                <c:pt idx="105">
                  <c:v>181</c:v>
                </c:pt>
                <c:pt idx="106">
                  <c:v>112</c:v>
                </c:pt>
                <c:pt idx="107">
                  <c:v>242</c:v>
                </c:pt>
                <c:pt idx="108">
                  <c:v>187</c:v>
                </c:pt>
                <c:pt idx="109">
                  <c:v>225</c:v>
                </c:pt>
                <c:pt idx="110">
                  <c:v>264</c:v>
                </c:pt>
                <c:pt idx="111">
                  <c:v>69</c:v>
                </c:pt>
                <c:pt idx="112">
                  <c:v>175</c:v>
                </c:pt>
                <c:pt idx="113">
                  <c:v>166</c:v>
                </c:pt>
                <c:pt idx="114">
                  <c:v>254</c:v>
                </c:pt>
                <c:pt idx="115">
                  <c:v>325</c:v>
                </c:pt>
                <c:pt idx="116">
                  <c:v>218</c:v>
                </c:pt>
                <c:pt idx="117">
                  <c:v>326</c:v>
                </c:pt>
                <c:pt idx="118">
                  <c:v>232</c:v>
                </c:pt>
                <c:pt idx="119">
                  <c:v>188</c:v>
                </c:pt>
                <c:pt idx="120">
                  <c:v>309</c:v>
                </c:pt>
                <c:pt idx="121">
                  <c:v>252</c:v>
                </c:pt>
                <c:pt idx="122">
                  <c:v>291</c:v>
                </c:pt>
                <c:pt idx="123">
                  <c:v>268</c:v>
                </c:pt>
                <c:pt idx="124">
                  <c:v>191</c:v>
                </c:pt>
                <c:pt idx="125">
                  <c:v>271</c:v>
                </c:pt>
                <c:pt idx="126">
                  <c:v>71</c:v>
                </c:pt>
                <c:pt idx="127">
                  <c:v>284</c:v>
                </c:pt>
                <c:pt idx="128">
                  <c:v>331</c:v>
                </c:pt>
                <c:pt idx="129">
                  <c:v>174</c:v>
                </c:pt>
                <c:pt idx="130">
                  <c:v>302</c:v>
                </c:pt>
                <c:pt idx="131">
                  <c:v>125</c:v>
                </c:pt>
                <c:pt idx="132">
                  <c:v>155</c:v>
                </c:pt>
                <c:pt idx="133">
                  <c:v>306</c:v>
                </c:pt>
                <c:pt idx="134">
                  <c:v>237</c:v>
                </c:pt>
                <c:pt idx="135">
                  <c:v>273</c:v>
                </c:pt>
                <c:pt idx="136">
                  <c:v>108</c:v>
                </c:pt>
                <c:pt idx="137">
                  <c:v>212</c:v>
                </c:pt>
                <c:pt idx="138">
                  <c:v>237</c:v>
                </c:pt>
                <c:pt idx="139">
                  <c:v>197</c:v>
                </c:pt>
                <c:pt idx="140">
                  <c:v>41</c:v>
                </c:pt>
                <c:pt idx="141">
                  <c:v>258</c:v>
                </c:pt>
                <c:pt idx="142">
                  <c:v>371</c:v>
                </c:pt>
                <c:pt idx="143">
                  <c:v>143</c:v>
                </c:pt>
                <c:pt idx="144">
                  <c:v>289</c:v>
                </c:pt>
                <c:pt idx="145">
                  <c:v>118</c:v>
                </c:pt>
                <c:pt idx="146">
                  <c:v>130</c:v>
                </c:pt>
                <c:pt idx="147">
                  <c:v>214</c:v>
                </c:pt>
                <c:pt idx="148">
                  <c:v>197</c:v>
                </c:pt>
                <c:pt idx="149">
                  <c:v>183</c:v>
                </c:pt>
                <c:pt idx="150">
                  <c:v>139</c:v>
                </c:pt>
                <c:pt idx="151">
                  <c:v>220</c:v>
                </c:pt>
                <c:pt idx="152">
                  <c:v>141</c:v>
                </c:pt>
                <c:pt idx="153">
                  <c:v>211</c:v>
                </c:pt>
                <c:pt idx="154">
                  <c:v>228</c:v>
                </c:pt>
                <c:pt idx="155">
                  <c:v>190</c:v>
                </c:pt>
                <c:pt idx="156">
                  <c:v>42</c:v>
                </c:pt>
                <c:pt idx="157">
                  <c:v>249</c:v>
                </c:pt>
                <c:pt idx="158">
                  <c:v>196</c:v>
                </c:pt>
                <c:pt idx="159">
                  <c:v>179</c:v>
                </c:pt>
                <c:pt idx="160">
                  <c:v>81</c:v>
                </c:pt>
                <c:pt idx="161">
                  <c:v>378</c:v>
                </c:pt>
                <c:pt idx="162">
                  <c:v>195</c:v>
                </c:pt>
                <c:pt idx="163">
                  <c:v>153</c:v>
                </c:pt>
                <c:pt idx="164">
                  <c:v>270</c:v>
                </c:pt>
                <c:pt idx="165">
                  <c:v>214</c:v>
                </c:pt>
                <c:pt idx="166">
                  <c:v>149</c:v>
                </c:pt>
                <c:pt idx="167">
                  <c:v>229</c:v>
                </c:pt>
                <c:pt idx="168">
                  <c:v>105</c:v>
                </c:pt>
                <c:pt idx="169">
                  <c:v>212</c:v>
                </c:pt>
                <c:pt idx="170">
                  <c:v>92</c:v>
                </c:pt>
                <c:pt idx="171">
                  <c:v>240</c:v>
                </c:pt>
                <c:pt idx="172">
                  <c:v>237</c:v>
                </c:pt>
                <c:pt idx="173">
                  <c:v>-50</c:v>
                </c:pt>
                <c:pt idx="174">
                  <c:v>168</c:v>
                </c:pt>
                <c:pt idx="175">
                  <c:v>219</c:v>
                </c:pt>
                <c:pt idx="176">
                  <c:v>63</c:v>
                </c:pt>
                <c:pt idx="177">
                  <c:v>175</c:v>
                </c:pt>
                <c:pt idx="178">
                  <c:v>193</c:v>
                </c:pt>
                <c:pt idx="179">
                  <c:v>195</c:v>
                </c:pt>
                <c:pt idx="180">
                  <c:v>221</c:v>
                </c:pt>
                <c:pt idx="181">
                  <c:v>195</c:v>
                </c:pt>
                <c:pt idx="182">
                  <c:v>234</c:v>
                </c:pt>
                <c:pt idx="183">
                  <c:v>161</c:v>
                </c:pt>
                <c:pt idx="184">
                  <c:v>315</c:v>
                </c:pt>
                <c:pt idx="185">
                  <c:v>289</c:v>
                </c:pt>
                <c:pt idx="186">
                  <c:v>-1683</c:v>
                </c:pt>
                <c:pt idx="187">
                  <c:v>-20679</c:v>
                </c:pt>
                <c:pt idx="188">
                  <c:v>2833</c:v>
                </c:pt>
                <c:pt idx="189">
                  <c:v>4846</c:v>
                </c:pt>
                <c:pt idx="190">
                  <c:v>1726</c:v>
                </c:pt>
                <c:pt idx="191">
                  <c:v>1583</c:v>
                </c:pt>
                <c:pt idx="192">
                  <c:v>716</c:v>
                </c:pt>
                <c:pt idx="193">
                  <c:v>680</c:v>
                </c:pt>
                <c:pt idx="194">
                  <c:v>264</c:v>
                </c:pt>
                <c:pt idx="195">
                  <c:v>-306</c:v>
                </c:pt>
                <c:pt idx="196">
                  <c:v>233</c:v>
                </c:pt>
                <c:pt idx="197">
                  <c:v>536</c:v>
                </c:pt>
                <c:pt idx="198">
                  <c:v>785</c:v>
                </c:pt>
                <c:pt idx="199">
                  <c:v>269</c:v>
                </c:pt>
                <c:pt idx="200">
                  <c:v>614</c:v>
                </c:pt>
                <c:pt idx="201">
                  <c:v>962</c:v>
                </c:pt>
                <c:pt idx="202">
                  <c:v>1053</c:v>
                </c:pt>
                <c:pt idx="203">
                  <c:v>235</c:v>
                </c:pt>
              </c:numCache>
            </c:numRef>
          </c:val>
          <c:smooth val="0"/>
          <c:extLst>
            <c:ext xmlns:c16="http://schemas.microsoft.com/office/drawing/2014/chart" uri="{C3380CC4-5D6E-409C-BE32-E72D297353CC}">
              <c16:uniqueId val="{00000000-33AB-4856-8F61-3C41FD6D9D77}"/>
            </c:ext>
          </c:extLst>
        </c:ser>
        <c:dLbls>
          <c:showLegendKey val="0"/>
          <c:showVal val="0"/>
          <c:showCatName val="0"/>
          <c:showSerName val="0"/>
          <c:showPercent val="0"/>
          <c:showBubbleSize val="0"/>
        </c:dLbls>
        <c:smooth val="0"/>
        <c:axId val="1034263072"/>
        <c:axId val="1034263464"/>
      </c:lineChart>
      <c:dateAx>
        <c:axId val="1034263072"/>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263464"/>
        <c:crosses val="autoZero"/>
        <c:auto val="1"/>
        <c:lblOffset val="100"/>
        <c:baseTimeUnit val="months"/>
      </c:dateAx>
      <c:valAx>
        <c:axId val="10342634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263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t>NFP Monthly Change</a:t>
            </a:r>
            <a:r>
              <a:rPr lang="en-GB" b="1" baseline="0"/>
              <a:t> since 1939</a:t>
            </a:r>
            <a:endParaRPr lang="en-GB"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spPr>
            <a:solidFill>
              <a:schemeClr val="tx2"/>
            </a:solidFill>
            <a:ln>
              <a:noFill/>
            </a:ln>
            <a:effectLst/>
          </c:spPr>
          <c:invertIfNegative val="0"/>
          <c:cat>
            <c:numRef>
              <c:f>NFP!$A$13:$A$1021</c:f>
              <c:numCache>
                <c:formatCode>yyyy\-mm\-dd</c:formatCode>
                <c:ptCount val="1009"/>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numCache>
            </c:numRef>
          </c:cat>
          <c:val>
            <c:numRef>
              <c:f>NFP!$C$13:$C$1021</c:f>
              <c:numCache>
                <c:formatCode>0</c:formatCode>
                <c:ptCount val="1009"/>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197</c:v>
                </c:pt>
                <c:pt idx="936">
                  <c:v>183</c:v>
                </c:pt>
                <c:pt idx="937">
                  <c:v>139</c:v>
                </c:pt>
                <c:pt idx="938">
                  <c:v>220</c:v>
                </c:pt>
                <c:pt idx="939">
                  <c:v>141</c:v>
                </c:pt>
                <c:pt idx="940">
                  <c:v>211</c:v>
                </c:pt>
                <c:pt idx="941">
                  <c:v>228</c:v>
                </c:pt>
                <c:pt idx="942">
                  <c:v>190</c:v>
                </c:pt>
                <c:pt idx="943">
                  <c:v>42</c:v>
                </c:pt>
                <c:pt idx="944">
                  <c:v>249</c:v>
                </c:pt>
                <c:pt idx="945">
                  <c:v>196</c:v>
                </c:pt>
                <c:pt idx="946">
                  <c:v>179</c:v>
                </c:pt>
                <c:pt idx="947">
                  <c:v>81</c:v>
                </c:pt>
                <c:pt idx="948">
                  <c:v>378</c:v>
                </c:pt>
                <c:pt idx="949">
                  <c:v>195</c:v>
                </c:pt>
                <c:pt idx="950">
                  <c:v>153</c:v>
                </c:pt>
                <c:pt idx="951">
                  <c:v>270</c:v>
                </c:pt>
                <c:pt idx="952">
                  <c:v>214</c:v>
                </c:pt>
                <c:pt idx="953">
                  <c:v>149</c:v>
                </c:pt>
                <c:pt idx="954">
                  <c:v>229</c:v>
                </c:pt>
                <c:pt idx="955">
                  <c:v>105</c:v>
                </c:pt>
                <c:pt idx="956">
                  <c:v>212</c:v>
                </c:pt>
                <c:pt idx="957">
                  <c:v>92</c:v>
                </c:pt>
                <c:pt idx="958">
                  <c:v>240</c:v>
                </c:pt>
                <c:pt idx="959">
                  <c:v>237</c:v>
                </c:pt>
                <c:pt idx="960">
                  <c:v>-50</c:v>
                </c:pt>
                <c:pt idx="961">
                  <c:v>168</c:v>
                </c:pt>
                <c:pt idx="962">
                  <c:v>219</c:v>
                </c:pt>
                <c:pt idx="963">
                  <c:v>63</c:v>
                </c:pt>
                <c:pt idx="964">
                  <c:v>175</c:v>
                </c:pt>
                <c:pt idx="965">
                  <c:v>193</c:v>
                </c:pt>
                <c:pt idx="966">
                  <c:v>195</c:v>
                </c:pt>
                <c:pt idx="967">
                  <c:v>221</c:v>
                </c:pt>
                <c:pt idx="968">
                  <c:v>195</c:v>
                </c:pt>
                <c:pt idx="969">
                  <c:v>234</c:v>
                </c:pt>
                <c:pt idx="970">
                  <c:v>161</c:v>
                </c:pt>
                <c:pt idx="971">
                  <c:v>315</c:v>
                </c:pt>
                <c:pt idx="972">
                  <c:v>289</c:v>
                </c:pt>
                <c:pt idx="973">
                  <c:v>-1683</c:v>
                </c:pt>
                <c:pt idx="974">
                  <c:v>-20679</c:v>
                </c:pt>
                <c:pt idx="975">
                  <c:v>2833</c:v>
                </c:pt>
                <c:pt idx="976">
                  <c:v>4846</c:v>
                </c:pt>
                <c:pt idx="977">
                  <c:v>1726</c:v>
                </c:pt>
                <c:pt idx="978">
                  <c:v>1583</c:v>
                </c:pt>
                <c:pt idx="979">
                  <c:v>716</c:v>
                </c:pt>
                <c:pt idx="980">
                  <c:v>680</c:v>
                </c:pt>
                <c:pt idx="981">
                  <c:v>264</c:v>
                </c:pt>
                <c:pt idx="982">
                  <c:v>-306</c:v>
                </c:pt>
                <c:pt idx="983">
                  <c:v>233</c:v>
                </c:pt>
                <c:pt idx="984">
                  <c:v>536</c:v>
                </c:pt>
                <c:pt idx="985">
                  <c:v>785</c:v>
                </c:pt>
                <c:pt idx="986">
                  <c:v>269</c:v>
                </c:pt>
                <c:pt idx="987">
                  <c:v>614</c:v>
                </c:pt>
                <c:pt idx="988">
                  <c:v>962</c:v>
                </c:pt>
                <c:pt idx="989">
                  <c:v>1053</c:v>
                </c:pt>
                <c:pt idx="990">
                  <c:v>235</c:v>
                </c:pt>
              </c:numCache>
            </c:numRef>
          </c:val>
          <c:extLst>
            <c:ext xmlns:c16="http://schemas.microsoft.com/office/drawing/2014/chart" uri="{C3380CC4-5D6E-409C-BE32-E72D297353CC}">
              <c16:uniqueId val="{00000000-A790-4164-A4FA-784217428E84}"/>
            </c:ext>
          </c:extLst>
        </c:ser>
        <c:dLbls>
          <c:showLegendKey val="0"/>
          <c:showVal val="0"/>
          <c:showCatName val="0"/>
          <c:showSerName val="0"/>
          <c:showPercent val="0"/>
          <c:showBubbleSize val="0"/>
        </c:dLbls>
        <c:gapWidth val="150"/>
        <c:axId val="827929136"/>
        <c:axId val="827929792"/>
      </c:barChart>
      <c:dateAx>
        <c:axId val="827929136"/>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7929792"/>
        <c:crosses val="autoZero"/>
        <c:auto val="1"/>
        <c:lblOffset val="100"/>
        <c:baseTimeUnit val="months"/>
      </c:dateAx>
      <c:valAx>
        <c:axId val="827929792"/>
        <c:scaling>
          <c:orientation val="minMax"/>
          <c:max val="1000"/>
          <c:min val="-1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1" i="0" baseline="0">
                <a:effectLst/>
              </a:rPr>
              <a:t>NFP Monthly Change since 2000</a:t>
            </a:r>
            <a:endParaRPr lang="en-GB" sz="1400" baseline="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spPr>
            <a:solidFill>
              <a:schemeClr val="tx2"/>
            </a:solidFill>
            <a:ln>
              <a:noFill/>
            </a:ln>
            <a:effectLst/>
          </c:spPr>
          <c:invertIfNegative val="0"/>
          <c:cat>
            <c:numRef>
              <c:f>NFP!$A$13:$A$1021</c:f>
              <c:numCache>
                <c:formatCode>yyyy\-mm\-dd</c:formatCode>
                <c:ptCount val="1009"/>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numCache>
            </c:numRef>
          </c:cat>
          <c:val>
            <c:numRef>
              <c:f>NFP!$C$13:$C$1021</c:f>
              <c:numCache>
                <c:formatCode>0</c:formatCode>
                <c:ptCount val="1009"/>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197</c:v>
                </c:pt>
                <c:pt idx="936">
                  <c:v>183</c:v>
                </c:pt>
                <c:pt idx="937">
                  <c:v>139</c:v>
                </c:pt>
                <c:pt idx="938">
                  <c:v>220</c:v>
                </c:pt>
                <c:pt idx="939">
                  <c:v>141</c:v>
                </c:pt>
                <c:pt idx="940">
                  <c:v>211</c:v>
                </c:pt>
                <c:pt idx="941">
                  <c:v>228</c:v>
                </c:pt>
                <c:pt idx="942">
                  <c:v>190</c:v>
                </c:pt>
                <c:pt idx="943">
                  <c:v>42</c:v>
                </c:pt>
                <c:pt idx="944">
                  <c:v>249</c:v>
                </c:pt>
                <c:pt idx="945">
                  <c:v>196</c:v>
                </c:pt>
                <c:pt idx="946">
                  <c:v>179</c:v>
                </c:pt>
                <c:pt idx="947">
                  <c:v>81</c:v>
                </c:pt>
                <c:pt idx="948">
                  <c:v>378</c:v>
                </c:pt>
                <c:pt idx="949">
                  <c:v>195</c:v>
                </c:pt>
                <c:pt idx="950">
                  <c:v>153</c:v>
                </c:pt>
                <c:pt idx="951">
                  <c:v>270</c:v>
                </c:pt>
                <c:pt idx="952">
                  <c:v>214</c:v>
                </c:pt>
                <c:pt idx="953">
                  <c:v>149</c:v>
                </c:pt>
                <c:pt idx="954">
                  <c:v>229</c:v>
                </c:pt>
                <c:pt idx="955">
                  <c:v>105</c:v>
                </c:pt>
                <c:pt idx="956">
                  <c:v>212</c:v>
                </c:pt>
                <c:pt idx="957">
                  <c:v>92</c:v>
                </c:pt>
                <c:pt idx="958">
                  <c:v>240</c:v>
                </c:pt>
                <c:pt idx="959">
                  <c:v>237</c:v>
                </c:pt>
                <c:pt idx="960">
                  <c:v>-50</c:v>
                </c:pt>
                <c:pt idx="961">
                  <c:v>168</c:v>
                </c:pt>
                <c:pt idx="962">
                  <c:v>219</c:v>
                </c:pt>
                <c:pt idx="963">
                  <c:v>63</c:v>
                </c:pt>
                <c:pt idx="964">
                  <c:v>175</c:v>
                </c:pt>
                <c:pt idx="965">
                  <c:v>193</c:v>
                </c:pt>
                <c:pt idx="966">
                  <c:v>195</c:v>
                </c:pt>
                <c:pt idx="967">
                  <c:v>221</c:v>
                </c:pt>
                <c:pt idx="968">
                  <c:v>195</c:v>
                </c:pt>
                <c:pt idx="969">
                  <c:v>234</c:v>
                </c:pt>
                <c:pt idx="970">
                  <c:v>161</c:v>
                </c:pt>
                <c:pt idx="971">
                  <c:v>315</c:v>
                </c:pt>
                <c:pt idx="972">
                  <c:v>289</c:v>
                </c:pt>
                <c:pt idx="973">
                  <c:v>-1683</c:v>
                </c:pt>
                <c:pt idx="974">
                  <c:v>-20679</c:v>
                </c:pt>
                <c:pt idx="975">
                  <c:v>2833</c:v>
                </c:pt>
                <c:pt idx="976">
                  <c:v>4846</c:v>
                </c:pt>
                <c:pt idx="977">
                  <c:v>1726</c:v>
                </c:pt>
                <c:pt idx="978">
                  <c:v>1583</c:v>
                </c:pt>
                <c:pt idx="979">
                  <c:v>716</c:v>
                </c:pt>
                <c:pt idx="980">
                  <c:v>680</c:v>
                </c:pt>
                <c:pt idx="981">
                  <c:v>264</c:v>
                </c:pt>
                <c:pt idx="982">
                  <c:v>-306</c:v>
                </c:pt>
                <c:pt idx="983">
                  <c:v>233</c:v>
                </c:pt>
                <c:pt idx="984">
                  <c:v>536</c:v>
                </c:pt>
                <c:pt idx="985">
                  <c:v>785</c:v>
                </c:pt>
                <c:pt idx="986">
                  <c:v>269</c:v>
                </c:pt>
                <c:pt idx="987">
                  <c:v>614</c:v>
                </c:pt>
                <c:pt idx="988">
                  <c:v>962</c:v>
                </c:pt>
                <c:pt idx="989">
                  <c:v>1053</c:v>
                </c:pt>
                <c:pt idx="990">
                  <c:v>235</c:v>
                </c:pt>
              </c:numCache>
            </c:numRef>
          </c:val>
          <c:extLst>
            <c:ext xmlns:c16="http://schemas.microsoft.com/office/drawing/2014/chart" uri="{C3380CC4-5D6E-409C-BE32-E72D297353CC}">
              <c16:uniqueId val="{00000000-A4DD-4418-959E-948F93A6AE52}"/>
            </c:ext>
          </c:extLst>
        </c:ser>
        <c:dLbls>
          <c:showLegendKey val="0"/>
          <c:showVal val="0"/>
          <c:showCatName val="0"/>
          <c:showSerName val="0"/>
          <c:showPercent val="0"/>
          <c:showBubbleSize val="0"/>
        </c:dLbls>
        <c:gapWidth val="150"/>
        <c:axId val="827929136"/>
        <c:axId val="827929792"/>
      </c:barChart>
      <c:dateAx>
        <c:axId val="827929136"/>
        <c:scaling>
          <c:orientation val="minMax"/>
          <c:min val="36526"/>
        </c:scaling>
        <c:delete val="0"/>
        <c:axPos val="b"/>
        <c:numFmt formatCode="yyyy\-mm\-dd"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7929792"/>
        <c:crosses val="autoZero"/>
        <c:auto val="1"/>
        <c:lblOffset val="100"/>
        <c:baseTimeUnit val="months"/>
      </c:dateAx>
      <c:valAx>
        <c:axId val="827929792"/>
        <c:scaling>
          <c:orientation val="minMax"/>
          <c:max val="600"/>
          <c:min val="-8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t>U.S. Unemployment</a:t>
            </a:r>
            <a:r>
              <a:rPr lang="en-GB" b="1" baseline="0"/>
              <a:t> Rate</a:t>
            </a:r>
            <a:endParaRPr lang="en-GB"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spPr>
            <a:ln w="28575" cap="rnd">
              <a:solidFill>
                <a:schemeClr val="accent3"/>
              </a:solidFill>
              <a:round/>
            </a:ln>
            <a:effectLst/>
          </c:spPr>
          <c:marker>
            <c:symbol val="none"/>
          </c:marker>
          <c:cat>
            <c:numRef>
              <c:f>Database!$A$110:$A$999</c:f>
              <c:numCache>
                <c:formatCode>yyyy\-mm\-dd</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numCache>
            </c:numRef>
          </c:cat>
          <c:val>
            <c:numRef>
              <c:f>Database!$D$110:$D$999</c:f>
              <c:numCache>
                <c:formatCode>0.0</c:formatCode>
                <c:ptCount val="890"/>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numCache>
            </c:numRef>
          </c:val>
          <c:smooth val="0"/>
          <c:extLst>
            <c:ext xmlns:c16="http://schemas.microsoft.com/office/drawing/2014/chart" uri="{C3380CC4-5D6E-409C-BE32-E72D297353CC}">
              <c16:uniqueId val="{00000000-211D-417B-8645-01A5B93E07F7}"/>
            </c:ext>
          </c:extLst>
        </c:ser>
        <c:dLbls>
          <c:showLegendKey val="0"/>
          <c:showVal val="0"/>
          <c:showCatName val="0"/>
          <c:showSerName val="0"/>
          <c:showPercent val="0"/>
          <c:showBubbleSize val="0"/>
        </c:dLbls>
        <c:smooth val="0"/>
        <c:axId val="1052641016"/>
        <c:axId val="971633608"/>
      </c:lineChart>
      <c:dateAx>
        <c:axId val="1052641016"/>
        <c:scaling>
          <c:orientation val="minMax"/>
          <c:max val="44682"/>
          <c:min val="18019"/>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1633608"/>
        <c:crosses val="autoZero"/>
        <c:auto val="1"/>
        <c:lblOffset val="100"/>
        <c:baseTimeUnit val="months"/>
        <c:majorUnit val="2"/>
        <c:majorTimeUnit val="years"/>
      </c:dateAx>
      <c:valAx>
        <c:axId val="971633608"/>
        <c:scaling>
          <c:orientation val="minMax"/>
          <c:max val="16"/>
          <c:min val="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641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t>Labour Force Participation Rate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Database!$A$110:$A$999</c:f>
              <c:numCache>
                <c:formatCode>yyyy\-mm\-dd</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numCache>
            </c:numRef>
          </c:cat>
          <c:val>
            <c:numRef>
              <c:f>Database!$B$110:$B$999</c:f>
              <c:numCache>
                <c:formatCode>0.0</c:formatCode>
                <c:ptCount val="89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62.8</c:v>
                </c:pt>
                <c:pt idx="830">
                  <c:v>63</c:v>
                </c:pt>
                <c:pt idx="831">
                  <c:v>63</c:v>
                </c:pt>
                <c:pt idx="832">
                  <c:v>62.8</c:v>
                </c:pt>
                <c:pt idx="833">
                  <c:v>62.8</c:v>
                </c:pt>
                <c:pt idx="834">
                  <c:v>62.9</c:v>
                </c:pt>
                <c:pt idx="835">
                  <c:v>62.9</c:v>
                </c:pt>
                <c:pt idx="836">
                  <c:v>63</c:v>
                </c:pt>
                <c:pt idx="837">
                  <c:v>62.7</c:v>
                </c:pt>
                <c:pt idx="838">
                  <c:v>62.7</c:v>
                </c:pt>
                <c:pt idx="839">
                  <c:v>62.7</c:v>
                </c:pt>
                <c:pt idx="840">
                  <c:v>62.7</c:v>
                </c:pt>
                <c:pt idx="841">
                  <c:v>63</c:v>
                </c:pt>
                <c:pt idx="842">
                  <c:v>62.9</c:v>
                </c:pt>
                <c:pt idx="843">
                  <c:v>62.9</c:v>
                </c:pt>
                <c:pt idx="844">
                  <c:v>62.9</c:v>
                </c:pt>
                <c:pt idx="845">
                  <c:v>63</c:v>
                </c:pt>
                <c:pt idx="846">
                  <c:v>63</c:v>
                </c:pt>
                <c:pt idx="847">
                  <c:v>62.7</c:v>
                </c:pt>
                <c:pt idx="848">
                  <c:v>62.7</c:v>
                </c:pt>
                <c:pt idx="849">
                  <c:v>62.8</c:v>
                </c:pt>
                <c:pt idx="850">
                  <c:v>62.9</c:v>
                </c:pt>
                <c:pt idx="851">
                  <c:v>63</c:v>
                </c:pt>
                <c:pt idx="852">
                  <c:v>63.1</c:v>
                </c:pt>
                <c:pt idx="853">
                  <c:v>63.1</c:v>
                </c:pt>
                <c:pt idx="854">
                  <c:v>63.1</c:v>
                </c:pt>
                <c:pt idx="855">
                  <c:v>62.9</c:v>
                </c:pt>
                <c:pt idx="856">
                  <c:v>62.9</c:v>
                </c:pt>
                <c:pt idx="857">
                  <c:v>62.9</c:v>
                </c:pt>
                <c:pt idx="858">
                  <c:v>63.1</c:v>
                </c:pt>
                <c:pt idx="859">
                  <c:v>63.2</c:v>
                </c:pt>
                <c:pt idx="860">
                  <c:v>63.1</c:v>
                </c:pt>
                <c:pt idx="861">
                  <c:v>63.2</c:v>
                </c:pt>
                <c:pt idx="862">
                  <c:v>63.2</c:v>
                </c:pt>
                <c:pt idx="863">
                  <c:v>63.3</c:v>
                </c:pt>
                <c:pt idx="864">
                  <c:v>63.4</c:v>
                </c:pt>
                <c:pt idx="865">
                  <c:v>63.3</c:v>
                </c:pt>
                <c:pt idx="866">
                  <c:v>62.6</c:v>
                </c:pt>
                <c:pt idx="867">
                  <c:v>60.2</c:v>
                </c:pt>
                <c:pt idx="868">
                  <c:v>60.8</c:v>
                </c:pt>
                <c:pt idx="869">
                  <c:v>61.4</c:v>
                </c:pt>
                <c:pt idx="870">
                  <c:v>61.5</c:v>
                </c:pt>
                <c:pt idx="871">
                  <c:v>61.7</c:v>
                </c:pt>
                <c:pt idx="872">
                  <c:v>61.4</c:v>
                </c:pt>
                <c:pt idx="873">
                  <c:v>61.6</c:v>
                </c:pt>
                <c:pt idx="874">
                  <c:v>61.5</c:v>
                </c:pt>
                <c:pt idx="875">
                  <c:v>61.5</c:v>
                </c:pt>
                <c:pt idx="876">
                  <c:v>61.4</c:v>
                </c:pt>
                <c:pt idx="877">
                  <c:v>61.4</c:v>
                </c:pt>
                <c:pt idx="878">
                  <c:v>61.5</c:v>
                </c:pt>
                <c:pt idx="879">
                  <c:v>61.7</c:v>
                </c:pt>
                <c:pt idx="880">
                  <c:v>61.6</c:v>
                </c:pt>
                <c:pt idx="881">
                  <c:v>61.6</c:v>
                </c:pt>
                <c:pt idx="882">
                  <c:v>61.7</c:v>
                </c:pt>
                <c:pt idx="883">
                  <c:v>61.7</c:v>
                </c:pt>
              </c:numCache>
            </c:numRef>
          </c:val>
          <c:smooth val="0"/>
          <c:extLst>
            <c:ext xmlns:c16="http://schemas.microsoft.com/office/drawing/2014/chart" uri="{C3380CC4-5D6E-409C-BE32-E72D297353CC}">
              <c16:uniqueId val="{00000000-B425-4775-B19D-D9DE34730E56}"/>
            </c:ext>
          </c:extLst>
        </c:ser>
        <c:dLbls>
          <c:showLegendKey val="0"/>
          <c:showVal val="0"/>
          <c:showCatName val="0"/>
          <c:showSerName val="0"/>
          <c:showPercent val="0"/>
          <c:showBubbleSize val="0"/>
        </c:dLbls>
        <c:smooth val="0"/>
        <c:axId val="1046199384"/>
        <c:axId val="1018478600"/>
      </c:lineChart>
      <c:dateAx>
        <c:axId val="1046199384"/>
        <c:scaling>
          <c:orientation val="minMax"/>
          <c:min val="17288"/>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8478600"/>
        <c:crosses val="autoZero"/>
        <c:auto val="1"/>
        <c:lblOffset val="100"/>
        <c:baseTimeUnit val="months"/>
        <c:majorUnit val="2"/>
        <c:majorTimeUnit val="years"/>
      </c:dateAx>
      <c:valAx>
        <c:axId val="1018478600"/>
        <c:scaling>
          <c:orientation val="minMax"/>
          <c:min val="58"/>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6199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t>ADP VS NFP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ADP!$D$5</c:f>
              <c:strCache>
                <c:ptCount val="1"/>
                <c:pt idx="0">
                  <c:v>ADP </c:v>
                </c:pt>
              </c:strCache>
            </c:strRef>
          </c:tx>
          <c:spPr>
            <a:ln w="28575" cap="rnd">
              <a:solidFill>
                <a:schemeClr val="accent2"/>
              </a:solidFill>
              <a:round/>
            </a:ln>
            <a:effectLst/>
          </c:spPr>
          <c:marker>
            <c:symbol val="none"/>
          </c:marker>
          <c:cat>
            <c:numRef>
              <c:f>ADP!$A$6:$A$249</c:f>
              <c:numCache>
                <c:formatCode>m/d/yy</c:formatCode>
                <c:ptCount val="244"/>
                <c:pt idx="0">
                  <c:v>37012</c:v>
                </c:pt>
                <c:pt idx="1">
                  <c:v>37043</c:v>
                </c:pt>
                <c:pt idx="2">
                  <c:v>37073</c:v>
                </c:pt>
                <c:pt idx="3">
                  <c:v>37104</c:v>
                </c:pt>
                <c:pt idx="4">
                  <c:v>37135</c:v>
                </c:pt>
                <c:pt idx="5">
                  <c:v>37165</c:v>
                </c:pt>
                <c:pt idx="6">
                  <c:v>37196</c:v>
                </c:pt>
                <c:pt idx="7">
                  <c:v>37226</c:v>
                </c:pt>
                <c:pt idx="8">
                  <c:v>37257</c:v>
                </c:pt>
                <c:pt idx="9">
                  <c:v>37288</c:v>
                </c:pt>
                <c:pt idx="10">
                  <c:v>37316</c:v>
                </c:pt>
                <c:pt idx="11">
                  <c:v>37347</c:v>
                </c:pt>
                <c:pt idx="12">
                  <c:v>37377</c:v>
                </c:pt>
                <c:pt idx="13">
                  <c:v>37408</c:v>
                </c:pt>
                <c:pt idx="14">
                  <c:v>37438</c:v>
                </c:pt>
                <c:pt idx="15">
                  <c:v>37469</c:v>
                </c:pt>
                <c:pt idx="16">
                  <c:v>37500</c:v>
                </c:pt>
                <c:pt idx="17">
                  <c:v>37530</c:v>
                </c:pt>
                <c:pt idx="18">
                  <c:v>37561</c:v>
                </c:pt>
                <c:pt idx="19">
                  <c:v>37591</c:v>
                </c:pt>
                <c:pt idx="20">
                  <c:v>37622</c:v>
                </c:pt>
                <c:pt idx="21">
                  <c:v>37653</c:v>
                </c:pt>
                <c:pt idx="22">
                  <c:v>37681</c:v>
                </c:pt>
                <c:pt idx="23">
                  <c:v>37712</c:v>
                </c:pt>
                <c:pt idx="24">
                  <c:v>37742</c:v>
                </c:pt>
                <c:pt idx="25">
                  <c:v>37773</c:v>
                </c:pt>
                <c:pt idx="26">
                  <c:v>37803</c:v>
                </c:pt>
                <c:pt idx="27">
                  <c:v>37834</c:v>
                </c:pt>
                <c:pt idx="28">
                  <c:v>37865</c:v>
                </c:pt>
                <c:pt idx="29">
                  <c:v>37895</c:v>
                </c:pt>
                <c:pt idx="30">
                  <c:v>37926</c:v>
                </c:pt>
                <c:pt idx="31">
                  <c:v>37956</c:v>
                </c:pt>
                <c:pt idx="32">
                  <c:v>37987</c:v>
                </c:pt>
                <c:pt idx="33">
                  <c:v>38018</c:v>
                </c:pt>
                <c:pt idx="34">
                  <c:v>38047</c:v>
                </c:pt>
                <c:pt idx="35">
                  <c:v>38078</c:v>
                </c:pt>
                <c:pt idx="36">
                  <c:v>38108</c:v>
                </c:pt>
                <c:pt idx="37">
                  <c:v>38139</c:v>
                </c:pt>
                <c:pt idx="38">
                  <c:v>38169</c:v>
                </c:pt>
                <c:pt idx="39">
                  <c:v>38200</c:v>
                </c:pt>
                <c:pt idx="40">
                  <c:v>38231</c:v>
                </c:pt>
                <c:pt idx="41">
                  <c:v>38261</c:v>
                </c:pt>
                <c:pt idx="42">
                  <c:v>38292</c:v>
                </c:pt>
                <c:pt idx="43">
                  <c:v>38322</c:v>
                </c:pt>
                <c:pt idx="44">
                  <c:v>38353</c:v>
                </c:pt>
                <c:pt idx="45">
                  <c:v>38384</c:v>
                </c:pt>
                <c:pt idx="46">
                  <c:v>38412</c:v>
                </c:pt>
                <c:pt idx="47">
                  <c:v>38443</c:v>
                </c:pt>
                <c:pt idx="48">
                  <c:v>38473</c:v>
                </c:pt>
                <c:pt idx="49">
                  <c:v>38504</c:v>
                </c:pt>
                <c:pt idx="50">
                  <c:v>38534</c:v>
                </c:pt>
                <c:pt idx="51">
                  <c:v>38565</c:v>
                </c:pt>
                <c:pt idx="52">
                  <c:v>38596</c:v>
                </c:pt>
                <c:pt idx="53">
                  <c:v>38626</c:v>
                </c:pt>
                <c:pt idx="54">
                  <c:v>38657</c:v>
                </c:pt>
                <c:pt idx="55">
                  <c:v>38687</c:v>
                </c:pt>
                <c:pt idx="56">
                  <c:v>38718</c:v>
                </c:pt>
                <c:pt idx="57">
                  <c:v>38749</c:v>
                </c:pt>
                <c:pt idx="58">
                  <c:v>38777</c:v>
                </c:pt>
                <c:pt idx="59">
                  <c:v>38808</c:v>
                </c:pt>
                <c:pt idx="60">
                  <c:v>38838</c:v>
                </c:pt>
                <c:pt idx="61">
                  <c:v>38869</c:v>
                </c:pt>
                <c:pt idx="62">
                  <c:v>38899</c:v>
                </c:pt>
                <c:pt idx="63">
                  <c:v>38930</c:v>
                </c:pt>
                <c:pt idx="64">
                  <c:v>38961</c:v>
                </c:pt>
                <c:pt idx="65">
                  <c:v>38991</c:v>
                </c:pt>
                <c:pt idx="66">
                  <c:v>39022</c:v>
                </c:pt>
                <c:pt idx="67">
                  <c:v>39052</c:v>
                </c:pt>
                <c:pt idx="68">
                  <c:v>39083</c:v>
                </c:pt>
                <c:pt idx="69">
                  <c:v>39114</c:v>
                </c:pt>
                <c:pt idx="70">
                  <c:v>39142</c:v>
                </c:pt>
                <c:pt idx="71">
                  <c:v>39173</c:v>
                </c:pt>
                <c:pt idx="72">
                  <c:v>39203</c:v>
                </c:pt>
                <c:pt idx="73">
                  <c:v>39234</c:v>
                </c:pt>
                <c:pt idx="74">
                  <c:v>39264</c:v>
                </c:pt>
                <c:pt idx="75">
                  <c:v>39295</c:v>
                </c:pt>
                <c:pt idx="76">
                  <c:v>39326</c:v>
                </c:pt>
                <c:pt idx="77">
                  <c:v>39356</c:v>
                </c:pt>
                <c:pt idx="78">
                  <c:v>39387</c:v>
                </c:pt>
                <c:pt idx="79">
                  <c:v>39417</c:v>
                </c:pt>
                <c:pt idx="80">
                  <c:v>39448</c:v>
                </c:pt>
                <c:pt idx="81">
                  <c:v>39479</c:v>
                </c:pt>
                <c:pt idx="82">
                  <c:v>39508</c:v>
                </c:pt>
                <c:pt idx="83">
                  <c:v>39539</c:v>
                </c:pt>
                <c:pt idx="84">
                  <c:v>39569</c:v>
                </c:pt>
                <c:pt idx="85">
                  <c:v>39600</c:v>
                </c:pt>
                <c:pt idx="86">
                  <c:v>39630</c:v>
                </c:pt>
                <c:pt idx="87">
                  <c:v>39661</c:v>
                </c:pt>
                <c:pt idx="88">
                  <c:v>39692</c:v>
                </c:pt>
                <c:pt idx="89">
                  <c:v>39722</c:v>
                </c:pt>
                <c:pt idx="90">
                  <c:v>39753</c:v>
                </c:pt>
                <c:pt idx="91">
                  <c:v>39783</c:v>
                </c:pt>
                <c:pt idx="92">
                  <c:v>39814</c:v>
                </c:pt>
                <c:pt idx="93">
                  <c:v>39845</c:v>
                </c:pt>
                <c:pt idx="94">
                  <c:v>39873</c:v>
                </c:pt>
                <c:pt idx="95">
                  <c:v>39904</c:v>
                </c:pt>
                <c:pt idx="96">
                  <c:v>39934</c:v>
                </c:pt>
                <c:pt idx="97">
                  <c:v>39965</c:v>
                </c:pt>
                <c:pt idx="98">
                  <c:v>39995</c:v>
                </c:pt>
                <c:pt idx="99">
                  <c:v>40026</c:v>
                </c:pt>
                <c:pt idx="100">
                  <c:v>40057</c:v>
                </c:pt>
                <c:pt idx="101">
                  <c:v>40087</c:v>
                </c:pt>
                <c:pt idx="102">
                  <c:v>40118</c:v>
                </c:pt>
                <c:pt idx="103">
                  <c:v>40148</c:v>
                </c:pt>
                <c:pt idx="104">
                  <c:v>40179</c:v>
                </c:pt>
                <c:pt idx="105">
                  <c:v>40210</c:v>
                </c:pt>
                <c:pt idx="106">
                  <c:v>40238</c:v>
                </c:pt>
                <c:pt idx="107">
                  <c:v>40269</c:v>
                </c:pt>
                <c:pt idx="108">
                  <c:v>40299</c:v>
                </c:pt>
                <c:pt idx="109">
                  <c:v>40330</c:v>
                </c:pt>
                <c:pt idx="110">
                  <c:v>40360</c:v>
                </c:pt>
                <c:pt idx="111">
                  <c:v>40391</c:v>
                </c:pt>
                <c:pt idx="112">
                  <c:v>40422</c:v>
                </c:pt>
                <c:pt idx="113">
                  <c:v>40452</c:v>
                </c:pt>
                <c:pt idx="114">
                  <c:v>40483</c:v>
                </c:pt>
                <c:pt idx="115">
                  <c:v>40513</c:v>
                </c:pt>
                <c:pt idx="116">
                  <c:v>40544</c:v>
                </c:pt>
                <c:pt idx="117">
                  <c:v>40575</c:v>
                </c:pt>
                <c:pt idx="118">
                  <c:v>40603</c:v>
                </c:pt>
                <c:pt idx="119">
                  <c:v>40634</c:v>
                </c:pt>
                <c:pt idx="120">
                  <c:v>40664</c:v>
                </c:pt>
                <c:pt idx="121">
                  <c:v>40695</c:v>
                </c:pt>
                <c:pt idx="122">
                  <c:v>40725</c:v>
                </c:pt>
                <c:pt idx="123">
                  <c:v>40756</c:v>
                </c:pt>
                <c:pt idx="124">
                  <c:v>40787</c:v>
                </c:pt>
                <c:pt idx="125">
                  <c:v>40817</c:v>
                </c:pt>
                <c:pt idx="126">
                  <c:v>40848</c:v>
                </c:pt>
                <c:pt idx="127">
                  <c:v>40878</c:v>
                </c:pt>
                <c:pt idx="128">
                  <c:v>40909</c:v>
                </c:pt>
                <c:pt idx="129">
                  <c:v>40940</c:v>
                </c:pt>
                <c:pt idx="130">
                  <c:v>40969</c:v>
                </c:pt>
                <c:pt idx="131">
                  <c:v>41000</c:v>
                </c:pt>
                <c:pt idx="132">
                  <c:v>41030</c:v>
                </c:pt>
                <c:pt idx="133">
                  <c:v>41061</c:v>
                </c:pt>
                <c:pt idx="134">
                  <c:v>41091</c:v>
                </c:pt>
                <c:pt idx="135">
                  <c:v>41122</c:v>
                </c:pt>
                <c:pt idx="136">
                  <c:v>41153</c:v>
                </c:pt>
                <c:pt idx="137">
                  <c:v>41183</c:v>
                </c:pt>
                <c:pt idx="138">
                  <c:v>41214</c:v>
                </c:pt>
                <c:pt idx="139">
                  <c:v>41244</c:v>
                </c:pt>
                <c:pt idx="140">
                  <c:v>41275</c:v>
                </c:pt>
                <c:pt idx="141">
                  <c:v>41306</c:v>
                </c:pt>
                <c:pt idx="142">
                  <c:v>41334</c:v>
                </c:pt>
                <c:pt idx="143">
                  <c:v>41365</c:v>
                </c:pt>
                <c:pt idx="144">
                  <c:v>41395</c:v>
                </c:pt>
                <c:pt idx="145">
                  <c:v>41426</c:v>
                </c:pt>
                <c:pt idx="146">
                  <c:v>41456</c:v>
                </c:pt>
                <c:pt idx="147">
                  <c:v>41487</c:v>
                </c:pt>
                <c:pt idx="148">
                  <c:v>41518</c:v>
                </c:pt>
                <c:pt idx="149">
                  <c:v>41548</c:v>
                </c:pt>
                <c:pt idx="150">
                  <c:v>41579</c:v>
                </c:pt>
                <c:pt idx="151">
                  <c:v>41609</c:v>
                </c:pt>
                <c:pt idx="152">
                  <c:v>41640</c:v>
                </c:pt>
                <c:pt idx="153">
                  <c:v>41671</c:v>
                </c:pt>
                <c:pt idx="154">
                  <c:v>41699</c:v>
                </c:pt>
                <c:pt idx="155">
                  <c:v>41730</c:v>
                </c:pt>
                <c:pt idx="156">
                  <c:v>41760</c:v>
                </c:pt>
                <c:pt idx="157">
                  <c:v>41791</c:v>
                </c:pt>
                <c:pt idx="158">
                  <c:v>41821</c:v>
                </c:pt>
                <c:pt idx="159">
                  <c:v>41852</c:v>
                </c:pt>
                <c:pt idx="160">
                  <c:v>41883</c:v>
                </c:pt>
                <c:pt idx="161">
                  <c:v>41913</c:v>
                </c:pt>
                <c:pt idx="162">
                  <c:v>41944</c:v>
                </c:pt>
                <c:pt idx="163">
                  <c:v>41974</c:v>
                </c:pt>
                <c:pt idx="164">
                  <c:v>42005</c:v>
                </c:pt>
                <c:pt idx="165">
                  <c:v>42036</c:v>
                </c:pt>
                <c:pt idx="166">
                  <c:v>42064</c:v>
                </c:pt>
                <c:pt idx="167">
                  <c:v>42095</c:v>
                </c:pt>
                <c:pt idx="168">
                  <c:v>42125</c:v>
                </c:pt>
                <c:pt idx="169">
                  <c:v>42156</c:v>
                </c:pt>
                <c:pt idx="170">
                  <c:v>42186</c:v>
                </c:pt>
                <c:pt idx="171">
                  <c:v>42217</c:v>
                </c:pt>
                <c:pt idx="172">
                  <c:v>42248</c:v>
                </c:pt>
                <c:pt idx="173">
                  <c:v>42278</c:v>
                </c:pt>
                <c:pt idx="174">
                  <c:v>42309</c:v>
                </c:pt>
                <c:pt idx="175">
                  <c:v>42339</c:v>
                </c:pt>
                <c:pt idx="176">
                  <c:v>42370</c:v>
                </c:pt>
                <c:pt idx="177">
                  <c:v>42401</c:v>
                </c:pt>
                <c:pt idx="178">
                  <c:v>42430</c:v>
                </c:pt>
                <c:pt idx="179">
                  <c:v>42461</c:v>
                </c:pt>
                <c:pt idx="180">
                  <c:v>42491</c:v>
                </c:pt>
                <c:pt idx="181">
                  <c:v>42522</c:v>
                </c:pt>
                <c:pt idx="182">
                  <c:v>42552</c:v>
                </c:pt>
                <c:pt idx="183">
                  <c:v>42583</c:v>
                </c:pt>
                <c:pt idx="184">
                  <c:v>42614</c:v>
                </c:pt>
                <c:pt idx="185">
                  <c:v>42644</c:v>
                </c:pt>
                <c:pt idx="186">
                  <c:v>42675</c:v>
                </c:pt>
                <c:pt idx="187">
                  <c:v>42705</c:v>
                </c:pt>
                <c:pt idx="188">
                  <c:v>42736</c:v>
                </c:pt>
                <c:pt idx="189">
                  <c:v>42767</c:v>
                </c:pt>
                <c:pt idx="190">
                  <c:v>42795</c:v>
                </c:pt>
                <c:pt idx="191">
                  <c:v>42826</c:v>
                </c:pt>
                <c:pt idx="192">
                  <c:v>42856</c:v>
                </c:pt>
                <c:pt idx="193">
                  <c:v>42887</c:v>
                </c:pt>
                <c:pt idx="194">
                  <c:v>42917</c:v>
                </c:pt>
                <c:pt idx="195">
                  <c:v>42948</c:v>
                </c:pt>
                <c:pt idx="196">
                  <c:v>42979</c:v>
                </c:pt>
                <c:pt idx="197">
                  <c:v>43009</c:v>
                </c:pt>
                <c:pt idx="198">
                  <c:v>43040</c:v>
                </c:pt>
                <c:pt idx="199">
                  <c:v>43070</c:v>
                </c:pt>
                <c:pt idx="200">
                  <c:v>43101</c:v>
                </c:pt>
                <c:pt idx="201">
                  <c:v>43132</c:v>
                </c:pt>
                <c:pt idx="202">
                  <c:v>43160</c:v>
                </c:pt>
                <c:pt idx="203">
                  <c:v>43191</c:v>
                </c:pt>
                <c:pt idx="204">
                  <c:v>43221</c:v>
                </c:pt>
                <c:pt idx="205">
                  <c:v>43252</c:v>
                </c:pt>
                <c:pt idx="206">
                  <c:v>43282</c:v>
                </c:pt>
                <c:pt idx="207">
                  <c:v>43313</c:v>
                </c:pt>
                <c:pt idx="208">
                  <c:v>43344</c:v>
                </c:pt>
                <c:pt idx="209">
                  <c:v>43374</c:v>
                </c:pt>
                <c:pt idx="210">
                  <c:v>43405</c:v>
                </c:pt>
                <c:pt idx="211">
                  <c:v>43435</c:v>
                </c:pt>
                <c:pt idx="212">
                  <c:v>43466</c:v>
                </c:pt>
                <c:pt idx="213">
                  <c:v>43497</c:v>
                </c:pt>
                <c:pt idx="214">
                  <c:v>43525</c:v>
                </c:pt>
                <c:pt idx="215">
                  <c:v>43556</c:v>
                </c:pt>
                <c:pt idx="216">
                  <c:v>43586</c:v>
                </c:pt>
                <c:pt idx="217">
                  <c:v>43617</c:v>
                </c:pt>
                <c:pt idx="218">
                  <c:v>43647</c:v>
                </c:pt>
                <c:pt idx="219">
                  <c:v>43678</c:v>
                </c:pt>
                <c:pt idx="220">
                  <c:v>43709</c:v>
                </c:pt>
                <c:pt idx="221">
                  <c:v>43739</c:v>
                </c:pt>
                <c:pt idx="222">
                  <c:v>43770</c:v>
                </c:pt>
                <c:pt idx="223">
                  <c:v>43800</c:v>
                </c:pt>
                <c:pt idx="224">
                  <c:v>43831</c:v>
                </c:pt>
                <c:pt idx="225">
                  <c:v>43862</c:v>
                </c:pt>
                <c:pt idx="226">
                  <c:v>43891</c:v>
                </c:pt>
                <c:pt idx="227">
                  <c:v>43922</c:v>
                </c:pt>
                <c:pt idx="228">
                  <c:v>43952</c:v>
                </c:pt>
                <c:pt idx="229">
                  <c:v>43983</c:v>
                </c:pt>
                <c:pt idx="230">
                  <c:v>44013</c:v>
                </c:pt>
                <c:pt idx="231">
                  <c:v>44044</c:v>
                </c:pt>
                <c:pt idx="232">
                  <c:v>44075</c:v>
                </c:pt>
                <c:pt idx="233">
                  <c:v>44105</c:v>
                </c:pt>
                <c:pt idx="234">
                  <c:v>44136</c:v>
                </c:pt>
                <c:pt idx="235">
                  <c:v>44166</c:v>
                </c:pt>
                <c:pt idx="236">
                  <c:v>44197</c:v>
                </c:pt>
                <c:pt idx="237">
                  <c:v>44228</c:v>
                </c:pt>
                <c:pt idx="238">
                  <c:v>44256</c:v>
                </c:pt>
                <c:pt idx="239">
                  <c:v>44287</c:v>
                </c:pt>
                <c:pt idx="240">
                  <c:v>44317</c:v>
                </c:pt>
                <c:pt idx="241">
                  <c:v>44348</c:v>
                </c:pt>
                <c:pt idx="242">
                  <c:v>44378</c:v>
                </c:pt>
                <c:pt idx="243">
                  <c:v>44409</c:v>
                </c:pt>
              </c:numCache>
            </c:numRef>
          </c:cat>
          <c:val>
            <c:numRef>
              <c:f>ADP!$D$6:$D$249</c:f>
              <c:numCache>
                <c:formatCode>0.00</c:formatCode>
                <c:ptCount val="244"/>
                <c:pt idx="0">
                  <c:v>-175</c:v>
                </c:pt>
                <c:pt idx="1">
                  <c:v>-230</c:v>
                </c:pt>
                <c:pt idx="2">
                  <c:v>-203</c:v>
                </c:pt>
                <c:pt idx="3" formatCode="General">
                  <c:v>-246</c:v>
                </c:pt>
                <c:pt idx="4" formatCode="General">
                  <c:v>-261</c:v>
                </c:pt>
                <c:pt idx="5" formatCode="General">
                  <c:v>-380</c:v>
                </c:pt>
                <c:pt idx="6" formatCode="General">
                  <c:v>-361</c:v>
                </c:pt>
                <c:pt idx="7" formatCode="General">
                  <c:v>-223</c:v>
                </c:pt>
                <c:pt idx="8" formatCode="General">
                  <c:v>-69</c:v>
                </c:pt>
                <c:pt idx="9" formatCode="General">
                  <c:v>-91</c:v>
                </c:pt>
                <c:pt idx="10" formatCode="General">
                  <c:v>-70</c:v>
                </c:pt>
                <c:pt idx="11" formatCode="General">
                  <c:v>-70</c:v>
                </c:pt>
                <c:pt idx="12" formatCode="General">
                  <c:v>-138</c:v>
                </c:pt>
                <c:pt idx="13" formatCode="General">
                  <c:v>-41</c:v>
                </c:pt>
                <c:pt idx="14" formatCode="General">
                  <c:v>-21</c:v>
                </c:pt>
                <c:pt idx="15" formatCode="General">
                  <c:v>12</c:v>
                </c:pt>
                <c:pt idx="16" formatCode="General">
                  <c:v>-150</c:v>
                </c:pt>
                <c:pt idx="17" formatCode="General">
                  <c:v>47</c:v>
                </c:pt>
                <c:pt idx="18" formatCode="General">
                  <c:v>-11</c:v>
                </c:pt>
                <c:pt idx="19" formatCode="General">
                  <c:v>-79</c:v>
                </c:pt>
                <c:pt idx="20" formatCode="General">
                  <c:v>-113</c:v>
                </c:pt>
                <c:pt idx="21" formatCode="General">
                  <c:v>26</c:v>
                </c:pt>
                <c:pt idx="22" formatCode="General">
                  <c:v>-42</c:v>
                </c:pt>
                <c:pt idx="23" formatCode="General">
                  <c:v>-8</c:v>
                </c:pt>
                <c:pt idx="24" formatCode="General">
                  <c:v>-75</c:v>
                </c:pt>
                <c:pt idx="25" formatCode="General">
                  <c:v>-25</c:v>
                </c:pt>
                <c:pt idx="26" formatCode="General">
                  <c:v>28</c:v>
                </c:pt>
                <c:pt idx="27" formatCode="General">
                  <c:v>-66</c:v>
                </c:pt>
                <c:pt idx="28" formatCode="General">
                  <c:v>69</c:v>
                </c:pt>
                <c:pt idx="29" formatCode="General">
                  <c:v>174</c:v>
                </c:pt>
                <c:pt idx="30" formatCode="General">
                  <c:v>247</c:v>
                </c:pt>
                <c:pt idx="31" formatCode="General">
                  <c:v>167</c:v>
                </c:pt>
                <c:pt idx="32" formatCode="General">
                  <c:v>68</c:v>
                </c:pt>
                <c:pt idx="33" formatCode="General">
                  <c:v>166</c:v>
                </c:pt>
                <c:pt idx="34" formatCode="General">
                  <c:v>188</c:v>
                </c:pt>
                <c:pt idx="35" formatCode="General">
                  <c:v>170</c:v>
                </c:pt>
                <c:pt idx="36" formatCode="General">
                  <c:v>54</c:v>
                </c:pt>
                <c:pt idx="37" formatCode="General">
                  <c:v>169</c:v>
                </c:pt>
                <c:pt idx="38" formatCode="General">
                  <c:v>80</c:v>
                </c:pt>
                <c:pt idx="39" formatCode="General">
                  <c:v>187</c:v>
                </c:pt>
                <c:pt idx="40" formatCode="General">
                  <c:v>170</c:v>
                </c:pt>
                <c:pt idx="41" formatCode="General">
                  <c:v>136</c:v>
                </c:pt>
                <c:pt idx="42" formatCode="General">
                  <c:v>178</c:v>
                </c:pt>
                <c:pt idx="43" formatCode="General">
                  <c:v>254</c:v>
                </c:pt>
                <c:pt idx="44" formatCode="General">
                  <c:v>158</c:v>
                </c:pt>
                <c:pt idx="45" formatCode="General">
                  <c:v>145</c:v>
                </c:pt>
                <c:pt idx="46" formatCode="General">
                  <c:v>164</c:v>
                </c:pt>
                <c:pt idx="47" formatCode="General">
                  <c:v>300</c:v>
                </c:pt>
                <c:pt idx="48" formatCode="General">
                  <c:v>243</c:v>
                </c:pt>
                <c:pt idx="49" formatCode="General">
                  <c:v>273</c:v>
                </c:pt>
                <c:pt idx="50" formatCode="General">
                  <c:v>281</c:v>
                </c:pt>
                <c:pt idx="51" formatCode="General">
                  <c:v>190</c:v>
                </c:pt>
                <c:pt idx="52" formatCode="General">
                  <c:v>-35</c:v>
                </c:pt>
                <c:pt idx="53" formatCode="General">
                  <c:v>134</c:v>
                </c:pt>
                <c:pt idx="54" formatCode="General">
                  <c:v>253</c:v>
                </c:pt>
                <c:pt idx="55" formatCode="General">
                  <c:v>225</c:v>
                </c:pt>
                <c:pt idx="56" formatCode="General">
                  <c:v>296</c:v>
                </c:pt>
                <c:pt idx="57" formatCode="General">
                  <c:v>360</c:v>
                </c:pt>
                <c:pt idx="58" formatCode="General">
                  <c:v>208</c:v>
                </c:pt>
                <c:pt idx="59" formatCode="General">
                  <c:v>80</c:v>
                </c:pt>
                <c:pt idx="60" formatCode="General">
                  <c:v>175</c:v>
                </c:pt>
                <c:pt idx="61" formatCode="General">
                  <c:v>106</c:v>
                </c:pt>
                <c:pt idx="62" formatCode="General">
                  <c:v>123</c:v>
                </c:pt>
                <c:pt idx="63" formatCode="General">
                  <c:v>185</c:v>
                </c:pt>
                <c:pt idx="64" formatCode="General">
                  <c:v>58</c:v>
                </c:pt>
                <c:pt idx="65" formatCode="General">
                  <c:v>109</c:v>
                </c:pt>
                <c:pt idx="66" formatCode="General">
                  <c:v>-13</c:v>
                </c:pt>
                <c:pt idx="67" formatCode="General">
                  <c:v>171</c:v>
                </c:pt>
                <c:pt idx="68" formatCode="General">
                  <c:v>241</c:v>
                </c:pt>
                <c:pt idx="69" formatCode="General">
                  <c:v>111</c:v>
                </c:pt>
                <c:pt idx="70" formatCode="General">
                  <c:v>154</c:v>
                </c:pt>
                <c:pt idx="71" formatCode="General">
                  <c:v>39</c:v>
                </c:pt>
                <c:pt idx="72" formatCode="General">
                  <c:v>82</c:v>
                </c:pt>
                <c:pt idx="73" formatCode="General">
                  <c:v>15</c:v>
                </c:pt>
                <c:pt idx="74" formatCode="General">
                  <c:v>47</c:v>
                </c:pt>
                <c:pt idx="75" formatCode="General">
                  <c:v>-27</c:v>
                </c:pt>
                <c:pt idx="76" formatCode="General">
                  <c:v>23</c:v>
                </c:pt>
                <c:pt idx="77" formatCode="General">
                  <c:v>44</c:v>
                </c:pt>
                <c:pt idx="78" formatCode="General">
                  <c:v>58</c:v>
                </c:pt>
                <c:pt idx="79" formatCode="General">
                  <c:v>47</c:v>
                </c:pt>
                <c:pt idx="80" formatCode="General">
                  <c:v>118</c:v>
                </c:pt>
                <c:pt idx="81" formatCode="General">
                  <c:v>-78</c:v>
                </c:pt>
                <c:pt idx="82" formatCode="General">
                  <c:v>-181</c:v>
                </c:pt>
                <c:pt idx="83" formatCode="General">
                  <c:v>-406</c:v>
                </c:pt>
                <c:pt idx="84" formatCode="General">
                  <c:v>-409</c:v>
                </c:pt>
                <c:pt idx="85" formatCode="General">
                  <c:v>-465</c:v>
                </c:pt>
                <c:pt idx="86" formatCode="General">
                  <c:v>-416</c:v>
                </c:pt>
                <c:pt idx="87" formatCode="General">
                  <c:v>-430</c:v>
                </c:pt>
                <c:pt idx="88" formatCode="General">
                  <c:v>-489</c:v>
                </c:pt>
                <c:pt idx="89" formatCode="General">
                  <c:v>-430</c:v>
                </c:pt>
                <c:pt idx="90" formatCode="General">
                  <c:v>-620</c:v>
                </c:pt>
                <c:pt idx="91" formatCode="General">
                  <c:v>-510</c:v>
                </c:pt>
                <c:pt idx="92" formatCode="General">
                  <c:v>-584</c:v>
                </c:pt>
                <c:pt idx="93" formatCode="General">
                  <c:v>-706</c:v>
                </c:pt>
                <c:pt idx="94" formatCode="General">
                  <c:v>-417</c:v>
                </c:pt>
                <c:pt idx="95" formatCode="General">
                  <c:v>-325</c:v>
                </c:pt>
                <c:pt idx="96" formatCode="General">
                  <c:v>-244</c:v>
                </c:pt>
                <c:pt idx="97" formatCode="General">
                  <c:v>-334</c:v>
                </c:pt>
                <c:pt idx="98" formatCode="General">
                  <c:v>-180</c:v>
                </c:pt>
                <c:pt idx="99" formatCode="General">
                  <c:v>-212</c:v>
                </c:pt>
                <c:pt idx="100" formatCode="General">
                  <c:v>-126</c:v>
                </c:pt>
                <c:pt idx="101" formatCode="General">
                  <c:v>-114</c:v>
                </c:pt>
                <c:pt idx="102" formatCode="General">
                  <c:v>-374</c:v>
                </c:pt>
                <c:pt idx="103" formatCode="General">
                  <c:v>-212</c:v>
                </c:pt>
                <c:pt idx="104" formatCode="General">
                  <c:v>-137</c:v>
                </c:pt>
                <c:pt idx="105" formatCode="General">
                  <c:v>-219</c:v>
                </c:pt>
                <c:pt idx="106" formatCode="General">
                  <c:v>-113</c:v>
                </c:pt>
                <c:pt idx="107" formatCode="General">
                  <c:v>147</c:v>
                </c:pt>
                <c:pt idx="108" formatCode="General">
                  <c:v>152</c:v>
                </c:pt>
                <c:pt idx="109" formatCode="General">
                  <c:v>102</c:v>
                </c:pt>
                <c:pt idx="110" formatCode="General">
                  <c:v>159</c:v>
                </c:pt>
                <c:pt idx="111" formatCode="General">
                  <c:v>99</c:v>
                </c:pt>
                <c:pt idx="112" formatCode="General">
                  <c:v>117</c:v>
                </c:pt>
                <c:pt idx="113" formatCode="General">
                  <c:v>219</c:v>
                </c:pt>
                <c:pt idx="114" formatCode="General">
                  <c:v>141</c:v>
                </c:pt>
                <c:pt idx="115" formatCode="General">
                  <c:v>85</c:v>
                </c:pt>
                <c:pt idx="116" formatCode="General">
                  <c:v>137</c:v>
                </c:pt>
                <c:pt idx="117" formatCode="General">
                  <c:v>164</c:v>
                </c:pt>
                <c:pt idx="118" formatCode="General">
                  <c:v>213</c:v>
                </c:pt>
                <c:pt idx="119" formatCode="General">
                  <c:v>299</c:v>
                </c:pt>
                <c:pt idx="120" formatCode="General">
                  <c:v>254</c:v>
                </c:pt>
                <c:pt idx="121" formatCode="General">
                  <c:v>263</c:v>
                </c:pt>
                <c:pt idx="122" formatCode="General">
                  <c:v>213</c:v>
                </c:pt>
                <c:pt idx="123" formatCode="General">
                  <c:v>216</c:v>
                </c:pt>
                <c:pt idx="124" formatCode="General">
                  <c:v>227</c:v>
                </c:pt>
                <c:pt idx="125" formatCode="General">
                  <c:v>191</c:v>
                </c:pt>
                <c:pt idx="126" formatCode="General">
                  <c:v>127</c:v>
                </c:pt>
                <c:pt idx="127" formatCode="General">
                  <c:v>194</c:v>
                </c:pt>
                <c:pt idx="128" formatCode="General">
                  <c:v>199</c:v>
                </c:pt>
                <c:pt idx="129" formatCode="General">
                  <c:v>281</c:v>
                </c:pt>
                <c:pt idx="130" formatCode="General">
                  <c:v>250</c:v>
                </c:pt>
                <c:pt idx="131" formatCode="General">
                  <c:v>83</c:v>
                </c:pt>
                <c:pt idx="132" formatCode="General">
                  <c:v>153</c:v>
                </c:pt>
                <c:pt idx="133" formatCode="General">
                  <c:v>79</c:v>
                </c:pt>
                <c:pt idx="134" formatCode="General">
                  <c:v>142</c:v>
                </c:pt>
                <c:pt idx="135" formatCode="General">
                  <c:v>184</c:v>
                </c:pt>
                <c:pt idx="136" formatCode="General">
                  <c:v>150</c:v>
                </c:pt>
                <c:pt idx="137" formatCode="General">
                  <c:v>227</c:v>
                </c:pt>
                <c:pt idx="138" formatCode="General">
                  <c:v>159</c:v>
                </c:pt>
                <c:pt idx="139" formatCode="General">
                  <c:v>231</c:v>
                </c:pt>
                <c:pt idx="140" formatCode="General">
                  <c:v>208</c:v>
                </c:pt>
                <c:pt idx="141" formatCode="General">
                  <c:v>203</c:v>
                </c:pt>
                <c:pt idx="142" formatCode="General">
                  <c:v>181</c:v>
                </c:pt>
                <c:pt idx="143" formatCode="General">
                  <c:v>126</c:v>
                </c:pt>
                <c:pt idx="144" formatCode="General">
                  <c:v>210</c:v>
                </c:pt>
                <c:pt idx="145" formatCode="General">
                  <c:v>217</c:v>
                </c:pt>
                <c:pt idx="146" formatCode="General">
                  <c:v>157</c:v>
                </c:pt>
                <c:pt idx="147" formatCode="General">
                  <c:v>206</c:v>
                </c:pt>
                <c:pt idx="148" formatCode="General">
                  <c:v>243</c:v>
                </c:pt>
                <c:pt idx="149" formatCode="General">
                  <c:v>211</c:v>
                </c:pt>
                <c:pt idx="150" formatCode="General">
                  <c:v>195</c:v>
                </c:pt>
                <c:pt idx="151" formatCode="General">
                  <c:v>178</c:v>
                </c:pt>
                <c:pt idx="152" formatCode="General">
                  <c:v>212</c:v>
                </c:pt>
                <c:pt idx="153" formatCode="General">
                  <c:v>190</c:v>
                </c:pt>
                <c:pt idx="154" formatCode="General">
                  <c:v>179</c:v>
                </c:pt>
                <c:pt idx="155" formatCode="General">
                  <c:v>278</c:v>
                </c:pt>
                <c:pt idx="156" formatCode="General">
                  <c:v>202</c:v>
                </c:pt>
                <c:pt idx="157" formatCode="General">
                  <c:v>292</c:v>
                </c:pt>
                <c:pt idx="158" formatCode="General">
                  <c:v>223</c:v>
                </c:pt>
                <c:pt idx="159" formatCode="General">
                  <c:v>230</c:v>
                </c:pt>
                <c:pt idx="160" formatCode="General">
                  <c:v>251</c:v>
                </c:pt>
                <c:pt idx="161" formatCode="General">
                  <c:v>252</c:v>
                </c:pt>
                <c:pt idx="162" formatCode="General">
                  <c:v>195</c:v>
                </c:pt>
                <c:pt idx="163" formatCode="General">
                  <c:v>292</c:v>
                </c:pt>
                <c:pt idx="164" formatCode="General">
                  <c:v>191</c:v>
                </c:pt>
                <c:pt idx="165" formatCode="General">
                  <c:v>226</c:v>
                </c:pt>
                <c:pt idx="166" formatCode="General">
                  <c:v>178</c:v>
                </c:pt>
                <c:pt idx="167" formatCode="General">
                  <c:v>179</c:v>
                </c:pt>
                <c:pt idx="168" formatCode="General">
                  <c:v>296</c:v>
                </c:pt>
                <c:pt idx="169" formatCode="General">
                  <c:v>219</c:v>
                </c:pt>
                <c:pt idx="170" formatCode="General">
                  <c:v>190</c:v>
                </c:pt>
                <c:pt idx="171" formatCode="General">
                  <c:v>190</c:v>
                </c:pt>
                <c:pt idx="172" formatCode="General">
                  <c:v>204</c:v>
                </c:pt>
                <c:pt idx="173" formatCode="General">
                  <c:v>186</c:v>
                </c:pt>
                <c:pt idx="174" formatCode="General">
                  <c:v>223</c:v>
                </c:pt>
                <c:pt idx="175" formatCode="General">
                  <c:v>271</c:v>
                </c:pt>
                <c:pt idx="176" formatCode="General">
                  <c:v>130</c:v>
                </c:pt>
                <c:pt idx="177" formatCode="General">
                  <c:v>241</c:v>
                </c:pt>
                <c:pt idx="178" formatCode="General">
                  <c:v>205</c:v>
                </c:pt>
                <c:pt idx="179" formatCode="General">
                  <c:v>170</c:v>
                </c:pt>
                <c:pt idx="180" formatCode="General">
                  <c:v>84</c:v>
                </c:pt>
                <c:pt idx="181" formatCode="General">
                  <c:v>255</c:v>
                </c:pt>
                <c:pt idx="182" formatCode="General">
                  <c:v>152</c:v>
                </c:pt>
                <c:pt idx="183" formatCode="General">
                  <c:v>192</c:v>
                </c:pt>
                <c:pt idx="184" formatCode="General">
                  <c:v>181</c:v>
                </c:pt>
                <c:pt idx="185" formatCode="General">
                  <c:v>91</c:v>
                </c:pt>
                <c:pt idx="186" formatCode="General">
                  <c:v>236</c:v>
                </c:pt>
                <c:pt idx="187" formatCode="General">
                  <c:v>105</c:v>
                </c:pt>
                <c:pt idx="188" formatCode="General">
                  <c:v>224</c:v>
                </c:pt>
                <c:pt idx="189" formatCode="General">
                  <c:v>237</c:v>
                </c:pt>
                <c:pt idx="190" formatCode="General">
                  <c:v>209</c:v>
                </c:pt>
                <c:pt idx="191" formatCode="General">
                  <c:v>173</c:v>
                </c:pt>
                <c:pt idx="192" formatCode="General">
                  <c:v>170</c:v>
                </c:pt>
                <c:pt idx="193" formatCode="General">
                  <c:v>135</c:v>
                </c:pt>
                <c:pt idx="194" formatCode="General">
                  <c:v>183</c:v>
                </c:pt>
                <c:pt idx="195" formatCode="General">
                  <c:v>174</c:v>
                </c:pt>
                <c:pt idx="196" formatCode="General">
                  <c:v>111</c:v>
                </c:pt>
                <c:pt idx="197" formatCode="General">
                  <c:v>158</c:v>
                </c:pt>
                <c:pt idx="198" formatCode="General">
                  <c:v>207</c:v>
                </c:pt>
                <c:pt idx="199" formatCode="General">
                  <c:v>241</c:v>
                </c:pt>
                <c:pt idx="200" formatCode="General">
                  <c:v>252</c:v>
                </c:pt>
                <c:pt idx="201" formatCode="General">
                  <c:v>219</c:v>
                </c:pt>
                <c:pt idx="202" formatCode="General">
                  <c:v>213</c:v>
                </c:pt>
                <c:pt idx="203" formatCode="General">
                  <c:v>178</c:v>
                </c:pt>
                <c:pt idx="204" formatCode="General">
                  <c:v>276</c:v>
                </c:pt>
                <c:pt idx="205" formatCode="General">
                  <c:v>221</c:v>
                </c:pt>
                <c:pt idx="206" formatCode="General">
                  <c:v>284</c:v>
                </c:pt>
                <c:pt idx="207" formatCode="General">
                  <c:v>159</c:v>
                </c:pt>
                <c:pt idx="208" formatCode="General">
                  <c:v>199</c:v>
                </c:pt>
                <c:pt idx="209" formatCode="General">
                  <c:v>238</c:v>
                </c:pt>
                <c:pt idx="210" formatCode="General">
                  <c:v>136</c:v>
                </c:pt>
                <c:pt idx="211" formatCode="General">
                  <c:v>249</c:v>
                </c:pt>
                <c:pt idx="212" formatCode="General">
                  <c:v>264</c:v>
                </c:pt>
                <c:pt idx="213" formatCode="General">
                  <c:v>220</c:v>
                </c:pt>
                <c:pt idx="214" formatCode="General">
                  <c:v>158</c:v>
                </c:pt>
                <c:pt idx="215" formatCode="General">
                  <c:v>255</c:v>
                </c:pt>
                <c:pt idx="216" formatCode="General">
                  <c:v>46</c:v>
                </c:pt>
                <c:pt idx="217" formatCode="General">
                  <c:v>107</c:v>
                </c:pt>
                <c:pt idx="218" formatCode="General">
                  <c:v>143</c:v>
                </c:pt>
                <c:pt idx="219" formatCode="General">
                  <c:v>159</c:v>
                </c:pt>
                <c:pt idx="220" formatCode="General">
                  <c:v>124</c:v>
                </c:pt>
                <c:pt idx="221" formatCode="General">
                  <c:v>151</c:v>
                </c:pt>
                <c:pt idx="222" formatCode="General">
                  <c:v>124</c:v>
                </c:pt>
                <c:pt idx="223" formatCode="General">
                  <c:v>199</c:v>
                </c:pt>
                <c:pt idx="224" formatCode="General">
                  <c:v>209</c:v>
                </c:pt>
                <c:pt idx="225" formatCode="General">
                  <c:v>183</c:v>
                </c:pt>
                <c:pt idx="226" formatCode="General">
                  <c:v>-149</c:v>
                </c:pt>
                <c:pt idx="227" formatCode="General">
                  <c:v>-19557</c:v>
                </c:pt>
                <c:pt idx="228" formatCode="General">
                  <c:v>3065</c:v>
                </c:pt>
                <c:pt idx="229" formatCode="General">
                  <c:v>2369</c:v>
                </c:pt>
                <c:pt idx="230" formatCode="General">
                  <c:v>167</c:v>
                </c:pt>
                <c:pt idx="231" formatCode="General">
                  <c:v>428</c:v>
                </c:pt>
                <c:pt idx="232" formatCode="General">
                  <c:v>749</c:v>
                </c:pt>
                <c:pt idx="233" formatCode="General">
                  <c:v>365</c:v>
                </c:pt>
                <c:pt idx="234" formatCode="General">
                  <c:v>307</c:v>
                </c:pt>
                <c:pt idx="235" formatCode="General">
                  <c:v>-123</c:v>
                </c:pt>
                <c:pt idx="236" formatCode="General">
                  <c:v>174</c:v>
                </c:pt>
                <c:pt idx="237" formatCode="General">
                  <c:v>117</c:v>
                </c:pt>
                <c:pt idx="238" formatCode="General">
                  <c:v>517</c:v>
                </c:pt>
                <c:pt idx="239" formatCode="General">
                  <c:v>742</c:v>
                </c:pt>
                <c:pt idx="240" formatCode="General">
                  <c:v>978</c:v>
                </c:pt>
                <c:pt idx="241" formatCode="General">
                  <c:v>692</c:v>
                </c:pt>
                <c:pt idx="242" formatCode="General">
                  <c:v>330</c:v>
                </c:pt>
                <c:pt idx="243" formatCode="General">
                  <c:v>374</c:v>
                </c:pt>
              </c:numCache>
            </c:numRef>
          </c:val>
          <c:smooth val="0"/>
          <c:extLst>
            <c:ext xmlns:c16="http://schemas.microsoft.com/office/drawing/2014/chart" uri="{C3380CC4-5D6E-409C-BE32-E72D297353CC}">
              <c16:uniqueId val="{00000001-C2FC-476B-9EC9-0E2983F6BFCE}"/>
            </c:ext>
          </c:extLst>
        </c:ser>
        <c:ser>
          <c:idx val="2"/>
          <c:order val="1"/>
          <c:tx>
            <c:strRef>
              <c:f>ADP!$E$5</c:f>
              <c:strCache>
                <c:ptCount val="1"/>
                <c:pt idx="0">
                  <c:v>NFP</c:v>
                </c:pt>
              </c:strCache>
            </c:strRef>
          </c:tx>
          <c:spPr>
            <a:ln w="28575" cap="rnd">
              <a:solidFill>
                <a:schemeClr val="accent3"/>
              </a:solidFill>
              <a:round/>
            </a:ln>
            <a:effectLst/>
          </c:spPr>
          <c:marker>
            <c:symbol val="none"/>
          </c:marker>
          <c:cat>
            <c:numRef>
              <c:f>ADP!$A$6:$A$249</c:f>
              <c:numCache>
                <c:formatCode>m/d/yy</c:formatCode>
                <c:ptCount val="244"/>
                <c:pt idx="0">
                  <c:v>37012</c:v>
                </c:pt>
                <c:pt idx="1">
                  <c:v>37043</c:v>
                </c:pt>
                <c:pt idx="2">
                  <c:v>37073</c:v>
                </c:pt>
                <c:pt idx="3">
                  <c:v>37104</c:v>
                </c:pt>
                <c:pt idx="4">
                  <c:v>37135</c:v>
                </c:pt>
                <c:pt idx="5">
                  <c:v>37165</c:v>
                </c:pt>
                <c:pt idx="6">
                  <c:v>37196</c:v>
                </c:pt>
                <c:pt idx="7">
                  <c:v>37226</c:v>
                </c:pt>
                <c:pt idx="8">
                  <c:v>37257</c:v>
                </c:pt>
                <c:pt idx="9">
                  <c:v>37288</c:v>
                </c:pt>
                <c:pt idx="10">
                  <c:v>37316</c:v>
                </c:pt>
                <c:pt idx="11">
                  <c:v>37347</c:v>
                </c:pt>
                <c:pt idx="12">
                  <c:v>37377</c:v>
                </c:pt>
                <c:pt idx="13">
                  <c:v>37408</c:v>
                </c:pt>
                <c:pt idx="14">
                  <c:v>37438</c:v>
                </c:pt>
                <c:pt idx="15">
                  <c:v>37469</c:v>
                </c:pt>
                <c:pt idx="16">
                  <c:v>37500</c:v>
                </c:pt>
                <c:pt idx="17">
                  <c:v>37530</c:v>
                </c:pt>
                <c:pt idx="18">
                  <c:v>37561</c:v>
                </c:pt>
                <c:pt idx="19">
                  <c:v>37591</c:v>
                </c:pt>
                <c:pt idx="20">
                  <c:v>37622</c:v>
                </c:pt>
                <c:pt idx="21">
                  <c:v>37653</c:v>
                </c:pt>
                <c:pt idx="22">
                  <c:v>37681</c:v>
                </c:pt>
                <c:pt idx="23">
                  <c:v>37712</c:v>
                </c:pt>
                <c:pt idx="24">
                  <c:v>37742</c:v>
                </c:pt>
                <c:pt idx="25">
                  <c:v>37773</c:v>
                </c:pt>
                <c:pt idx="26">
                  <c:v>37803</c:v>
                </c:pt>
                <c:pt idx="27">
                  <c:v>37834</c:v>
                </c:pt>
                <c:pt idx="28">
                  <c:v>37865</c:v>
                </c:pt>
                <c:pt idx="29">
                  <c:v>37895</c:v>
                </c:pt>
                <c:pt idx="30">
                  <c:v>37926</c:v>
                </c:pt>
                <c:pt idx="31">
                  <c:v>37956</c:v>
                </c:pt>
                <c:pt idx="32">
                  <c:v>37987</c:v>
                </c:pt>
                <c:pt idx="33">
                  <c:v>38018</c:v>
                </c:pt>
                <c:pt idx="34">
                  <c:v>38047</c:v>
                </c:pt>
                <c:pt idx="35">
                  <c:v>38078</c:v>
                </c:pt>
                <c:pt idx="36">
                  <c:v>38108</c:v>
                </c:pt>
                <c:pt idx="37">
                  <c:v>38139</c:v>
                </c:pt>
                <c:pt idx="38">
                  <c:v>38169</c:v>
                </c:pt>
                <c:pt idx="39">
                  <c:v>38200</c:v>
                </c:pt>
                <c:pt idx="40">
                  <c:v>38231</c:v>
                </c:pt>
                <c:pt idx="41">
                  <c:v>38261</c:v>
                </c:pt>
                <c:pt idx="42">
                  <c:v>38292</c:v>
                </c:pt>
                <c:pt idx="43">
                  <c:v>38322</c:v>
                </c:pt>
                <c:pt idx="44">
                  <c:v>38353</c:v>
                </c:pt>
                <c:pt idx="45">
                  <c:v>38384</c:v>
                </c:pt>
                <c:pt idx="46">
                  <c:v>38412</c:v>
                </c:pt>
                <c:pt idx="47">
                  <c:v>38443</c:v>
                </c:pt>
                <c:pt idx="48">
                  <c:v>38473</c:v>
                </c:pt>
                <c:pt idx="49">
                  <c:v>38504</c:v>
                </c:pt>
                <c:pt idx="50">
                  <c:v>38534</c:v>
                </c:pt>
                <c:pt idx="51">
                  <c:v>38565</c:v>
                </c:pt>
                <c:pt idx="52">
                  <c:v>38596</c:v>
                </c:pt>
                <c:pt idx="53">
                  <c:v>38626</c:v>
                </c:pt>
                <c:pt idx="54">
                  <c:v>38657</c:v>
                </c:pt>
                <c:pt idx="55">
                  <c:v>38687</c:v>
                </c:pt>
                <c:pt idx="56">
                  <c:v>38718</c:v>
                </c:pt>
                <c:pt idx="57">
                  <c:v>38749</c:v>
                </c:pt>
                <c:pt idx="58">
                  <c:v>38777</c:v>
                </c:pt>
                <c:pt idx="59">
                  <c:v>38808</c:v>
                </c:pt>
                <c:pt idx="60">
                  <c:v>38838</c:v>
                </c:pt>
                <c:pt idx="61">
                  <c:v>38869</c:v>
                </c:pt>
                <c:pt idx="62">
                  <c:v>38899</c:v>
                </c:pt>
                <c:pt idx="63">
                  <c:v>38930</c:v>
                </c:pt>
                <c:pt idx="64">
                  <c:v>38961</c:v>
                </c:pt>
                <c:pt idx="65">
                  <c:v>38991</c:v>
                </c:pt>
                <c:pt idx="66">
                  <c:v>39022</c:v>
                </c:pt>
                <c:pt idx="67">
                  <c:v>39052</c:v>
                </c:pt>
                <c:pt idx="68">
                  <c:v>39083</c:v>
                </c:pt>
                <c:pt idx="69">
                  <c:v>39114</c:v>
                </c:pt>
                <c:pt idx="70">
                  <c:v>39142</c:v>
                </c:pt>
                <c:pt idx="71">
                  <c:v>39173</c:v>
                </c:pt>
                <c:pt idx="72">
                  <c:v>39203</c:v>
                </c:pt>
                <c:pt idx="73">
                  <c:v>39234</c:v>
                </c:pt>
                <c:pt idx="74">
                  <c:v>39264</c:v>
                </c:pt>
                <c:pt idx="75">
                  <c:v>39295</c:v>
                </c:pt>
                <c:pt idx="76">
                  <c:v>39326</c:v>
                </c:pt>
                <c:pt idx="77">
                  <c:v>39356</c:v>
                </c:pt>
                <c:pt idx="78">
                  <c:v>39387</c:v>
                </c:pt>
                <c:pt idx="79">
                  <c:v>39417</c:v>
                </c:pt>
                <c:pt idx="80">
                  <c:v>39448</c:v>
                </c:pt>
                <c:pt idx="81">
                  <c:v>39479</c:v>
                </c:pt>
                <c:pt idx="82">
                  <c:v>39508</c:v>
                </c:pt>
                <c:pt idx="83">
                  <c:v>39539</c:v>
                </c:pt>
                <c:pt idx="84">
                  <c:v>39569</c:v>
                </c:pt>
                <c:pt idx="85">
                  <c:v>39600</c:v>
                </c:pt>
                <c:pt idx="86">
                  <c:v>39630</c:v>
                </c:pt>
                <c:pt idx="87">
                  <c:v>39661</c:v>
                </c:pt>
                <c:pt idx="88">
                  <c:v>39692</c:v>
                </c:pt>
                <c:pt idx="89">
                  <c:v>39722</c:v>
                </c:pt>
                <c:pt idx="90">
                  <c:v>39753</c:v>
                </c:pt>
                <c:pt idx="91">
                  <c:v>39783</c:v>
                </c:pt>
                <c:pt idx="92">
                  <c:v>39814</c:v>
                </c:pt>
                <c:pt idx="93">
                  <c:v>39845</c:v>
                </c:pt>
                <c:pt idx="94">
                  <c:v>39873</c:v>
                </c:pt>
                <c:pt idx="95">
                  <c:v>39904</c:v>
                </c:pt>
                <c:pt idx="96">
                  <c:v>39934</c:v>
                </c:pt>
                <c:pt idx="97">
                  <c:v>39965</c:v>
                </c:pt>
                <c:pt idx="98">
                  <c:v>39995</c:v>
                </c:pt>
                <c:pt idx="99">
                  <c:v>40026</c:v>
                </c:pt>
                <c:pt idx="100">
                  <c:v>40057</c:v>
                </c:pt>
                <c:pt idx="101">
                  <c:v>40087</c:v>
                </c:pt>
                <c:pt idx="102">
                  <c:v>40118</c:v>
                </c:pt>
                <c:pt idx="103">
                  <c:v>40148</c:v>
                </c:pt>
                <c:pt idx="104">
                  <c:v>40179</c:v>
                </c:pt>
                <c:pt idx="105">
                  <c:v>40210</c:v>
                </c:pt>
                <c:pt idx="106">
                  <c:v>40238</c:v>
                </c:pt>
                <c:pt idx="107">
                  <c:v>40269</c:v>
                </c:pt>
                <c:pt idx="108">
                  <c:v>40299</c:v>
                </c:pt>
                <c:pt idx="109">
                  <c:v>40330</c:v>
                </c:pt>
                <c:pt idx="110">
                  <c:v>40360</c:v>
                </c:pt>
                <c:pt idx="111">
                  <c:v>40391</c:v>
                </c:pt>
                <c:pt idx="112">
                  <c:v>40422</c:v>
                </c:pt>
                <c:pt idx="113">
                  <c:v>40452</c:v>
                </c:pt>
                <c:pt idx="114">
                  <c:v>40483</c:v>
                </c:pt>
                <c:pt idx="115">
                  <c:v>40513</c:v>
                </c:pt>
                <c:pt idx="116">
                  <c:v>40544</c:v>
                </c:pt>
                <c:pt idx="117">
                  <c:v>40575</c:v>
                </c:pt>
                <c:pt idx="118">
                  <c:v>40603</c:v>
                </c:pt>
                <c:pt idx="119">
                  <c:v>40634</c:v>
                </c:pt>
                <c:pt idx="120">
                  <c:v>40664</c:v>
                </c:pt>
                <c:pt idx="121">
                  <c:v>40695</c:v>
                </c:pt>
                <c:pt idx="122">
                  <c:v>40725</c:v>
                </c:pt>
                <c:pt idx="123">
                  <c:v>40756</c:v>
                </c:pt>
                <c:pt idx="124">
                  <c:v>40787</c:v>
                </c:pt>
                <c:pt idx="125">
                  <c:v>40817</c:v>
                </c:pt>
                <c:pt idx="126">
                  <c:v>40848</c:v>
                </c:pt>
                <c:pt idx="127">
                  <c:v>40878</c:v>
                </c:pt>
                <c:pt idx="128">
                  <c:v>40909</c:v>
                </c:pt>
                <c:pt idx="129">
                  <c:v>40940</c:v>
                </c:pt>
                <c:pt idx="130">
                  <c:v>40969</c:v>
                </c:pt>
                <c:pt idx="131">
                  <c:v>41000</c:v>
                </c:pt>
                <c:pt idx="132">
                  <c:v>41030</c:v>
                </c:pt>
                <c:pt idx="133">
                  <c:v>41061</c:v>
                </c:pt>
                <c:pt idx="134">
                  <c:v>41091</c:v>
                </c:pt>
                <c:pt idx="135">
                  <c:v>41122</c:v>
                </c:pt>
                <c:pt idx="136">
                  <c:v>41153</c:v>
                </c:pt>
                <c:pt idx="137">
                  <c:v>41183</c:v>
                </c:pt>
                <c:pt idx="138">
                  <c:v>41214</c:v>
                </c:pt>
                <c:pt idx="139">
                  <c:v>41244</c:v>
                </c:pt>
                <c:pt idx="140">
                  <c:v>41275</c:v>
                </c:pt>
                <c:pt idx="141">
                  <c:v>41306</c:v>
                </c:pt>
                <c:pt idx="142">
                  <c:v>41334</c:v>
                </c:pt>
                <c:pt idx="143">
                  <c:v>41365</c:v>
                </c:pt>
                <c:pt idx="144">
                  <c:v>41395</c:v>
                </c:pt>
                <c:pt idx="145">
                  <c:v>41426</c:v>
                </c:pt>
                <c:pt idx="146">
                  <c:v>41456</c:v>
                </c:pt>
                <c:pt idx="147">
                  <c:v>41487</c:v>
                </c:pt>
                <c:pt idx="148">
                  <c:v>41518</c:v>
                </c:pt>
                <c:pt idx="149">
                  <c:v>41548</c:v>
                </c:pt>
                <c:pt idx="150">
                  <c:v>41579</c:v>
                </c:pt>
                <c:pt idx="151">
                  <c:v>41609</c:v>
                </c:pt>
                <c:pt idx="152">
                  <c:v>41640</c:v>
                </c:pt>
                <c:pt idx="153">
                  <c:v>41671</c:v>
                </c:pt>
                <c:pt idx="154">
                  <c:v>41699</c:v>
                </c:pt>
                <c:pt idx="155">
                  <c:v>41730</c:v>
                </c:pt>
                <c:pt idx="156">
                  <c:v>41760</c:v>
                </c:pt>
                <c:pt idx="157">
                  <c:v>41791</c:v>
                </c:pt>
                <c:pt idx="158">
                  <c:v>41821</c:v>
                </c:pt>
                <c:pt idx="159">
                  <c:v>41852</c:v>
                </c:pt>
                <c:pt idx="160">
                  <c:v>41883</c:v>
                </c:pt>
                <c:pt idx="161">
                  <c:v>41913</c:v>
                </c:pt>
                <c:pt idx="162">
                  <c:v>41944</c:v>
                </c:pt>
                <c:pt idx="163">
                  <c:v>41974</c:v>
                </c:pt>
                <c:pt idx="164">
                  <c:v>42005</c:v>
                </c:pt>
                <c:pt idx="165">
                  <c:v>42036</c:v>
                </c:pt>
                <c:pt idx="166">
                  <c:v>42064</c:v>
                </c:pt>
                <c:pt idx="167">
                  <c:v>42095</c:v>
                </c:pt>
                <c:pt idx="168">
                  <c:v>42125</c:v>
                </c:pt>
                <c:pt idx="169">
                  <c:v>42156</c:v>
                </c:pt>
                <c:pt idx="170">
                  <c:v>42186</c:v>
                </c:pt>
                <c:pt idx="171">
                  <c:v>42217</c:v>
                </c:pt>
                <c:pt idx="172">
                  <c:v>42248</c:v>
                </c:pt>
                <c:pt idx="173">
                  <c:v>42278</c:v>
                </c:pt>
                <c:pt idx="174">
                  <c:v>42309</c:v>
                </c:pt>
                <c:pt idx="175">
                  <c:v>42339</c:v>
                </c:pt>
                <c:pt idx="176">
                  <c:v>42370</c:v>
                </c:pt>
                <c:pt idx="177">
                  <c:v>42401</c:v>
                </c:pt>
                <c:pt idx="178">
                  <c:v>42430</c:v>
                </c:pt>
                <c:pt idx="179">
                  <c:v>42461</c:v>
                </c:pt>
                <c:pt idx="180">
                  <c:v>42491</c:v>
                </c:pt>
                <c:pt idx="181">
                  <c:v>42522</c:v>
                </c:pt>
                <c:pt idx="182">
                  <c:v>42552</c:v>
                </c:pt>
                <c:pt idx="183">
                  <c:v>42583</c:v>
                </c:pt>
                <c:pt idx="184">
                  <c:v>42614</c:v>
                </c:pt>
                <c:pt idx="185">
                  <c:v>42644</c:v>
                </c:pt>
                <c:pt idx="186">
                  <c:v>42675</c:v>
                </c:pt>
                <c:pt idx="187">
                  <c:v>42705</c:v>
                </c:pt>
                <c:pt idx="188">
                  <c:v>42736</c:v>
                </c:pt>
                <c:pt idx="189">
                  <c:v>42767</c:v>
                </c:pt>
                <c:pt idx="190">
                  <c:v>42795</c:v>
                </c:pt>
                <c:pt idx="191">
                  <c:v>42826</c:v>
                </c:pt>
                <c:pt idx="192">
                  <c:v>42856</c:v>
                </c:pt>
                <c:pt idx="193">
                  <c:v>42887</c:v>
                </c:pt>
                <c:pt idx="194">
                  <c:v>42917</c:v>
                </c:pt>
                <c:pt idx="195">
                  <c:v>42948</c:v>
                </c:pt>
                <c:pt idx="196">
                  <c:v>42979</c:v>
                </c:pt>
                <c:pt idx="197">
                  <c:v>43009</c:v>
                </c:pt>
                <c:pt idx="198">
                  <c:v>43040</c:v>
                </c:pt>
                <c:pt idx="199">
                  <c:v>43070</c:v>
                </c:pt>
                <c:pt idx="200">
                  <c:v>43101</c:v>
                </c:pt>
                <c:pt idx="201">
                  <c:v>43132</c:v>
                </c:pt>
                <c:pt idx="202">
                  <c:v>43160</c:v>
                </c:pt>
                <c:pt idx="203">
                  <c:v>43191</c:v>
                </c:pt>
                <c:pt idx="204">
                  <c:v>43221</c:v>
                </c:pt>
                <c:pt idx="205">
                  <c:v>43252</c:v>
                </c:pt>
                <c:pt idx="206">
                  <c:v>43282</c:v>
                </c:pt>
                <c:pt idx="207">
                  <c:v>43313</c:v>
                </c:pt>
                <c:pt idx="208">
                  <c:v>43344</c:v>
                </c:pt>
                <c:pt idx="209">
                  <c:v>43374</c:v>
                </c:pt>
                <c:pt idx="210">
                  <c:v>43405</c:v>
                </c:pt>
                <c:pt idx="211">
                  <c:v>43435</c:v>
                </c:pt>
                <c:pt idx="212">
                  <c:v>43466</c:v>
                </c:pt>
                <c:pt idx="213">
                  <c:v>43497</c:v>
                </c:pt>
                <c:pt idx="214">
                  <c:v>43525</c:v>
                </c:pt>
                <c:pt idx="215">
                  <c:v>43556</c:v>
                </c:pt>
                <c:pt idx="216">
                  <c:v>43586</c:v>
                </c:pt>
                <c:pt idx="217">
                  <c:v>43617</c:v>
                </c:pt>
                <c:pt idx="218">
                  <c:v>43647</c:v>
                </c:pt>
                <c:pt idx="219">
                  <c:v>43678</c:v>
                </c:pt>
                <c:pt idx="220">
                  <c:v>43709</c:v>
                </c:pt>
                <c:pt idx="221">
                  <c:v>43739</c:v>
                </c:pt>
                <c:pt idx="222">
                  <c:v>43770</c:v>
                </c:pt>
                <c:pt idx="223">
                  <c:v>43800</c:v>
                </c:pt>
                <c:pt idx="224">
                  <c:v>43831</c:v>
                </c:pt>
                <c:pt idx="225">
                  <c:v>43862</c:v>
                </c:pt>
                <c:pt idx="226">
                  <c:v>43891</c:v>
                </c:pt>
                <c:pt idx="227">
                  <c:v>43922</c:v>
                </c:pt>
                <c:pt idx="228">
                  <c:v>43952</c:v>
                </c:pt>
                <c:pt idx="229">
                  <c:v>43983</c:v>
                </c:pt>
                <c:pt idx="230">
                  <c:v>44013</c:v>
                </c:pt>
                <c:pt idx="231">
                  <c:v>44044</c:v>
                </c:pt>
                <c:pt idx="232">
                  <c:v>44075</c:v>
                </c:pt>
                <c:pt idx="233">
                  <c:v>44105</c:v>
                </c:pt>
                <c:pt idx="234">
                  <c:v>44136</c:v>
                </c:pt>
                <c:pt idx="235">
                  <c:v>44166</c:v>
                </c:pt>
                <c:pt idx="236">
                  <c:v>44197</c:v>
                </c:pt>
                <c:pt idx="237">
                  <c:v>44228</c:v>
                </c:pt>
                <c:pt idx="238">
                  <c:v>44256</c:v>
                </c:pt>
                <c:pt idx="239">
                  <c:v>44287</c:v>
                </c:pt>
                <c:pt idx="240">
                  <c:v>44317</c:v>
                </c:pt>
                <c:pt idx="241">
                  <c:v>44348</c:v>
                </c:pt>
                <c:pt idx="242">
                  <c:v>44378</c:v>
                </c:pt>
                <c:pt idx="243">
                  <c:v>44409</c:v>
                </c:pt>
              </c:numCache>
            </c:numRef>
          </c:cat>
          <c:val>
            <c:numRef>
              <c:f>ADP!$E$6:$E$249</c:f>
              <c:numCache>
                <c:formatCode>0.00</c:formatCode>
                <c:ptCount val="244"/>
                <c:pt idx="0">
                  <c:v>-53</c:v>
                </c:pt>
                <c:pt idx="1">
                  <c:v>-111</c:v>
                </c:pt>
                <c:pt idx="2">
                  <c:v>-122</c:v>
                </c:pt>
                <c:pt idx="3">
                  <c:v>-149</c:v>
                </c:pt>
                <c:pt idx="4">
                  <c:v>-257</c:v>
                </c:pt>
                <c:pt idx="5">
                  <c:v>-317</c:v>
                </c:pt>
                <c:pt idx="6">
                  <c:v>-312</c:v>
                </c:pt>
                <c:pt idx="7">
                  <c:v>-160</c:v>
                </c:pt>
                <c:pt idx="8">
                  <c:v>-130</c:v>
                </c:pt>
                <c:pt idx="9">
                  <c:v>-116</c:v>
                </c:pt>
                <c:pt idx="10">
                  <c:v>-19</c:v>
                </c:pt>
                <c:pt idx="11">
                  <c:v>-94</c:v>
                </c:pt>
                <c:pt idx="12">
                  <c:v>11</c:v>
                </c:pt>
                <c:pt idx="13">
                  <c:v>50</c:v>
                </c:pt>
                <c:pt idx="14">
                  <c:v>-94</c:v>
                </c:pt>
                <c:pt idx="15">
                  <c:v>-3</c:v>
                </c:pt>
                <c:pt idx="16">
                  <c:v>-86</c:v>
                </c:pt>
                <c:pt idx="17">
                  <c:v>127</c:v>
                </c:pt>
                <c:pt idx="18">
                  <c:v>-13</c:v>
                </c:pt>
                <c:pt idx="19">
                  <c:v>-143</c:v>
                </c:pt>
                <c:pt idx="20">
                  <c:v>108</c:v>
                </c:pt>
                <c:pt idx="21">
                  <c:v>-136</c:v>
                </c:pt>
                <c:pt idx="22">
                  <c:v>-212</c:v>
                </c:pt>
                <c:pt idx="23">
                  <c:v>-55</c:v>
                </c:pt>
                <c:pt idx="24">
                  <c:v>19</c:v>
                </c:pt>
                <c:pt idx="25">
                  <c:v>-2</c:v>
                </c:pt>
                <c:pt idx="26">
                  <c:v>-3</c:v>
                </c:pt>
                <c:pt idx="27">
                  <c:v>-42</c:v>
                </c:pt>
                <c:pt idx="28">
                  <c:v>105</c:v>
                </c:pt>
                <c:pt idx="29">
                  <c:v>200</c:v>
                </c:pt>
                <c:pt idx="30">
                  <c:v>20</c:v>
                </c:pt>
                <c:pt idx="31">
                  <c:v>114</c:v>
                </c:pt>
                <c:pt idx="32">
                  <c:v>181</c:v>
                </c:pt>
                <c:pt idx="33">
                  <c:v>56</c:v>
                </c:pt>
                <c:pt idx="34">
                  <c:v>317</c:v>
                </c:pt>
                <c:pt idx="35">
                  <c:v>269</c:v>
                </c:pt>
                <c:pt idx="36">
                  <c:v>283</c:v>
                </c:pt>
                <c:pt idx="37">
                  <c:v>99</c:v>
                </c:pt>
                <c:pt idx="38">
                  <c:v>55</c:v>
                </c:pt>
                <c:pt idx="39">
                  <c:v>89</c:v>
                </c:pt>
                <c:pt idx="40">
                  <c:v>156</c:v>
                </c:pt>
                <c:pt idx="41">
                  <c:v>354</c:v>
                </c:pt>
                <c:pt idx="42">
                  <c:v>56</c:v>
                </c:pt>
                <c:pt idx="43">
                  <c:v>121</c:v>
                </c:pt>
                <c:pt idx="44">
                  <c:v>150</c:v>
                </c:pt>
                <c:pt idx="45">
                  <c:v>258</c:v>
                </c:pt>
                <c:pt idx="46">
                  <c:v>124</c:v>
                </c:pt>
                <c:pt idx="47">
                  <c:v>362</c:v>
                </c:pt>
                <c:pt idx="48">
                  <c:v>172</c:v>
                </c:pt>
                <c:pt idx="49">
                  <c:v>252</c:v>
                </c:pt>
                <c:pt idx="50">
                  <c:v>354</c:v>
                </c:pt>
                <c:pt idx="51">
                  <c:v>202</c:v>
                </c:pt>
                <c:pt idx="52">
                  <c:v>68</c:v>
                </c:pt>
                <c:pt idx="53">
                  <c:v>89</c:v>
                </c:pt>
                <c:pt idx="54">
                  <c:v>338</c:v>
                </c:pt>
                <c:pt idx="55">
                  <c:v>156</c:v>
                </c:pt>
                <c:pt idx="56">
                  <c:v>280</c:v>
                </c:pt>
                <c:pt idx="57">
                  <c:v>308</c:v>
                </c:pt>
                <c:pt idx="58">
                  <c:v>310</c:v>
                </c:pt>
                <c:pt idx="59">
                  <c:v>158</c:v>
                </c:pt>
                <c:pt idx="60">
                  <c:v>39</c:v>
                </c:pt>
                <c:pt idx="61">
                  <c:v>81</c:v>
                </c:pt>
                <c:pt idx="62">
                  <c:v>195</c:v>
                </c:pt>
                <c:pt idx="63">
                  <c:v>174</c:v>
                </c:pt>
                <c:pt idx="64">
                  <c:v>149</c:v>
                </c:pt>
                <c:pt idx="65">
                  <c:v>9</c:v>
                </c:pt>
                <c:pt idx="66">
                  <c:v>211</c:v>
                </c:pt>
                <c:pt idx="67">
                  <c:v>186</c:v>
                </c:pt>
                <c:pt idx="68">
                  <c:v>228</c:v>
                </c:pt>
                <c:pt idx="69">
                  <c:v>81</c:v>
                </c:pt>
                <c:pt idx="70">
                  <c:v>235</c:v>
                </c:pt>
                <c:pt idx="71">
                  <c:v>49</c:v>
                </c:pt>
                <c:pt idx="72">
                  <c:v>151</c:v>
                </c:pt>
                <c:pt idx="73">
                  <c:v>76</c:v>
                </c:pt>
                <c:pt idx="74">
                  <c:v>-31</c:v>
                </c:pt>
                <c:pt idx="75">
                  <c:v>-23</c:v>
                </c:pt>
                <c:pt idx="76">
                  <c:v>80</c:v>
                </c:pt>
                <c:pt idx="77">
                  <c:v>79</c:v>
                </c:pt>
                <c:pt idx="78">
                  <c:v>110</c:v>
                </c:pt>
                <c:pt idx="79">
                  <c:v>108</c:v>
                </c:pt>
                <c:pt idx="80">
                  <c:v>11</c:v>
                </c:pt>
                <c:pt idx="81">
                  <c:v>-79</c:v>
                </c:pt>
                <c:pt idx="82">
                  <c:v>-49</c:v>
                </c:pt>
                <c:pt idx="83">
                  <c:v>-240</c:v>
                </c:pt>
                <c:pt idx="84">
                  <c:v>-177</c:v>
                </c:pt>
                <c:pt idx="85">
                  <c:v>-171</c:v>
                </c:pt>
                <c:pt idx="86">
                  <c:v>-196</c:v>
                </c:pt>
                <c:pt idx="87">
                  <c:v>-278</c:v>
                </c:pt>
                <c:pt idx="88">
                  <c:v>-460</c:v>
                </c:pt>
                <c:pt idx="89">
                  <c:v>-481</c:v>
                </c:pt>
                <c:pt idx="90">
                  <c:v>-727</c:v>
                </c:pt>
                <c:pt idx="91">
                  <c:v>-706</c:v>
                </c:pt>
                <c:pt idx="92">
                  <c:v>-784</c:v>
                </c:pt>
                <c:pt idx="93">
                  <c:v>-743</c:v>
                </c:pt>
                <c:pt idx="94">
                  <c:v>-800</c:v>
                </c:pt>
                <c:pt idx="95">
                  <c:v>-695</c:v>
                </c:pt>
                <c:pt idx="96">
                  <c:v>-342</c:v>
                </c:pt>
                <c:pt idx="97">
                  <c:v>-467</c:v>
                </c:pt>
                <c:pt idx="98">
                  <c:v>-340</c:v>
                </c:pt>
                <c:pt idx="99">
                  <c:v>-183</c:v>
                </c:pt>
                <c:pt idx="100">
                  <c:v>-241</c:v>
                </c:pt>
                <c:pt idx="101">
                  <c:v>-199</c:v>
                </c:pt>
                <c:pt idx="102">
                  <c:v>12</c:v>
                </c:pt>
                <c:pt idx="103">
                  <c:v>-269</c:v>
                </c:pt>
                <c:pt idx="104">
                  <c:v>2</c:v>
                </c:pt>
                <c:pt idx="105">
                  <c:v>-92</c:v>
                </c:pt>
                <c:pt idx="106">
                  <c:v>181</c:v>
                </c:pt>
                <c:pt idx="107">
                  <c:v>231</c:v>
                </c:pt>
                <c:pt idx="108">
                  <c:v>540</c:v>
                </c:pt>
                <c:pt idx="109">
                  <c:v>-139</c:v>
                </c:pt>
                <c:pt idx="110">
                  <c:v>-84</c:v>
                </c:pt>
                <c:pt idx="111">
                  <c:v>-5</c:v>
                </c:pt>
                <c:pt idx="112">
                  <c:v>-65</c:v>
                </c:pt>
                <c:pt idx="113">
                  <c:v>268</c:v>
                </c:pt>
                <c:pt idx="114">
                  <c:v>125</c:v>
                </c:pt>
                <c:pt idx="115">
                  <c:v>72</c:v>
                </c:pt>
                <c:pt idx="116">
                  <c:v>19</c:v>
                </c:pt>
                <c:pt idx="117">
                  <c:v>212</c:v>
                </c:pt>
                <c:pt idx="118">
                  <c:v>235</c:v>
                </c:pt>
                <c:pt idx="119">
                  <c:v>314</c:v>
                </c:pt>
                <c:pt idx="120">
                  <c:v>101</c:v>
                </c:pt>
                <c:pt idx="121">
                  <c:v>236</c:v>
                </c:pt>
                <c:pt idx="122">
                  <c:v>60</c:v>
                </c:pt>
                <c:pt idx="123">
                  <c:v>126</c:v>
                </c:pt>
                <c:pt idx="124">
                  <c:v>233</c:v>
                </c:pt>
                <c:pt idx="125">
                  <c:v>204</c:v>
                </c:pt>
                <c:pt idx="126">
                  <c:v>132</c:v>
                </c:pt>
                <c:pt idx="127">
                  <c:v>202</c:v>
                </c:pt>
                <c:pt idx="128">
                  <c:v>354</c:v>
                </c:pt>
                <c:pt idx="129">
                  <c:v>262</c:v>
                </c:pt>
                <c:pt idx="130">
                  <c:v>240</c:v>
                </c:pt>
                <c:pt idx="131">
                  <c:v>82</c:v>
                </c:pt>
                <c:pt idx="132">
                  <c:v>100</c:v>
                </c:pt>
                <c:pt idx="133">
                  <c:v>73</c:v>
                </c:pt>
                <c:pt idx="134">
                  <c:v>152</c:v>
                </c:pt>
                <c:pt idx="135">
                  <c:v>172</c:v>
                </c:pt>
                <c:pt idx="136">
                  <c:v>187</c:v>
                </c:pt>
                <c:pt idx="137">
                  <c:v>159</c:v>
                </c:pt>
                <c:pt idx="138">
                  <c:v>156</c:v>
                </c:pt>
                <c:pt idx="139">
                  <c:v>239</c:v>
                </c:pt>
                <c:pt idx="140">
                  <c:v>191</c:v>
                </c:pt>
                <c:pt idx="141">
                  <c:v>278</c:v>
                </c:pt>
                <c:pt idx="142">
                  <c:v>139</c:v>
                </c:pt>
                <c:pt idx="143">
                  <c:v>191</c:v>
                </c:pt>
                <c:pt idx="144">
                  <c:v>222</c:v>
                </c:pt>
                <c:pt idx="145">
                  <c:v>181</c:v>
                </c:pt>
                <c:pt idx="146">
                  <c:v>112</c:v>
                </c:pt>
                <c:pt idx="147">
                  <c:v>242</c:v>
                </c:pt>
                <c:pt idx="148">
                  <c:v>187</c:v>
                </c:pt>
                <c:pt idx="149">
                  <c:v>225</c:v>
                </c:pt>
                <c:pt idx="150">
                  <c:v>264</c:v>
                </c:pt>
                <c:pt idx="151">
                  <c:v>69</c:v>
                </c:pt>
                <c:pt idx="152">
                  <c:v>175</c:v>
                </c:pt>
                <c:pt idx="153">
                  <c:v>166</c:v>
                </c:pt>
                <c:pt idx="154">
                  <c:v>254</c:v>
                </c:pt>
                <c:pt idx="155">
                  <c:v>325</c:v>
                </c:pt>
                <c:pt idx="156">
                  <c:v>218</c:v>
                </c:pt>
                <c:pt idx="157">
                  <c:v>326</c:v>
                </c:pt>
                <c:pt idx="158">
                  <c:v>232</c:v>
                </c:pt>
                <c:pt idx="159">
                  <c:v>188</c:v>
                </c:pt>
                <c:pt idx="160">
                  <c:v>309</c:v>
                </c:pt>
                <c:pt idx="161">
                  <c:v>252</c:v>
                </c:pt>
                <c:pt idx="162">
                  <c:v>291</c:v>
                </c:pt>
                <c:pt idx="163">
                  <c:v>268</c:v>
                </c:pt>
                <c:pt idx="164">
                  <c:v>191</c:v>
                </c:pt>
                <c:pt idx="165">
                  <c:v>271</c:v>
                </c:pt>
                <c:pt idx="166">
                  <c:v>71</c:v>
                </c:pt>
                <c:pt idx="167">
                  <c:v>284</c:v>
                </c:pt>
                <c:pt idx="168">
                  <c:v>331</c:v>
                </c:pt>
                <c:pt idx="169">
                  <c:v>174</c:v>
                </c:pt>
                <c:pt idx="170">
                  <c:v>302</c:v>
                </c:pt>
                <c:pt idx="171">
                  <c:v>125</c:v>
                </c:pt>
                <c:pt idx="172">
                  <c:v>155</c:v>
                </c:pt>
                <c:pt idx="173">
                  <c:v>306</c:v>
                </c:pt>
                <c:pt idx="174">
                  <c:v>237</c:v>
                </c:pt>
                <c:pt idx="175">
                  <c:v>273</c:v>
                </c:pt>
                <c:pt idx="176">
                  <c:v>108</c:v>
                </c:pt>
                <c:pt idx="177">
                  <c:v>212</c:v>
                </c:pt>
                <c:pt idx="178">
                  <c:v>237</c:v>
                </c:pt>
                <c:pt idx="179">
                  <c:v>197</c:v>
                </c:pt>
                <c:pt idx="180">
                  <c:v>41</c:v>
                </c:pt>
                <c:pt idx="181">
                  <c:v>258</c:v>
                </c:pt>
                <c:pt idx="182">
                  <c:v>371</c:v>
                </c:pt>
                <c:pt idx="183">
                  <c:v>143</c:v>
                </c:pt>
                <c:pt idx="184">
                  <c:v>289</c:v>
                </c:pt>
                <c:pt idx="185">
                  <c:v>118</c:v>
                </c:pt>
                <c:pt idx="186">
                  <c:v>130</c:v>
                </c:pt>
                <c:pt idx="187">
                  <c:v>214</c:v>
                </c:pt>
                <c:pt idx="188">
                  <c:v>197</c:v>
                </c:pt>
                <c:pt idx="189">
                  <c:v>183</c:v>
                </c:pt>
                <c:pt idx="190">
                  <c:v>139</c:v>
                </c:pt>
                <c:pt idx="191">
                  <c:v>220</c:v>
                </c:pt>
                <c:pt idx="192">
                  <c:v>141</c:v>
                </c:pt>
                <c:pt idx="193">
                  <c:v>211</c:v>
                </c:pt>
                <c:pt idx="194">
                  <c:v>228</c:v>
                </c:pt>
                <c:pt idx="195">
                  <c:v>190</c:v>
                </c:pt>
                <c:pt idx="196">
                  <c:v>42</c:v>
                </c:pt>
                <c:pt idx="197">
                  <c:v>249</c:v>
                </c:pt>
                <c:pt idx="198">
                  <c:v>196</c:v>
                </c:pt>
                <c:pt idx="199">
                  <c:v>179</c:v>
                </c:pt>
                <c:pt idx="200">
                  <c:v>81</c:v>
                </c:pt>
                <c:pt idx="201">
                  <c:v>378</c:v>
                </c:pt>
                <c:pt idx="202">
                  <c:v>195</c:v>
                </c:pt>
                <c:pt idx="203">
                  <c:v>153</c:v>
                </c:pt>
                <c:pt idx="204">
                  <c:v>270</c:v>
                </c:pt>
                <c:pt idx="205">
                  <c:v>214</c:v>
                </c:pt>
                <c:pt idx="206">
                  <c:v>149</c:v>
                </c:pt>
                <c:pt idx="207">
                  <c:v>229</c:v>
                </c:pt>
                <c:pt idx="208">
                  <c:v>105</c:v>
                </c:pt>
                <c:pt idx="209">
                  <c:v>212</c:v>
                </c:pt>
                <c:pt idx="210">
                  <c:v>92</c:v>
                </c:pt>
                <c:pt idx="211">
                  <c:v>240</c:v>
                </c:pt>
                <c:pt idx="212">
                  <c:v>237</c:v>
                </c:pt>
                <c:pt idx="213">
                  <c:v>-50</c:v>
                </c:pt>
                <c:pt idx="214">
                  <c:v>168</c:v>
                </c:pt>
                <c:pt idx="215">
                  <c:v>219</c:v>
                </c:pt>
                <c:pt idx="216">
                  <c:v>63</c:v>
                </c:pt>
                <c:pt idx="217">
                  <c:v>175</c:v>
                </c:pt>
                <c:pt idx="218">
                  <c:v>193</c:v>
                </c:pt>
                <c:pt idx="219">
                  <c:v>195</c:v>
                </c:pt>
                <c:pt idx="220">
                  <c:v>221</c:v>
                </c:pt>
                <c:pt idx="221">
                  <c:v>195</c:v>
                </c:pt>
                <c:pt idx="222">
                  <c:v>234</c:v>
                </c:pt>
                <c:pt idx="223">
                  <c:v>161</c:v>
                </c:pt>
                <c:pt idx="224">
                  <c:v>315</c:v>
                </c:pt>
                <c:pt idx="225">
                  <c:v>289</c:v>
                </c:pt>
                <c:pt idx="226">
                  <c:v>-1683</c:v>
                </c:pt>
                <c:pt idx="227">
                  <c:v>-20679</c:v>
                </c:pt>
                <c:pt idx="228">
                  <c:v>2833</c:v>
                </c:pt>
                <c:pt idx="229">
                  <c:v>4846</c:v>
                </c:pt>
                <c:pt idx="230">
                  <c:v>1726</c:v>
                </c:pt>
                <c:pt idx="231">
                  <c:v>1583</c:v>
                </c:pt>
                <c:pt idx="232">
                  <c:v>716</c:v>
                </c:pt>
                <c:pt idx="233">
                  <c:v>680</c:v>
                </c:pt>
                <c:pt idx="234">
                  <c:v>264</c:v>
                </c:pt>
                <c:pt idx="235">
                  <c:v>-306</c:v>
                </c:pt>
                <c:pt idx="236">
                  <c:v>233</c:v>
                </c:pt>
                <c:pt idx="237">
                  <c:v>536</c:v>
                </c:pt>
                <c:pt idx="238">
                  <c:v>785</c:v>
                </c:pt>
                <c:pt idx="239">
                  <c:v>269</c:v>
                </c:pt>
                <c:pt idx="240">
                  <c:v>614</c:v>
                </c:pt>
                <c:pt idx="241">
                  <c:v>962</c:v>
                </c:pt>
                <c:pt idx="242">
                  <c:v>1053</c:v>
                </c:pt>
                <c:pt idx="243">
                  <c:v>235</c:v>
                </c:pt>
              </c:numCache>
            </c:numRef>
          </c:val>
          <c:smooth val="0"/>
          <c:extLst>
            <c:ext xmlns:c16="http://schemas.microsoft.com/office/drawing/2014/chart" uri="{C3380CC4-5D6E-409C-BE32-E72D297353CC}">
              <c16:uniqueId val="{00000002-C2FC-476B-9EC9-0E2983F6BFCE}"/>
            </c:ext>
          </c:extLst>
        </c:ser>
        <c:dLbls>
          <c:showLegendKey val="0"/>
          <c:showVal val="0"/>
          <c:showCatName val="0"/>
          <c:showSerName val="0"/>
          <c:showPercent val="0"/>
          <c:showBubbleSize val="0"/>
        </c:dLbls>
        <c:smooth val="0"/>
        <c:axId val="896756728"/>
        <c:axId val="896754432"/>
      </c:lineChart>
      <c:dateAx>
        <c:axId val="896756728"/>
        <c:scaling>
          <c:orientation val="minMax"/>
        </c:scaling>
        <c:delete val="0"/>
        <c:axPos val="b"/>
        <c:numFmt formatCode="m/d/yy"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6754432"/>
        <c:crosses val="autoZero"/>
        <c:auto val="1"/>
        <c:lblOffset val="100"/>
        <c:baseTimeUnit val="months"/>
      </c:dateAx>
      <c:valAx>
        <c:axId val="896754432"/>
        <c:scaling>
          <c:orientation val="minMax"/>
          <c:max val="4000"/>
          <c:min val="-2200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6756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13</xdr:col>
      <xdr:colOff>38099</xdr:colOff>
      <xdr:row>1</xdr:row>
      <xdr:rowOff>152400</xdr:rowOff>
    </xdr:from>
    <xdr:to>
      <xdr:col>18</xdr:col>
      <xdr:colOff>695325</xdr:colOff>
      <xdr:row>6</xdr:row>
      <xdr:rowOff>2905125</xdr:rowOff>
    </xdr:to>
    <xdr:graphicFrame macro="">
      <xdr:nvGraphicFramePr>
        <xdr:cNvPr id="2" name="Chart 1">
          <a:extLst>
            <a:ext uri="{FF2B5EF4-FFF2-40B4-BE49-F238E27FC236}">
              <a16:creationId xmlns:a16="http://schemas.microsoft.com/office/drawing/2014/main" id="{F6A294D6-E1CB-4BEA-92AE-9589E3300D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9525</xdr:colOff>
      <xdr:row>938</xdr:row>
      <xdr:rowOff>9524</xdr:rowOff>
    </xdr:from>
    <xdr:to>
      <xdr:col>20</xdr:col>
      <xdr:colOff>600075</xdr:colOff>
      <xdr:row>958</xdr:row>
      <xdr:rowOff>190499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47624</xdr:colOff>
      <xdr:row>938</xdr:row>
      <xdr:rowOff>161925</xdr:rowOff>
    </xdr:from>
    <xdr:to>
      <xdr:col>9</xdr:col>
      <xdr:colOff>285749</xdr:colOff>
      <xdr:row>940</xdr:row>
      <xdr:rowOff>0</xdr:rowOff>
    </xdr:to>
    <xdr:sp macro="" textlink="">
      <xdr:nvSpPr>
        <xdr:cNvPr id="3" name="TextBox 2">
          <a:extLst>
            <a:ext uri="{FF2B5EF4-FFF2-40B4-BE49-F238E27FC236}">
              <a16:creationId xmlns:a16="http://schemas.microsoft.com/office/drawing/2014/main" id="{E0E002C0-CB38-4B5E-9E11-C3FA2064AB86}"/>
            </a:ext>
          </a:extLst>
        </xdr:cNvPr>
        <xdr:cNvSpPr txBox="1"/>
      </xdr:nvSpPr>
      <xdr:spPr>
        <a:xfrm>
          <a:off x="7762874" y="179041425"/>
          <a:ext cx="23812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a:t>
          </a:r>
        </a:p>
      </xdr:txBody>
    </xdr:sp>
    <xdr:clientData/>
  </xdr:twoCellAnchor>
  <xdr:twoCellAnchor>
    <xdr:from>
      <xdr:col>22</xdr:col>
      <xdr:colOff>1</xdr:colOff>
      <xdr:row>937</xdr:row>
      <xdr:rowOff>190499</xdr:rowOff>
    </xdr:from>
    <xdr:to>
      <xdr:col>34</xdr:col>
      <xdr:colOff>9525</xdr:colOff>
      <xdr:row>958</xdr:row>
      <xdr:rowOff>161925</xdr:rowOff>
    </xdr:to>
    <xdr:graphicFrame macro="">
      <xdr:nvGraphicFramePr>
        <xdr:cNvPr id="4" name="Chart 3">
          <a:extLst>
            <a:ext uri="{FF2B5EF4-FFF2-40B4-BE49-F238E27FC236}">
              <a16:creationId xmlns:a16="http://schemas.microsoft.com/office/drawing/2014/main" id="{DF40E86E-760A-405E-A77C-ACD35E94C6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542924</xdr:colOff>
      <xdr:row>957</xdr:row>
      <xdr:rowOff>95250</xdr:rowOff>
    </xdr:from>
    <xdr:to>
      <xdr:col>17</xdr:col>
      <xdr:colOff>380999</xdr:colOff>
      <xdr:row>974</xdr:row>
      <xdr:rowOff>152400</xdr:rowOff>
    </xdr:to>
    <xdr:graphicFrame macro="">
      <xdr:nvGraphicFramePr>
        <xdr:cNvPr id="5" name="Chart 4">
          <a:extLst>
            <a:ext uri="{FF2B5EF4-FFF2-40B4-BE49-F238E27FC236}">
              <a16:creationId xmlns:a16="http://schemas.microsoft.com/office/drawing/2014/main" id="{15977B3E-C2B8-4A4F-9776-41F94F8D74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314324</xdr:colOff>
      <xdr:row>2748</xdr:row>
      <xdr:rowOff>123824</xdr:rowOff>
    </xdr:from>
    <xdr:to>
      <xdr:col>15</xdr:col>
      <xdr:colOff>514349</xdr:colOff>
      <xdr:row>2768</xdr:row>
      <xdr:rowOff>114299</xdr:rowOff>
    </xdr:to>
    <xdr:graphicFrame macro="">
      <xdr:nvGraphicFramePr>
        <xdr:cNvPr id="3" name="Chart 2">
          <a:extLst>
            <a:ext uri="{FF2B5EF4-FFF2-40B4-BE49-F238E27FC236}">
              <a16:creationId xmlns:a16="http://schemas.microsoft.com/office/drawing/2014/main" id="{181F37F7-5E68-44AC-B31A-F80E17A63A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81642</xdr:colOff>
      <xdr:row>14</xdr:row>
      <xdr:rowOff>187779</xdr:rowOff>
    </xdr:from>
    <xdr:to>
      <xdr:col>10</xdr:col>
      <xdr:colOff>68035</xdr:colOff>
      <xdr:row>31</xdr:row>
      <xdr:rowOff>187779</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476249</xdr:colOff>
      <xdr:row>15</xdr:row>
      <xdr:rowOff>40821</xdr:rowOff>
    </xdr:from>
    <xdr:to>
      <xdr:col>20</xdr:col>
      <xdr:colOff>462641</xdr:colOff>
      <xdr:row>32</xdr:row>
      <xdr:rowOff>40821</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72118</xdr:colOff>
      <xdr:row>32</xdr:row>
      <xdr:rowOff>176892</xdr:rowOff>
    </xdr:from>
    <xdr:to>
      <xdr:col>10</xdr:col>
      <xdr:colOff>91169</xdr:colOff>
      <xdr:row>51</xdr:row>
      <xdr:rowOff>129267</xdr:rowOff>
    </xdr:to>
    <xdr:graphicFrame macro="">
      <xdr:nvGraphicFramePr>
        <xdr:cNvPr id="5" name="Chart 4">
          <a:extLst>
            <a:ext uri="{FF2B5EF4-FFF2-40B4-BE49-F238E27FC236}">
              <a16:creationId xmlns:a16="http://schemas.microsoft.com/office/drawing/2014/main" id="{004EA8EF-71A8-4648-9484-8676ACC171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462643</xdr:colOff>
      <xdr:row>32</xdr:row>
      <xdr:rowOff>176893</xdr:rowOff>
    </xdr:from>
    <xdr:to>
      <xdr:col>20</xdr:col>
      <xdr:colOff>481692</xdr:colOff>
      <xdr:row>51</xdr:row>
      <xdr:rowOff>129268</xdr:rowOff>
    </xdr:to>
    <xdr:graphicFrame macro="">
      <xdr:nvGraphicFramePr>
        <xdr:cNvPr id="6" name="Chart 5">
          <a:extLst>
            <a:ext uri="{FF2B5EF4-FFF2-40B4-BE49-F238E27FC236}">
              <a16:creationId xmlns:a16="http://schemas.microsoft.com/office/drawing/2014/main" id="{7C94D499-7281-4D28-9929-2D775745B3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70757</xdr:colOff>
      <xdr:row>52</xdr:row>
      <xdr:rowOff>54428</xdr:rowOff>
    </xdr:from>
    <xdr:to>
      <xdr:col>10</xdr:col>
      <xdr:colOff>108857</xdr:colOff>
      <xdr:row>71</xdr:row>
      <xdr:rowOff>121104</xdr:rowOff>
    </xdr:to>
    <xdr:graphicFrame macro="">
      <xdr:nvGraphicFramePr>
        <xdr:cNvPr id="8" name="Chart 7">
          <a:extLst>
            <a:ext uri="{FF2B5EF4-FFF2-40B4-BE49-F238E27FC236}">
              <a16:creationId xmlns:a16="http://schemas.microsoft.com/office/drawing/2014/main" id="{54F43C99-9C06-4EA7-A29E-932A832010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470806</xdr:colOff>
      <xdr:row>52</xdr:row>
      <xdr:rowOff>88446</xdr:rowOff>
    </xdr:from>
    <xdr:to>
      <xdr:col>20</xdr:col>
      <xdr:colOff>340178</xdr:colOff>
      <xdr:row>71</xdr:row>
      <xdr:rowOff>95250</xdr:rowOff>
    </xdr:to>
    <xdr:graphicFrame macro="">
      <xdr:nvGraphicFramePr>
        <xdr:cNvPr id="9" name="Chart 8">
          <a:extLst>
            <a:ext uri="{FF2B5EF4-FFF2-40B4-BE49-F238E27FC236}">
              <a16:creationId xmlns:a16="http://schemas.microsoft.com/office/drawing/2014/main" id="{40FA5E74-0C19-4FEA-ACD5-C97F2CAD04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380999</xdr:colOff>
      <xdr:row>196</xdr:row>
      <xdr:rowOff>152399</xdr:rowOff>
    </xdr:from>
    <xdr:to>
      <xdr:col>18</xdr:col>
      <xdr:colOff>466725</xdr:colOff>
      <xdr:row>219</xdr:row>
      <xdr:rowOff>66674</xdr:rowOff>
    </xdr:to>
    <xdr:graphicFrame macro="">
      <xdr:nvGraphicFramePr>
        <xdr:cNvPr id="2" name="Chart 1">
          <a:extLst>
            <a:ext uri="{FF2B5EF4-FFF2-40B4-BE49-F238E27FC236}">
              <a16:creationId xmlns:a16="http://schemas.microsoft.com/office/drawing/2014/main" id="{FF06A758-BFDE-4DD1-A816-7BA13BFAAB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1:G1003" totalsRowShown="0" headerRowDxfId="24" dataDxfId="23">
  <autoFilter ref="A11:G1003" xr:uid="{00000000-0009-0000-0100-000001000000}"/>
  <tableColumns count="7">
    <tableColumn id="1" xr3:uid="{00000000-0010-0000-0000-000001000000}" name="Date" dataDxfId="22"/>
    <tableColumn id="2" xr3:uid="{00000000-0010-0000-0000-000002000000}" name="PAYEMS" dataDxfId="21">
      <calculatedColumnFormula>VLOOKUP(Table1[[#This Row],[Date]],Database!A:D,3,)</calculatedColumnFormula>
    </tableColumn>
    <tableColumn id="4" xr3:uid="{00000000-0010-0000-0000-000004000000}" name="Monthly Change in k" dataDxfId="20">
      <calculatedColumnFormula>B12-B11</calculatedColumnFormula>
    </tableColumn>
    <tableColumn id="8" xr3:uid="{00000000-0010-0000-0000-000008000000}" name="3 months average" dataDxfId="19">
      <calculatedColumnFormula>AVERAGE(C10:C12)</calculatedColumnFormula>
    </tableColumn>
    <tableColumn id="9" xr3:uid="{00000000-0010-0000-0000-000009000000}" name="Unemployment Rate" dataDxfId="18">
      <calculatedColumnFormula>VLOOKUP(Table1[[#This Row],[Date]],#REF!,2,)</calculatedColumnFormula>
    </tableColumn>
    <tableColumn id="3" xr3:uid="{00000000-0010-0000-0000-000003000000}" name="GDP q/q %" dataDxfId="17"/>
    <tableColumn id="5" xr3:uid="{00000000-0010-0000-0000-000005000000}" name="Participation Rate" dataDxfId="16"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C47518-FC1F-4CED-9F27-3293856EA4B6}" name="Table4" displayName="Table4" ref="A4:E5" totalsRowShown="0" headerRowDxfId="15" dataDxfId="14">
  <autoFilter ref="A4:E5" xr:uid="{922A6AB6-297A-476F-B453-98E64AB40182}"/>
  <tableColumns count="5">
    <tableColumn id="1" xr3:uid="{7FBBB8F6-3850-4CBD-9FF5-7FEA2B3085BF}" name="Date" dataDxfId="13"/>
    <tableColumn id="2" xr3:uid="{31799ECF-5F8B-4170-8272-BA13DEC5FFF8}" name="Initial Claims" dataDxfId="12">
      <calculatedColumnFormula>VLOOKUP(A5,Database!F:H,3,)</calculatedColumnFormula>
    </tableColumn>
    <tableColumn id="3" xr3:uid="{C4FB144A-42E4-4AAE-8D28-1D35537F719F}" name="Var." dataDxfId="11"/>
    <tableColumn id="4" xr3:uid="{7B81B635-7A7F-4E49-9A32-511A0F6CC167}" name="Continued Claims" dataDxfId="10">
      <calculatedColumnFormula>VLOOKUP(A5,Database!F:H,2,)</calculatedColumnFormula>
    </tableColumn>
    <tableColumn id="5" xr3:uid="{31FED23A-CF54-44A3-A277-25360945F3B3}" name="Var. " dataDxfId="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28B2C68-C484-41BE-85DB-CB07D67C53EB}" name="Table3" displayName="Table3" ref="A5:E249" totalsRowShown="0" headerRowDxfId="8" dataDxfId="7">
  <autoFilter ref="A5:E249" xr:uid="{0B66A06B-82E1-4136-82CF-366516A4EC2D}"/>
  <tableColumns count="5">
    <tableColumn id="1" xr3:uid="{0455C713-0098-4531-9DE7-75A3CDEC8FE2}" name="Date" dataDxfId="6"/>
    <tableColumn id="2" xr3:uid="{DF28893F-94E3-4883-9552-EF1D73F02B2F}" name="ADP" dataDxfId="5"/>
    <tableColumn id="3" xr3:uid="{751D8399-1572-4212-B475-B2466DFA244C}" name="cell" dataDxfId="4">
      <calculatedColumnFormula>LEN(B6)</calculatedColumnFormula>
    </tableColumn>
    <tableColumn id="4" xr3:uid="{33CAFB22-86A1-4828-B374-CBC6593A0AFF}" name="ADP " dataDxfId="3"/>
    <tableColumn id="5" xr3:uid="{991DAC16-E56B-48AA-81D8-5EB188CBD604}"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hyperlink" Target="https://uk.investing.com/economic-calendar/adp-nonfarm-employment-change-1" TargetMode="External"/><Relationship Id="rId2" Type="http://schemas.openxmlformats.org/officeDocument/2006/relationships/hyperlink" Target="https://tradingeconomics.com/united-states/adp-employment-change" TargetMode="External"/><Relationship Id="rId1" Type="http://schemas.openxmlformats.org/officeDocument/2006/relationships/hyperlink" Target="http://www.adpemploymentreport.com/" TargetMode="External"/><Relationship Id="rId5" Type="http://schemas.openxmlformats.org/officeDocument/2006/relationships/table" Target="../tables/table3.x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824CDF-E55E-40AA-A1B1-5AEECF47A11E}">
  <sheetPr>
    <tabColor rgb="FFFFFF00"/>
  </sheetPr>
  <dimension ref="B1:S34"/>
  <sheetViews>
    <sheetView workbookViewId="0">
      <selection activeCell="B24" sqref="B24:F24"/>
    </sheetView>
  </sheetViews>
  <sheetFormatPr baseColWidth="10" defaultColWidth="9.1640625" defaultRowHeight="15" x14ac:dyDescent="0.2"/>
  <cols>
    <col min="1" max="1" width="9.1640625" style="1"/>
    <col min="2" max="10" width="12.83203125" style="1" customWidth="1"/>
    <col min="11" max="13" width="3.6640625" style="1" customWidth="1"/>
    <col min="14" max="15" width="14" style="1" customWidth="1"/>
    <col min="16" max="19" width="11" style="1" customWidth="1"/>
    <col min="20" max="16384" width="9.1640625" style="1"/>
  </cols>
  <sheetData>
    <row r="1" spans="2:19" x14ac:dyDescent="0.2">
      <c r="B1" s="81"/>
      <c r="C1" s="81"/>
      <c r="D1" s="81"/>
      <c r="E1" s="81"/>
      <c r="F1" s="81"/>
      <c r="G1" s="81"/>
      <c r="H1" s="81"/>
      <c r="I1" s="81"/>
      <c r="J1" s="81"/>
    </row>
    <row r="2" spans="2:19" ht="16" thickBot="1" x14ac:dyDescent="0.25">
      <c r="B2" s="82"/>
      <c r="C2" s="82"/>
      <c r="D2" s="82"/>
      <c r="E2" s="82"/>
      <c r="F2" s="82"/>
      <c r="G2" s="82"/>
      <c r="H2" s="82"/>
      <c r="I2" s="82"/>
      <c r="J2" s="82"/>
    </row>
    <row r="3" spans="2:19" ht="16" thickBot="1" x14ac:dyDescent="0.25">
      <c r="B3" s="83" t="s">
        <v>114</v>
      </c>
      <c r="C3" s="84"/>
      <c r="D3" s="84"/>
      <c r="E3" s="84"/>
      <c r="F3" s="84"/>
      <c r="G3" s="84"/>
      <c r="H3" s="84"/>
      <c r="I3" s="84"/>
      <c r="J3" s="85"/>
    </row>
    <row r="5" spans="2:19" x14ac:dyDescent="0.2">
      <c r="B5" s="86" t="s">
        <v>110</v>
      </c>
      <c r="C5" s="87"/>
      <c r="D5" s="87"/>
      <c r="E5" s="87"/>
      <c r="F5" s="87"/>
      <c r="G5" s="87"/>
      <c r="H5" s="87"/>
      <c r="I5" s="87"/>
      <c r="J5" s="88"/>
    </row>
    <row r="7" spans="2:19" ht="237.75" customHeight="1" x14ac:dyDescent="0.2">
      <c r="B7" s="91" t="s">
        <v>115</v>
      </c>
      <c r="C7" s="93"/>
      <c r="D7" s="93"/>
      <c r="E7" s="93"/>
      <c r="F7" s="93"/>
      <c r="G7" s="93"/>
      <c r="H7" s="93"/>
      <c r="I7" s="93"/>
      <c r="J7" s="93"/>
    </row>
    <row r="8" spans="2:19" x14ac:dyDescent="0.2">
      <c r="B8" s="51"/>
      <c r="C8" s="51"/>
      <c r="D8" s="51"/>
      <c r="E8" s="51"/>
    </row>
    <row r="9" spans="2:19" x14ac:dyDescent="0.2">
      <c r="B9" s="86" t="s">
        <v>111</v>
      </c>
      <c r="C9" s="96"/>
      <c r="D9" s="96"/>
      <c r="E9" s="96"/>
      <c r="F9" s="96"/>
      <c r="G9" s="96"/>
      <c r="H9" s="96"/>
      <c r="I9" s="96"/>
      <c r="J9" s="97"/>
      <c r="N9" s="86" t="s">
        <v>118</v>
      </c>
      <c r="O9" s="89"/>
      <c r="P9" s="89"/>
      <c r="Q9" s="89"/>
      <c r="R9" s="89"/>
      <c r="S9" s="90"/>
    </row>
    <row r="11" spans="2:19" x14ac:dyDescent="0.2">
      <c r="B11" s="86" t="s">
        <v>112</v>
      </c>
      <c r="C11" s="89"/>
      <c r="D11" s="89"/>
      <c r="E11" s="89"/>
      <c r="F11" s="90"/>
      <c r="G11" s="86" t="s">
        <v>113</v>
      </c>
      <c r="H11" s="89"/>
      <c r="I11" s="89"/>
      <c r="J11" s="90"/>
    </row>
    <row r="13" spans="2:19" ht="16" thickBot="1" x14ac:dyDescent="0.25">
      <c r="B13" s="1" t="s">
        <v>48</v>
      </c>
      <c r="G13" s="94" t="s">
        <v>37</v>
      </c>
      <c r="H13" s="95"/>
      <c r="I13" s="95"/>
      <c r="J13" s="95"/>
    </row>
    <row r="14" spans="2:19" x14ac:dyDescent="0.2">
      <c r="B14" s="1" t="s">
        <v>36</v>
      </c>
      <c r="G14" s="94"/>
      <c r="H14" s="95"/>
      <c r="I14" s="95"/>
      <c r="J14" s="95"/>
      <c r="N14" s="50"/>
      <c r="O14" s="50"/>
      <c r="P14" s="54">
        <v>44409</v>
      </c>
      <c r="Q14" s="55">
        <f>DATE(YEAR(P14),MONTH(P14)-1,DAY(P14))</f>
        <v>44378</v>
      </c>
      <c r="R14" s="56"/>
      <c r="S14" s="50"/>
    </row>
    <row r="15" spans="2:19" ht="16" thickBot="1" x14ac:dyDescent="0.25">
      <c r="B15" s="1" t="s">
        <v>14</v>
      </c>
      <c r="G15" s="94"/>
      <c r="H15" s="95"/>
      <c r="I15" s="95"/>
      <c r="J15" s="95"/>
      <c r="N15" s="50"/>
      <c r="O15" s="50"/>
      <c r="P15" s="57" t="s">
        <v>119</v>
      </c>
      <c r="Q15" s="57" t="s">
        <v>119</v>
      </c>
      <c r="R15" s="58" t="s">
        <v>34</v>
      </c>
      <c r="S15" s="50"/>
    </row>
    <row r="16" spans="2:19" x14ac:dyDescent="0.2">
      <c r="B16" s="7" t="s">
        <v>17</v>
      </c>
      <c r="G16" s="1" t="s">
        <v>38</v>
      </c>
      <c r="N16" s="75" t="s">
        <v>1</v>
      </c>
      <c r="O16" s="76"/>
      <c r="P16" s="59">
        <f>VLOOKUP($P$14,Database!A:D,MATCH(Note!S16,Database!A1:D1,),)</f>
        <v>147190</v>
      </c>
      <c r="Q16" s="59">
        <f>VLOOKUP($Q$14,Database!A:D,MATCH(Note!S16,Database!A1:D1,),)</f>
        <v>146955</v>
      </c>
      <c r="R16" s="62">
        <f>P16-Q16</f>
        <v>235</v>
      </c>
      <c r="S16" s="60" t="s">
        <v>4</v>
      </c>
    </row>
    <row r="17" spans="2:19" x14ac:dyDescent="0.2">
      <c r="B17" s="7" t="s">
        <v>4</v>
      </c>
      <c r="G17" s="1" t="s">
        <v>39</v>
      </c>
      <c r="N17" s="77" t="s">
        <v>7</v>
      </c>
      <c r="O17" s="78"/>
      <c r="P17" s="64">
        <f>VLOOKUP($P$14,Database!A:D,MATCH(Note!S17,Database!A1:D1,),)</f>
        <v>5.2</v>
      </c>
      <c r="Q17" s="64">
        <f>VLOOKUP($Q$14,Database!A:D,MATCH(Note!S17,Database!A1:D1,),)</f>
        <v>5.4</v>
      </c>
      <c r="R17" s="63">
        <f>P17-Q17</f>
        <v>-0.20000000000000018</v>
      </c>
      <c r="S17" s="61" t="s">
        <v>13</v>
      </c>
    </row>
    <row r="18" spans="2:19" ht="16" thickBot="1" x14ac:dyDescent="0.25">
      <c r="B18" s="7" t="s">
        <v>13</v>
      </c>
      <c r="G18" s="1" t="s">
        <v>40</v>
      </c>
      <c r="N18" s="79" t="s">
        <v>18</v>
      </c>
      <c r="O18" s="80"/>
      <c r="P18" s="65">
        <f>VLOOKUP($P$14,Database!A:D,MATCH(Note!S18,Database!A1:D1,),)</f>
        <v>61.7</v>
      </c>
      <c r="Q18" s="65">
        <f>VLOOKUP($Q$14,Database!A:D,MATCH(Note!S18,Database!A1:D1,),)</f>
        <v>61.7</v>
      </c>
      <c r="R18" s="66">
        <f>P18-Q18</f>
        <v>0</v>
      </c>
      <c r="S18" s="67" t="s">
        <v>17</v>
      </c>
    </row>
    <row r="19" spans="2:19" x14ac:dyDescent="0.2">
      <c r="B19" s="7" t="s">
        <v>11</v>
      </c>
      <c r="G19" s="1" t="s">
        <v>41</v>
      </c>
    </row>
    <row r="20" spans="2:19" x14ac:dyDescent="0.2">
      <c r="B20" s="5" t="s">
        <v>12</v>
      </c>
      <c r="G20" s="1" t="s">
        <v>2</v>
      </c>
    </row>
    <row r="21" spans="2:19" x14ac:dyDescent="0.2">
      <c r="B21" s="1" t="s">
        <v>16</v>
      </c>
      <c r="G21" s="94"/>
      <c r="H21" s="95"/>
      <c r="I21" s="95"/>
      <c r="J21" s="95"/>
    </row>
    <row r="22" spans="2:19" x14ac:dyDescent="0.2">
      <c r="B22" s="1" t="s">
        <v>15</v>
      </c>
    </row>
    <row r="24" spans="2:19" ht="33" customHeight="1" x14ac:dyDescent="0.2">
      <c r="B24" s="91" t="s">
        <v>43</v>
      </c>
      <c r="C24" s="92"/>
      <c r="D24" s="92"/>
      <c r="E24" s="92"/>
      <c r="F24" s="92"/>
      <c r="G24" s="1" t="s">
        <v>116</v>
      </c>
    </row>
    <row r="25" spans="2:19" x14ac:dyDescent="0.2">
      <c r="B25" s="1" t="s">
        <v>44</v>
      </c>
    </row>
    <row r="26" spans="2:19" x14ac:dyDescent="0.2">
      <c r="B26" s="1" t="s">
        <v>45</v>
      </c>
    </row>
    <row r="27" spans="2:19" x14ac:dyDescent="0.2">
      <c r="B27" s="1" t="s">
        <v>46</v>
      </c>
    </row>
    <row r="28" spans="2:19" x14ac:dyDescent="0.2">
      <c r="B28" s="1" t="s">
        <v>47</v>
      </c>
      <c r="G28" s="94"/>
      <c r="H28" s="95"/>
      <c r="I28" s="95"/>
      <c r="J28" s="95"/>
    </row>
    <row r="30" spans="2:19" x14ac:dyDescent="0.2">
      <c r="B30" t="s">
        <v>103</v>
      </c>
      <c r="G30" s="1" t="s">
        <v>117</v>
      </c>
    </row>
    <row r="31" spans="2:19" x14ac:dyDescent="0.2">
      <c r="G31" s="94"/>
      <c r="H31" s="95"/>
      <c r="I31" s="95"/>
      <c r="J31" s="95"/>
    </row>
    <row r="32" spans="2:19" x14ac:dyDescent="0.2">
      <c r="B32" s="52"/>
    </row>
    <row r="33" spans="2:10" ht="30" customHeight="1" x14ac:dyDescent="0.2">
      <c r="B33" s="91"/>
      <c r="C33" s="92"/>
      <c r="D33" s="92"/>
      <c r="E33" s="92"/>
      <c r="F33" s="92"/>
      <c r="G33" s="92"/>
      <c r="H33" s="92"/>
      <c r="I33" s="92"/>
      <c r="J33" s="92"/>
    </row>
    <row r="34" spans="2:10" x14ac:dyDescent="0.2">
      <c r="B34" s="53"/>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tint="0.499984740745262"/>
  </sheetPr>
  <dimension ref="A1:H2853"/>
  <sheetViews>
    <sheetView workbookViewId="0">
      <pane ySplit="1" topLeftCell="A2" activePane="bottomLeft" state="frozen"/>
      <selection pane="bottomLeft" activeCell="Q33" sqref="Q33"/>
    </sheetView>
  </sheetViews>
  <sheetFormatPr baseColWidth="10" defaultColWidth="8.83203125" defaultRowHeight="15" x14ac:dyDescent="0.2"/>
  <cols>
    <col min="1" max="1" width="12.6640625" style="70" customWidth="1"/>
    <col min="2" max="2" width="7.6640625" style="70" customWidth="1"/>
    <col min="3" max="3" width="9.6640625" style="70" customWidth="1"/>
    <col min="4" max="4" width="7.6640625" style="70" customWidth="1"/>
    <col min="6" max="6" width="12.6640625" style="70" customWidth="1"/>
    <col min="7" max="7" width="11.6640625" style="70" customWidth="1"/>
    <col min="8" max="8" width="10.6640625" style="70" customWidth="1"/>
  </cols>
  <sheetData>
    <row r="1" spans="1:8" x14ac:dyDescent="0.2">
      <c r="A1" s="70" t="s">
        <v>10</v>
      </c>
      <c r="B1" s="70" t="s">
        <v>17</v>
      </c>
      <c r="C1" s="70" t="s">
        <v>4</v>
      </c>
      <c r="D1" s="70" t="s">
        <v>13</v>
      </c>
      <c r="F1" s="70" t="s">
        <v>10</v>
      </c>
      <c r="G1" s="70" t="s">
        <v>11</v>
      </c>
      <c r="H1" s="70" t="s">
        <v>12</v>
      </c>
    </row>
    <row r="2" spans="1:8" x14ac:dyDescent="0.2">
      <c r="A2" s="72">
        <v>14246</v>
      </c>
      <c r="C2" s="2">
        <v>29923</v>
      </c>
      <c r="F2" s="72">
        <v>24479</v>
      </c>
      <c r="G2" s="2">
        <v>1134000</v>
      </c>
      <c r="H2" s="2">
        <v>208000</v>
      </c>
    </row>
    <row r="3" spans="1:8" x14ac:dyDescent="0.2">
      <c r="A3" s="72">
        <v>14277</v>
      </c>
      <c r="C3" s="2">
        <v>30100</v>
      </c>
      <c r="F3" s="72">
        <v>24486</v>
      </c>
      <c r="G3" s="2">
        <v>1119000</v>
      </c>
      <c r="H3" s="2">
        <v>207000</v>
      </c>
    </row>
    <row r="4" spans="1:8" x14ac:dyDescent="0.2">
      <c r="A4" s="72">
        <v>14305</v>
      </c>
      <c r="C4" s="2">
        <v>30280</v>
      </c>
      <c r="F4" s="72">
        <v>24493</v>
      </c>
      <c r="G4" s="2">
        <v>1119000</v>
      </c>
      <c r="H4" s="2">
        <v>217000</v>
      </c>
    </row>
    <row r="5" spans="1:8" x14ac:dyDescent="0.2">
      <c r="A5" s="72">
        <v>14336</v>
      </c>
      <c r="C5" s="2">
        <v>30094</v>
      </c>
      <c r="F5" s="72">
        <v>24500</v>
      </c>
      <c r="G5" s="2">
        <v>1103000</v>
      </c>
      <c r="H5" s="2">
        <v>204000</v>
      </c>
    </row>
    <row r="6" spans="1:8" x14ac:dyDescent="0.2">
      <c r="A6" s="72">
        <v>14366</v>
      </c>
      <c r="C6" s="2">
        <v>30299</v>
      </c>
      <c r="F6" s="72">
        <v>24507</v>
      </c>
      <c r="G6" s="2">
        <v>1131000</v>
      </c>
      <c r="H6" s="2">
        <v>216000</v>
      </c>
    </row>
    <row r="7" spans="1:8" x14ac:dyDescent="0.2">
      <c r="A7" s="72">
        <v>14397</v>
      </c>
      <c r="C7" s="2">
        <v>30502</v>
      </c>
      <c r="F7" s="72">
        <v>24514</v>
      </c>
      <c r="G7" s="2">
        <v>1153000</v>
      </c>
      <c r="H7" s="2">
        <v>229000</v>
      </c>
    </row>
    <row r="8" spans="1:8" x14ac:dyDescent="0.2">
      <c r="A8" s="72">
        <v>14427</v>
      </c>
      <c r="C8" s="2">
        <v>30419</v>
      </c>
      <c r="F8" s="72">
        <v>24521</v>
      </c>
      <c r="G8" s="2">
        <v>1167000</v>
      </c>
      <c r="H8" s="2">
        <v>229000</v>
      </c>
    </row>
    <row r="9" spans="1:8" x14ac:dyDescent="0.2">
      <c r="A9" s="72">
        <v>14458</v>
      </c>
      <c r="C9" s="2">
        <v>30663</v>
      </c>
      <c r="F9" s="72">
        <v>24528</v>
      </c>
      <c r="G9" s="2">
        <v>1199000</v>
      </c>
      <c r="H9" s="2">
        <v>242000</v>
      </c>
    </row>
    <row r="10" spans="1:8" x14ac:dyDescent="0.2">
      <c r="A10" s="72">
        <v>14489</v>
      </c>
      <c r="C10" s="2">
        <v>31031</v>
      </c>
      <c r="F10" s="72">
        <v>24535</v>
      </c>
      <c r="G10" s="2">
        <v>1235000</v>
      </c>
      <c r="H10" s="2">
        <v>310000</v>
      </c>
    </row>
    <row r="11" spans="1:8" x14ac:dyDescent="0.2">
      <c r="A11" s="72">
        <v>14519</v>
      </c>
      <c r="C11" s="2">
        <v>31411</v>
      </c>
      <c r="F11" s="72">
        <v>24542</v>
      </c>
      <c r="G11" s="2">
        <v>1234000</v>
      </c>
      <c r="H11" s="2">
        <v>241000</v>
      </c>
    </row>
    <row r="12" spans="1:8" x14ac:dyDescent="0.2">
      <c r="A12" s="72">
        <v>14550</v>
      </c>
      <c r="C12" s="2">
        <v>31470</v>
      </c>
      <c r="F12" s="72">
        <v>24549</v>
      </c>
      <c r="G12" s="2">
        <v>1236000</v>
      </c>
      <c r="H12" s="2">
        <v>245000</v>
      </c>
    </row>
    <row r="13" spans="1:8" x14ac:dyDescent="0.2">
      <c r="A13" s="72">
        <v>14580</v>
      </c>
      <c r="C13" s="2">
        <v>31542</v>
      </c>
      <c r="F13" s="72">
        <v>24556</v>
      </c>
      <c r="G13" s="2">
        <v>1268000</v>
      </c>
      <c r="H13" s="2">
        <v>247000</v>
      </c>
    </row>
    <row r="14" spans="1:8" x14ac:dyDescent="0.2">
      <c r="A14" s="72">
        <v>14611</v>
      </c>
      <c r="C14" s="2">
        <v>31603</v>
      </c>
      <c r="F14" s="72">
        <v>24563</v>
      </c>
      <c r="G14" s="2">
        <v>1291000</v>
      </c>
      <c r="H14" s="2">
        <v>259000</v>
      </c>
    </row>
    <row r="15" spans="1:8" x14ac:dyDescent="0.2">
      <c r="A15" s="72">
        <v>14642</v>
      </c>
      <c r="C15" s="2">
        <v>31715</v>
      </c>
      <c r="F15" s="72">
        <v>24570</v>
      </c>
      <c r="G15" s="2">
        <v>1273000</v>
      </c>
      <c r="H15" s="2">
        <v>257000</v>
      </c>
    </row>
    <row r="16" spans="1:8" x14ac:dyDescent="0.2">
      <c r="A16" s="72">
        <v>14671</v>
      </c>
      <c r="C16" s="2">
        <v>31825</v>
      </c>
      <c r="F16" s="72">
        <v>24577</v>
      </c>
      <c r="G16" s="2">
        <v>1278000</v>
      </c>
      <c r="H16" s="2">
        <v>299000</v>
      </c>
    </row>
    <row r="17" spans="1:8" x14ac:dyDescent="0.2">
      <c r="A17" s="72">
        <v>14702</v>
      </c>
      <c r="C17" s="2">
        <v>31701</v>
      </c>
      <c r="F17" s="72">
        <v>24584</v>
      </c>
      <c r="G17" s="2">
        <v>1277000</v>
      </c>
      <c r="H17" s="2">
        <v>245000</v>
      </c>
    </row>
    <row r="18" spans="1:8" x14ac:dyDescent="0.2">
      <c r="A18" s="72">
        <v>14732</v>
      </c>
      <c r="C18" s="2">
        <v>31879</v>
      </c>
      <c r="F18" s="72">
        <v>24591</v>
      </c>
      <c r="G18" s="2">
        <v>1286000</v>
      </c>
      <c r="H18" s="2">
        <v>255000</v>
      </c>
    </row>
    <row r="19" spans="1:8" x14ac:dyDescent="0.2">
      <c r="A19" s="72">
        <v>14763</v>
      </c>
      <c r="C19" s="2">
        <v>31977</v>
      </c>
      <c r="F19" s="72">
        <v>24598</v>
      </c>
      <c r="G19" s="2">
        <v>1308000</v>
      </c>
      <c r="H19" s="2">
        <v>254000</v>
      </c>
    </row>
    <row r="20" spans="1:8" x14ac:dyDescent="0.2">
      <c r="A20" s="72">
        <v>14793</v>
      </c>
      <c r="C20" s="2">
        <v>31942</v>
      </c>
      <c r="F20" s="72">
        <v>24605</v>
      </c>
      <c r="G20" s="2">
        <v>1284000</v>
      </c>
      <c r="H20" s="2">
        <v>231000</v>
      </c>
    </row>
    <row r="21" spans="1:8" x14ac:dyDescent="0.2">
      <c r="A21" s="72">
        <v>14824</v>
      </c>
      <c r="C21" s="2">
        <v>32352</v>
      </c>
      <c r="F21" s="72">
        <v>24612</v>
      </c>
      <c r="G21" s="2">
        <v>1265000</v>
      </c>
      <c r="H21" s="2">
        <v>230000</v>
      </c>
    </row>
    <row r="22" spans="1:8" x14ac:dyDescent="0.2">
      <c r="A22" s="72">
        <v>14855</v>
      </c>
      <c r="C22" s="2">
        <v>32810</v>
      </c>
      <c r="F22" s="72">
        <v>24619</v>
      </c>
      <c r="G22" s="2">
        <v>1253000</v>
      </c>
      <c r="H22" s="2">
        <v>228000</v>
      </c>
    </row>
    <row r="23" spans="1:8" x14ac:dyDescent="0.2">
      <c r="A23" s="72">
        <v>14885</v>
      </c>
      <c r="C23" s="2">
        <v>33267</v>
      </c>
      <c r="F23" s="72">
        <v>24626</v>
      </c>
      <c r="G23" s="2">
        <v>1265000</v>
      </c>
      <c r="H23" s="2">
        <v>248000</v>
      </c>
    </row>
    <row r="24" spans="1:8" x14ac:dyDescent="0.2">
      <c r="A24" s="72">
        <v>14916</v>
      </c>
      <c r="C24" s="2">
        <v>33669</v>
      </c>
      <c r="F24" s="72">
        <v>24633</v>
      </c>
      <c r="G24" s="2">
        <v>1251000</v>
      </c>
      <c r="H24" s="2">
        <v>238000</v>
      </c>
    </row>
    <row r="25" spans="1:8" x14ac:dyDescent="0.2">
      <c r="A25" s="72">
        <v>14946</v>
      </c>
      <c r="C25" s="2">
        <v>34174</v>
      </c>
      <c r="F25" s="72">
        <v>24640</v>
      </c>
      <c r="G25" s="2">
        <v>1248000</v>
      </c>
      <c r="H25" s="2">
        <v>224000</v>
      </c>
    </row>
    <row r="26" spans="1:8" x14ac:dyDescent="0.2">
      <c r="A26" s="72">
        <v>14977</v>
      </c>
      <c r="C26" s="2">
        <v>34481</v>
      </c>
      <c r="F26" s="72">
        <v>24647</v>
      </c>
      <c r="G26" s="2">
        <v>1220000</v>
      </c>
      <c r="H26" s="2">
        <v>218000</v>
      </c>
    </row>
    <row r="27" spans="1:8" x14ac:dyDescent="0.2">
      <c r="A27" s="72">
        <v>15008</v>
      </c>
      <c r="C27" s="2">
        <v>34843</v>
      </c>
      <c r="F27" s="72">
        <v>24654</v>
      </c>
      <c r="G27" s="2">
        <v>1193000</v>
      </c>
      <c r="H27" s="2">
        <v>209000</v>
      </c>
    </row>
    <row r="28" spans="1:8" x14ac:dyDescent="0.2">
      <c r="A28" s="72">
        <v>15036</v>
      </c>
      <c r="C28" s="2">
        <v>35092</v>
      </c>
      <c r="F28" s="72">
        <v>24661</v>
      </c>
      <c r="G28" s="2">
        <v>1248000</v>
      </c>
      <c r="H28" s="2">
        <v>240000</v>
      </c>
    </row>
    <row r="29" spans="1:8" x14ac:dyDescent="0.2">
      <c r="A29" s="72">
        <v>15067</v>
      </c>
      <c r="C29" s="2">
        <v>35468</v>
      </c>
      <c r="F29" s="72">
        <v>24668</v>
      </c>
      <c r="G29" s="2">
        <v>1258000</v>
      </c>
      <c r="H29" s="2">
        <v>241000</v>
      </c>
    </row>
    <row r="30" spans="1:8" x14ac:dyDescent="0.2">
      <c r="A30" s="72">
        <v>15097</v>
      </c>
      <c r="C30" s="2">
        <v>36182</v>
      </c>
      <c r="F30" s="72">
        <v>24675</v>
      </c>
      <c r="G30" s="2">
        <v>1252000</v>
      </c>
      <c r="H30" s="2">
        <v>240000</v>
      </c>
    </row>
    <row r="31" spans="1:8" x14ac:dyDescent="0.2">
      <c r="A31" s="72">
        <v>15128</v>
      </c>
      <c r="C31" s="2">
        <v>36650</v>
      </c>
      <c r="F31" s="72">
        <v>24682</v>
      </c>
      <c r="G31" s="2">
        <v>1280000</v>
      </c>
      <c r="H31" s="2">
        <v>209000</v>
      </c>
    </row>
    <row r="32" spans="1:8" x14ac:dyDescent="0.2">
      <c r="A32" s="72">
        <v>15158</v>
      </c>
      <c r="C32" s="2">
        <v>37137</v>
      </c>
      <c r="F32" s="72">
        <v>24689</v>
      </c>
      <c r="G32" s="2">
        <v>1240000</v>
      </c>
      <c r="H32" s="2">
        <v>221000</v>
      </c>
    </row>
    <row r="33" spans="1:8" x14ac:dyDescent="0.2">
      <c r="A33" s="72">
        <v>15189</v>
      </c>
      <c r="C33" s="2">
        <v>37544</v>
      </c>
      <c r="F33" s="72">
        <v>24696</v>
      </c>
      <c r="G33" s="2">
        <v>1215000</v>
      </c>
      <c r="H33" s="2">
        <v>202000</v>
      </c>
    </row>
    <row r="34" spans="1:8" x14ac:dyDescent="0.2">
      <c r="A34" s="72">
        <v>15220</v>
      </c>
      <c r="C34" s="2">
        <v>37835</v>
      </c>
      <c r="F34" s="72">
        <v>24703</v>
      </c>
      <c r="G34" s="2">
        <v>1202000</v>
      </c>
      <c r="H34" s="2">
        <v>215000</v>
      </c>
    </row>
    <row r="35" spans="1:8" x14ac:dyDescent="0.2">
      <c r="A35" s="72">
        <v>15250</v>
      </c>
      <c r="C35" s="2">
        <v>37949</v>
      </c>
      <c r="F35" s="72">
        <v>24710</v>
      </c>
      <c r="G35" s="2">
        <v>1180000</v>
      </c>
      <c r="H35" s="2">
        <v>213000</v>
      </c>
    </row>
    <row r="36" spans="1:8" x14ac:dyDescent="0.2">
      <c r="A36" s="72">
        <v>15281</v>
      </c>
      <c r="C36" s="2">
        <v>38024</v>
      </c>
      <c r="F36" s="72">
        <v>24717</v>
      </c>
      <c r="G36" s="2">
        <v>1204000</v>
      </c>
      <c r="H36" s="2">
        <v>218000</v>
      </c>
    </row>
    <row r="37" spans="1:8" x14ac:dyDescent="0.2">
      <c r="A37" s="72">
        <v>15311</v>
      </c>
      <c r="C37" s="2">
        <v>38104</v>
      </c>
      <c r="F37" s="72">
        <v>24724</v>
      </c>
      <c r="G37" s="2">
        <v>1189000</v>
      </c>
      <c r="H37" s="2">
        <v>231000</v>
      </c>
    </row>
    <row r="38" spans="1:8" x14ac:dyDescent="0.2">
      <c r="A38" s="72">
        <v>15342</v>
      </c>
      <c r="C38" s="2">
        <v>38347</v>
      </c>
      <c r="F38" s="72">
        <v>24731</v>
      </c>
      <c r="G38" s="2">
        <v>1179000</v>
      </c>
      <c r="H38" s="2">
        <v>220000</v>
      </c>
    </row>
    <row r="39" spans="1:8" x14ac:dyDescent="0.2">
      <c r="A39" s="72">
        <v>15373</v>
      </c>
      <c r="C39" s="2">
        <v>38512</v>
      </c>
      <c r="F39" s="72">
        <v>24738</v>
      </c>
      <c r="G39" s="2">
        <v>1178000</v>
      </c>
      <c r="H39" s="2">
        <v>209000</v>
      </c>
    </row>
    <row r="40" spans="1:8" x14ac:dyDescent="0.2">
      <c r="A40" s="72">
        <v>15401</v>
      </c>
      <c r="C40" s="2">
        <v>38935</v>
      </c>
      <c r="F40" s="72">
        <v>24745</v>
      </c>
      <c r="G40" s="2">
        <v>1157000</v>
      </c>
      <c r="H40" s="2">
        <v>204000</v>
      </c>
    </row>
    <row r="41" spans="1:8" x14ac:dyDescent="0.2">
      <c r="A41" s="72">
        <v>15432</v>
      </c>
      <c r="C41" s="2">
        <v>39352</v>
      </c>
      <c r="F41" s="72">
        <v>24752</v>
      </c>
      <c r="G41" s="2">
        <v>1165000</v>
      </c>
      <c r="H41" s="2">
        <v>231000</v>
      </c>
    </row>
    <row r="42" spans="1:8" x14ac:dyDescent="0.2">
      <c r="A42" s="72">
        <v>15462</v>
      </c>
      <c r="C42" s="2">
        <v>39771</v>
      </c>
      <c r="F42" s="72">
        <v>24759</v>
      </c>
      <c r="G42" s="2">
        <v>1189000</v>
      </c>
      <c r="H42" s="2">
        <v>206000</v>
      </c>
    </row>
    <row r="43" spans="1:8" x14ac:dyDescent="0.2">
      <c r="A43" s="72">
        <v>15493</v>
      </c>
      <c r="C43" s="2">
        <v>40029</v>
      </c>
      <c r="F43" s="72">
        <v>24766</v>
      </c>
      <c r="G43" s="2">
        <v>1174000</v>
      </c>
      <c r="H43" s="2">
        <v>223000</v>
      </c>
    </row>
    <row r="44" spans="1:8" x14ac:dyDescent="0.2">
      <c r="A44" s="72">
        <v>15523</v>
      </c>
      <c r="C44" s="2">
        <v>40472</v>
      </c>
      <c r="F44" s="72">
        <v>24773</v>
      </c>
      <c r="G44" s="2">
        <v>1161000</v>
      </c>
      <c r="H44" s="2">
        <v>207000</v>
      </c>
    </row>
    <row r="45" spans="1:8" x14ac:dyDescent="0.2">
      <c r="A45" s="72">
        <v>15554</v>
      </c>
      <c r="C45" s="2">
        <v>40988</v>
      </c>
      <c r="F45" s="72">
        <v>24780</v>
      </c>
      <c r="G45" s="2">
        <v>1176000</v>
      </c>
      <c r="H45" s="2">
        <v>222000</v>
      </c>
    </row>
    <row r="46" spans="1:8" x14ac:dyDescent="0.2">
      <c r="A46" s="72">
        <v>15585</v>
      </c>
      <c r="C46" s="2">
        <v>41259</v>
      </c>
      <c r="F46" s="72">
        <v>24787</v>
      </c>
      <c r="G46" s="2">
        <v>1142000</v>
      </c>
      <c r="H46" s="2">
        <v>214000</v>
      </c>
    </row>
    <row r="47" spans="1:8" x14ac:dyDescent="0.2">
      <c r="A47" s="72">
        <v>15615</v>
      </c>
      <c r="C47" s="2">
        <v>41515</v>
      </c>
      <c r="F47" s="72">
        <v>24794</v>
      </c>
      <c r="G47" s="2">
        <v>1133000</v>
      </c>
      <c r="H47" s="2">
        <v>198000</v>
      </c>
    </row>
    <row r="48" spans="1:8" x14ac:dyDescent="0.2">
      <c r="A48" s="72">
        <v>15646</v>
      </c>
      <c r="C48" s="2">
        <v>41674</v>
      </c>
      <c r="F48" s="72">
        <v>24801</v>
      </c>
      <c r="G48" s="2">
        <v>1142000</v>
      </c>
      <c r="H48" s="2">
        <v>191000</v>
      </c>
    </row>
    <row r="49" spans="1:8" x14ac:dyDescent="0.2">
      <c r="A49" s="72">
        <v>15676</v>
      </c>
      <c r="C49" s="2">
        <v>41915</v>
      </c>
      <c r="F49" s="72">
        <v>24808</v>
      </c>
      <c r="G49" s="2">
        <v>1150000</v>
      </c>
      <c r="H49" s="2">
        <v>196000</v>
      </c>
    </row>
    <row r="50" spans="1:8" x14ac:dyDescent="0.2">
      <c r="A50" s="72">
        <v>15707</v>
      </c>
      <c r="C50" s="2">
        <v>42172</v>
      </c>
      <c r="F50" s="72">
        <v>24815</v>
      </c>
      <c r="G50" s="2">
        <v>1153000</v>
      </c>
      <c r="H50" s="2">
        <v>221000</v>
      </c>
    </row>
    <row r="51" spans="1:8" x14ac:dyDescent="0.2">
      <c r="A51" s="72">
        <v>15738</v>
      </c>
      <c r="C51" s="2">
        <v>42393</v>
      </c>
      <c r="F51" s="72">
        <v>24822</v>
      </c>
      <c r="G51" s="2">
        <v>1188000</v>
      </c>
      <c r="H51" s="2">
        <v>204000</v>
      </c>
    </row>
    <row r="52" spans="1:8" x14ac:dyDescent="0.2">
      <c r="A52" s="72">
        <v>15766</v>
      </c>
      <c r="C52" s="2">
        <v>42552</v>
      </c>
      <c r="F52" s="72">
        <v>24829</v>
      </c>
      <c r="G52" s="2">
        <v>1195000</v>
      </c>
      <c r="H52" s="2">
        <v>219000</v>
      </c>
    </row>
    <row r="53" spans="1:8" x14ac:dyDescent="0.2">
      <c r="A53" s="72">
        <v>15797</v>
      </c>
      <c r="C53" s="2">
        <v>42647</v>
      </c>
      <c r="F53" s="72">
        <v>24836</v>
      </c>
      <c r="G53" s="2">
        <v>1167000</v>
      </c>
      <c r="H53" s="2">
        <v>216000</v>
      </c>
    </row>
    <row r="54" spans="1:8" x14ac:dyDescent="0.2">
      <c r="A54" s="72">
        <v>15827</v>
      </c>
      <c r="C54" s="2">
        <v>42596</v>
      </c>
      <c r="F54" s="72">
        <v>24843</v>
      </c>
      <c r="G54" s="2">
        <v>1158000</v>
      </c>
      <c r="H54" s="2">
        <v>222000</v>
      </c>
    </row>
    <row r="55" spans="1:8" x14ac:dyDescent="0.2">
      <c r="A55" s="72">
        <v>15858</v>
      </c>
      <c r="C55" s="2">
        <v>42781</v>
      </c>
      <c r="F55" s="72">
        <v>24850</v>
      </c>
      <c r="G55" s="2">
        <v>1187000</v>
      </c>
      <c r="H55" s="2">
        <v>222000</v>
      </c>
    </row>
    <row r="56" spans="1:8" x14ac:dyDescent="0.2">
      <c r="A56" s="72">
        <v>15888</v>
      </c>
      <c r="C56" s="2">
        <v>42700</v>
      </c>
      <c r="F56" s="72">
        <v>24857</v>
      </c>
      <c r="G56" s="2">
        <v>1191000</v>
      </c>
      <c r="H56" s="2">
        <v>221000</v>
      </c>
    </row>
    <row r="57" spans="1:8" x14ac:dyDescent="0.2">
      <c r="A57" s="72">
        <v>15919</v>
      </c>
      <c r="C57" s="2">
        <v>42546</v>
      </c>
      <c r="F57" s="72">
        <v>24864</v>
      </c>
      <c r="G57" s="2">
        <v>1157000</v>
      </c>
      <c r="H57" s="2">
        <v>198000</v>
      </c>
    </row>
    <row r="58" spans="1:8" x14ac:dyDescent="0.2">
      <c r="A58" s="72">
        <v>15950</v>
      </c>
      <c r="C58" s="2">
        <v>42492</v>
      </c>
      <c r="F58" s="72">
        <v>24871</v>
      </c>
      <c r="G58" s="2">
        <v>1173000</v>
      </c>
      <c r="H58" s="2">
        <v>244000</v>
      </c>
    </row>
    <row r="59" spans="1:8" x14ac:dyDescent="0.2">
      <c r="A59" s="72">
        <v>15980</v>
      </c>
      <c r="C59" s="2">
        <v>42675</v>
      </c>
      <c r="F59" s="72">
        <v>24878</v>
      </c>
      <c r="G59" s="2">
        <v>1175000</v>
      </c>
      <c r="H59" s="2">
        <v>210000</v>
      </c>
    </row>
    <row r="60" spans="1:8" x14ac:dyDescent="0.2">
      <c r="A60" s="72">
        <v>16011</v>
      </c>
      <c r="C60" s="2">
        <v>42821</v>
      </c>
      <c r="F60" s="72">
        <v>24885</v>
      </c>
      <c r="G60" s="2">
        <v>1143000</v>
      </c>
      <c r="H60" s="2">
        <v>196000</v>
      </c>
    </row>
    <row r="61" spans="1:8" x14ac:dyDescent="0.2">
      <c r="A61" s="72">
        <v>16041</v>
      </c>
      <c r="C61" s="2">
        <v>42746</v>
      </c>
      <c r="F61" s="72">
        <v>24892</v>
      </c>
      <c r="G61" s="2">
        <v>1165000</v>
      </c>
      <c r="H61" s="2">
        <v>193000</v>
      </c>
    </row>
    <row r="62" spans="1:8" x14ac:dyDescent="0.2">
      <c r="A62" s="72">
        <v>16072</v>
      </c>
      <c r="C62" s="2">
        <v>42654</v>
      </c>
      <c r="F62" s="72">
        <v>24899</v>
      </c>
      <c r="G62" s="2">
        <v>1151000</v>
      </c>
      <c r="H62" s="2">
        <v>190000</v>
      </c>
    </row>
    <row r="63" spans="1:8" x14ac:dyDescent="0.2">
      <c r="A63" s="72">
        <v>16103</v>
      </c>
      <c r="C63" s="2">
        <v>42538</v>
      </c>
      <c r="F63" s="72">
        <v>24906</v>
      </c>
      <c r="G63" s="2">
        <v>1147000</v>
      </c>
      <c r="H63" s="2">
        <v>204000</v>
      </c>
    </row>
    <row r="64" spans="1:8" x14ac:dyDescent="0.2">
      <c r="A64" s="72">
        <v>16132</v>
      </c>
      <c r="C64" s="2">
        <v>42294</v>
      </c>
      <c r="F64" s="72">
        <v>24913</v>
      </c>
      <c r="G64" s="2">
        <v>1143000</v>
      </c>
      <c r="H64" s="2">
        <v>190000</v>
      </c>
    </row>
    <row r="65" spans="1:8" x14ac:dyDescent="0.2">
      <c r="A65" s="72">
        <v>16163</v>
      </c>
      <c r="C65" s="2">
        <v>42063</v>
      </c>
      <c r="F65" s="72">
        <v>24920</v>
      </c>
      <c r="G65" s="2">
        <v>1136000</v>
      </c>
      <c r="H65" s="2">
        <v>200000</v>
      </c>
    </row>
    <row r="66" spans="1:8" x14ac:dyDescent="0.2">
      <c r="A66" s="72">
        <v>16193</v>
      </c>
      <c r="C66" s="2">
        <v>41985</v>
      </c>
      <c r="F66" s="72">
        <v>24927</v>
      </c>
      <c r="G66" s="2">
        <v>1119000</v>
      </c>
      <c r="H66" s="2">
        <v>192000</v>
      </c>
    </row>
    <row r="67" spans="1:8" x14ac:dyDescent="0.2">
      <c r="A67" s="72">
        <v>16224</v>
      </c>
      <c r="C67" s="2">
        <v>41947</v>
      </c>
      <c r="F67" s="72">
        <v>24934</v>
      </c>
      <c r="G67" s="2">
        <v>1079000</v>
      </c>
      <c r="H67" s="2">
        <v>191000</v>
      </c>
    </row>
    <row r="68" spans="1:8" x14ac:dyDescent="0.2">
      <c r="A68" s="72">
        <v>16254</v>
      </c>
      <c r="C68" s="2">
        <v>41904</v>
      </c>
      <c r="F68" s="72">
        <v>24941</v>
      </c>
      <c r="G68" s="2">
        <v>1079000</v>
      </c>
      <c r="H68" s="2">
        <v>171000</v>
      </c>
    </row>
    <row r="69" spans="1:8" x14ac:dyDescent="0.2">
      <c r="A69" s="72">
        <v>16285</v>
      </c>
      <c r="C69" s="2">
        <v>41850</v>
      </c>
      <c r="F69" s="72">
        <v>24948</v>
      </c>
      <c r="G69" s="2">
        <v>1059000</v>
      </c>
      <c r="H69" s="2">
        <v>183000</v>
      </c>
    </row>
    <row r="70" spans="1:8" x14ac:dyDescent="0.2">
      <c r="A70" s="72">
        <v>16316</v>
      </c>
      <c r="C70" s="2">
        <v>41679</v>
      </c>
      <c r="F70" s="72">
        <v>24955</v>
      </c>
      <c r="G70" s="2">
        <v>1087000</v>
      </c>
      <c r="H70" s="2">
        <v>251000</v>
      </c>
    </row>
    <row r="71" spans="1:8" x14ac:dyDescent="0.2">
      <c r="A71" s="72">
        <v>16346</v>
      </c>
      <c r="C71" s="2">
        <v>41708</v>
      </c>
      <c r="F71" s="72">
        <v>24962</v>
      </c>
      <c r="G71" s="2">
        <v>1079000</v>
      </c>
      <c r="H71" s="2">
        <v>209000</v>
      </c>
    </row>
    <row r="72" spans="1:8" x14ac:dyDescent="0.2">
      <c r="A72" s="72">
        <v>16377</v>
      </c>
      <c r="C72" s="2">
        <v>41711</v>
      </c>
      <c r="F72" s="72">
        <v>24969</v>
      </c>
      <c r="G72" s="2">
        <v>1091000</v>
      </c>
      <c r="H72" s="2">
        <v>194000</v>
      </c>
    </row>
    <row r="73" spans="1:8" x14ac:dyDescent="0.2">
      <c r="A73" s="72">
        <v>16407</v>
      </c>
      <c r="C73" s="2">
        <v>41860</v>
      </c>
      <c r="F73" s="72">
        <v>24976</v>
      </c>
      <c r="G73" s="2">
        <v>1071000</v>
      </c>
      <c r="H73" s="2">
        <v>199000</v>
      </c>
    </row>
    <row r="74" spans="1:8" x14ac:dyDescent="0.2">
      <c r="A74" s="72">
        <v>16438</v>
      </c>
      <c r="C74" s="2">
        <v>41895</v>
      </c>
      <c r="F74" s="72">
        <v>24983</v>
      </c>
      <c r="G74" s="2">
        <v>1073000</v>
      </c>
      <c r="H74" s="2">
        <v>194000</v>
      </c>
    </row>
    <row r="75" spans="1:8" x14ac:dyDescent="0.2">
      <c r="A75" s="72">
        <v>16469</v>
      </c>
      <c r="C75" s="2">
        <v>41897</v>
      </c>
      <c r="F75" s="72">
        <v>24990</v>
      </c>
      <c r="G75" s="2">
        <v>1063000</v>
      </c>
      <c r="H75" s="2">
        <v>199000</v>
      </c>
    </row>
    <row r="76" spans="1:8" x14ac:dyDescent="0.2">
      <c r="A76" s="72">
        <v>16497</v>
      </c>
      <c r="C76" s="2">
        <v>41798</v>
      </c>
      <c r="F76" s="72">
        <v>24997</v>
      </c>
      <c r="G76" s="2">
        <v>1097000</v>
      </c>
      <c r="H76" s="2">
        <v>192000</v>
      </c>
    </row>
    <row r="77" spans="1:8" x14ac:dyDescent="0.2">
      <c r="A77" s="72">
        <v>16528</v>
      </c>
      <c r="C77" s="2">
        <v>41446</v>
      </c>
      <c r="F77" s="72">
        <v>25004</v>
      </c>
      <c r="G77" s="2">
        <v>1071000</v>
      </c>
      <c r="H77" s="2">
        <v>194000</v>
      </c>
    </row>
    <row r="78" spans="1:8" x14ac:dyDescent="0.2">
      <c r="A78" s="72">
        <v>16558</v>
      </c>
      <c r="C78" s="2">
        <v>41304</v>
      </c>
      <c r="F78" s="72">
        <v>25011</v>
      </c>
      <c r="G78" s="2">
        <v>1060000</v>
      </c>
      <c r="H78" s="2">
        <v>189000</v>
      </c>
    </row>
    <row r="79" spans="1:8" x14ac:dyDescent="0.2">
      <c r="A79" s="72">
        <v>16589</v>
      </c>
      <c r="C79" s="2">
        <v>41149</v>
      </c>
      <c r="F79" s="72">
        <v>25018</v>
      </c>
      <c r="G79" s="2">
        <v>1038000</v>
      </c>
      <c r="H79" s="2">
        <v>194000</v>
      </c>
    </row>
    <row r="80" spans="1:8" x14ac:dyDescent="0.2">
      <c r="A80" s="72">
        <v>16619</v>
      </c>
      <c r="C80" s="2">
        <v>40874</v>
      </c>
      <c r="F80" s="72">
        <v>25025</v>
      </c>
      <c r="G80" s="2">
        <v>1097000</v>
      </c>
      <c r="H80" s="2">
        <v>214000</v>
      </c>
    </row>
    <row r="81" spans="1:8" x14ac:dyDescent="0.2">
      <c r="A81" s="72">
        <v>16650</v>
      </c>
      <c r="C81" s="2">
        <v>40466</v>
      </c>
      <c r="F81" s="72">
        <v>25032</v>
      </c>
      <c r="G81" s="2">
        <v>1076000</v>
      </c>
      <c r="H81" s="2">
        <v>186000</v>
      </c>
    </row>
    <row r="82" spans="1:8" x14ac:dyDescent="0.2">
      <c r="A82" s="72">
        <v>16681</v>
      </c>
      <c r="C82" s="2">
        <v>38507</v>
      </c>
      <c r="F82" s="72">
        <v>25039</v>
      </c>
      <c r="G82" s="2">
        <v>1033000</v>
      </c>
      <c r="H82" s="2">
        <v>180000</v>
      </c>
    </row>
    <row r="83" spans="1:8" x14ac:dyDescent="0.2">
      <c r="A83" s="72">
        <v>16711</v>
      </c>
      <c r="C83" s="2">
        <v>38600</v>
      </c>
      <c r="F83" s="72">
        <v>25046</v>
      </c>
      <c r="G83" s="2">
        <v>1036000</v>
      </c>
      <c r="H83" s="2">
        <v>205000</v>
      </c>
    </row>
    <row r="84" spans="1:8" x14ac:dyDescent="0.2">
      <c r="A84" s="72">
        <v>16742</v>
      </c>
      <c r="C84" s="2">
        <v>38996</v>
      </c>
      <c r="F84" s="72">
        <v>25053</v>
      </c>
      <c r="G84" s="2">
        <v>1072000</v>
      </c>
      <c r="H84" s="2">
        <v>206000</v>
      </c>
    </row>
    <row r="85" spans="1:8" x14ac:dyDescent="0.2">
      <c r="A85" s="72">
        <v>16772</v>
      </c>
      <c r="C85" s="2">
        <v>39110</v>
      </c>
      <c r="F85" s="72">
        <v>25060</v>
      </c>
      <c r="G85" s="2">
        <v>1088000</v>
      </c>
      <c r="H85" s="2">
        <v>218000</v>
      </c>
    </row>
    <row r="86" spans="1:8" x14ac:dyDescent="0.2">
      <c r="A86" s="72">
        <v>16803</v>
      </c>
      <c r="C86" s="2">
        <v>39829</v>
      </c>
      <c r="F86" s="72">
        <v>25067</v>
      </c>
      <c r="G86" s="2">
        <v>1107000</v>
      </c>
      <c r="H86" s="2">
        <v>192000</v>
      </c>
    </row>
    <row r="87" spans="1:8" x14ac:dyDescent="0.2">
      <c r="A87" s="72">
        <v>16834</v>
      </c>
      <c r="C87" s="2">
        <v>39244</v>
      </c>
      <c r="F87" s="72">
        <v>25074</v>
      </c>
      <c r="G87" s="2">
        <v>1094000</v>
      </c>
      <c r="H87" s="2">
        <v>193000</v>
      </c>
    </row>
    <row r="88" spans="1:8" x14ac:dyDescent="0.2">
      <c r="A88" s="72">
        <v>16862</v>
      </c>
      <c r="C88" s="2">
        <v>40195</v>
      </c>
      <c r="F88" s="72">
        <v>25081</v>
      </c>
      <c r="G88" s="2">
        <v>1064000</v>
      </c>
      <c r="H88" s="2">
        <v>188000</v>
      </c>
    </row>
    <row r="89" spans="1:8" x14ac:dyDescent="0.2">
      <c r="A89" s="72">
        <v>16893</v>
      </c>
      <c r="C89" s="2">
        <v>40913</v>
      </c>
      <c r="F89" s="72">
        <v>25088</v>
      </c>
      <c r="G89" s="2">
        <v>1067000</v>
      </c>
      <c r="H89" s="2">
        <v>189000</v>
      </c>
    </row>
    <row r="90" spans="1:8" x14ac:dyDescent="0.2">
      <c r="A90" s="72">
        <v>16923</v>
      </c>
      <c r="C90" s="2">
        <v>41349</v>
      </c>
      <c r="F90" s="72">
        <v>25095</v>
      </c>
      <c r="G90" s="2">
        <v>1044000</v>
      </c>
      <c r="H90" s="2">
        <v>195000</v>
      </c>
    </row>
    <row r="91" spans="1:8" x14ac:dyDescent="0.2">
      <c r="A91" s="72">
        <v>16954</v>
      </c>
      <c r="C91" s="2">
        <v>41735</v>
      </c>
      <c r="F91" s="72">
        <v>25102</v>
      </c>
      <c r="G91" s="2">
        <v>1047000</v>
      </c>
      <c r="H91" s="2">
        <v>191000</v>
      </c>
    </row>
    <row r="92" spans="1:8" x14ac:dyDescent="0.2">
      <c r="A92" s="72">
        <v>16984</v>
      </c>
      <c r="C92" s="2">
        <v>42153</v>
      </c>
      <c r="F92" s="72">
        <v>25109</v>
      </c>
      <c r="G92" s="2">
        <v>1048000</v>
      </c>
      <c r="H92" s="2">
        <v>189000</v>
      </c>
    </row>
    <row r="93" spans="1:8" x14ac:dyDescent="0.2">
      <c r="A93" s="72">
        <v>17015</v>
      </c>
      <c r="C93" s="2">
        <v>42642</v>
      </c>
      <c r="F93" s="72">
        <v>25116</v>
      </c>
      <c r="G93" s="2">
        <v>1060000</v>
      </c>
      <c r="H93" s="2">
        <v>185000</v>
      </c>
    </row>
    <row r="94" spans="1:8" x14ac:dyDescent="0.2">
      <c r="A94" s="72">
        <v>17046</v>
      </c>
      <c r="C94" s="2">
        <v>42915</v>
      </c>
      <c r="F94" s="72">
        <v>25123</v>
      </c>
      <c r="G94" s="2">
        <v>1045000</v>
      </c>
      <c r="H94" s="2">
        <v>186000</v>
      </c>
    </row>
    <row r="95" spans="1:8" x14ac:dyDescent="0.2">
      <c r="A95" s="72">
        <v>17076</v>
      </c>
      <c r="C95" s="2">
        <v>43093</v>
      </c>
      <c r="F95" s="72">
        <v>25130</v>
      </c>
      <c r="G95" s="2">
        <v>1035000</v>
      </c>
      <c r="H95" s="2">
        <v>191000</v>
      </c>
    </row>
    <row r="96" spans="1:8" x14ac:dyDescent="0.2">
      <c r="A96" s="72">
        <v>17107</v>
      </c>
      <c r="C96" s="2">
        <v>43395</v>
      </c>
      <c r="F96" s="72">
        <v>25137</v>
      </c>
      <c r="G96" s="2">
        <v>1033000</v>
      </c>
      <c r="H96" s="2">
        <v>182000</v>
      </c>
    </row>
    <row r="97" spans="1:8" x14ac:dyDescent="0.2">
      <c r="A97" s="72">
        <v>17137</v>
      </c>
      <c r="C97" s="2">
        <v>43379</v>
      </c>
      <c r="F97" s="72">
        <v>25144</v>
      </c>
      <c r="G97" s="2">
        <v>1028000</v>
      </c>
      <c r="H97" s="2">
        <v>181000</v>
      </c>
    </row>
    <row r="98" spans="1:8" x14ac:dyDescent="0.2">
      <c r="A98" s="72">
        <v>17168</v>
      </c>
      <c r="C98" s="2">
        <v>43535</v>
      </c>
      <c r="F98" s="72">
        <v>25151</v>
      </c>
      <c r="G98" s="2">
        <v>1028000</v>
      </c>
      <c r="H98" s="2">
        <v>183000</v>
      </c>
    </row>
    <row r="99" spans="1:8" x14ac:dyDescent="0.2">
      <c r="A99" s="72">
        <v>17199</v>
      </c>
      <c r="C99" s="2">
        <v>43557</v>
      </c>
      <c r="F99" s="72">
        <v>25158</v>
      </c>
      <c r="G99" s="2">
        <v>1076000</v>
      </c>
      <c r="H99" s="2">
        <v>192000</v>
      </c>
    </row>
    <row r="100" spans="1:8" x14ac:dyDescent="0.2">
      <c r="A100" s="72">
        <v>17227</v>
      </c>
      <c r="C100" s="2">
        <v>43607</v>
      </c>
      <c r="F100" s="72">
        <v>25165</v>
      </c>
      <c r="G100" s="2">
        <v>1023000</v>
      </c>
      <c r="H100" s="2">
        <v>199000</v>
      </c>
    </row>
    <row r="101" spans="1:8" x14ac:dyDescent="0.2">
      <c r="A101" s="72">
        <v>17258</v>
      </c>
      <c r="C101" s="2">
        <v>43499</v>
      </c>
      <c r="F101" s="72">
        <v>25172</v>
      </c>
      <c r="G101" s="2">
        <v>1056000</v>
      </c>
      <c r="H101" s="2">
        <v>162000</v>
      </c>
    </row>
    <row r="102" spans="1:8" x14ac:dyDescent="0.2">
      <c r="A102" s="72">
        <v>17288</v>
      </c>
      <c r="C102" s="2">
        <v>43638</v>
      </c>
      <c r="F102" s="72">
        <v>25179</v>
      </c>
      <c r="G102" s="2">
        <v>1063000</v>
      </c>
      <c r="H102" s="2">
        <v>188000</v>
      </c>
    </row>
    <row r="103" spans="1:8" x14ac:dyDescent="0.2">
      <c r="A103" s="72">
        <v>17319</v>
      </c>
      <c r="C103" s="2">
        <v>43810</v>
      </c>
      <c r="F103" s="72">
        <v>25186</v>
      </c>
      <c r="G103" s="2">
        <v>1061000</v>
      </c>
      <c r="H103" s="2">
        <v>195000</v>
      </c>
    </row>
    <row r="104" spans="1:8" x14ac:dyDescent="0.2">
      <c r="A104" s="72">
        <v>17349</v>
      </c>
      <c r="C104" s="2">
        <v>43743</v>
      </c>
      <c r="F104" s="72">
        <v>25193</v>
      </c>
      <c r="G104" s="2">
        <v>1063000</v>
      </c>
      <c r="H104" s="2">
        <v>192000</v>
      </c>
    </row>
    <row r="105" spans="1:8" x14ac:dyDescent="0.2">
      <c r="A105" s="72">
        <v>17380</v>
      </c>
      <c r="C105" s="2">
        <v>43960</v>
      </c>
      <c r="F105" s="72">
        <v>25200</v>
      </c>
      <c r="G105" s="2">
        <v>1116000</v>
      </c>
      <c r="H105" s="2">
        <v>223000</v>
      </c>
    </row>
    <row r="106" spans="1:8" x14ac:dyDescent="0.2">
      <c r="A106" s="72">
        <v>17411</v>
      </c>
      <c r="C106" s="2">
        <v>44203</v>
      </c>
      <c r="F106" s="72">
        <v>25207</v>
      </c>
      <c r="G106" s="2">
        <v>1118000</v>
      </c>
      <c r="H106" s="2">
        <v>190000</v>
      </c>
    </row>
    <row r="107" spans="1:8" x14ac:dyDescent="0.2">
      <c r="A107" s="72">
        <v>17441</v>
      </c>
      <c r="C107" s="2">
        <v>44411</v>
      </c>
      <c r="F107" s="72">
        <v>25214</v>
      </c>
      <c r="G107" s="2">
        <v>1099000</v>
      </c>
      <c r="H107" s="2">
        <v>191000</v>
      </c>
    </row>
    <row r="108" spans="1:8" x14ac:dyDescent="0.2">
      <c r="A108" s="72">
        <v>17472</v>
      </c>
      <c r="C108" s="2">
        <v>44484</v>
      </c>
      <c r="F108" s="72">
        <v>25221</v>
      </c>
      <c r="G108" s="2">
        <v>1072000</v>
      </c>
      <c r="H108" s="2">
        <v>192000</v>
      </c>
    </row>
    <row r="109" spans="1:8" x14ac:dyDescent="0.2">
      <c r="A109" s="72">
        <v>17502</v>
      </c>
      <c r="C109" s="2">
        <v>44581</v>
      </c>
      <c r="F109" s="72">
        <v>25228</v>
      </c>
      <c r="G109" s="2">
        <v>1077000</v>
      </c>
      <c r="H109" s="2">
        <v>193000</v>
      </c>
    </row>
    <row r="110" spans="1:8" x14ac:dyDescent="0.2">
      <c r="A110" s="72">
        <v>17533</v>
      </c>
      <c r="B110" s="73">
        <v>58.6</v>
      </c>
      <c r="C110" s="2">
        <v>44679</v>
      </c>
      <c r="D110" s="73">
        <v>3.4</v>
      </c>
      <c r="F110" s="72">
        <v>25235</v>
      </c>
      <c r="G110" s="2">
        <v>1099000</v>
      </c>
      <c r="H110" s="2">
        <v>203000</v>
      </c>
    </row>
    <row r="111" spans="1:8" x14ac:dyDescent="0.2">
      <c r="A111" s="72">
        <v>17564</v>
      </c>
      <c r="B111" s="73">
        <v>58.9</v>
      </c>
      <c r="C111" s="2">
        <v>44533</v>
      </c>
      <c r="D111" s="73">
        <v>3.8</v>
      </c>
      <c r="F111" s="72">
        <v>25242</v>
      </c>
      <c r="G111" s="2">
        <v>1088000</v>
      </c>
      <c r="H111" s="2">
        <v>197000</v>
      </c>
    </row>
    <row r="112" spans="1:8" x14ac:dyDescent="0.2">
      <c r="A112" s="72">
        <v>17593</v>
      </c>
      <c r="B112" s="73">
        <v>58.5</v>
      </c>
      <c r="C112" s="2">
        <v>44683</v>
      </c>
      <c r="D112" s="73">
        <v>4</v>
      </c>
      <c r="F112" s="72">
        <v>25249</v>
      </c>
      <c r="G112" s="2">
        <v>1115000</v>
      </c>
      <c r="H112" s="2">
        <v>192000</v>
      </c>
    </row>
    <row r="113" spans="1:8" x14ac:dyDescent="0.2">
      <c r="A113" s="72">
        <v>17624</v>
      </c>
      <c r="B113" s="73">
        <v>59</v>
      </c>
      <c r="C113" s="2">
        <v>44379</v>
      </c>
      <c r="D113" s="73">
        <v>3.9</v>
      </c>
      <c r="F113" s="72">
        <v>25256</v>
      </c>
      <c r="G113" s="2">
        <v>1092000</v>
      </c>
      <c r="H113" s="2">
        <v>192000</v>
      </c>
    </row>
    <row r="114" spans="1:8" x14ac:dyDescent="0.2">
      <c r="A114" s="72">
        <v>17654</v>
      </c>
      <c r="B114" s="73">
        <v>58.3</v>
      </c>
      <c r="C114" s="2">
        <v>44796</v>
      </c>
      <c r="D114" s="73">
        <v>3.5</v>
      </c>
      <c r="F114" s="72">
        <v>25263</v>
      </c>
      <c r="G114" s="2">
        <v>1098000</v>
      </c>
      <c r="H114" s="2">
        <v>201000</v>
      </c>
    </row>
    <row r="115" spans="1:8" x14ac:dyDescent="0.2">
      <c r="A115" s="72">
        <v>17685</v>
      </c>
      <c r="B115" s="73">
        <v>59.2</v>
      </c>
      <c r="C115" s="2">
        <v>45034</v>
      </c>
      <c r="D115" s="73">
        <v>3.6</v>
      </c>
      <c r="F115" s="72">
        <v>25270</v>
      </c>
      <c r="G115" s="2">
        <v>1099000</v>
      </c>
      <c r="H115" s="2">
        <v>191000</v>
      </c>
    </row>
    <row r="116" spans="1:8" x14ac:dyDescent="0.2">
      <c r="A116" s="72">
        <v>17715</v>
      </c>
      <c r="B116" s="73">
        <v>59.3</v>
      </c>
      <c r="C116" s="2">
        <v>45160</v>
      </c>
      <c r="D116" s="73">
        <v>3.6</v>
      </c>
      <c r="F116" s="72">
        <v>25277</v>
      </c>
      <c r="G116" s="2">
        <v>1080000</v>
      </c>
      <c r="H116" s="2">
        <v>189000</v>
      </c>
    </row>
    <row r="117" spans="1:8" x14ac:dyDescent="0.2">
      <c r="A117" s="72">
        <v>17746</v>
      </c>
      <c r="B117" s="73">
        <v>58.9</v>
      </c>
      <c r="C117" s="2">
        <v>45178</v>
      </c>
      <c r="D117" s="73">
        <v>3.9</v>
      </c>
      <c r="F117" s="72">
        <v>25284</v>
      </c>
      <c r="G117" s="2">
        <v>1071000</v>
      </c>
      <c r="H117" s="2">
        <v>181000</v>
      </c>
    </row>
    <row r="118" spans="1:8" x14ac:dyDescent="0.2">
      <c r="A118" s="72">
        <v>17777</v>
      </c>
      <c r="B118" s="73">
        <v>58.9</v>
      </c>
      <c r="C118" s="2">
        <v>45294</v>
      </c>
      <c r="D118" s="73">
        <v>3.8</v>
      </c>
      <c r="F118" s="72">
        <v>25291</v>
      </c>
      <c r="G118" s="2">
        <v>1041000</v>
      </c>
      <c r="H118" s="2">
        <v>183000</v>
      </c>
    </row>
    <row r="119" spans="1:8" x14ac:dyDescent="0.2">
      <c r="A119" s="72">
        <v>17807</v>
      </c>
      <c r="B119" s="73">
        <v>58.7</v>
      </c>
      <c r="C119" s="2">
        <v>45245</v>
      </c>
      <c r="D119" s="73">
        <v>3.7</v>
      </c>
      <c r="F119" s="72">
        <v>25298</v>
      </c>
      <c r="G119" s="2">
        <v>1076000</v>
      </c>
      <c r="H119" s="2">
        <v>182000</v>
      </c>
    </row>
    <row r="120" spans="1:8" x14ac:dyDescent="0.2">
      <c r="A120" s="72">
        <v>17838</v>
      </c>
      <c r="B120" s="73">
        <v>58.7</v>
      </c>
      <c r="C120" s="2">
        <v>45192</v>
      </c>
      <c r="D120" s="73">
        <v>3.8</v>
      </c>
      <c r="F120" s="72">
        <v>25305</v>
      </c>
      <c r="G120" s="2">
        <v>1050000</v>
      </c>
      <c r="H120" s="2">
        <v>190000</v>
      </c>
    </row>
    <row r="121" spans="1:8" x14ac:dyDescent="0.2">
      <c r="A121" s="72">
        <v>17868</v>
      </c>
      <c r="B121" s="73">
        <v>59.1</v>
      </c>
      <c r="C121" s="2">
        <v>45032</v>
      </c>
      <c r="D121" s="73">
        <v>4</v>
      </c>
      <c r="F121" s="72">
        <v>25312</v>
      </c>
      <c r="G121" s="2">
        <v>1025000</v>
      </c>
      <c r="H121" s="2">
        <v>187000</v>
      </c>
    </row>
    <row r="122" spans="1:8" x14ac:dyDescent="0.2">
      <c r="A122" s="72">
        <v>17899</v>
      </c>
      <c r="B122" s="73">
        <v>58.7</v>
      </c>
      <c r="C122" s="2">
        <v>44668</v>
      </c>
      <c r="D122" s="73">
        <v>4.3</v>
      </c>
      <c r="F122" s="72">
        <v>25319</v>
      </c>
      <c r="G122" s="2">
        <v>992000</v>
      </c>
      <c r="H122" s="2">
        <v>177000</v>
      </c>
    </row>
    <row r="123" spans="1:8" x14ac:dyDescent="0.2">
      <c r="A123" s="72">
        <v>17930</v>
      </c>
      <c r="B123" s="73">
        <v>59</v>
      </c>
      <c r="C123" s="2">
        <v>44497</v>
      </c>
      <c r="D123" s="73">
        <v>4.7</v>
      </c>
      <c r="F123" s="72">
        <v>25326</v>
      </c>
      <c r="G123" s="2">
        <v>1003000</v>
      </c>
      <c r="H123" s="2">
        <v>177000</v>
      </c>
    </row>
    <row r="124" spans="1:8" x14ac:dyDescent="0.2">
      <c r="A124" s="72">
        <v>17958</v>
      </c>
      <c r="B124" s="73">
        <v>58.9</v>
      </c>
      <c r="C124" s="2">
        <v>44240</v>
      </c>
      <c r="D124" s="73">
        <v>5</v>
      </c>
      <c r="F124" s="72">
        <v>25333</v>
      </c>
      <c r="G124" s="2">
        <v>1018000</v>
      </c>
      <c r="H124" s="2">
        <v>183000</v>
      </c>
    </row>
    <row r="125" spans="1:8" x14ac:dyDescent="0.2">
      <c r="A125" s="72">
        <v>17989</v>
      </c>
      <c r="B125" s="73">
        <v>58.8</v>
      </c>
      <c r="C125" s="2">
        <v>44236</v>
      </c>
      <c r="D125" s="73">
        <v>5.3</v>
      </c>
      <c r="F125" s="72">
        <v>25340</v>
      </c>
      <c r="G125" s="2">
        <v>1007000</v>
      </c>
      <c r="H125" s="2">
        <v>179000</v>
      </c>
    </row>
    <row r="126" spans="1:8" x14ac:dyDescent="0.2">
      <c r="A126" s="72">
        <v>18019</v>
      </c>
      <c r="B126" s="73">
        <v>59</v>
      </c>
      <c r="C126" s="2">
        <v>43984</v>
      </c>
      <c r="D126" s="73">
        <v>6.1</v>
      </c>
      <c r="F126" s="72">
        <v>25347</v>
      </c>
      <c r="G126" s="2">
        <v>1006000</v>
      </c>
      <c r="H126" s="2">
        <v>180000</v>
      </c>
    </row>
    <row r="127" spans="1:8" x14ac:dyDescent="0.2">
      <c r="A127" s="72">
        <v>18050</v>
      </c>
      <c r="B127" s="73">
        <v>58.6</v>
      </c>
      <c r="C127" s="2">
        <v>43739</v>
      </c>
      <c r="D127" s="73">
        <v>6.2</v>
      </c>
      <c r="F127" s="72">
        <v>25354</v>
      </c>
      <c r="G127" s="2">
        <v>988000</v>
      </c>
      <c r="H127" s="2">
        <v>187000</v>
      </c>
    </row>
    <row r="128" spans="1:8" x14ac:dyDescent="0.2">
      <c r="A128" s="72">
        <v>18080</v>
      </c>
      <c r="B128" s="73">
        <v>58.9</v>
      </c>
      <c r="C128" s="2">
        <v>43531</v>
      </c>
      <c r="D128" s="73">
        <v>6.7</v>
      </c>
      <c r="F128" s="72">
        <v>25361</v>
      </c>
      <c r="G128" s="2">
        <v>992000</v>
      </c>
      <c r="H128" s="2">
        <v>192000</v>
      </c>
    </row>
    <row r="129" spans="1:8" x14ac:dyDescent="0.2">
      <c r="A129" s="72">
        <v>18111</v>
      </c>
      <c r="B129" s="73">
        <v>59.2</v>
      </c>
      <c r="C129" s="2">
        <v>43624</v>
      </c>
      <c r="D129" s="73">
        <v>6.8</v>
      </c>
      <c r="F129" s="72">
        <v>25368</v>
      </c>
      <c r="G129" s="2">
        <v>1010000</v>
      </c>
      <c r="H129" s="2">
        <v>182000</v>
      </c>
    </row>
    <row r="130" spans="1:8" x14ac:dyDescent="0.2">
      <c r="A130" s="72">
        <v>18142</v>
      </c>
      <c r="B130" s="73">
        <v>59.1</v>
      </c>
      <c r="C130" s="2">
        <v>43780</v>
      </c>
      <c r="D130" s="73">
        <v>6.6</v>
      </c>
      <c r="F130" s="72">
        <v>25375</v>
      </c>
      <c r="G130" s="2">
        <v>1012000</v>
      </c>
      <c r="H130" s="2">
        <v>191000</v>
      </c>
    </row>
    <row r="131" spans="1:8" x14ac:dyDescent="0.2">
      <c r="A131" s="72">
        <v>18172</v>
      </c>
      <c r="B131" s="73">
        <v>59.6</v>
      </c>
      <c r="C131" s="2">
        <v>42942</v>
      </c>
      <c r="D131" s="73">
        <v>7.9</v>
      </c>
      <c r="F131" s="72">
        <v>25382</v>
      </c>
      <c r="G131" s="2">
        <v>1021000</v>
      </c>
      <c r="H131" s="2">
        <v>203000</v>
      </c>
    </row>
    <row r="132" spans="1:8" x14ac:dyDescent="0.2">
      <c r="A132" s="72">
        <v>18203</v>
      </c>
      <c r="B132" s="73">
        <v>59.4</v>
      </c>
      <c r="C132" s="2">
        <v>43242</v>
      </c>
      <c r="D132" s="73">
        <v>6.4</v>
      </c>
      <c r="F132" s="72">
        <v>25389</v>
      </c>
      <c r="G132" s="2">
        <v>1072000</v>
      </c>
      <c r="H132" s="2">
        <v>227000</v>
      </c>
    </row>
    <row r="133" spans="1:8" x14ac:dyDescent="0.2">
      <c r="A133" s="72">
        <v>18233</v>
      </c>
      <c r="B133" s="73">
        <v>59.2</v>
      </c>
      <c r="C133" s="2">
        <v>43522</v>
      </c>
      <c r="D133" s="73">
        <v>6.6</v>
      </c>
      <c r="F133" s="72">
        <v>25396</v>
      </c>
      <c r="G133" s="2">
        <v>1092000</v>
      </c>
      <c r="H133" s="2">
        <v>210000</v>
      </c>
    </row>
    <row r="134" spans="1:8" x14ac:dyDescent="0.2">
      <c r="A134" s="72">
        <v>18264</v>
      </c>
      <c r="B134" s="73">
        <v>58.9</v>
      </c>
      <c r="C134" s="2">
        <v>43526</v>
      </c>
      <c r="D134" s="73">
        <v>6.5</v>
      </c>
      <c r="F134" s="72">
        <v>25403</v>
      </c>
      <c r="G134" s="2">
        <v>1072000</v>
      </c>
      <c r="H134" s="2">
        <v>206000</v>
      </c>
    </row>
    <row r="135" spans="1:8" x14ac:dyDescent="0.2">
      <c r="A135" s="72">
        <v>18295</v>
      </c>
      <c r="B135" s="73">
        <v>58.9</v>
      </c>
      <c r="C135" s="2">
        <v>43297</v>
      </c>
      <c r="D135" s="73">
        <v>6.4</v>
      </c>
      <c r="F135" s="72">
        <v>25410</v>
      </c>
      <c r="G135" s="2">
        <v>1110000</v>
      </c>
      <c r="H135" s="2">
        <v>192000</v>
      </c>
    </row>
    <row r="136" spans="1:8" x14ac:dyDescent="0.2">
      <c r="A136" s="72">
        <v>18323</v>
      </c>
      <c r="B136" s="73">
        <v>58.8</v>
      </c>
      <c r="C136" s="2">
        <v>43954</v>
      </c>
      <c r="D136" s="73">
        <v>6.3</v>
      </c>
      <c r="F136" s="72">
        <v>25417</v>
      </c>
      <c r="G136" s="2">
        <v>1126000</v>
      </c>
      <c r="H136" s="2">
        <v>196000</v>
      </c>
    </row>
    <row r="137" spans="1:8" x14ac:dyDescent="0.2">
      <c r="A137" s="72">
        <v>18354</v>
      </c>
      <c r="B137" s="73">
        <v>59.2</v>
      </c>
      <c r="C137" s="2">
        <v>44382</v>
      </c>
      <c r="D137" s="73">
        <v>5.8</v>
      </c>
      <c r="F137" s="72">
        <v>25424</v>
      </c>
      <c r="G137" s="2">
        <v>1093000</v>
      </c>
      <c r="H137" s="2">
        <v>203000</v>
      </c>
    </row>
    <row r="138" spans="1:8" x14ac:dyDescent="0.2">
      <c r="A138" s="72">
        <v>18384</v>
      </c>
      <c r="B138" s="73">
        <v>59.1</v>
      </c>
      <c r="C138" s="2">
        <v>44718</v>
      </c>
      <c r="D138" s="73">
        <v>5.5</v>
      </c>
      <c r="F138" s="72">
        <v>25431</v>
      </c>
      <c r="G138" s="2">
        <v>1067000</v>
      </c>
      <c r="H138" s="2">
        <v>199000</v>
      </c>
    </row>
    <row r="139" spans="1:8" x14ac:dyDescent="0.2">
      <c r="A139" s="72">
        <v>18415</v>
      </c>
      <c r="B139" s="73">
        <v>59.4</v>
      </c>
      <c r="C139" s="2">
        <v>45083</v>
      </c>
      <c r="D139" s="73">
        <v>5.4</v>
      </c>
      <c r="F139" s="72">
        <v>25438</v>
      </c>
      <c r="G139" s="2">
        <v>1060000</v>
      </c>
      <c r="H139" s="2">
        <v>199000</v>
      </c>
    </row>
    <row r="140" spans="1:8" x14ac:dyDescent="0.2">
      <c r="A140" s="72">
        <v>18445</v>
      </c>
      <c r="B140" s="73">
        <v>59.1</v>
      </c>
      <c r="C140" s="2">
        <v>45454</v>
      </c>
      <c r="D140" s="73">
        <v>5</v>
      </c>
      <c r="F140" s="72">
        <v>25445</v>
      </c>
      <c r="G140" s="2">
        <v>1074000</v>
      </c>
      <c r="H140" s="2">
        <v>195000</v>
      </c>
    </row>
    <row r="141" spans="1:8" x14ac:dyDescent="0.2">
      <c r="A141" s="72">
        <v>18476</v>
      </c>
      <c r="B141" s="73">
        <v>59.5</v>
      </c>
      <c r="C141" s="2">
        <v>46192</v>
      </c>
      <c r="D141" s="73">
        <v>4.5</v>
      </c>
      <c r="F141" s="72">
        <v>25452</v>
      </c>
      <c r="G141" s="2">
        <v>1111000</v>
      </c>
      <c r="H141" s="2">
        <v>182000</v>
      </c>
    </row>
    <row r="142" spans="1:8" x14ac:dyDescent="0.2">
      <c r="A142" s="72">
        <v>18507</v>
      </c>
      <c r="B142" s="73">
        <v>59.2</v>
      </c>
      <c r="C142" s="2">
        <v>46438</v>
      </c>
      <c r="D142" s="73">
        <v>4.4000000000000004</v>
      </c>
      <c r="F142" s="72">
        <v>25459</v>
      </c>
      <c r="G142" s="2">
        <v>1082000</v>
      </c>
      <c r="H142" s="2">
        <v>209000</v>
      </c>
    </row>
    <row r="143" spans="1:8" x14ac:dyDescent="0.2">
      <c r="A143" s="72">
        <v>18537</v>
      </c>
      <c r="B143" s="73">
        <v>59.4</v>
      </c>
      <c r="C143" s="2">
        <v>46706</v>
      </c>
      <c r="D143" s="73">
        <v>4.2</v>
      </c>
      <c r="F143" s="72">
        <v>25466</v>
      </c>
      <c r="G143" s="2">
        <v>1083000</v>
      </c>
      <c r="H143" s="2">
        <v>195000</v>
      </c>
    </row>
    <row r="144" spans="1:8" x14ac:dyDescent="0.2">
      <c r="A144" s="72">
        <v>18568</v>
      </c>
      <c r="B144" s="73">
        <v>59.3</v>
      </c>
      <c r="C144" s="2">
        <v>46776</v>
      </c>
      <c r="D144" s="73">
        <v>4.2</v>
      </c>
      <c r="F144" s="72">
        <v>25473</v>
      </c>
      <c r="G144" s="2">
        <v>1086000</v>
      </c>
      <c r="H144" s="2">
        <v>193000</v>
      </c>
    </row>
    <row r="145" spans="1:8" x14ac:dyDescent="0.2">
      <c r="A145" s="72">
        <v>18598</v>
      </c>
      <c r="B145" s="73">
        <v>59.2</v>
      </c>
      <c r="C145" s="2">
        <v>46861</v>
      </c>
      <c r="D145" s="73">
        <v>4.3</v>
      </c>
      <c r="F145" s="72">
        <v>25480</v>
      </c>
      <c r="G145" s="2">
        <v>1103000</v>
      </c>
      <c r="H145" s="2">
        <v>193000</v>
      </c>
    </row>
    <row r="146" spans="1:8" x14ac:dyDescent="0.2">
      <c r="A146" s="72">
        <v>18629</v>
      </c>
      <c r="B146" s="73">
        <v>59.1</v>
      </c>
      <c r="C146" s="2">
        <v>47288</v>
      </c>
      <c r="D146" s="73">
        <v>3.7</v>
      </c>
      <c r="F146" s="72">
        <v>25487</v>
      </c>
      <c r="G146" s="2">
        <v>1100000</v>
      </c>
      <c r="H146" s="2">
        <v>200000</v>
      </c>
    </row>
    <row r="147" spans="1:8" x14ac:dyDescent="0.2">
      <c r="A147" s="72">
        <v>18660</v>
      </c>
      <c r="B147" s="73">
        <v>59.1</v>
      </c>
      <c r="C147" s="2">
        <v>47577</v>
      </c>
      <c r="D147" s="73">
        <v>3.4</v>
      </c>
      <c r="F147" s="72">
        <v>25494</v>
      </c>
      <c r="G147" s="2">
        <v>1118000</v>
      </c>
      <c r="H147" s="2">
        <v>199000</v>
      </c>
    </row>
    <row r="148" spans="1:8" x14ac:dyDescent="0.2">
      <c r="A148" s="72">
        <v>18688</v>
      </c>
      <c r="B148" s="73">
        <v>59.8</v>
      </c>
      <c r="C148" s="2">
        <v>47873</v>
      </c>
      <c r="D148" s="73">
        <v>3.4</v>
      </c>
      <c r="F148" s="72">
        <v>25501</v>
      </c>
      <c r="G148" s="2">
        <v>1136000</v>
      </c>
      <c r="H148" s="2">
        <v>205000</v>
      </c>
    </row>
    <row r="149" spans="1:8" x14ac:dyDescent="0.2">
      <c r="A149" s="72">
        <v>18719</v>
      </c>
      <c r="B149" s="73">
        <v>59.1</v>
      </c>
      <c r="C149" s="2">
        <v>47861</v>
      </c>
      <c r="D149" s="73">
        <v>3.1</v>
      </c>
      <c r="F149" s="72">
        <v>25508</v>
      </c>
      <c r="G149" s="2">
        <v>1143000</v>
      </c>
      <c r="H149" s="2">
        <v>198000</v>
      </c>
    </row>
    <row r="150" spans="1:8" x14ac:dyDescent="0.2">
      <c r="A150" s="72">
        <v>18749</v>
      </c>
      <c r="B150" s="73">
        <v>59.4</v>
      </c>
      <c r="C150" s="2">
        <v>47952</v>
      </c>
      <c r="D150" s="73">
        <v>3</v>
      </c>
      <c r="F150" s="72">
        <v>25515</v>
      </c>
      <c r="G150" s="2">
        <v>1146000</v>
      </c>
      <c r="H150" s="2">
        <v>211000</v>
      </c>
    </row>
    <row r="151" spans="1:8" x14ac:dyDescent="0.2">
      <c r="A151" s="72">
        <v>18780</v>
      </c>
      <c r="B151" s="73">
        <v>59</v>
      </c>
      <c r="C151" s="2">
        <v>48064</v>
      </c>
      <c r="D151" s="73">
        <v>3.2</v>
      </c>
      <c r="F151" s="72">
        <v>25522</v>
      </c>
      <c r="G151" s="2">
        <v>1181000</v>
      </c>
      <c r="H151" s="2">
        <v>197000</v>
      </c>
    </row>
    <row r="152" spans="1:8" x14ac:dyDescent="0.2">
      <c r="A152" s="72">
        <v>18810</v>
      </c>
      <c r="B152" s="73">
        <v>59.4</v>
      </c>
      <c r="C152" s="2">
        <v>48061</v>
      </c>
      <c r="D152" s="73">
        <v>3.1</v>
      </c>
      <c r="F152" s="72">
        <v>25529</v>
      </c>
      <c r="G152" s="2">
        <v>1158000</v>
      </c>
      <c r="H152" s="2">
        <v>217000</v>
      </c>
    </row>
    <row r="153" spans="1:8" x14ac:dyDescent="0.2">
      <c r="A153" s="72">
        <v>18841</v>
      </c>
      <c r="B153" s="73">
        <v>59.2</v>
      </c>
      <c r="C153" s="2">
        <v>48012</v>
      </c>
      <c r="D153" s="73">
        <v>3.1</v>
      </c>
      <c r="F153" s="72">
        <v>25536</v>
      </c>
      <c r="G153" s="2">
        <v>1211000</v>
      </c>
      <c r="H153" s="2">
        <v>202000</v>
      </c>
    </row>
    <row r="154" spans="1:8" x14ac:dyDescent="0.2">
      <c r="A154" s="72">
        <v>18872</v>
      </c>
      <c r="B154" s="73">
        <v>59.1</v>
      </c>
      <c r="C154" s="2">
        <v>47954</v>
      </c>
      <c r="D154" s="73">
        <v>3.3</v>
      </c>
      <c r="F154" s="72">
        <v>25543</v>
      </c>
      <c r="G154" s="2">
        <v>1226000</v>
      </c>
      <c r="H154" s="2">
        <v>202000</v>
      </c>
    </row>
    <row r="155" spans="1:8" x14ac:dyDescent="0.2">
      <c r="A155" s="72">
        <v>18902</v>
      </c>
      <c r="B155" s="73">
        <v>59.4</v>
      </c>
      <c r="C155" s="2">
        <v>48006</v>
      </c>
      <c r="D155" s="73">
        <v>3.5</v>
      </c>
      <c r="F155" s="72">
        <v>25550</v>
      </c>
      <c r="G155" s="2">
        <v>1233000</v>
      </c>
      <c r="H155" s="2">
        <v>222000</v>
      </c>
    </row>
    <row r="156" spans="1:8" x14ac:dyDescent="0.2">
      <c r="A156" s="72">
        <v>18933</v>
      </c>
      <c r="B156" s="73">
        <v>59.2</v>
      </c>
      <c r="C156" s="2">
        <v>48147</v>
      </c>
      <c r="D156" s="73">
        <v>3.5</v>
      </c>
      <c r="F156" s="72">
        <v>25557</v>
      </c>
      <c r="G156" s="2">
        <v>1252000</v>
      </c>
      <c r="H156" s="2">
        <v>232000</v>
      </c>
    </row>
    <row r="157" spans="1:8" x14ac:dyDescent="0.2">
      <c r="A157" s="72">
        <v>18963</v>
      </c>
      <c r="B157" s="73">
        <v>59.6</v>
      </c>
      <c r="C157" s="2">
        <v>48314</v>
      </c>
      <c r="D157" s="73">
        <v>3.1</v>
      </c>
      <c r="F157" s="72">
        <v>25564</v>
      </c>
      <c r="G157" s="2">
        <v>1304000</v>
      </c>
      <c r="H157" s="2">
        <v>223000</v>
      </c>
    </row>
    <row r="158" spans="1:8" x14ac:dyDescent="0.2">
      <c r="A158" s="72">
        <v>18994</v>
      </c>
      <c r="B158" s="73">
        <v>59.5</v>
      </c>
      <c r="C158" s="2">
        <v>48296</v>
      </c>
      <c r="D158" s="73">
        <v>3.2</v>
      </c>
      <c r="F158" s="72">
        <v>25571</v>
      </c>
      <c r="G158" s="2">
        <v>1332000</v>
      </c>
      <c r="H158" s="2">
        <v>230000</v>
      </c>
    </row>
    <row r="159" spans="1:8" x14ac:dyDescent="0.2">
      <c r="A159" s="72">
        <v>19025</v>
      </c>
      <c r="B159" s="73">
        <v>59.5</v>
      </c>
      <c r="C159" s="2">
        <v>48522</v>
      </c>
      <c r="D159" s="73">
        <v>3.1</v>
      </c>
      <c r="F159" s="72">
        <v>25578</v>
      </c>
      <c r="G159" s="2">
        <v>1353000</v>
      </c>
      <c r="H159" s="2">
        <v>242000</v>
      </c>
    </row>
    <row r="160" spans="1:8" x14ac:dyDescent="0.2">
      <c r="A160" s="72">
        <v>19054</v>
      </c>
      <c r="B160" s="73">
        <v>58.9</v>
      </c>
      <c r="C160" s="2">
        <v>48504</v>
      </c>
      <c r="D160" s="73">
        <v>2.9</v>
      </c>
      <c r="F160" s="72">
        <v>25585</v>
      </c>
      <c r="G160" s="2">
        <v>1371000</v>
      </c>
      <c r="H160" s="2">
        <v>268000</v>
      </c>
    </row>
    <row r="161" spans="1:8" x14ac:dyDescent="0.2">
      <c r="A161" s="72">
        <v>19085</v>
      </c>
      <c r="B161" s="73">
        <v>58.8</v>
      </c>
      <c r="C161" s="2">
        <v>48620</v>
      </c>
      <c r="D161" s="73">
        <v>2.9</v>
      </c>
      <c r="F161" s="72">
        <v>25592</v>
      </c>
      <c r="G161" s="2">
        <v>1388000</v>
      </c>
      <c r="H161" s="2">
        <v>256000</v>
      </c>
    </row>
    <row r="162" spans="1:8" x14ac:dyDescent="0.2">
      <c r="A162" s="72">
        <v>19115</v>
      </c>
      <c r="B162" s="73">
        <v>59.1</v>
      </c>
      <c r="C162" s="2">
        <v>48642</v>
      </c>
      <c r="D162" s="73">
        <v>3</v>
      </c>
      <c r="F162" s="72">
        <v>25599</v>
      </c>
      <c r="G162" s="2">
        <v>1385000</v>
      </c>
      <c r="H162" s="2">
        <v>239000</v>
      </c>
    </row>
    <row r="163" spans="1:8" x14ac:dyDescent="0.2">
      <c r="A163" s="72">
        <v>19146</v>
      </c>
      <c r="B163" s="73">
        <v>59.1</v>
      </c>
      <c r="C163" s="2">
        <v>48282</v>
      </c>
      <c r="D163" s="73">
        <v>3</v>
      </c>
      <c r="F163" s="72">
        <v>25606</v>
      </c>
      <c r="G163" s="2">
        <v>1397000</v>
      </c>
      <c r="H163" s="2">
        <v>256000</v>
      </c>
    </row>
    <row r="164" spans="1:8" x14ac:dyDescent="0.2">
      <c r="A164" s="72">
        <v>19176</v>
      </c>
      <c r="B164" s="73">
        <v>58.9</v>
      </c>
      <c r="C164" s="2">
        <v>48143</v>
      </c>
      <c r="D164" s="73">
        <v>3.2</v>
      </c>
      <c r="F164" s="72">
        <v>25613</v>
      </c>
      <c r="G164" s="2">
        <v>1445000</v>
      </c>
      <c r="H164" s="2">
        <v>265000</v>
      </c>
    </row>
    <row r="165" spans="1:8" x14ac:dyDescent="0.2">
      <c r="A165" s="72">
        <v>19207</v>
      </c>
      <c r="B165" s="73">
        <v>58.7</v>
      </c>
      <c r="C165" s="2">
        <v>48924</v>
      </c>
      <c r="D165" s="73">
        <v>3.4</v>
      </c>
      <c r="F165" s="72">
        <v>25620</v>
      </c>
      <c r="G165" s="2">
        <v>1412000</v>
      </c>
      <c r="H165" s="2">
        <v>271000</v>
      </c>
    </row>
    <row r="166" spans="1:8" x14ac:dyDescent="0.2">
      <c r="A166" s="72">
        <v>19238</v>
      </c>
      <c r="B166" s="73">
        <v>59.2</v>
      </c>
      <c r="C166" s="2">
        <v>49320</v>
      </c>
      <c r="D166" s="73">
        <v>3.1</v>
      </c>
      <c r="F166" s="72">
        <v>25627</v>
      </c>
      <c r="G166" s="2">
        <v>1430000</v>
      </c>
      <c r="H166" s="2">
        <v>242000</v>
      </c>
    </row>
    <row r="167" spans="1:8" x14ac:dyDescent="0.2">
      <c r="A167" s="72">
        <v>19268</v>
      </c>
      <c r="B167" s="73">
        <v>58.7</v>
      </c>
      <c r="C167" s="2">
        <v>49597</v>
      </c>
      <c r="D167" s="73">
        <v>3</v>
      </c>
      <c r="F167" s="72">
        <v>25634</v>
      </c>
      <c r="G167" s="2">
        <v>1443000</v>
      </c>
      <c r="H167" s="2">
        <v>262000</v>
      </c>
    </row>
    <row r="168" spans="1:8" x14ac:dyDescent="0.2">
      <c r="A168" s="72">
        <v>19299</v>
      </c>
      <c r="B168" s="73">
        <v>59.1</v>
      </c>
      <c r="C168" s="2">
        <v>49816</v>
      </c>
      <c r="D168" s="73">
        <v>2.8</v>
      </c>
      <c r="F168" s="72">
        <v>25641</v>
      </c>
      <c r="G168" s="2">
        <v>1456000</v>
      </c>
      <c r="H168" s="2">
        <v>271000</v>
      </c>
    </row>
    <row r="169" spans="1:8" x14ac:dyDescent="0.2">
      <c r="A169" s="72">
        <v>19329</v>
      </c>
      <c r="B169" s="73">
        <v>59.2</v>
      </c>
      <c r="C169" s="2">
        <v>50166</v>
      </c>
      <c r="D169" s="73">
        <v>2.7</v>
      </c>
      <c r="F169" s="72">
        <v>25648</v>
      </c>
      <c r="G169" s="2">
        <v>1498000</v>
      </c>
      <c r="H169" s="2">
        <v>264000</v>
      </c>
    </row>
    <row r="170" spans="1:8" x14ac:dyDescent="0.2">
      <c r="A170" s="72">
        <v>19360</v>
      </c>
      <c r="B170" s="73">
        <v>59.5</v>
      </c>
      <c r="C170" s="2">
        <v>50144</v>
      </c>
      <c r="D170" s="73">
        <v>2.9</v>
      </c>
      <c r="F170" s="72">
        <v>25655</v>
      </c>
      <c r="G170" s="2">
        <v>1537000</v>
      </c>
      <c r="H170" s="2">
        <v>276000</v>
      </c>
    </row>
    <row r="171" spans="1:8" x14ac:dyDescent="0.2">
      <c r="A171" s="72">
        <v>19391</v>
      </c>
      <c r="B171" s="73">
        <v>59.5</v>
      </c>
      <c r="C171" s="2">
        <v>50339</v>
      </c>
      <c r="D171" s="73">
        <v>2.6</v>
      </c>
      <c r="F171" s="72">
        <v>25662</v>
      </c>
      <c r="G171" s="2">
        <v>1573000</v>
      </c>
      <c r="H171" s="2">
        <v>273000</v>
      </c>
    </row>
    <row r="172" spans="1:8" x14ac:dyDescent="0.2">
      <c r="A172" s="72">
        <v>19419</v>
      </c>
      <c r="B172" s="73">
        <v>59.6</v>
      </c>
      <c r="C172" s="2">
        <v>50473</v>
      </c>
      <c r="D172" s="73">
        <v>2.6</v>
      </c>
      <c r="F172" s="72">
        <v>25669</v>
      </c>
      <c r="G172" s="2">
        <v>1586000</v>
      </c>
      <c r="H172" s="2">
        <v>305000</v>
      </c>
    </row>
    <row r="173" spans="1:8" x14ac:dyDescent="0.2">
      <c r="A173" s="72">
        <v>19450</v>
      </c>
      <c r="B173" s="73">
        <v>59.1</v>
      </c>
      <c r="C173" s="2">
        <v>50435</v>
      </c>
      <c r="D173" s="73">
        <v>2.7</v>
      </c>
      <c r="F173" s="72">
        <v>25676</v>
      </c>
      <c r="G173" s="2">
        <v>1653000</v>
      </c>
      <c r="H173" s="2">
        <v>374000</v>
      </c>
    </row>
    <row r="174" spans="1:8" x14ac:dyDescent="0.2">
      <c r="A174" s="72">
        <v>19480</v>
      </c>
      <c r="B174" s="73">
        <v>58.6</v>
      </c>
      <c r="C174" s="2">
        <v>50490</v>
      </c>
      <c r="D174" s="73">
        <v>2.5</v>
      </c>
      <c r="F174" s="72">
        <v>25683</v>
      </c>
      <c r="G174" s="2">
        <v>1748000</v>
      </c>
      <c r="H174" s="2">
        <v>349000</v>
      </c>
    </row>
    <row r="175" spans="1:8" x14ac:dyDescent="0.2">
      <c r="A175" s="72">
        <v>19511</v>
      </c>
      <c r="B175" s="73">
        <v>58.9</v>
      </c>
      <c r="C175" s="2">
        <v>50519</v>
      </c>
      <c r="D175" s="73">
        <v>2.5</v>
      </c>
      <c r="F175" s="72">
        <v>25690</v>
      </c>
      <c r="G175" s="2">
        <v>1811000</v>
      </c>
      <c r="H175" s="2">
        <v>334000</v>
      </c>
    </row>
    <row r="176" spans="1:8" x14ac:dyDescent="0.2">
      <c r="A176" s="72">
        <v>19541</v>
      </c>
      <c r="B176" s="73">
        <v>58.9</v>
      </c>
      <c r="C176" s="2">
        <v>50536</v>
      </c>
      <c r="D176" s="73">
        <v>2.6</v>
      </c>
      <c r="F176" s="72">
        <v>25697</v>
      </c>
      <c r="G176" s="2">
        <v>1847000</v>
      </c>
      <c r="H176" s="2">
        <v>318000</v>
      </c>
    </row>
    <row r="177" spans="1:8" x14ac:dyDescent="0.2">
      <c r="A177" s="72">
        <v>19572</v>
      </c>
      <c r="B177" s="73">
        <v>58.6</v>
      </c>
      <c r="C177" s="2">
        <v>50489</v>
      </c>
      <c r="D177" s="73">
        <v>2.7</v>
      </c>
      <c r="F177" s="72">
        <v>25704</v>
      </c>
      <c r="G177" s="2">
        <v>1840000</v>
      </c>
      <c r="H177" s="2">
        <v>303000</v>
      </c>
    </row>
    <row r="178" spans="1:8" x14ac:dyDescent="0.2">
      <c r="A178" s="72">
        <v>19603</v>
      </c>
      <c r="B178" s="73">
        <v>58.5</v>
      </c>
      <c r="C178" s="2">
        <v>50368</v>
      </c>
      <c r="D178" s="73">
        <v>2.9</v>
      </c>
      <c r="F178" s="72">
        <v>25711</v>
      </c>
      <c r="G178" s="2">
        <v>1827000</v>
      </c>
      <c r="H178" s="2">
        <v>296000</v>
      </c>
    </row>
    <row r="179" spans="1:8" x14ac:dyDescent="0.2">
      <c r="A179" s="72">
        <v>19633</v>
      </c>
      <c r="B179" s="73">
        <v>58.5</v>
      </c>
      <c r="C179" s="2">
        <v>50240</v>
      </c>
      <c r="D179" s="73">
        <v>3.1</v>
      </c>
      <c r="F179" s="72">
        <v>25718</v>
      </c>
      <c r="G179" s="2">
        <v>1807000</v>
      </c>
      <c r="H179" s="2">
        <v>301000</v>
      </c>
    </row>
    <row r="180" spans="1:8" x14ac:dyDescent="0.2">
      <c r="A180" s="72">
        <v>19664</v>
      </c>
      <c r="B180" s="73">
        <v>58.6</v>
      </c>
      <c r="C180" s="2">
        <v>49908</v>
      </c>
      <c r="D180" s="73">
        <v>3.5</v>
      </c>
      <c r="F180" s="72">
        <v>25725</v>
      </c>
      <c r="G180" s="2">
        <v>1817000</v>
      </c>
      <c r="H180" s="2">
        <v>301000</v>
      </c>
    </row>
    <row r="181" spans="1:8" x14ac:dyDescent="0.2">
      <c r="A181" s="72">
        <v>19694</v>
      </c>
      <c r="B181" s="73">
        <v>58.3</v>
      </c>
      <c r="C181" s="2">
        <v>49703</v>
      </c>
      <c r="D181" s="73">
        <v>4.5</v>
      </c>
      <c r="F181" s="72">
        <v>25732</v>
      </c>
      <c r="G181" s="2">
        <v>1852000</v>
      </c>
      <c r="H181" s="2">
        <v>298000</v>
      </c>
    </row>
    <row r="182" spans="1:8" x14ac:dyDescent="0.2">
      <c r="A182" s="72">
        <v>19725</v>
      </c>
      <c r="B182" s="73">
        <v>58.6</v>
      </c>
      <c r="C182" s="2">
        <v>49469</v>
      </c>
      <c r="D182" s="73">
        <v>4.9000000000000004</v>
      </c>
      <c r="F182" s="72">
        <v>25739</v>
      </c>
      <c r="G182" s="2">
        <v>1864000</v>
      </c>
      <c r="H182" s="2">
        <v>296000</v>
      </c>
    </row>
    <row r="183" spans="1:8" x14ac:dyDescent="0.2">
      <c r="A183" s="72">
        <v>19756</v>
      </c>
      <c r="B183" s="73">
        <v>59.3</v>
      </c>
      <c r="C183" s="2">
        <v>49382</v>
      </c>
      <c r="D183" s="73">
        <v>5.2</v>
      </c>
      <c r="F183" s="72">
        <v>25746</v>
      </c>
      <c r="G183" s="2">
        <v>1866000</v>
      </c>
      <c r="H183" s="2">
        <v>291000</v>
      </c>
    </row>
    <row r="184" spans="1:8" x14ac:dyDescent="0.2">
      <c r="A184" s="72">
        <v>19784</v>
      </c>
      <c r="B184" s="73">
        <v>59.1</v>
      </c>
      <c r="C184" s="2">
        <v>49157</v>
      </c>
      <c r="D184" s="73">
        <v>5.7</v>
      </c>
      <c r="F184" s="72">
        <v>25753</v>
      </c>
      <c r="G184" s="2">
        <v>1853000</v>
      </c>
      <c r="H184" s="2">
        <v>277000</v>
      </c>
    </row>
    <row r="185" spans="1:8" x14ac:dyDescent="0.2">
      <c r="A185" s="72">
        <v>19815</v>
      </c>
      <c r="B185" s="73">
        <v>59.2</v>
      </c>
      <c r="C185" s="2">
        <v>49179</v>
      </c>
      <c r="D185" s="73">
        <v>5.9</v>
      </c>
      <c r="F185" s="72">
        <v>25760</v>
      </c>
      <c r="G185" s="2">
        <v>1868000</v>
      </c>
      <c r="H185" s="2">
        <v>288000</v>
      </c>
    </row>
    <row r="186" spans="1:8" x14ac:dyDescent="0.2">
      <c r="A186" s="72">
        <v>19845</v>
      </c>
      <c r="B186" s="73">
        <v>58.9</v>
      </c>
      <c r="C186" s="2">
        <v>48965</v>
      </c>
      <c r="D186" s="73">
        <v>5.9</v>
      </c>
      <c r="F186" s="72">
        <v>25767</v>
      </c>
      <c r="G186" s="2">
        <v>1877000</v>
      </c>
      <c r="H186" s="2">
        <v>294000</v>
      </c>
    </row>
    <row r="187" spans="1:8" x14ac:dyDescent="0.2">
      <c r="A187" s="72">
        <v>19876</v>
      </c>
      <c r="B187" s="73">
        <v>58.5</v>
      </c>
      <c r="C187" s="2">
        <v>48895</v>
      </c>
      <c r="D187" s="73">
        <v>5.6</v>
      </c>
      <c r="F187" s="72">
        <v>25774</v>
      </c>
      <c r="G187" s="2">
        <v>1918000</v>
      </c>
      <c r="H187" s="2">
        <v>287000</v>
      </c>
    </row>
    <row r="188" spans="1:8" x14ac:dyDescent="0.2">
      <c r="A188" s="72">
        <v>19906</v>
      </c>
      <c r="B188" s="73">
        <v>58.4</v>
      </c>
      <c r="C188" s="2">
        <v>48835</v>
      </c>
      <c r="D188" s="73">
        <v>5.8</v>
      </c>
      <c r="F188" s="72">
        <v>25781</v>
      </c>
      <c r="G188" s="2">
        <v>1900000</v>
      </c>
      <c r="H188" s="2">
        <v>261000</v>
      </c>
    </row>
    <row r="189" spans="1:8" x14ac:dyDescent="0.2">
      <c r="A189" s="72">
        <v>19937</v>
      </c>
      <c r="B189" s="73">
        <v>58.7</v>
      </c>
      <c r="C189" s="2">
        <v>48826</v>
      </c>
      <c r="D189" s="73">
        <v>6</v>
      </c>
      <c r="F189" s="72">
        <v>25788</v>
      </c>
      <c r="G189" s="2">
        <v>1890000</v>
      </c>
      <c r="H189" s="2">
        <v>266000</v>
      </c>
    </row>
    <row r="190" spans="1:8" x14ac:dyDescent="0.2">
      <c r="A190" s="72">
        <v>19968</v>
      </c>
      <c r="B190" s="73">
        <v>59.2</v>
      </c>
      <c r="C190" s="2">
        <v>48886</v>
      </c>
      <c r="D190" s="73">
        <v>6.1</v>
      </c>
      <c r="F190" s="72">
        <v>25795</v>
      </c>
      <c r="G190" s="2">
        <v>1933000</v>
      </c>
      <c r="H190" s="2">
        <v>300000</v>
      </c>
    </row>
    <row r="191" spans="1:8" x14ac:dyDescent="0.2">
      <c r="A191" s="72">
        <v>19998</v>
      </c>
      <c r="B191" s="73">
        <v>58.8</v>
      </c>
      <c r="C191" s="2">
        <v>48942</v>
      </c>
      <c r="D191" s="73">
        <v>5.7</v>
      </c>
      <c r="F191" s="72">
        <v>25802</v>
      </c>
      <c r="G191" s="2">
        <v>1970000</v>
      </c>
      <c r="H191" s="2">
        <v>303000</v>
      </c>
    </row>
    <row r="192" spans="1:8" x14ac:dyDescent="0.2">
      <c r="A192" s="72">
        <v>20029</v>
      </c>
      <c r="B192" s="73">
        <v>58.6</v>
      </c>
      <c r="C192" s="2">
        <v>49180</v>
      </c>
      <c r="D192" s="73">
        <v>5.3</v>
      </c>
      <c r="F192" s="72">
        <v>25809</v>
      </c>
      <c r="G192" s="2">
        <v>2005000</v>
      </c>
      <c r="H192" s="2">
        <v>297000</v>
      </c>
    </row>
    <row r="193" spans="1:8" x14ac:dyDescent="0.2">
      <c r="A193" s="72">
        <v>20059</v>
      </c>
      <c r="B193" s="73">
        <v>58.1</v>
      </c>
      <c r="C193" s="2">
        <v>49331</v>
      </c>
      <c r="D193" s="73">
        <v>5</v>
      </c>
      <c r="F193" s="72">
        <v>25816</v>
      </c>
      <c r="G193" s="2">
        <v>1996000</v>
      </c>
      <c r="H193" s="2">
        <v>324000</v>
      </c>
    </row>
    <row r="194" spans="1:8" x14ac:dyDescent="0.2">
      <c r="A194" s="72">
        <v>20090</v>
      </c>
      <c r="B194" s="73">
        <v>58.6</v>
      </c>
      <c r="C194" s="2">
        <v>49496</v>
      </c>
      <c r="D194" s="73">
        <v>4.9000000000000004</v>
      </c>
      <c r="F194" s="72">
        <v>25823</v>
      </c>
      <c r="G194" s="2">
        <v>2068000</v>
      </c>
      <c r="H194" s="2">
        <v>292000</v>
      </c>
    </row>
    <row r="195" spans="1:8" x14ac:dyDescent="0.2">
      <c r="A195" s="72">
        <v>20121</v>
      </c>
      <c r="B195" s="73">
        <v>58.4</v>
      </c>
      <c r="C195" s="2">
        <v>49644</v>
      </c>
      <c r="D195" s="73">
        <v>4.7</v>
      </c>
      <c r="F195" s="72">
        <v>25830</v>
      </c>
      <c r="G195" s="2">
        <v>2069000</v>
      </c>
      <c r="H195" s="2">
        <v>325000</v>
      </c>
    </row>
    <row r="196" spans="1:8" x14ac:dyDescent="0.2">
      <c r="A196" s="72">
        <v>20149</v>
      </c>
      <c r="B196" s="73">
        <v>58.5</v>
      </c>
      <c r="C196" s="2">
        <v>49962</v>
      </c>
      <c r="D196" s="73">
        <v>4.5999999999999996</v>
      </c>
      <c r="F196" s="72">
        <v>25837</v>
      </c>
      <c r="G196" s="2">
        <v>2092000</v>
      </c>
      <c r="H196" s="2">
        <v>333000</v>
      </c>
    </row>
    <row r="197" spans="1:8" x14ac:dyDescent="0.2">
      <c r="A197" s="72">
        <v>20180</v>
      </c>
      <c r="B197" s="73">
        <v>59</v>
      </c>
      <c r="C197" s="2">
        <v>50248</v>
      </c>
      <c r="D197" s="73">
        <v>4.7</v>
      </c>
      <c r="F197" s="72">
        <v>25844</v>
      </c>
      <c r="G197" s="2">
        <v>2164000</v>
      </c>
      <c r="H197" s="2">
        <v>350000</v>
      </c>
    </row>
    <row r="198" spans="1:8" x14ac:dyDescent="0.2">
      <c r="A198" s="72">
        <v>20210</v>
      </c>
      <c r="B198" s="73">
        <v>58.8</v>
      </c>
      <c r="C198" s="2">
        <v>50512</v>
      </c>
      <c r="D198" s="73">
        <v>4.3</v>
      </c>
      <c r="F198" s="72">
        <v>25851</v>
      </c>
      <c r="G198" s="2">
        <v>2207000</v>
      </c>
      <c r="H198" s="2">
        <v>327000</v>
      </c>
    </row>
    <row r="199" spans="1:8" x14ac:dyDescent="0.2">
      <c r="A199" s="72">
        <v>20241</v>
      </c>
      <c r="B199" s="73">
        <v>58.8</v>
      </c>
      <c r="C199" s="2">
        <v>50790</v>
      </c>
      <c r="D199" s="73">
        <v>4.2</v>
      </c>
      <c r="F199" s="72">
        <v>25858</v>
      </c>
      <c r="G199" s="2">
        <v>2210000</v>
      </c>
      <c r="H199" s="2">
        <v>334000</v>
      </c>
    </row>
    <row r="200" spans="1:8" x14ac:dyDescent="0.2">
      <c r="A200" s="72">
        <v>20271</v>
      </c>
      <c r="B200" s="73">
        <v>59.3</v>
      </c>
      <c r="C200" s="2">
        <v>50987</v>
      </c>
      <c r="D200" s="73">
        <v>4</v>
      </c>
      <c r="F200" s="72">
        <v>25865</v>
      </c>
      <c r="G200" s="2">
        <v>2257000</v>
      </c>
      <c r="H200" s="2">
        <v>330000</v>
      </c>
    </row>
    <row r="201" spans="1:8" x14ac:dyDescent="0.2">
      <c r="A201" s="72">
        <v>20302</v>
      </c>
      <c r="B201" s="73">
        <v>59.7</v>
      </c>
      <c r="C201" s="2">
        <v>51111</v>
      </c>
      <c r="D201" s="73">
        <v>4.2</v>
      </c>
      <c r="F201" s="72">
        <v>25872</v>
      </c>
      <c r="G201" s="2">
        <v>2233000</v>
      </c>
      <c r="H201" s="2">
        <v>327000</v>
      </c>
    </row>
    <row r="202" spans="1:8" x14ac:dyDescent="0.2">
      <c r="A202" s="72">
        <v>20333</v>
      </c>
      <c r="B202" s="73">
        <v>59.7</v>
      </c>
      <c r="C202" s="2">
        <v>51266</v>
      </c>
      <c r="D202" s="73">
        <v>4.0999999999999996</v>
      </c>
      <c r="F202" s="72">
        <v>25879</v>
      </c>
      <c r="G202" s="2">
        <v>2279000</v>
      </c>
      <c r="H202" s="2">
        <v>336000</v>
      </c>
    </row>
    <row r="203" spans="1:8" x14ac:dyDescent="0.2">
      <c r="A203" s="72">
        <v>20363</v>
      </c>
      <c r="B203" s="73">
        <v>59.8</v>
      </c>
      <c r="C203" s="2">
        <v>51429</v>
      </c>
      <c r="D203" s="73">
        <v>4.3</v>
      </c>
      <c r="F203" s="72">
        <v>25886</v>
      </c>
      <c r="G203" s="2">
        <v>2343000</v>
      </c>
      <c r="H203" s="2">
        <v>314000</v>
      </c>
    </row>
    <row r="204" spans="1:8" x14ac:dyDescent="0.2">
      <c r="A204" s="72">
        <v>20394</v>
      </c>
      <c r="B204" s="73">
        <v>59.9</v>
      </c>
      <c r="C204" s="2">
        <v>51592</v>
      </c>
      <c r="D204" s="73">
        <v>4.2</v>
      </c>
      <c r="F204" s="72">
        <v>25893</v>
      </c>
      <c r="G204" s="2">
        <v>2285000</v>
      </c>
      <c r="H204" s="2">
        <v>314000</v>
      </c>
    </row>
    <row r="205" spans="1:8" x14ac:dyDescent="0.2">
      <c r="A205" s="72">
        <v>20424</v>
      </c>
      <c r="B205" s="73">
        <v>60.2</v>
      </c>
      <c r="C205" s="2">
        <v>51805</v>
      </c>
      <c r="D205" s="73">
        <v>4.2</v>
      </c>
      <c r="F205" s="72">
        <v>25900</v>
      </c>
      <c r="G205" s="2">
        <v>2292000</v>
      </c>
      <c r="H205" s="2">
        <v>337000</v>
      </c>
    </row>
    <row r="206" spans="1:8" x14ac:dyDescent="0.2">
      <c r="A206" s="72">
        <v>20455</v>
      </c>
      <c r="B206" s="73">
        <v>60.2</v>
      </c>
      <c r="C206" s="2">
        <v>51975</v>
      </c>
      <c r="D206" s="73">
        <v>4</v>
      </c>
      <c r="F206" s="72">
        <v>25907</v>
      </c>
      <c r="G206" s="2">
        <v>2276000</v>
      </c>
      <c r="H206" s="2">
        <v>308000</v>
      </c>
    </row>
    <row r="207" spans="1:8" x14ac:dyDescent="0.2">
      <c r="A207" s="72">
        <v>20486</v>
      </c>
      <c r="B207" s="73">
        <v>59.9</v>
      </c>
      <c r="C207" s="2">
        <v>52167</v>
      </c>
      <c r="D207" s="73">
        <v>3.9</v>
      </c>
      <c r="F207" s="72">
        <v>25914</v>
      </c>
      <c r="G207" s="2">
        <v>2193000</v>
      </c>
      <c r="H207" s="2">
        <v>306000</v>
      </c>
    </row>
    <row r="208" spans="1:8" x14ac:dyDescent="0.2">
      <c r="A208" s="72">
        <v>20515</v>
      </c>
      <c r="B208" s="73">
        <v>59.8</v>
      </c>
      <c r="C208" s="2">
        <v>52294</v>
      </c>
      <c r="D208" s="73">
        <v>4.2</v>
      </c>
      <c r="F208" s="72">
        <v>25921</v>
      </c>
      <c r="G208" s="2">
        <v>2224000</v>
      </c>
      <c r="H208" s="2">
        <v>289000</v>
      </c>
    </row>
    <row r="209" spans="1:8" x14ac:dyDescent="0.2">
      <c r="A209" s="72">
        <v>20546</v>
      </c>
      <c r="B209" s="73">
        <v>59.9</v>
      </c>
      <c r="C209" s="2">
        <v>52375</v>
      </c>
      <c r="D209" s="73">
        <v>4</v>
      </c>
      <c r="F209" s="72">
        <v>25928</v>
      </c>
      <c r="G209" s="2">
        <v>2147000</v>
      </c>
      <c r="H209" s="2">
        <v>321000</v>
      </c>
    </row>
    <row r="210" spans="1:8" x14ac:dyDescent="0.2">
      <c r="A210" s="72">
        <v>20576</v>
      </c>
      <c r="B210" s="73">
        <v>60.2</v>
      </c>
      <c r="C210" s="2">
        <v>52506</v>
      </c>
      <c r="D210" s="73">
        <v>4.3</v>
      </c>
      <c r="F210" s="72">
        <v>25935</v>
      </c>
      <c r="G210" s="2">
        <v>2102000</v>
      </c>
      <c r="H210" s="2">
        <v>303000</v>
      </c>
    </row>
    <row r="211" spans="1:8" x14ac:dyDescent="0.2">
      <c r="A211" s="72">
        <v>20607</v>
      </c>
      <c r="B211" s="73">
        <v>60.1</v>
      </c>
      <c r="C211" s="2">
        <v>52586</v>
      </c>
      <c r="D211" s="73">
        <v>4.3</v>
      </c>
      <c r="F211" s="72">
        <v>25942</v>
      </c>
      <c r="G211" s="2">
        <v>2124000</v>
      </c>
      <c r="H211" s="2">
        <v>288000</v>
      </c>
    </row>
    <row r="212" spans="1:8" x14ac:dyDescent="0.2">
      <c r="A212" s="72">
        <v>20637</v>
      </c>
      <c r="B212" s="73">
        <v>60.1</v>
      </c>
      <c r="C212" s="2">
        <v>51955</v>
      </c>
      <c r="D212" s="73">
        <v>4.4000000000000004</v>
      </c>
      <c r="F212" s="72">
        <v>25949</v>
      </c>
      <c r="G212" s="2">
        <v>2100000</v>
      </c>
      <c r="H212" s="2">
        <v>299000</v>
      </c>
    </row>
    <row r="213" spans="1:8" x14ac:dyDescent="0.2">
      <c r="A213" s="72">
        <v>20668</v>
      </c>
      <c r="B213" s="73">
        <v>60</v>
      </c>
      <c r="C213" s="2">
        <v>52631</v>
      </c>
      <c r="D213" s="73">
        <v>4.0999999999999996</v>
      </c>
      <c r="F213" s="72">
        <v>25956</v>
      </c>
      <c r="G213" s="2">
        <v>2091000</v>
      </c>
      <c r="H213" s="2">
        <v>312000</v>
      </c>
    </row>
    <row r="214" spans="1:8" x14ac:dyDescent="0.2">
      <c r="A214" s="72">
        <v>20699</v>
      </c>
      <c r="B214" s="73">
        <v>60</v>
      </c>
      <c r="C214" s="2">
        <v>52604</v>
      </c>
      <c r="D214" s="73">
        <v>3.9</v>
      </c>
      <c r="F214" s="72">
        <v>25963</v>
      </c>
      <c r="G214" s="2">
        <v>2086000</v>
      </c>
      <c r="H214" s="2">
        <v>292000</v>
      </c>
    </row>
    <row r="215" spans="1:8" x14ac:dyDescent="0.2">
      <c r="A215" s="72">
        <v>20729</v>
      </c>
      <c r="B215" s="73">
        <v>59.8</v>
      </c>
      <c r="C215" s="2">
        <v>52777</v>
      </c>
      <c r="D215" s="73">
        <v>3.9</v>
      </c>
      <c r="F215" s="72">
        <v>25970</v>
      </c>
      <c r="G215" s="2">
        <v>2120000</v>
      </c>
      <c r="H215" s="2">
        <v>296000</v>
      </c>
    </row>
    <row r="216" spans="1:8" x14ac:dyDescent="0.2">
      <c r="A216" s="72">
        <v>20760</v>
      </c>
      <c r="B216" s="73">
        <v>59.8</v>
      </c>
      <c r="C216" s="2">
        <v>52821</v>
      </c>
      <c r="D216" s="73">
        <v>4.3</v>
      </c>
      <c r="F216" s="72">
        <v>25977</v>
      </c>
      <c r="G216" s="2">
        <v>2079000</v>
      </c>
      <c r="H216" s="2">
        <v>282000</v>
      </c>
    </row>
    <row r="217" spans="1:8" x14ac:dyDescent="0.2">
      <c r="A217" s="72">
        <v>20790</v>
      </c>
      <c r="B217" s="73">
        <v>59.8</v>
      </c>
      <c r="C217" s="2">
        <v>52929</v>
      </c>
      <c r="D217" s="73">
        <v>4.2</v>
      </c>
      <c r="F217" s="72">
        <v>25984</v>
      </c>
      <c r="G217" s="2">
        <v>2120000</v>
      </c>
      <c r="H217" s="2">
        <v>268000</v>
      </c>
    </row>
    <row r="218" spans="1:8" x14ac:dyDescent="0.2">
      <c r="A218" s="72">
        <v>20821</v>
      </c>
      <c r="B218" s="73">
        <v>59.5</v>
      </c>
      <c r="C218" s="2">
        <v>52887</v>
      </c>
      <c r="D218" s="73">
        <v>4.2</v>
      </c>
      <c r="F218" s="72">
        <v>25991</v>
      </c>
      <c r="G218" s="2">
        <v>2081000</v>
      </c>
      <c r="H218" s="2">
        <v>290000</v>
      </c>
    </row>
    <row r="219" spans="1:8" x14ac:dyDescent="0.2">
      <c r="A219" s="72">
        <v>20852</v>
      </c>
      <c r="B219" s="73">
        <v>59.9</v>
      </c>
      <c r="C219" s="2">
        <v>53097</v>
      </c>
      <c r="D219" s="73">
        <v>3.9</v>
      </c>
      <c r="F219" s="72">
        <v>25998</v>
      </c>
      <c r="G219" s="2">
        <v>2132000</v>
      </c>
      <c r="H219" s="2">
        <v>297000</v>
      </c>
    </row>
    <row r="220" spans="1:8" x14ac:dyDescent="0.2">
      <c r="A220" s="72">
        <v>20880</v>
      </c>
      <c r="B220" s="73">
        <v>59.8</v>
      </c>
      <c r="C220" s="2">
        <v>53156</v>
      </c>
      <c r="D220" s="73">
        <v>3.7</v>
      </c>
      <c r="F220" s="72">
        <v>26005</v>
      </c>
      <c r="G220" s="2">
        <v>2126000</v>
      </c>
      <c r="H220" s="2">
        <v>287000</v>
      </c>
    </row>
    <row r="221" spans="1:8" x14ac:dyDescent="0.2">
      <c r="A221" s="72">
        <v>20911</v>
      </c>
      <c r="B221" s="73">
        <v>59.5</v>
      </c>
      <c r="C221" s="2">
        <v>53238</v>
      </c>
      <c r="D221" s="73">
        <v>3.9</v>
      </c>
      <c r="F221" s="72">
        <v>26012</v>
      </c>
      <c r="G221" s="2">
        <v>2140000</v>
      </c>
      <c r="H221" s="2">
        <v>291000</v>
      </c>
    </row>
    <row r="222" spans="1:8" x14ac:dyDescent="0.2">
      <c r="A222" s="72">
        <v>20941</v>
      </c>
      <c r="B222" s="73">
        <v>59.5</v>
      </c>
      <c r="C222" s="2">
        <v>53150</v>
      </c>
      <c r="D222" s="73">
        <v>4.0999999999999996</v>
      </c>
      <c r="F222" s="72">
        <v>26019</v>
      </c>
      <c r="G222" s="2">
        <v>2157000</v>
      </c>
      <c r="H222" s="2">
        <v>300000</v>
      </c>
    </row>
    <row r="223" spans="1:8" x14ac:dyDescent="0.2">
      <c r="A223" s="72">
        <v>20972</v>
      </c>
      <c r="B223" s="73">
        <v>59.8</v>
      </c>
      <c r="C223" s="2">
        <v>53067</v>
      </c>
      <c r="D223" s="73">
        <v>4.3</v>
      </c>
      <c r="F223" s="72">
        <v>26026</v>
      </c>
      <c r="G223" s="2">
        <v>2135000</v>
      </c>
      <c r="H223" s="2">
        <v>299000</v>
      </c>
    </row>
    <row r="224" spans="1:8" x14ac:dyDescent="0.2">
      <c r="A224" s="72">
        <v>21002</v>
      </c>
      <c r="B224" s="73">
        <v>60</v>
      </c>
      <c r="C224" s="2">
        <v>53123</v>
      </c>
      <c r="D224" s="73">
        <v>4.2</v>
      </c>
      <c r="F224" s="72">
        <v>26033</v>
      </c>
      <c r="G224" s="2">
        <v>2156000</v>
      </c>
      <c r="H224" s="2">
        <v>279000</v>
      </c>
    </row>
    <row r="225" spans="1:8" x14ac:dyDescent="0.2">
      <c r="A225" s="72">
        <v>21033</v>
      </c>
      <c r="B225" s="73">
        <v>59.3</v>
      </c>
      <c r="C225" s="2">
        <v>53128</v>
      </c>
      <c r="D225" s="73">
        <v>4.0999999999999996</v>
      </c>
      <c r="F225" s="72">
        <v>26040</v>
      </c>
      <c r="G225" s="2">
        <v>2163000</v>
      </c>
      <c r="H225" s="2">
        <v>284000</v>
      </c>
    </row>
    <row r="226" spans="1:8" x14ac:dyDescent="0.2">
      <c r="A226" s="72">
        <v>21064</v>
      </c>
      <c r="B226" s="73">
        <v>59.6</v>
      </c>
      <c r="C226" s="2">
        <v>52934</v>
      </c>
      <c r="D226" s="73">
        <v>4.4000000000000004</v>
      </c>
      <c r="F226" s="72">
        <v>26047</v>
      </c>
      <c r="G226" s="2">
        <v>2127000</v>
      </c>
      <c r="H226" s="2">
        <v>288000</v>
      </c>
    </row>
    <row r="227" spans="1:8" x14ac:dyDescent="0.2">
      <c r="A227" s="72">
        <v>21094</v>
      </c>
      <c r="B227" s="73">
        <v>59.5</v>
      </c>
      <c r="C227" s="2">
        <v>52763</v>
      </c>
      <c r="D227" s="73">
        <v>4.5</v>
      </c>
      <c r="F227" s="72">
        <v>26054</v>
      </c>
      <c r="G227" s="2">
        <v>2157000</v>
      </c>
      <c r="H227" s="2">
        <v>290000</v>
      </c>
    </row>
    <row r="228" spans="1:8" x14ac:dyDescent="0.2">
      <c r="A228" s="72">
        <v>21125</v>
      </c>
      <c r="B228" s="73">
        <v>59.5</v>
      </c>
      <c r="C228" s="2">
        <v>52558</v>
      </c>
      <c r="D228" s="73">
        <v>5.0999999999999996</v>
      </c>
      <c r="F228" s="72">
        <v>26061</v>
      </c>
      <c r="G228" s="2">
        <v>2179000</v>
      </c>
      <c r="H228" s="2">
        <v>293000</v>
      </c>
    </row>
    <row r="229" spans="1:8" x14ac:dyDescent="0.2">
      <c r="A229" s="72">
        <v>21155</v>
      </c>
      <c r="B229" s="73">
        <v>59.6</v>
      </c>
      <c r="C229" s="2">
        <v>52384</v>
      </c>
      <c r="D229" s="73">
        <v>5.2</v>
      </c>
      <c r="F229" s="72">
        <v>26068</v>
      </c>
      <c r="G229" s="2">
        <v>2179000</v>
      </c>
      <c r="H229" s="2">
        <v>284000</v>
      </c>
    </row>
    <row r="230" spans="1:8" x14ac:dyDescent="0.2">
      <c r="A230" s="72">
        <v>21186</v>
      </c>
      <c r="B230" s="73">
        <v>59.3</v>
      </c>
      <c r="C230" s="2">
        <v>52076</v>
      </c>
      <c r="D230" s="73">
        <v>5.8</v>
      </c>
      <c r="F230" s="72">
        <v>26075</v>
      </c>
      <c r="G230" s="2">
        <v>2167000</v>
      </c>
      <c r="H230" s="2">
        <v>295000</v>
      </c>
    </row>
    <row r="231" spans="1:8" x14ac:dyDescent="0.2">
      <c r="A231" s="72">
        <v>21217</v>
      </c>
      <c r="B231" s="73">
        <v>59.3</v>
      </c>
      <c r="C231" s="2">
        <v>51576</v>
      </c>
      <c r="D231" s="73">
        <v>6.4</v>
      </c>
      <c r="F231" s="72">
        <v>26082</v>
      </c>
      <c r="G231" s="2">
        <v>2171000</v>
      </c>
      <c r="H231" s="2">
        <v>299000</v>
      </c>
    </row>
    <row r="232" spans="1:8" x14ac:dyDescent="0.2">
      <c r="A232" s="72">
        <v>21245</v>
      </c>
      <c r="B232" s="73">
        <v>59.3</v>
      </c>
      <c r="C232" s="2">
        <v>51299</v>
      </c>
      <c r="D232" s="73">
        <v>6.7</v>
      </c>
      <c r="F232" s="72">
        <v>26089</v>
      </c>
      <c r="G232" s="2">
        <v>2194000</v>
      </c>
      <c r="H232" s="2">
        <v>301000</v>
      </c>
    </row>
    <row r="233" spans="1:8" x14ac:dyDescent="0.2">
      <c r="A233" s="72">
        <v>21276</v>
      </c>
      <c r="B233" s="73">
        <v>59.6</v>
      </c>
      <c r="C233" s="2">
        <v>51027</v>
      </c>
      <c r="D233" s="73">
        <v>7.4</v>
      </c>
      <c r="F233" s="72">
        <v>26096</v>
      </c>
      <c r="G233" s="2">
        <v>2199000</v>
      </c>
      <c r="H233" s="2">
        <v>295000</v>
      </c>
    </row>
    <row r="234" spans="1:8" x14ac:dyDescent="0.2">
      <c r="A234" s="72">
        <v>21306</v>
      </c>
      <c r="B234" s="73">
        <v>59.8</v>
      </c>
      <c r="C234" s="2">
        <v>50914</v>
      </c>
      <c r="D234" s="73">
        <v>7.4</v>
      </c>
      <c r="F234" s="72">
        <v>26103</v>
      </c>
      <c r="G234" s="2">
        <v>2182000</v>
      </c>
      <c r="H234" s="2">
        <v>299000</v>
      </c>
    </row>
    <row r="235" spans="1:8" x14ac:dyDescent="0.2">
      <c r="A235" s="72">
        <v>21337</v>
      </c>
      <c r="B235" s="73">
        <v>59.5</v>
      </c>
      <c r="C235" s="2">
        <v>50914</v>
      </c>
      <c r="D235" s="73">
        <v>7.3</v>
      </c>
      <c r="F235" s="72">
        <v>26110</v>
      </c>
      <c r="G235" s="2">
        <v>2172000</v>
      </c>
      <c r="H235" s="2">
        <v>291000</v>
      </c>
    </row>
    <row r="236" spans="1:8" x14ac:dyDescent="0.2">
      <c r="A236" s="72">
        <v>21367</v>
      </c>
      <c r="B236" s="73">
        <v>59.6</v>
      </c>
      <c r="C236" s="2">
        <v>51039</v>
      </c>
      <c r="D236" s="73">
        <v>7.5</v>
      </c>
      <c r="F236" s="72">
        <v>26117</v>
      </c>
      <c r="G236" s="2">
        <v>2116000</v>
      </c>
      <c r="H236" s="2">
        <v>277000</v>
      </c>
    </row>
    <row r="237" spans="1:8" x14ac:dyDescent="0.2">
      <c r="A237" s="72">
        <v>21398</v>
      </c>
      <c r="B237" s="73">
        <v>59.8</v>
      </c>
      <c r="C237" s="2">
        <v>51233</v>
      </c>
      <c r="D237" s="73">
        <v>7.4</v>
      </c>
      <c r="F237" s="72">
        <v>26124</v>
      </c>
      <c r="G237" s="2">
        <v>2130000</v>
      </c>
      <c r="H237" s="2">
        <v>264000</v>
      </c>
    </row>
    <row r="238" spans="1:8" x14ac:dyDescent="0.2">
      <c r="A238" s="72">
        <v>21429</v>
      </c>
      <c r="B238" s="73">
        <v>59.7</v>
      </c>
      <c r="C238" s="2">
        <v>51506</v>
      </c>
      <c r="D238" s="73">
        <v>7.1</v>
      </c>
      <c r="F238" s="72">
        <v>26131</v>
      </c>
      <c r="G238" s="2">
        <v>2087000</v>
      </c>
      <c r="H238" s="2">
        <v>313000</v>
      </c>
    </row>
    <row r="239" spans="1:8" x14ac:dyDescent="0.2">
      <c r="A239" s="72">
        <v>21459</v>
      </c>
      <c r="B239" s="73">
        <v>59.6</v>
      </c>
      <c r="C239" s="2">
        <v>51485</v>
      </c>
      <c r="D239" s="73">
        <v>6.7</v>
      </c>
      <c r="F239" s="72">
        <v>26138</v>
      </c>
      <c r="G239" s="2">
        <v>2129000</v>
      </c>
      <c r="H239" s="2">
        <v>304000</v>
      </c>
    </row>
    <row r="240" spans="1:8" x14ac:dyDescent="0.2">
      <c r="A240" s="72">
        <v>21490</v>
      </c>
      <c r="B240" s="73">
        <v>59.2</v>
      </c>
      <c r="C240" s="2">
        <v>51944</v>
      </c>
      <c r="D240" s="73">
        <v>6.2</v>
      </c>
      <c r="F240" s="72">
        <v>26145</v>
      </c>
      <c r="G240" s="2">
        <v>2150000</v>
      </c>
      <c r="H240" s="2">
        <v>308000</v>
      </c>
    </row>
    <row r="241" spans="1:8" x14ac:dyDescent="0.2">
      <c r="A241" s="72">
        <v>21520</v>
      </c>
      <c r="B241" s="73">
        <v>59.2</v>
      </c>
      <c r="C241" s="2">
        <v>52085</v>
      </c>
      <c r="D241" s="73">
        <v>6.2</v>
      </c>
      <c r="F241" s="72">
        <v>26152</v>
      </c>
      <c r="G241" s="2">
        <v>2174000</v>
      </c>
      <c r="H241" s="2">
        <v>349000</v>
      </c>
    </row>
    <row r="242" spans="1:8" x14ac:dyDescent="0.2">
      <c r="A242" s="72">
        <v>21551</v>
      </c>
      <c r="B242" s="73">
        <v>59.3</v>
      </c>
      <c r="C242" s="2">
        <v>52478</v>
      </c>
      <c r="D242" s="73">
        <v>6</v>
      </c>
      <c r="F242" s="72">
        <v>26159</v>
      </c>
      <c r="G242" s="2">
        <v>2202000</v>
      </c>
      <c r="H242" s="2">
        <v>325000</v>
      </c>
    </row>
    <row r="243" spans="1:8" x14ac:dyDescent="0.2">
      <c r="A243" s="72">
        <v>21582</v>
      </c>
      <c r="B243" s="73">
        <v>59</v>
      </c>
      <c r="C243" s="2">
        <v>52688</v>
      </c>
      <c r="D243" s="73">
        <v>5.9</v>
      </c>
      <c r="F243" s="72">
        <v>26166</v>
      </c>
      <c r="G243" s="2">
        <v>2186000</v>
      </c>
      <c r="H243" s="2">
        <v>320000</v>
      </c>
    </row>
    <row r="244" spans="1:8" x14ac:dyDescent="0.2">
      <c r="A244" s="72">
        <v>21610</v>
      </c>
      <c r="B244" s="73">
        <v>59.3</v>
      </c>
      <c r="C244" s="2">
        <v>53014</v>
      </c>
      <c r="D244" s="73">
        <v>5.6</v>
      </c>
      <c r="F244" s="72">
        <v>26173</v>
      </c>
      <c r="G244" s="2">
        <v>2188000</v>
      </c>
      <c r="H244" s="2">
        <v>307000</v>
      </c>
    </row>
    <row r="245" spans="1:8" x14ac:dyDescent="0.2">
      <c r="A245" s="72">
        <v>21641</v>
      </c>
      <c r="B245" s="73">
        <v>59.4</v>
      </c>
      <c r="C245" s="2">
        <v>53321</v>
      </c>
      <c r="D245" s="73">
        <v>5.2</v>
      </c>
      <c r="F245" s="72">
        <v>26180</v>
      </c>
      <c r="G245" s="2">
        <v>2228000</v>
      </c>
      <c r="H245" s="2">
        <v>359000</v>
      </c>
    </row>
    <row r="246" spans="1:8" x14ac:dyDescent="0.2">
      <c r="A246" s="72">
        <v>21671</v>
      </c>
      <c r="B246" s="73">
        <v>59.2</v>
      </c>
      <c r="C246" s="2">
        <v>53550</v>
      </c>
      <c r="D246" s="73">
        <v>5.0999999999999996</v>
      </c>
      <c r="F246" s="72">
        <v>26187</v>
      </c>
      <c r="G246" s="2">
        <v>2250000</v>
      </c>
      <c r="H246" s="2">
        <v>312000</v>
      </c>
    </row>
    <row r="247" spans="1:8" x14ac:dyDescent="0.2">
      <c r="A247" s="72">
        <v>21702</v>
      </c>
      <c r="B247" s="73">
        <v>59.2</v>
      </c>
      <c r="C247" s="2">
        <v>53681</v>
      </c>
      <c r="D247" s="73">
        <v>5</v>
      </c>
      <c r="F247" s="72">
        <v>26194</v>
      </c>
      <c r="G247" s="2">
        <v>2246000</v>
      </c>
      <c r="H247" s="2">
        <v>302000</v>
      </c>
    </row>
    <row r="248" spans="1:8" x14ac:dyDescent="0.2">
      <c r="A248" s="72">
        <v>21732</v>
      </c>
      <c r="B248" s="73">
        <v>59.4</v>
      </c>
      <c r="C248" s="2">
        <v>53804</v>
      </c>
      <c r="D248" s="73">
        <v>5.0999999999999996</v>
      </c>
      <c r="F248" s="72">
        <v>26201</v>
      </c>
      <c r="G248" s="2">
        <v>2233000</v>
      </c>
      <c r="H248" s="2">
        <v>308000</v>
      </c>
    </row>
    <row r="249" spans="1:8" x14ac:dyDescent="0.2">
      <c r="A249" s="72">
        <v>21763</v>
      </c>
      <c r="B249" s="73">
        <v>59.2</v>
      </c>
      <c r="C249" s="2">
        <v>53336</v>
      </c>
      <c r="D249" s="73">
        <v>5.2</v>
      </c>
      <c r="F249" s="72">
        <v>26208</v>
      </c>
      <c r="G249" s="2">
        <v>2216000</v>
      </c>
      <c r="H249" s="2">
        <v>299000</v>
      </c>
    </row>
    <row r="250" spans="1:8" x14ac:dyDescent="0.2">
      <c r="A250" s="72">
        <v>21794</v>
      </c>
      <c r="B250" s="73">
        <v>59.3</v>
      </c>
      <c r="C250" s="2">
        <v>53428</v>
      </c>
      <c r="D250" s="73">
        <v>5.5</v>
      </c>
      <c r="F250" s="72">
        <v>26215</v>
      </c>
      <c r="G250" s="2">
        <v>2247000</v>
      </c>
      <c r="H250" s="2">
        <v>313000</v>
      </c>
    </row>
    <row r="251" spans="1:8" x14ac:dyDescent="0.2">
      <c r="A251" s="72">
        <v>21824</v>
      </c>
      <c r="B251" s="73">
        <v>59.4</v>
      </c>
      <c r="C251" s="2">
        <v>53358</v>
      </c>
      <c r="D251" s="73">
        <v>5.7</v>
      </c>
      <c r="F251" s="72">
        <v>26222</v>
      </c>
      <c r="G251" s="2">
        <v>2190000</v>
      </c>
      <c r="H251" s="2">
        <v>299000</v>
      </c>
    </row>
    <row r="252" spans="1:8" x14ac:dyDescent="0.2">
      <c r="A252" s="72">
        <v>21855</v>
      </c>
      <c r="B252" s="73">
        <v>59.1</v>
      </c>
      <c r="C252" s="2">
        <v>53634</v>
      </c>
      <c r="D252" s="73">
        <v>5.8</v>
      </c>
      <c r="F252" s="72">
        <v>26229</v>
      </c>
      <c r="G252" s="2">
        <v>2176000</v>
      </c>
      <c r="H252" s="2">
        <v>294000</v>
      </c>
    </row>
    <row r="253" spans="1:8" x14ac:dyDescent="0.2">
      <c r="A253" s="72">
        <v>21885</v>
      </c>
      <c r="B253" s="73">
        <v>59.5</v>
      </c>
      <c r="C253" s="2">
        <v>54174</v>
      </c>
      <c r="D253" s="73">
        <v>5.3</v>
      </c>
      <c r="F253" s="72">
        <v>26236</v>
      </c>
      <c r="G253" s="2">
        <v>2194000</v>
      </c>
      <c r="H253" s="2">
        <v>283000</v>
      </c>
    </row>
    <row r="254" spans="1:8" x14ac:dyDescent="0.2">
      <c r="A254" s="72">
        <v>21916</v>
      </c>
      <c r="B254" s="73">
        <v>59.1</v>
      </c>
      <c r="C254" s="2">
        <v>54274</v>
      </c>
      <c r="D254" s="73">
        <v>5.2</v>
      </c>
      <c r="F254" s="72">
        <v>26243</v>
      </c>
      <c r="G254" s="2">
        <v>2204000</v>
      </c>
      <c r="H254" s="2">
        <v>301000</v>
      </c>
    </row>
    <row r="255" spans="1:8" x14ac:dyDescent="0.2">
      <c r="A255" s="72">
        <v>21947</v>
      </c>
      <c r="B255" s="73">
        <v>59.1</v>
      </c>
      <c r="C255" s="2">
        <v>54513</v>
      </c>
      <c r="D255" s="73">
        <v>4.8</v>
      </c>
      <c r="F255" s="72">
        <v>26250</v>
      </c>
      <c r="G255" s="2">
        <v>2134000</v>
      </c>
      <c r="H255" s="2">
        <v>295000</v>
      </c>
    </row>
    <row r="256" spans="1:8" x14ac:dyDescent="0.2">
      <c r="A256" s="72">
        <v>21976</v>
      </c>
      <c r="B256" s="73">
        <v>58.5</v>
      </c>
      <c r="C256" s="2">
        <v>54454</v>
      </c>
      <c r="D256" s="73">
        <v>5.4</v>
      </c>
      <c r="F256" s="72">
        <v>26257</v>
      </c>
      <c r="G256" s="2">
        <v>2134000</v>
      </c>
      <c r="H256" s="2">
        <v>274000</v>
      </c>
    </row>
    <row r="257" spans="1:8" x14ac:dyDescent="0.2">
      <c r="A257" s="72">
        <v>22007</v>
      </c>
      <c r="B257" s="73">
        <v>59.5</v>
      </c>
      <c r="C257" s="2">
        <v>54813</v>
      </c>
      <c r="D257" s="73">
        <v>5.2</v>
      </c>
      <c r="F257" s="72">
        <v>26264</v>
      </c>
      <c r="G257" s="2">
        <v>2111000</v>
      </c>
      <c r="H257" s="2">
        <v>278000</v>
      </c>
    </row>
    <row r="258" spans="1:8" x14ac:dyDescent="0.2">
      <c r="A258" s="72">
        <v>22037</v>
      </c>
      <c r="B258" s="73">
        <v>59.5</v>
      </c>
      <c r="C258" s="2">
        <v>54475</v>
      </c>
      <c r="D258" s="73">
        <v>5.0999999999999996</v>
      </c>
      <c r="F258" s="72">
        <v>26271</v>
      </c>
      <c r="G258" s="2">
        <v>2117000</v>
      </c>
      <c r="H258" s="2">
        <v>299000</v>
      </c>
    </row>
    <row r="259" spans="1:8" x14ac:dyDescent="0.2">
      <c r="A259" s="72">
        <v>22068</v>
      </c>
      <c r="B259" s="73">
        <v>59.7</v>
      </c>
      <c r="C259" s="2">
        <v>54348</v>
      </c>
      <c r="D259" s="73">
        <v>5.4</v>
      </c>
      <c r="F259" s="72">
        <v>26278</v>
      </c>
      <c r="G259" s="2">
        <v>2085000</v>
      </c>
      <c r="H259" s="2">
        <v>280000</v>
      </c>
    </row>
    <row r="260" spans="1:8" x14ac:dyDescent="0.2">
      <c r="A260" s="72">
        <v>22098</v>
      </c>
      <c r="B260" s="73">
        <v>59.5</v>
      </c>
      <c r="C260" s="2">
        <v>54306</v>
      </c>
      <c r="D260" s="73">
        <v>5.5</v>
      </c>
      <c r="F260" s="72">
        <v>26285</v>
      </c>
      <c r="G260" s="2">
        <v>2109000</v>
      </c>
      <c r="H260" s="2">
        <v>269000</v>
      </c>
    </row>
    <row r="261" spans="1:8" x14ac:dyDescent="0.2">
      <c r="A261" s="72">
        <v>22129</v>
      </c>
      <c r="B261" s="73">
        <v>59.5</v>
      </c>
      <c r="C261" s="2">
        <v>54272</v>
      </c>
      <c r="D261" s="73">
        <v>5.6</v>
      </c>
      <c r="F261" s="72">
        <v>26292</v>
      </c>
      <c r="G261" s="2">
        <v>2037000</v>
      </c>
      <c r="H261" s="2">
        <v>244000</v>
      </c>
    </row>
    <row r="262" spans="1:8" x14ac:dyDescent="0.2">
      <c r="A262" s="72">
        <v>22160</v>
      </c>
      <c r="B262" s="73">
        <v>59.7</v>
      </c>
      <c r="C262" s="2">
        <v>54227</v>
      </c>
      <c r="D262" s="73">
        <v>5.5</v>
      </c>
      <c r="F262" s="72">
        <v>26299</v>
      </c>
      <c r="G262" s="2">
        <v>1934000</v>
      </c>
      <c r="H262" s="2">
        <v>279000</v>
      </c>
    </row>
    <row r="263" spans="1:8" x14ac:dyDescent="0.2">
      <c r="A263" s="72">
        <v>22190</v>
      </c>
      <c r="B263" s="73">
        <v>59.4</v>
      </c>
      <c r="C263" s="2">
        <v>54142</v>
      </c>
      <c r="D263" s="73">
        <v>6.1</v>
      </c>
      <c r="F263" s="72">
        <v>26306</v>
      </c>
      <c r="G263" s="2">
        <v>1931000</v>
      </c>
      <c r="H263" s="2">
        <v>295000</v>
      </c>
    </row>
    <row r="264" spans="1:8" x14ac:dyDescent="0.2">
      <c r="A264" s="72">
        <v>22221</v>
      </c>
      <c r="B264" s="73">
        <v>59.8</v>
      </c>
      <c r="C264" s="2">
        <v>53961</v>
      </c>
      <c r="D264" s="73">
        <v>6.1</v>
      </c>
      <c r="F264" s="72">
        <v>26313</v>
      </c>
      <c r="G264" s="2">
        <v>1923000</v>
      </c>
      <c r="H264" s="2">
        <v>250000</v>
      </c>
    </row>
    <row r="265" spans="1:8" x14ac:dyDescent="0.2">
      <c r="A265" s="72">
        <v>22251</v>
      </c>
      <c r="B265" s="73">
        <v>59.7</v>
      </c>
      <c r="C265" s="2">
        <v>53742</v>
      </c>
      <c r="D265" s="73">
        <v>6.6</v>
      </c>
      <c r="F265" s="72">
        <v>26320</v>
      </c>
      <c r="G265" s="2">
        <v>1907000</v>
      </c>
      <c r="H265" s="2">
        <v>263000</v>
      </c>
    </row>
    <row r="266" spans="1:8" x14ac:dyDescent="0.2">
      <c r="A266" s="72">
        <v>22282</v>
      </c>
      <c r="B266" s="73">
        <v>59.6</v>
      </c>
      <c r="C266" s="2">
        <v>53683</v>
      </c>
      <c r="D266" s="73">
        <v>6.6</v>
      </c>
      <c r="F266" s="72">
        <v>26327</v>
      </c>
      <c r="G266" s="2">
        <v>1921000</v>
      </c>
      <c r="H266" s="2">
        <v>269000</v>
      </c>
    </row>
    <row r="267" spans="1:8" x14ac:dyDescent="0.2">
      <c r="A267" s="72">
        <v>22313</v>
      </c>
      <c r="B267" s="73">
        <v>59.6</v>
      </c>
      <c r="C267" s="2">
        <v>53557</v>
      </c>
      <c r="D267" s="73">
        <v>6.9</v>
      </c>
      <c r="F267" s="72">
        <v>26334</v>
      </c>
      <c r="G267" s="2">
        <v>1941000</v>
      </c>
      <c r="H267" s="2">
        <v>276000</v>
      </c>
    </row>
    <row r="268" spans="1:8" x14ac:dyDescent="0.2">
      <c r="A268" s="72">
        <v>22341</v>
      </c>
      <c r="B268" s="73">
        <v>59.7</v>
      </c>
      <c r="C268" s="2">
        <v>53659</v>
      </c>
      <c r="D268" s="73">
        <v>6.9</v>
      </c>
      <c r="F268" s="72">
        <v>26341</v>
      </c>
      <c r="G268" s="2">
        <v>1960000</v>
      </c>
      <c r="H268" s="2">
        <v>266000</v>
      </c>
    </row>
    <row r="269" spans="1:8" x14ac:dyDescent="0.2">
      <c r="A269" s="72">
        <v>22372</v>
      </c>
      <c r="B269" s="73">
        <v>59.3</v>
      </c>
      <c r="C269" s="2">
        <v>53627</v>
      </c>
      <c r="D269" s="73">
        <v>7</v>
      </c>
      <c r="F269" s="72">
        <v>26348</v>
      </c>
      <c r="G269" s="2">
        <v>1902000</v>
      </c>
      <c r="H269" s="2">
        <v>258000</v>
      </c>
    </row>
    <row r="270" spans="1:8" x14ac:dyDescent="0.2">
      <c r="A270" s="72">
        <v>22402</v>
      </c>
      <c r="B270" s="73">
        <v>59.4</v>
      </c>
      <c r="C270" s="2">
        <v>53786</v>
      </c>
      <c r="D270" s="73">
        <v>7.1</v>
      </c>
      <c r="F270" s="72">
        <v>26355</v>
      </c>
      <c r="G270" s="2">
        <v>1903000</v>
      </c>
      <c r="H270" s="2">
        <v>254000</v>
      </c>
    </row>
    <row r="271" spans="1:8" x14ac:dyDescent="0.2">
      <c r="A271" s="72">
        <v>22433</v>
      </c>
      <c r="B271" s="73">
        <v>59.7</v>
      </c>
      <c r="C271" s="2">
        <v>53977</v>
      </c>
      <c r="D271" s="73">
        <v>6.9</v>
      </c>
      <c r="F271" s="72">
        <v>26362</v>
      </c>
      <c r="G271" s="2">
        <v>1905000</v>
      </c>
      <c r="H271" s="2">
        <v>257000</v>
      </c>
    </row>
    <row r="272" spans="1:8" x14ac:dyDescent="0.2">
      <c r="A272" s="72">
        <v>22463</v>
      </c>
      <c r="B272" s="73">
        <v>59.3</v>
      </c>
      <c r="C272" s="2">
        <v>54123</v>
      </c>
      <c r="D272" s="73">
        <v>7</v>
      </c>
      <c r="F272" s="72">
        <v>26369</v>
      </c>
      <c r="G272" s="2">
        <v>1906000</v>
      </c>
      <c r="H272" s="2">
        <v>264000</v>
      </c>
    </row>
    <row r="273" spans="1:8" x14ac:dyDescent="0.2">
      <c r="A273" s="72">
        <v>22494</v>
      </c>
      <c r="B273" s="73">
        <v>59.3</v>
      </c>
      <c r="C273" s="2">
        <v>54298</v>
      </c>
      <c r="D273" s="73">
        <v>6.6</v>
      </c>
      <c r="F273" s="72">
        <v>26376</v>
      </c>
      <c r="G273" s="2">
        <v>1907000</v>
      </c>
      <c r="H273" s="2">
        <v>266000</v>
      </c>
    </row>
    <row r="274" spans="1:8" x14ac:dyDescent="0.2">
      <c r="A274" s="72">
        <v>22525</v>
      </c>
      <c r="B274" s="73">
        <v>59</v>
      </c>
      <c r="C274" s="2">
        <v>54388</v>
      </c>
      <c r="D274" s="73">
        <v>6.7</v>
      </c>
      <c r="F274" s="72">
        <v>26383</v>
      </c>
      <c r="G274" s="2">
        <v>1877000</v>
      </c>
      <c r="H274" s="2">
        <v>264000</v>
      </c>
    </row>
    <row r="275" spans="1:8" x14ac:dyDescent="0.2">
      <c r="A275" s="72">
        <v>22555</v>
      </c>
      <c r="B275" s="73">
        <v>59.1</v>
      </c>
      <c r="C275" s="2">
        <v>54522</v>
      </c>
      <c r="D275" s="73">
        <v>6.5</v>
      </c>
      <c r="F275" s="72">
        <v>26390</v>
      </c>
      <c r="G275" s="2">
        <v>1913000</v>
      </c>
      <c r="H275" s="2">
        <v>258000</v>
      </c>
    </row>
    <row r="276" spans="1:8" x14ac:dyDescent="0.2">
      <c r="A276" s="72">
        <v>22586</v>
      </c>
      <c r="B276" s="73">
        <v>59.1</v>
      </c>
      <c r="C276" s="2">
        <v>54742</v>
      </c>
      <c r="D276" s="73">
        <v>6.1</v>
      </c>
      <c r="F276" s="72">
        <v>26397</v>
      </c>
      <c r="G276" s="2">
        <v>1910000</v>
      </c>
      <c r="H276" s="2">
        <v>274000</v>
      </c>
    </row>
    <row r="277" spans="1:8" x14ac:dyDescent="0.2">
      <c r="A277" s="72">
        <v>22616</v>
      </c>
      <c r="B277" s="73">
        <v>58.8</v>
      </c>
      <c r="C277" s="2">
        <v>54872</v>
      </c>
      <c r="D277" s="73">
        <v>6</v>
      </c>
      <c r="F277" s="72">
        <v>26404</v>
      </c>
      <c r="G277" s="2">
        <v>1891000</v>
      </c>
      <c r="H277" s="2">
        <v>259000</v>
      </c>
    </row>
    <row r="278" spans="1:8" x14ac:dyDescent="0.2">
      <c r="A278" s="72">
        <v>22647</v>
      </c>
      <c r="B278" s="73">
        <v>58.8</v>
      </c>
      <c r="C278" s="2">
        <v>54891</v>
      </c>
      <c r="D278" s="73">
        <v>5.8</v>
      </c>
      <c r="F278" s="72">
        <v>26411</v>
      </c>
      <c r="G278" s="2">
        <v>1855000</v>
      </c>
      <c r="H278" s="2">
        <v>259000</v>
      </c>
    </row>
    <row r="279" spans="1:8" x14ac:dyDescent="0.2">
      <c r="A279" s="72">
        <v>22678</v>
      </c>
      <c r="B279" s="73">
        <v>59</v>
      </c>
      <c r="C279" s="2">
        <v>55188</v>
      </c>
      <c r="D279" s="73">
        <v>5.5</v>
      </c>
      <c r="F279" s="72">
        <v>26418</v>
      </c>
      <c r="G279" s="2">
        <v>1870000</v>
      </c>
      <c r="H279" s="2">
        <v>265000</v>
      </c>
    </row>
    <row r="280" spans="1:8" x14ac:dyDescent="0.2">
      <c r="A280" s="72">
        <v>22706</v>
      </c>
      <c r="B280" s="73">
        <v>58.9</v>
      </c>
      <c r="C280" s="2">
        <v>55275</v>
      </c>
      <c r="D280" s="73">
        <v>5.6</v>
      </c>
      <c r="F280" s="72">
        <v>26425</v>
      </c>
      <c r="G280" s="2">
        <v>1893000</v>
      </c>
      <c r="H280" s="2">
        <v>271000</v>
      </c>
    </row>
    <row r="281" spans="1:8" x14ac:dyDescent="0.2">
      <c r="A281" s="72">
        <v>22737</v>
      </c>
      <c r="B281" s="73">
        <v>58.7</v>
      </c>
      <c r="C281" s="2">
        <v>55602</v>
      </c>
      <c r="D281" s="73">
        <v>5.6</v>
      </c>
      <c r="F281" s="72">
        <v>26432</v>
      </c>
      <c r="G281" s="2">
        <v>1874000</v>
      </c>
      <c r="H281" s="2">
        <v>266000</v>
      </c>
    </row>
    <row r="282" spans="1:8" x14ac:dyDescent="0.2">
      <c r="A282" s="72">
        <v>22767</v>
      </c>
      <c r="B282" s="73">
        <v>58.9</v>
      </c>
      <c r="C282" s="2">
        <v>55628</v>
      </c>
      <c r="D282" s="73">
        <v>5.5</v>
      </c>
      <c r="F282" s="72">
        <v>26439</v>
      </c>
      <c r="G282" s="2">
        <v>1863000</v>
      </c>
      <c r="H282" s="2">
        <v>267000</v>
      </c>
    </row>
    <row r="283" spans="1:8" x14ac:dyDescent="0.2">
      <c r="A283" s="72">
        <v>22798</v>
      </c>
      <c r="B283" s="73">
        <v>58.8</v>
      </c>
      <c r="C283" s="2">
        <v>55644</v>
      </c>
      <c r="D283" s="73">
        <v>5.5</v>
      </c>
      <c r="F283" s="72">
        <v>26446</v>
      </c>
      <c r="G283" s="2">
        <v>1871000</v>
      </c>
      <c r="H283" s="2">
        <v>267000</v>
      </c>
    </row>
    <row r="284" spans="1:8" x14ac:dyDescent="0.2">
      <c r="A284" s="72">
        <v>22828</v>
      </c>
      <c r="B284" s="73">
        <v>58.5</v>
      </c>
      <c r="C284" s="2">
        <v>55746</v>
      </c>
      <c r="D284" s="73">
        <v>5.4</v>
      </c>
      <c r="F284" s="72">
        <v>26453</v>
      </c>
      <c r="G284" s="2">
        <v>1857000</v>
      </c>
      <c r="H284" s="2">
        <v>264000</v>
      </c>
    </row>
    <row r="285" spans="1:8" x14ac:dyDescent="0.2">
      <c r="A285" s="72">
        <v>22859</v>
      </c>
      <c r="B285" s="73">
        <v>59</v>
      </c>
      <c r="C285" s="2">
        <v>55838</v>
      </c>
      <c r="D285" s="73">
        <v>5.7</v>
      </c>
      <c r="F285" s="72">
        <v>26460</v>
      </c>
      <c r="G285" s="2">
        <v>1870000</v>
      </c>
      <c r="H285" s="2">
        <v>268000</v>
      </c>
    </row>
    <row r="286" spans="1:8" x14ac:dyDescent="0.2">
      <c r="A286" s="72">
        <v>22890</v>
      </c>
      <c r="B286" s="73">
        <v>59</v>
      </c>
      <c r="C286" s="2">
        <v>55978</v>
      </c>
      <c r="D286" s="73">
        <v>5.6</v>
      </c>
      <c r="F286" s="72">
        <v>26467</v>
      </c>
      <c r="G286" s="2">
        <v>1855000</v>
      </c>
      <c r="H286" s="2">
        <v>275000</v>
      </c>
    </row>
    <row r="287" spans="1:8" x14ac:dyDescent="0.2">
      <c r="A287" s="72">
        <v>22920</v>
      </c>
      <c r="B287" s="73">
        <v>58.7</v>
      </c>
      <c r="C287" s="2">
        <v>56041</v>
      </c>
      <c r="D287" s="73">
        <v>5.4</v>
      </c>
      <c r="F287" s="72">
        <v>26474</v>
      </c>
      <c r="G287" s="2">
        <v>1871000</v>
      </c>
      <c r="H287" s="2">
        <v>286000</v>
      </c>
    </row>
    <row r="288" spans="1:8" x14ac:dyDescent="0.2">
      <c r="A288" s="72">
        <v>22951</v>
      </c>
      <c r="B288" s="73">
        <v>58.5</v>
      </c>
      <c r="C288" s="2">
        <v>56056</v>
      </c>
      <c r="D288" s="73">
        <v>5.7</v>
      </c>
      <c r="F288" s="72">
        <v>26481</v>
      </c>
      <c r="G288" s="2">
        <v>1935000</v>
      </c>
      <c r="H288" s="2">
        <v>350000</v>
      </c>
    </row>
    <row r="289" spans="1:8" x14ac:dyDescent="0.2">
      <c r="A289" s="72">
        <v>22981</v>
      </c>
      <c r="B289" s="73">
        <v>58.4</v>
      </c>
      <c r="C289" s="2">
        <v>56028</v>
      </c>
      <c r="D289" s="73">
        <v>5.5</v>
      </c>
      <c r="F289" s="72">
        <v>26488</v>
      </c>
      <c r="G289" s="2">
        <v>1977000</v>
      </c>
      <c r="H289" s="2">
        <v>297000</v>
      </c>
    </row>
    <row r="290" spans="1:8" x14ac:dyDescent="0.2">
      <c r="A290" s="72">
        <v>23012</v>
      </c>
      <c r="B290" s="73">
        <v>58.6</v>
      </c>
      <c r="C290" s="2">
        <v>56115</v>
      </c>
      <c r="D290" s="73">
        <v>5.7</v>
      </c>
      <c r="F290" s="72">
        <v>26495</v>
      </c>
      <c r="G290" s="2">
        <v>1947000</v>
      </c>
      <c r="H290" s="2">
        <v>318000</v>
      </c>
    </row>
    <row r="291" spans="1:8" x14ac:dyDescent="0.2">
      <c r="A291" s="72">
        <v>23043</v>
      </c>
      <c r="B291" s="73">
        <v>58.6</v>
      </c>
      <c r="C291" s="2">
        <v>56230</v>
      </c>
      <c r="D291" s="73">
        <v>5.9</v>
      </c>
      <c r="F291" s="72">
        <v>26502</v>
      </c>
      <c r="G291" s="2">
        <v>1962000</v>
      </c>
      <c r="H291" s="2">
        <v>276000</v>
      </c>
    </row>
    <row r="292" spans="1:8" x14ac:dyDescent="0.2">
      <c r="A292" s="72">
        <v>23071</v>
      </c>
      <c r="B292" s="73">
        <v>58.6</v>
      </c>
      <c r="C292" s="2">
        <v>56320</v>
      </c>
      <c r="D292" s="73">
        <v>5.7</v>
      </c>
      <c r="F292" s="72">
        <v>26509</v>
      </c>
      <c r="G292" s="2">
        <v>1928000</v>
      </c>
      <c r="H292" s="2">
        <v>247000</v>
      </c>
    </row>
    <row r="293" spans="1:8" x14ac:dyDescent="0.2">
      <c r="A293" s="72">
        <v>23102</v>
      </c>
      <c r="B293" s="73">
        <v>58.8</v>
      </c>
      <c r="C293" s="2">
        <v>56580</v>
      </c>
      <c r="D293" s="73">
        <v>5.7</v>
      </c>
      <c r="F293" s="72">
        <v>26516</v>
      </c>
      <c r="G293" s="2">
        <v>1855000</v>
      </c>
      <c r="H293" s="2">
        <v>250000</v>
      </c>
    </row>
    <row r="294" spans="1:8" x14ac:dyDescent="0.2">
      <c r="A294" s="72">
        <v>23132</v>
      </c>
      <c r="B294" s="73">
        <v>58.8</v>
      </c>
      <c r="C294" s="2">
        <v>56616</v>
      </c>
      <c r="D294" s="73">
        <v>5.9</v>
      </c>
      <c r="F294" s="72">
        <v>26523</v>
      </c>
      <c r="G294" s="2">
        <v>1812000</v>
      </c>
      <c r="H294" s="2">
        <v>246000</v>
      </c>
    </row>
    <row r="295" spans="1:8" x14ac:dyDescent="0.2">
      <c r="A295" s="72">
        <v>23163</v>
      </c>
      <c r="B295" s="73">
        <v>58.5</v>
      </c>
      <c r="C295" s="2">
        <v>56659</v>
      </c>
      <c r="D295" s="73">
        <v>5.6</v>
      </c>
      <c r="F295" s="72">
        <v>26530</v>
      </c>
      <c r="G295" s="2">
        <v>1794000</v>
      </c>
      <c r="H295" s="2">
        <v>256000</v>
      </c>
    </row>
    <row r="296" spans="1:8" x14ac:dyDescent="0.2">
      <c r="A296" s="72">
        <v>23193</v>
      </c>
      <c r="B296" s="73">
        <v>58.7</v>
      </c>
      <c r="C296" s="2">
        <v>56794</v>
      </c>
      <c r="D296" s="73">
        <v>5.6</v>
      </c>
      <c r="F296" s="72">
        <v>26537</v>
      </c>
      <c r="G296" s="2">
        <v>1792000</v>
      </c>
      <c r="H296" s="2">
        <v>262000</v>
      </c>
    </row>
    <row r="297" spans="1:8" x14ac:dyDescent="0.2">
      <c r="A297" s="72">
        <v>23224</v>
      </c>
      <c r="B297" s="73">
        <v>58.5</v>
      </c>
      <c r="C297" s="2">
        <v>56910</v>
      </c>
      <c r="D297" s="73">
        <v>5.4</v>
      </c>
      <c r="F297" s="72">
        <v>26544</v>
      </c>
      <c r="G297" s="2">
        <v>1838000</v>
      </c>
      <c r="H297" s="2">
        <v>258000</v>
      </c>
    </row>
    <row r="298" spans="1:8" x14ac:dyDescent="0.2">
      <c r="A298" s="72">
        <v>23255</v>
      </c>
      <c r="B298" s="73">
        <v>58.7</v>
      </c>
      <c r="C298" s="2">
        <v>57078</v>
      </c>
      <c r="D298" s="73">
        <v>5.5</v>
      </c>
      <c r="F298" s="72">
        <v>26551</v>
      </c>
      <c r="G298" s="2">
        <v>1802000</v>
      </c>
      <c r="H298" s="2">
        <v>259000</v>
      </c>
    </row>
    <row r="299" spans="1:8" x14ac:dyDescent="0.2">
      <c r="A299" s="72">
        <v>23285</v>
      </c>
      <c r="B299" s="73">
        <v>58.8</v>
      </c>
      <c r="C299" s="2">
        <v>57283</v>
      </c>
      <c r="D299" s="73">
        <v>5.5</v>
      </c>
      <c r="F299" s="72">
        <v>26558</v>
      </c>
      <c r="G299" s="2">
        <v>1799000</v>
      </c>
      <c r="H299" s="2">
        <v>258000</v>
      </c>
    </row>
    <row r="300" spans="1:8" x14ac:dyDescent="0.2">
      <c r="A300" s="72">
        <v>23316</v>
      </c>
      <c r="B300" s="73">
        <v>58.8</v>
      </c>
      <c r="C300" s="2">
        <v>57255</v>
      </c>
      <c r="D300" s="73">
        <v>5.7</v>
      </c>
      <c r="F300" s="72">
        <v>26565</v>
      </c>
      <c r="G300" s="2">
        <v>1791000</v>
      </c>
      <c r="H300" s="2">
        <v>255000</v>
      </c>
    </row>
    <row r="301" spans="1:8" x14ac:dyDescent="0.2">
      <c r="A301" s="72">
        <v>23346</v>
      </c>
      <c r="B301" s="73">
        <v>58.5</v>
      </c>
      <c r="C301" s="2">
        <v>57361</v>
      </c>
      <c r="D301" s="73">
        <v>5.5</v>
      </c>
      <c r="F301" s="72">
        <v>26572</v>
      </c>
      <c r="G301" s="2">
        <v>1763000</v>
      </c>
      <c r="H301" s="2">
        <v>251000</v>
      </c>
    </row>
    <row r="302" spans="1:8" x14ac:dyDescent="0.2">
      <c r="A302" s="72">
        <v>23377</v>
      </c>
      <c r="B302" s="73">
        <v>58.6</v>
      </c>
      <c r="C302" s="2">
        <v>57487</v>
      </c>
      <c r="D302" s="73">
        <v>5.6</v>
      </c>
      <c r="F302" s="72">
        <v>26579</v>
      </c>
      <c r="G302" s="2">
        <v>1771000</v>
      </c>
      <c r="H302" s="2">
        <v>263000</v>
      </c>
    </row>
    <row r="303" spans="1:8" x14ac:dyDescent="0.2">
      <c r="A303" s="72">
        <v>23408</v>
      </c>
      <c r="B303" s="73">
        <v>58.8</v>
      </c>
      <c r="C303" s="2">
        <v>57753</v>
      </c>
      <c r="D303" s="73">
        <v>5.4</v>
      </c>
      <c r="F303" s="72">
        <v>26586</v>
      </c>
      <c r="G303" s="2">
        <v>1760000</v>
      </c>
      <c r="H303" s="2">
        <v>250000</v>
      </c>
    </row>
    <row r="304" spans="1:8" x14ac:dyDescent="0.2">
      <c r="A304" s="72">
        <v>23437</v>
      </c>
      <c r="B304" s="73">
        <v>58.7</v>
      </c>
      <c r="C304" s="2">
        <v>57897</v>
      </c>
      <c r="D304" s="73">
        <v>5.4</v>
      </c>
      <c r="F304" s="72">
        <v>26593</v>
      </c>
      <c r="G304" s="2">
        <v>1733000</v>
      </c>
      <c r="H304" s="2">
        <v>257000</v>
      </c>
    </row>
    <row r="305" spans="1:8" x14ac:dyDescent="0.2">
      <c r="A305" s="72">
        <v>23468</v>
      </c>
      <c r="B305" s="73">
        <v>59.1</v>
      </c>
      <c r="C305" s="2">
        <v>57922</v>
      </c>
      <c r="D305" s="73">
        <v>5.3</v>
      </c>
      <c r="F305" s="72">
        <v>26600</v>
      </c>
      <c r="G305" s="2">
        <v>1750000</v>
      </c>
      <c r="H305" s="2">
        <v>234000</v>
      </c>
    </row>
    <row r="306" spans="1:8" x14ac:dyDescent="0.2">
      <c r="A306" s="72">
        <v>23498</v>
      </c>
      <c r="B306" s="73">
        <v>59.1</v>
      </c>
      <c r="C306" s="2">
        <v>58089</v>
      </c>
      <c r="D306" s="73">
        <v>5.0999999999999996</v>
      </c>
      <c r="F306" s="72">
        <v>26607</v>
      </c>
      <c r="G306" s="2">
        <v>1722000</v>
      </c>
      <c r="H306" s="2">
        <v>255000</v>
      </c>
    </row>
    <row r="307" spans="1:8" x14ac:dyDescent="0.2">
      <c r="A307" s="72">
        <v>23529</v>
      </c>
      <c r="B307" s="73">
        <v>58.7</v>
      </c>
      <c r="C307" s="2">
        <v>58219</v>
      </c>
      <c r="D307" s="73">
        <v>5.2</v>
      </c>
      <c r="F307" s="72">
        <v>26614</v>
      </c>
      <c r="G307" s="2">
        <v>1736000</v>
      </c>
      <c r="H307" s="2">
        <v>242000</v>
      </c>
    </row>
    <row r="308" spans="1:8" x14ac:dyDescent="0.2">
      <c r="A308" s="72">
        <v>23559</v>
      </c>
      <c r="B308" s="73">
        <v>58.6</v>
      </c>
      <c r="C308" s="2">
        <v>58412</v>
      </c>
      <c r="D308" s="73">
        <v>4.9000000000000004</v>
      </c>
      <c r="F308" s="72">
        <v>26621</v>
      </c>
      <c r="G308" s="2">
        <v>1727000</v>
      </c>
      <c r="H308" s="2">
        <v>271000</v>
      </c>
    </row>
    <row r="309" spans="1:8" x14ac:dyDescent="0.2">
      <c r="A309" s="72">
        <v>23590</v>
      </c>
      <c r="B309" s="73">
        <v>58.6</v>
      </c>
      <c r="C309" s="2">
        <v>58619</v>
      </c>
      <c r="D309" s="73">
        <v>5</v>
      </c>
      <c r="F309" s="72">
        <v>26628</v>
      </c>
      <c r="G309" s="2">
        <v>1743000</v>
      </c>
      <c r="H309" s="2">
        <v>235000</v>
      </c>
    </row>
    <row r="310" spans="1:8" x14ac:dyDescent="0.2">
      <c r="A310" s="72">
        <v>23621</v>
      </c>
      <c r="B310" s="73">
        <v>58.7</v>
      </c>
      <c r="C310" s="2">
        <v>58903</v>
      </c>
      <c r="D310" s="73">
        <v>5.0999999999999996</v>
      </c>
      <c r="F310" s="72">
        <v>26635</v>
      </c>
      <c r="G310" s="2">
        <v>1676000</v>
      </c>
      <c r="H310" s="2">
        <v>226000</v>
      </c>
    </row>
    <row r="311" spans="1:8" x14ac:dyDescent="0.2">
      <c r="A311" s="72">
        <v>23651</v>
      </c>
      <c r="B311" s="73">
        <v>58.6</v>
      </c>
      <c r="C311" s="2">
        <v>58793</v>
      </c>
      <c r="D311" s="73">
        <v>5.0999999999999996</v>
      </c>
      <c r="F311" s="72">
        <v>26642</v>
      </c>
      <c r="G311" s="2">
        <v>1681000</v>
      </c>
      <c r="H311" s="2">
        <v>252000</v>
      </c>
    </row>
    <row r="312" spans="1:8" x14ac:dyDescent="0.2">
      <c r="A312" s="72">
        <v>23682</v>
      </c>
      <c r="B312" s="73">
        <v>58.5</v>
      </c>
      <c r="C312" s="2">
        <v>59218</v>
      </c>
      <c r="D312" s="73">
        <v>4.8</v>
      </c>
      <c r="F312" s="72">
        <v>26649</v>
      </c>
      <c r="G312" s="2">
        <v>1756000</v>
      </c>
      <c r="H312" s="2">
        <v>263000</v>
      </c>
    </row>
    <row r="313" spans="1:8" x14ac:dyDescent="0.2">
      <c r="A313" s="72">
        <v>23712</v>
      </c>
      <c r="B313" s="73">
        <v>58.6</v>
      </c>
      <c r="C313" s="2">
        <v>59421</v>
      </c>
      <c r="D313" s="73">
        <v>5</v>
      </c>
      <c r="F313" s="72">
        <v>26656</v>
      </c>
      <c r="G313" s="2">
        <v>1697000</v>
      </c>
      <c r="H313" s="2">
        <v>246000</v>
      </c>
    </row>
    <row r="314" spans="1:8" x14ac:dyDescent="0.2">
      <c r="A314" s="72">
        <v>23743</v>
      </c>
      <c r="B314" s="73">
        <v>58.6</v>
      </c>
      <c r="C314" s="2">
        <v>59582</v>
      </c>
      <c r="D314" s="73">
        <v>4.9000000000000004</v>
      </c>
      <c r="F314" s="72">
        <v>26663</v>
      </c>
      <c r="G314" s="2">
        <v>1663000</v>
      </c>
      <c r="H314" s="2">
        <v>225000</v>
      </c>
    </row>
    <row r="315" spans="1:8" x14ac:dyDescent="0.2">
      <c r="A315" s="72">
        <v>23774</v>
      </c>
      <c r="B315" s="73">
        <v>58.7</v>
      </c>
      <c r="C315" s="2">
        <v>59800</v>
      </c>
      <c r="D315" s="73">
        <v>5.0999999999999996</v>
      </c>
      <c r="F315" s="72">
        <v>26670</v>
      </c>
      <c r="G315" s="2">
        <v>1617000</v>
      </c>
      <c r="H315" s="2">
        <v>226000</v>
      </c>
    </row>
    <row r="316" spans="1:8" x14ac:dyDescent="0.2">
      <c r="A316" s="72">
        <v>23802</v>
      </c>
      <c r="B316" s="73">
        <v>58.7</v>
      </c>
      <c r="C316" s="2">
        <v>60003</v>
      </c>
      <c r="D316" s="73">
        <v>4.7</v>
      </c>
      <c r="F316" s="72">
        <v>26677</v>
      </c>
      <c r="G316" s="2">
        <v>1660000</v>
      </c>
      <c r="H316" s="2">
        <v>245000</v>
      </c>
    </row>
    <row r="317" spans="1:8" x14ac:dyDescent="0.2">
      <c r="A317" s="72">
        <v>23833</v>
      </c>
      <c r="B317" s="73">
        <v>58.8</v>
      </c>
      <c r="C317" s="2">
        <v>60259</v>
      </c>
      <c r="D317" s="73">
        <v>4.8</v>
      </c>
      <c r="F317" s="72">
        <v>26684</v>
      </c>
      <c r="G317" s="2">
        <v>1607000</v>
      </c>
      <c r="H317" s="2">
        <v>229000</v>
      </c>
    </row>
    <row r="318" spans="1:8" x14ac:dyDescent="0.2">
      <c r="A318" s="72">
        <v>23863</v>
      </c>
      <c r="B318" s="73">
        <v>59</v>
      </c>
      <c r="C318" s="2">
        <v>60491</v>
      </c>
      <c r="D318" s="73">
        <v>4.5999999999999996</v>
      </c>
      <c r="F318" s="72">
        <v>26691</v>
      </c>
      <c r="G318" s="2">
        <v>1601000</v>
      </c>
      <c r="H318" s="2">
        <v>214000</v>
      </c>
    </row>
    <row r="319" spans="1:8" x14ac:dyDescent="0.2">
      <c r="A319" s="72">
        <v>23894</v>
      </c>
      <c r="B319" s="73">
        <v>58.8</v>
      </c>
      <c r="C319" s="2">
        <v>60690</v>
      </c>
      <c r="D319" s="73">
        <v>4.5999999999999996</v>
      </c>
      <c r="F319" s="72">
        <v>26698</v>
      </c>
      <c r="G319" s="2">
        <v>1596000</v>
      </c>
      <c r="H319" s="2">
        <v>228000</v>
      </c>
    </row>
    <row r="320" spans="1:8" x14ac:dyDescent="0.2">
      <c r="A320" s="72">
        <v>23924</v>
      </c>
      <c r="B320" s="73">
        <v>59.1</v>
      </c>
      <c r="C320" s="2">
        <v>60965</v>
      </c>
      <c r="D320" s="73">
        <v>4.4000000000000004</v>
      </c>
      <c r="F320" s="72">
        <v>26705</v>
      </c>
      <c r="G320" s="2">
        <v>1594000</v>
      </c>
      <c r="H320" s="2">
        <v>226000</v>
      </c>
    </row>
    <row r="321" spans="1:8" x14ac:dyDescent="0.2">
      <c r="A321" s="72">
        <v>23955</v>
      </c>
      <c r="B321" s="73">
        <v>58.9</v>
      </c>
      <c r="C321" s="2">
        <v>61228</v>
      </c>
      <c r="D321" s="73">
        <v>4.4000000000000004</v>
      </c>
      <c r="F321" s="72">
        <v>26712</v>
      </c>
      <c r="G321" s="2">
        <v>1582000</v>
      </c>
      <c r="H321" s="2">
        <v>216000</v>
      </c>
    </row>
    <row r="322" spans="1:8" x14ac:dyDescent="0.2">
      <c r="A322" s="72">
        <v>23986</v>
      </c>
      <c r="B322" s="73">
        <v>58.7</v>
      </c>
      <c r="C322" s="2">
        <v>61490</v>
      </c>
      <c r="D322" s="73">
        <v>4.3</v>
      </c>
      <c r="F322" s="72">
        <v>26719</v>
      </c>
      <c r="G322" s="2">
        <v>1582000</v>
      </c>
      <c r="H322" s="2">
        <v>218000</v>
      </c>
    </row>
    <row r="323" spans="1:8" x14ac:dyDescent="0.2">
      <c r="A323" s="72">
        <v>24016</v>
      </c>
      <c r="B323" s="73">
        <v>58.9</v>
      </c>
      <c r="C323" s="2">
        <v>61719</v>
      </c>
      <c r="D323" s="73">
        <v>4.2</v>
      </c>
      <c r="F323" s="72">
        <v>26726</v>
      </c>
      <c r="G323" s="2">
        <v>1579000</v>
      </c>
      <c r="H323" s="2">
        <v>225000</v>
      </c>
    </row>
    <row r="324" spans="1:8" x14ac:dyDescent="0.2">
      <c r="A324" s="72">
        <v>24047</v>
      </c>
      <c r="B324" s="73">
        <v>58.8</v>
      </c>
      <c r="C324" s="2">
        <v>61996</v>
      </c>
      <c r="D324" s="73">
        <v>4.0999999999999996</v>
      </c>
      <c r="F324" s="72">
        <v>26733</v>
      </c>
      <c r="G324" s="2">
        <v>1584000</v>
      </c>
      <c r="H324" s="2">
        <v>229000</v>
      </c>
    </row>
    <row r="325" spans="1:8" x14ac:dyDescent="0.2">
      <c r="A325" s="72">
        <v>24077</v>
      </c>
      <c r="B325" s="73">
        <v>59</v>
      </c>
      <c r="C325" s="2">
        <v>62322</v>
      </c>
      <c r="D325" s="73">
        <v>4</v>
      </c>
      <c r="F325" s="72">
        <v>26740</v>
      </c>
      <c r="G325" s="2">
        <v>1578000</v>
      </c>
      <c r="H325" s="2">
        <v>228000</v>
      </c>
    </row>
    <row r="326" spans="1:8" x14ac:dyDescent="0.2">
      <c r="A326" s="72">
        <v>24108</v>
      </c>
      <c r="B326" s="73">
        <v>59</v>
      </c>
      <c r="C326" s="2">
        <v>62529</v>
      </c>
      <c r="D326" s="73">
        <v>4</v>
      </c>
      <c r="F326" s="72">
        <v>26747</v>
      </c>
      <c r="G326" s="2">
        <v>1562000</v>
      </c>
      <c r="H326" s="2">
        <v>232000</v>
      </c>
    </row>
    <row r="327" spans="1:8" x14ac:dyDescent="0.2">
      <c r="A327" s="72">
        <v>24139</v>
      </c>
      <c r="B327" s="73">
        <v>58.8</v>
      </c>
      <c r="C327" s="2">
        <v>62796</v>
      </c>
      <c r="D327" s="73">
        <v>3.8</v>
      </c>
      <c r="F327" s="72">
        <v>26754</v>
      </c>
      <c r="G327" s="2">
        <v>1547000</v>
      </c>
      <c r="H327" s="2">
        <v>222000</v>
      </c>
    </row>
    <row r="328" spans="1:8" x14ac:dyDescent="0.2">
      <c r="A328" s="72">
        <v>24167</v>
      </c>
      <c r="B328" s="73">
        <v>58.8</v>
      </c>
      <c r="C328" s="2">
        <v>63192</v>
      </c>
      <c r="D328" s="73">
        <v>3.8</v>
      </c>
      <c r="F328" s="72">
        <v>26761</v>
      </c>
      <c r="G328" s="2">
        <v>1552000</v>
      </c>
      <c r="H328" s="2">
        <v>247000</v>
      </c>
    </row>
    <row r="329" spans="1:8" x14ac:dyDescent="0.2">
      <c r="A329" s="72">
        <v>24198</v>
      </c>
      <c r="B329" s="73">
        <v>59</v>
      </c>
      <c r="C329" s="2">
        <v>63437</v>
      </c>
      <c r="D329" s="73">
        <v>3.8</v>
      </c>
      <c r="F329" s="72">
        <v>26768</v>
      </c>
      <c r="G329" s="2">
        <v>1539000</v>
      </c>
      <c r="H329" s="2">
        <v>230000</v>
      </c>
    </row>
    <row r="330" spans="1:8" x14ac:dyDescent="0.2">
      <c r="A330" s="72">
        <v>24228</v>
      </c>
      <c r="B330" s="73">
        <v>59</v>
      </c>
      <c r="C330" s="2">
        <v>63712</v>
      </c>
      <c r="D330" s="73">
        <v>3.9</v>
      </c>
      <c r="F330" s="72">
        <v>26775</v>
      </c>
      <c r="G330" s="2">
        <v>1573000</v>
      </c>
      <c r="H330" s="2">
        <v>243000</v>
      </c>
    </row>
    <row r="331" spans="1:8" x14ac:dyDescent="0.2">
      <c r="A331" s="72">
        <v>24259</v>
      </c>
      <c r="B331" s="73">
        <v>59.1</v>
      </c>
      <c r="C331" s="2">
        <v>64111</v>
      </c>
      <c r="D331" s="73">
        <v>3.8</v>
      </c>
      <c r="F331" s="72">
        <v>26782</v>
      </c>
      <c r="G331" s="2">
        <v>1551000</v>
      </c>
      <c r="H331" s="2">
        <v>236000</v>
      </c>
    </row>
    <row r="332" spans="1:8" x14ac:dyDescent="0.2">
      <c r="A332" s="72">
        <v>24289</v>
      </c>
      <c r="B332" s="73">
        <v>59.1</v>
      </c>
      <c r="C332" s="2">
        <v>64301</v>
      </c>
      <c r="D332" s="73">
        <v>3.8</v>
      </c>
      <c r="F332" s="72">
        <v>26789</v>
      </c>
      <c r="G332" s="2">
        <v>1560000</v>
      </c>
      <c r="H332" s="2">
        <v>248000</v>
      </c>
    </row>
    <row r="333" spans="1:8" x14ac:dyDescent="0.2">
      <c r="A333" s="72">
        <v>24320</v>
      </c>
      <c r="B333" s="73">
        <v>59.3</v>
      </c>
      <c r="C333" s="2">
        <v>64507</v>
      </c>
      <c r="D333" s="73">
        <v>3.8</v>
      </c>
      <c r="F333" s="72">
        <v>26796</v>
      </c>
      <c r="G333" s="2">
        <v>1557000</v>
      </c>
      <c r="H333" s="2">
        <v>238000</v>
      </c>
    </row>
    <row r="334" spans="1:8" x14ac:dyDescent="0.2">
      <c r="A334" s="72">
        <v>24351</v>
      </c>
      <c r="B334" s="73">
        <v>59.3</v>
      </c>
      <c r="C334" s="2">
        <v>64643</v>
      </c>
      <c r="D334" s="73">
        <v>3.7</v>
      </c>
      <c r="F334" s="72">
        <v>26803</v>
      </c>
      <c r="G334" s="2">
        <v>1553000</v>
      </c>
      <c r="H334" s="2">
        <v>237000</v>
      </c>
    </row>
    <row r="335" spans="1:8" x14ac:dyDescent="0.2">
      <c r="A335" s="72">
        <v>24381</v>
      </c>
      <c r="B335" s="73">
        <v>59.3</v>
      </c>
      <c r="C335" s="2">
        <v>64854</v>
      </c>
      <c r="D335" s="73">
        <v>3.7</v>
      </c>
      <c r="F335" s="72">
        <v>26810</v>
      </c>
      <c r="G335" s="2">
        <v>1567000</v>
      </c>
      <c r="H335" s="2">
        <v>238000</v>
      </c>
    </row>
    <row r="336" spans="1:8" x14ac:dyDescent="0.2">
      <c r="A336" s="72">
        <v>24412</v>
      </c>
      <c r="B336" s="73">
        <v>59.6</v>
      </c>
      <c r="C336" s="2">
        <v>65019</v>
      </c>
      <c r="D336" s="73">
        <v>3.6</v>
      </c>
      <c r="F336" s="72">
        <v>26817</v>
      </c>
      <c r="G336" s="2">
        <v>1556000</v>
      </c>
      <c r="H336" s="2">
        <v>232000</v>
      </c>
    </row>
    <row r="337" spans="1:8" x14ac:dyDescent="0.2">
      <c r="A337" s="72">
        <v>24442</v>
      </c>
      <c r="B337" s="73">
        <v>59.5</v>
      </c>
      <c r="C337" s="2">
        <v>65199</v>
      </c>
      <c r="D337" s="73">
        <v>3.8</v>
      </c>
      <c r="F337" s="72">
        <v>26824</v>
      </c>
      <c r="G337" s="2">
        <v>1563000</v>
      </c>
      <c r="H337" s="2">
        <v>246000</v>
      </c>
    </row>
    <row r="338" spans="1:8" x14ac:dyDescent="0.2">
      <c r="A338" s="72">
        <v>24473</v>
      </c>
      <c r="B338" s="73">
        <v>59.5</v>
      </c>
      <c r="C338" s="2">
        <v>65407</v>
      </c>
      <c r="D338" s="73">
        <v>3.9</v>
      </c>
      <c r="F338" s="72">
        <v>26831</v>
      </c>
      <c r="G338" s="2">
        <v>1576000</v>
      </c>
      <c r="H338" s="2">
        <v>237000</v>
      </c>
    </row>
    <row r="339" spans="1:8" x14ac:dyDescent="0.2">
      <c r="A339" s="72">
        <v>24504</v>
      </c>
      <c r="B339" s="73">
        <v>59.3</v>
      </c>
      <c r="C339" s="2">
        <v>65429</v>
      </c>
      <c r="D339" s="73">
        <v>3.8</v>
      </c>
      <c r="F339" s="72">
        <v>26838</v>
      </c>
      <c r="G339" s="2">
        <v>1570000</v>
      </c>
      <c r="H339" s="2">
        <v>242000</v>
      </c>
    </row>
    <row r="340" spans="1:8" x14ac:dyDescent="0.2">
      <c r="A340" s="72">
        <v>24532</v>
      </c>
      <c r="B340" s="73">
        <v>59.1</v>
      </c>
      <c r="C340" s="2">
        <v>65530</v>
      </c>
      <c r="D340" s="73">
        <v>3.8</v>
      </c>
      <c r="F340" s="72">
        <v>26845</v>
      </c>
      <c r="G340" s="2">
        <v>1571000</v>
      </c>
      <c r="H340" s="2">
        <v>237000</v>
      </c>
    </row>
    <row r="341" spans="1:8" x14ac:dyDescent="0.2">
      <c r="A341" s="72">
        <v>24563</v>
      </c>
      <c r="B341" s="73">
        <v>59.4</v>
      </c>
      <c r="C341" s="2">
        <v>65466</v>
      </c>
      <c r="D341" s="73">
        <v>3.8</v>
      </c>
      <c r="F341" s="72">
        <v>26852</v>
      </c>
      <c r="G341" s="2">
        <v>1605000</v>
      </c>
      <c r="H341" s="2">
        <v>248000</v>
      </c>
    </row>
    <row r="342" spans="1:8" x14ac:dyDescent="0.2">
      <c r="A342" s="72">
        <v>24593</v>
      </c>
      <c r="B342" s="73">
        <v>59.3</v>
      </c>
      <c r="C342" s="2">
        <v>65620</v>
      </c>
      <c r="D342" s="73">
        <v>3.8</v>
      </c>
      <c r="F342" s="72">
        <v>26859</v>
      </c>
      <c r="G342" s="2">
        <v>1605000</v>
      </c>
      <c r="H342" s="2">
        <v>232000</v>
      </c>
    </row>
    <row r="343" spans="1:8" x14ac:dyDescent="0.2">
      <c r="A343" s="72">
        <v>24624</v>
      </c>
      <c r="B343" s="73">
        <v>59.6</v>
      </c>
      <c r="C343" s="2">
        <v>65750</v>
      </c>
      <c r="D343" s="73">
        <v>3.9</v>
      </c>
      <c r="F343" s="72">
        <v>26866</v>
      </c>
      <c r="G343" s="2">
        <v>1594000</v>
      </c>
      <c r="H343" s="2">
        <v>241000</v>
      </c>
    </row>
    <row r="344" spans="1:8" x14ac:dyDescent="0.2">
      <c r="A344" s="72">
        <v>24654</v>
      </c>
      <c r="B344" s="73">
        <v>59.6</v>
      </c>
      <c r="C344" s="2">
        <v>65888</v>
      </c>
      <c r="D344" s="73">
        <v>3.8</v>
      </c>
      <c r="F344" s="72">
        <v>26873</v>
      </c>
      <c r="G344" s="2">
        <v>1603000</v>
      </c>
      <c r="H344" s="2">
        <v>250000</v>
      </c>
    </row>
    <row r="345" spans="1:8" x14ac:dyDescent="0.2">
      <c r="A345" s="72">
        <v>24685</v>
      </c>
      <c r="B345" s="73">
        <v>59.7</v>
      </c>
      <c r="C345" s="2">
        <v>66143</v>
      </c>
      <c r="D345" s="73">
        <v>3.8</v>
      </c>
      <c r="F345" s="72">
        <v>26880</v>
      </c>
      <c r="G345" s="2">
        <v>1633000</v>
      </c>
      <c r="H345" s="2">
        <v>256000</v>
      </c>
    </row>
    <row r="346" spans="1:8" x14ac:dyDescent="0.2">
      <c r="A346" s="72">
        <v>24716</v>
      </c>
      <c r="B346" s="73">
        <v>59.7</v>
      </c>
      <c r="C346" s="2">
        <v>66164</v>
      </c>
      <c r="D346" s="73">
        <v>3.8</v>
      </c>
      <c r="F346" s="72">
        <v>26887</v>
      </c>
      <c r="G346" s="2">
        <v>1679000</v>
      </c>
      <c r="H346" s="2">
        <v>265000</v>
      </c>
    </row>
    <row r="347" spans="1:8" x14ac:dyDescent="0.2">
      <c r="A347" s="72">
        <v>24746</v>
      </c>
      <c r="B347" s="73">
        <v>59.9</v>
      </c>
      <c r="C347" s="2">
        <v>66225</v>
      </c>
      <c r="D347" s="73">
        <v>4</v>
      </c>
      <c r="F347" s="72">
        <v>26894</v>
      </c>
      <c r="G347" s="2">
        <v>1672000</v>
      </c>
      <c r="H347" s="2">
        <v>258000</v>
      </c>
    </row>
    <row r="348" spans="1:8" x14ac:dyDescent="0.2">
      <c r="A348" s="72">
        <v>24777</v>
      </c>
      <c r="B348" s="73">
        <v>59.8</v>
      </c>
      <c r="C348" s="2">
        <v>66703</v>
      </c>
      <c r="D348" s="73">
        <v>3.9</v>
      </c>
      <c r="F348" s="72">
        <v>26901</v>
      </c>
      <c r="G348" s="2">
        <v>1675000</v>
      </c>
      <c r="H348" s="2">
        <v>254000</v>
      </c>
    </row>
    <row r="349" spans="1:8" x14ac:dyDescent="0.2">
      <c r="A349" s="72">
        <v>24807</v>
      </c>
      <c r="B349" s="73">
        <v>59.9</v>
      </c>
      <c r="C349" s="2">
        <v>66900</v>
      </c>
      <c r="D349" s="73">
        <v>3.8</v>
      </c>
      <c r="F349" s="72">
        <v>26908</v>
      </c>
      <c r="G349" s="2">
        <v>1681000</v>
      </c>
      <c r="H349" s="2">
        <v>242000</v>
      </c>
    </row>
    <row r="350" spans="1:8" x14ac:dyDescent="0.2">
      <c r="A350" s="72">
        <v>24838</v>
      </c>
      <c r="B350" s="73">
        <v>59.2</v>
      </c>
      <c r="C350" s="2">
        <v>66804</v>
      </c>
      <c r="D350" s="73">
        <v>3.7</v>
      </c>
      <c r="F350" s="72">
        <v>26915</v>
      </c>
      <c r="G350" s="2">
        <v>1688000</v>
      </c>
      <c r="H350" s="2">
        <v>252000</v>
      </c>
    </row>
    <row r="351" spans="1:8" x14ac:dyDescent="0.2">
      <c r="A351" s="72">
        <v>24869</v>
      </c>
      <c r="B351" s="73">
        <v>59.6</v>
      </c>
      <c r="C351" s="2">
        <v>67215</v>
      </c>
      <c r="D351" s="73">
        <v>3.8</v>
      </c>
      <c r="F351" s="72">
        <v>26922</v>
      </c>
      <c r="G351" s="2">
        <v>1666000</v>
      </c>
      <c r="H351" s="2">
        <v>245000</v>
      </c>
    </row>
    <row r="352" spans="1:8" x14ac:dyDescent="0.2">
      <c r="A352" s="72">
        <v>24898</v>
      </c>
      <c r="B352" s="73">
        <v>59.6</v>
      </c>
      <c r="C352" s="2">
        <v>67295</v>
      </c>
      <c r="D352" s="73">
        <v>3.7</v>
      </c>
      <c r="F352" s="72">
        <v>26929</v>
      </c>
      <c r="G352" s="2">
        <v>1658000</v>
      </c>
      <c r="H352" s="2">
        <v>246000</v>
      </c>
    </row>
    <row r="353" spans="1:8" x14ac:dyDescent="0.2">
      <c r="A353" s="72">
        <v>24929</v>
      </c>
      <c r="B353" s="73">
        <v>59.5</v>
      </c>
      <c r="C353" s="2">
        <v>67556</v>
      </c>
      <c r="D353" s="73">
        <v>3.5</v>
      </c>
      <c r="F353" s="72">
        <v>26936</v>
      </c>
      <c r="G353" s="2">
        <v>1658000</v>
      </c>
      <c r="H353" s="2">
        <v>249000</v>
      </c>
    </row>
    <row r="354" spans="1:8" x14ac:dyDescent="0.2">
      <c r="A354" s="72">
        <v>24959</v>
      </c>
      <c r="B354" s="73">
        <v>59.9</v>
      </c>
      <c r="C354" s="2">
        <v>67652</v>
      </c>
      <c r="D354" s="73">
        <v>3.5</v>
      </c>
      <c r="F354" s="72">
        <v>26943</v>
      </c>
      <c r="G354" s="2">
        <v>1657000</v>
      </c>
      <c r="H354" s="2">
        <v>236000</v>
      </c>
    </row>
    <row r="355" spans="1:8" x14ac:dyDescent="0.2">
      <c r="A355" s="72">
        <v>24990</v>
      </c>
      <c r="B355" s="73">
        <v>60</v>
      </c>
      <c r="C355" s="2">
        <v>67905</v>
      </c>
      <c r="D355" s="73">
        <v>3.7</v>
      </c>
      <c r="F355" s="72">
        <v>26950</v>
      </c>
      <c r="G355" s="2">
        <v>1679000</v>
      </c>
      <c r="H355" s="2">
        <v>246000</v>
      </c>
    </row>
    <row r="356" spans="1:8" x14ac:dyDescent="0.2">
      <c r="A356" s="72">
        <v>25020</v>
      </c>
      <c r="B356" s="73">
        <v>59.8</v>
      </c>
      <c r="C356" s="2">
        <v>68126</v>
      </c>
      <c r="D356" s="73">
        <v>3.7</v>
      </c>
      <c r="F356" s="72">
        <v>26957</v>
      </c>
      <c r="G356" s="2">
        <v>1646000</v>
      </c>
      <c r="H356" s="2">
        <v>249000</v>
      </c>
    </row>
    <row r="357" spans="1:8" x14ac:dyDescent="0.2">
      <c r="A357" s="72">
        <v>25051</v>
      </c>
      <c r="B357" s="73">
        <v>59.6</v>
      </c>
      <c r="C357" s="2">
        <v>68330</v>
      </c>
      <c r="D357" s="73">
        <v>3.5</v>
      </c>
      <c r="F357" s="72">
        <v>26964</v>
      </c>
      <c r="G357" s="2">
        <v>1675000</v>
      </c>
      <c r="H357" s="2">
        <v>235000</v>
      </c>
    </row>
    <row r="358" spans="1:8" x14ac:dyDescent="0.2">
      <c r="A358" s="72">
        <v>25082</v>
      </c>
      <c r="B358" s="73">
        <v>59.5</v>
      </c>
      <c r="C358" s="2">
        <v>68484</v>
      </c>
      <c r="D358" s="73">
        <v>3.4</v>
      </c>
      <c r="F358" s="72">
        <v>26971</v>
      </c>
      <c r="G358" s="2">
        <v>1669000</v>
      </c>
      <c r="H358" s="2">
        <v>246000</v>
      </c>
    </row>
    <row r="359" spans="1:8" x14ac:dyDescent="0.2">
      <c r="A359" s="72">
        <v>25112</v>
      </c>
      <c r="B359" s="73">
        <v>59.5</v>
      </c>
      <c r="C359" s="2">
        <v>68721</v>
      </c>
      <c r="D359" s="73">
        <v>3.4</v>
      </c>
      <c r="F359" s="72">
        <v>26978</v>
      </c>
      <c r="G359" s="2">
        <v>1702000</v>
      </c>
      <c r="H359" s="2">
        <v>282000</v>
      </c>
    </row>
    <row r="360" spans="1:8" x14ac:dyDescent="0.2">
      <c r="A360" s="72">
        <v>25143</v>
      </c>
      <c r="B360" s="73">
        <v>59.6</v>
      </c>
      <c r="C360" s="2">
        <v>68984</v>
      </c>
      <c r="D360" s="73">
        <v>3.4</v>
      </c>
      <c r="F360" s="72">
        <v>26985</v>
      </c>
      <c r="G360" s="2">
        <v>1698000</v>
      </c>
      <c r="H360" s="2">
        <v>254000</v>
      </c>
    </row>
    <row r="361" spans="1:8" x14ac:dyDescent="0.2">
      <c r="A361" s="72">
        <v>25173</v>
      </c>
      <c r="B361" s="73">
        <v>59.7</v>
      </c>
      <c r="C361" s="2">
        <v>69248</v>
      </c>
      <c r="D361" s="73">
        <v>3.4</v>
      </c>
      <c r="F361" s="72">
        <v>26992</v>
      </c>
      <c r="G361" s="2">
        <v>1755000</v>
      </c>
      <c r="H361" s="2">
        <v>233000</v>
      </c>
    </row>
    <row r="362" spans="1:8" x14ac:dyDescent="0.2">
      <c r="A362" s="72">
        <v>25204</v>
      </c>
      <c r="B362" s="73">
        <v>59.6</v>
      </c>
      <c r="C362" s="2">
        <v>69439</v>
      </c>
      <c r="D362" s="73">
        <v>3.4</v>
      </c>
      <c r="F362" s="72">
        <v>26999</v>
      </c>
      <c r="G362" s="2">
        <v>1692000</v>
      </c>
      <c r="H362" s="2">
        <v>256000</v>
      </c>
    </row>
    <row r="363" spans="1:8" x14ac:dyDescent="0.2">
      <c r="A363" s="72">
        <v>25235</v>
      </c>
      <c r="B363" s="73">
        <v>60</v>
      </c>
      <c r="C363" s="2">
        <v>69699</v>
      </c>
      <c r="D363" s="73">
        <v>3.4</v>
      </c>
      <c r="F363" s="72">
        <v>27006</v>
      </c>
      <c r="G363" s="2">
        <v>1717000</v>
      </c>
      <c r="H363" s="2">
        <v>266000</v>
      </c>
    </row>
    <row r="364" spans="1:8" x14ac:dyDescent="0.2">
      <c r="A364" s="72">
        <v>25263</v>
      </c>
      <c r="B364" s="73">
        <v>59.9</v>
      </c>
      <c r="C364" s="2">
        <v>69905</v>
      </c>
      <c r="D364" s="73">
        <v>3.4</v>
      </c>
      <c r="F364" s="72">
        <v>27013</v>
      </c>
      <c r="G364" s="2">
        <v>1779000</v>
      </c>
      <c r="H364" s="2">
        <v>272000</v>
      </c>
    </row>
    <row r="365" spans="1:8" x14ac:dyDescent="0.2">
      <c r="A365" s="72">
        <v>25294</v>
      </c>
      <c r="B365" s="73">
        <v>60</v>
      </c>
      <c r="C365" s="2">
        <v>70072</v>
      </c>
      <c r="D365" s="73">
        <v>3.4</v>
      </c>
      <c r="F365" s="72">
        <v>27020</v>
      </c>
      <c r="G365" s="2">
        <v>1836000</v>
      </c>
      <c r="H365" s="2">
        <v>326000</v>
      </c>
    </row>
    <row r="366" spans="1:8" x14ac:dyDescent="0.2">
      <c r="A366" s="72">
        <v>25324</v>
      </c>
      <c r="B366" s="73">
        <v>59.8</v>
      </c>
      <c r="C366" s="2">
        <v>70328</v>
      </c>
      <c r="D366" s="73">
        <v>3.4</v>
      </c>
      <c r="F366" s="72">
        <v>27027</v>
      </c>
      <c r="G366" s="2">
        <v>1805000</v>
      </c>
      <c r="H366" s="2">
        <v>300000</v>
      </c>
    </row>
    <row r="367" spans="1:8" x14ac:dyDescent="0.2">
      <c r="A367" s="72">
        <v>25355</v>
      </c>
      <c r="B367" s="73">
        <v>60.1</v>
      </c>
      <c r="C367" s="2">
        <v>70636</v>
      </c>
      <c r="D367" s="73">
        <v>3.5</v>
      </c>
      <c r="F367" s="72">
        <v>27034</v>
      </c>
      <c r="G367" s="2">
        <v>1934000</v>
      </c>
      <c r="H367" s="2">
        <v>269000</v>
      </c>
    </row>
    <row r="368" spans="1:8" x14ac:dyDescent="0.2">
      <c r="A368" s="72">
        <v>25385</v>
      </c>
      <c r="B368" s="73">
        <v>60.1</v>
      </c>
      <c r="C368" s="2">
        <v>70729</v>
      </c>
      <c r="D368" s="73">
        <v>3.5</v>
      </c>
      <c r="F368" s="72">
        <v>27041</v>
      </c>
      <c r="G368" s="2">
        <v>1949000</v>
      </c>
      <c r="H368" s="2">
        <v>340000</v>
      </c>
    </row>
    <row r="369" spans="1:8" x14ac:dyDescent="0.2">
      <c r="A369" s="72">
        <v>25416</v>
      </c>
      <c r="B369" s="73">
        <v>60.3</v>
      </c>
      <c r="C369" s="2">
        <v>71008</v>
      </c>
      <c r="D369" s="73">
        <v>3.5</v>
      </c>
      <c r="F369" s="72">
        <v>27048</v>
      </c>
      <c r="G369" s="2">
        <v>1995000</v>
      </c>
      <c r="H369" s="2">
        <v>321000</v>
      </c>
    </row>
    <row r="370" spans="1:8" x14ac:dyDescent="0.2">
      <c r="A370" s="72">
        <v>25447</v>
      </c>
      <c r="B370" s="73">
        <v>60.3</v>
      </c>
      <c r="C370" s="2">
        <v>70914</v>
      </c>
      <c r="D370" s="73">
        <v>3.7</v>
      </c>
      <c r="F370" s="72">
        <v>27055</v>
      </c>
      <c r="G370" s="2">
        <v>1950000</v>
      </c>
      <c r="H370" s="2">
        <v>291000</v>
      </c>
    </row>
    <row r="371" spans="1:8" x14ac:dyDescent="0.2">
      <c r="A371" s="72">
        <v>25477</v>
      </c>
      <c r="B371" s="73">
        <v>60.4</v>
      </c>
      <c r="C371" s="2">
        <v>71121</v>
      </c>
      <c r="D371" s="73">
        <v>3.7</v>
      </c>
      <c r="F371" s="72">
        <v>27062</v>
      </c>
      <c r="G371" s="2">
        <v>1963000</v>
      </c>
      <c r="H371" s="2">
        <v>302000</v>
      </c>
    </row>
    <row r="372" spans="1:8" x14ac:dyDescent="0.2">
      <c r="A372" s="72">
        <v>25508</v>
      </c>
      <c r="B372" s="73">
        <v>60.2</v>
      </c>
      <c r="C372" s="2">
        <v>71086</v>
      </c>
      <c r="D372" s="73">
        <v>3.5</v>
      </c>
      <c r="F372" s="72">
        <v>27069</v>
      </c>
      <c r="G372" s="2">
        <v>2010000</v>
      </c>
      <c r="H372" s="2">
        <v>369000</v>
      </c>
    </row>
    <row r="373" spans="1:8" x14ac:dyDescent="0.2">
      <c r="A373" s="72">
        <v>25538</v>
      </c>
      <c r="B373" s="73">
        <v>60.2</v>
      </c>
      <c r="C373" s="2">
        <v>71241</v>
      </c>
      <c r="D373" s="73">
        <v>3.5</v>
      </c>
      <c r="F373" s="72">
        <v>27076</v>
      </c>
      <c r="G373" s="2">
        <v>2049000</v>
      </c>
      <c r="H373" s="2">
        <v>311000</v>
      </c>
    </row>
    <row r="374" spans="1:8" x14ac:dyDescent="0.2">
      <c r="A374" s="72">
        <v>25569</v>
      </c>
      <c r="B374" s="73">
        <v>60.4</v>
      </c>
      <c r="C374" s="2">
        <v>71176</v>
      </c>
      <c r="D374" s="73">
        <v>3.9</v>
      </c>
      <c r="F374" s="72">
        <v>27083</v>
      </c>
      <c r="G374" s="2">
        <v>2027000</v>
      </c>
      <c r="H374" s="2">
        <v>292000</v>
      </c>
    </row>
    <row r="375" spans="1:8" x14ac:dyDescent="0.2">
      <c r="A375" s="72">
        <v>25600</v>
      </c>
      <c r="B375" s="73">
        <v>60.4</v>
      </c>
      <c r="C375" s="2">
        <v>71305</v>
      </c>
      <c r="D375" s="73">
        <v>4.2</v>
      </c>
      <c r="F375" s="72">
        <v>27090</v>
      </c>
      <c r="G375" s="2">
        <v>2020000</v>
      </c>
      <c r="H375" s="2">
        <v>301000</v>
      </c>
    </row>
    <row r="376" spans="1:8" x14ac:dyDescent="0.2">
      <c r="A376" s="72">
        <v>25628</v>
      </c>
      <c r="B376" s="73">
        <v>60.6</v>
      </c>
      <c r="C376" s="2">
        <v>71451</v>
      </c>
      <c r="D376" s="73">
        <v>4.4000000000000004</v>
      </c>
      <c r="F376" s="72">
        <v>27097</v>
      </c>
      <c r="G376" s="2">
        <v>2054000</v>
      </c>
      <c r="H376" s="2">
        <v>305000</v>
      </c>
    </row>
    <row r="377" spans="1:8" x14ac:dyDescent="0.2">
      <c r="A377" s="72">
        <v>25659</v>
      </c>
      <c r="B377" s="73">
        <v>60.6</v>
      </c>
      <c r="C377" s="2">
        <v>71348</v>
      </c>
      <c r="D377" s="73">
        <v>4.5999999999999996</v>
      </c>
      <c r="F377" s="72">
        <v>27104</v>
      </c>
      <c r="G377" s="2">
        <v>2068000</v>
      </c>
      <c r="H377" s="2">
        <v>315000</v>
      </c>
    </row>
    <row r="378" spans="1:8" x14ac:dyDescent="0.2">
      <c r="A378" s="72">
        <v>25689</v>
      </c>
      <c r="B378" s="73">
        <v>60.3</v>
      </c>
      <c r="C378" s="2">
        <v>71124</v>
      </c>
      <c r="D378" s="73">
        <v>4.8</v>
      </c>
      <c r="F378" s="72">
        <v>27111</v>
      </c>
      <c r="G378" s="2">
        <v>2074000</v>
      </c>
      <c r="H378" s="2">
        <v>314000</v>
      </c>
    </row>
    <row r="379" spans="1:8" x14ac:dyDescent="0.2">
      <c r="A379" s="72">
        <v>25720</v>
      </c>
      <c r="B379" s="73">
        <v>60.2</v>
      </c>
      <c r="C379" s="2">
        <v>71029</v>
      </c>
      <c r="D379" s="73">
        <v>4.9000000000000004</v>
      </c>
      <c r="F379" s="72">
        <v>27118</v>
      </c>
      <c r="G379" s="2">
        <v>2062000</v>
      </c>
      <c r="H379" s="2">
        <v>323000</v>
      </c>
    </row>
    <row r="380" spans="1:8" x14ac:dyDescent="0.2">
      <c r="A380" s="72">
        <v>25750</v>
      </c>
      <c r="B380" s="73">
        <v>60.4</v>
      </c>
      <c r="C380" s="2">
        <v>71053</v>
      </c>
      <c r="D380" s="73">
        <v>5</v>
      </c>
      <c r="F380" s="72">
        <v>27125</v>
      </c>
      <c r="G380" s="2">
        <v>2066000</v>
      </c>
      <c r="H380" s="2">
        <v>296000</v>
      </c>
    </row>
    <row r="381" spans="1:8" x14ac:dyDescent="0.2">
      <c r="A381" s="72">
        <v>25781</v>
      </c>
      <c r="B381" s="73">
        <v>60.3</v>
      </c>
      <c r="C381" s="2">
        <v>70937</v>
      </c>
      <c r="D381" s="73">
        <v>5.0999999999999996</v>
      </c>
      <c r="F381" s="72">
        <v>27132</v>
      </c>
      <c r="G381" s="2">
        <v>2072000</v>
      </c>
      <c r="H381" s="2">
        <v>297000</v>
      </c>
    </row>
    <row r="382" spans="1:8" x14ac:dyDescent="0.2">
      <c r="A382" s="72">
        <v>25812</v>
      </c>
      <c r="B382" s="73">
        <v>60.2</v>
      </c>
      <c r="C382" s="2">
        <v>70944</v>
      </c>
      <c r="D382" s="73">
        <v>5.4</v>
      </c>
      <c r="F382" s="72">
        <v>27139</v>
      </c>
      <c r="G382" s="2">
        <v>2081000</v>
      </c>
      <c r="H382" s="2">
        <v>296000</v>
      </c>
    </row>
    <row r="383" spans="1:8" x14ac:dyDescent="0.2">
      <c r="A383" s="72">
        <v>25842</v>
      </c>
      <c r="B383" s="73">
        <v>60.4</v>
      </c>
      <c r="C383" s="2">
        <v>70521</v>
      </c>
      <c r="D383" s="73">
        <v>5.5</v>
      </c>
      <c r="F383" s="72">
        <v>27146</v>
      </c>
      <c r="G383" s="2">
        <v>2045000</v>
      </c>
      <c r="H383" s="2">
        <v>283000</v>
      </c>
    </row>
    <row r="384" spans="1:8" x14ac:dyDescent="0.2">
      <c r="A384" s="72">
        <v>25873</v>
      </c>
      <c r="B384" s="73">
        <v>60.4</v>
      </c>
      <c r="C384" s="2">
        <v>70409</v>
      </c>
      <c r="D384" s="73">
        <v>5.9</v>
      </c>
      <c r="F384" s="72">
        <v>27153</v>
      </c>
      <c r="G384" s="2">
        <v>2056000</v>
      </c>
      <c r="H384" s="2">
        <v>287000</v>
      </c>
    </row>
    <row r="385" spans="1:8" x14ac:dyDescent="0.2">
      <c r="A385" s="72">
        <v>25903</v>
      </c>
      <c r="B385" s="73">
        <v>60.4</v>
      </c>
      <c r="C385" s="2">
        <v>70792</v>
      </c>
      <c r="D385" s="73">
        <v>6.1</v>
      </c>
      <c r="F385" s="72">
        <v>27160</v>
      </c>
      <c r="G385" s="2">
        <v>2041000</v>
      </c>
      <c r="H385" s="2">
        <v>296000</v>
      </c>
    </row>
    <row r="386" spans="1:8" x14ac:dyDescent="0.2">
      <c r="A386" s="72">
        <v>25934</v>
      </c>
      <c r="B386" s="73">
        <v>60.4</v>
      </c>
      <c r="C386" s="2">
        <v>70865</v>
      </c>
      <c r="D386" s="73">
        <v>5.9</v>
      </c>
      <c r="F386" s="72">
        <v>27167</v>
      </c>
      <c r="G386" s="2">
        <v>2053000</v>
      </c>
      <c r="H386" s="2">
        <v>298000</v>
      </c>
    </row>
    <row r="387" spans="1:8" x14ac:dyDescent="0.2">
      <c r="A387" s="72">
        <v>25965</v>
      </c>
      <c r="B387" s="73">
        <v>60.1</v>
      </c>
      <c r="C387" s="2">
        <v>70807</v>
      </c>
      <c r="D387" s="73">
        <v>5.9</v>
      </c>
      <c r="F387" s="72">
        <v>27174</v>
      </c>
      <c r="G387" s="2">
        <v>2057000</v>
      </c>
      <c r="H387" s="2">
        <v>309000</v>
      </c>
    </row>
    <row r="388" spans="1:8" x14ac:dyDescent="0.2">
      <c r="A388" s="72">
        <v>25993</v>
      </c>
      <c r="B388" s="73">
        <v>60</v>
      </c>
      <c r="C388" s="2">
        <v>70860</v>
      </c>
      <c r="D388" s="73">
        <v>6</v>
      </c>
      <c r="F388" s="72">
        <v>27181</v>
      </c>
      <c r="G388" s="2">
        <v>2079000</v>
      </c>
      <c r="H388" s="2">
        <v>278000</v>
      </c>
    </row>
    <row r="389" spans="1:8" x14ac:dyDescent="0.2">
      <c r="A389" s="72">
        <v>26024</v>
      </c>
      <c r="B389" s="73">
        <v>60.1</v>
      </c>
      <c r="C389" s="2">
        <v>71036</v>
      </c>
      <c r="D389" s="73">
        <v>5.9</v>
      </c>
      <c r="F389" s="72">
        <v>27188</v>
      </c>
      <c r="G389" s="2">
        <v>2067000</v>
      </c>
      <c r="H389" s="2">
        <v>314000</v>
      </c>
    </row>
    <row r="390" spans="1:8" x14ac:dyDescent="0.2">
      <c r="A390" s="72">
        <v>26054</v>
      </c>
      <c r="B390" s="73">
        <v>60.2</v>
      </c>
      <c r="C390" s="2">
        <v>71247</v>
      </c>
      <c r="D390" s="73">
        <v>5.9</v>
      </c>
      <c r="F390" s="72">
        <v>27195</v>
      </c>
      <c r="G390" s="2">
        <v>2095000</v>
      </c>
      <c r="H390" s="2">
        <v>303000</v>
      </c>
    </row>
    <row r="391" spans="1:8" x14ac:dyDescent="0.2">
      <c r="A391" s="72">
        <v>26085</v>
      </c>
      <c r="B391" s="73">
        <v>59.8</v>
      </c>
      <c r="C391" s="2">
        <v>71254</v>
      </c>
      <c r="D391" s="73">
        <v>5.9</v>
      </c>
      <c r="F391" s="72">
        <v>27202</v>
      </c>
      <c r="G391" s="2">
        <v>2066000</v>
      </c>
      <c r="H391" s="2">
        <v>308000</v>
      </c>
    </row>
    <row r="392" spans="1:8" x14ac:dyDescent="0.2">
      <c r="A392" s="72">
        <v>26115</v>
      </c>
      <c r="B392" s="73">
        <v>60.1</v>
      </c>
      <c r="C392" s="2">
        <v>71315</v>
      </c>
      <c r="D392" s="73">
        <v>6</v>
      </c>
      <c r="F392" s="72">
        <v>27209</v>
      </c>
      <c r="G392" s="2">
        <v>2074000</v>
      </c>
      <c r="H392" s="2">
        <v>325000</v>
      </c>
    </row>
    <row r="393" spans="1:8" x14ac:dyDescent="0.2">
      <c r="A393" s="72">
        <v>26146</v>
      </c>
      <c r="B393" s="73">
        <v>60.2</v>
      </c>
      <c r="C393" s="2">
        <v>71373</v>
      </c>
      <c r="D393" s="73">
        <v>6.1</v>
      </c>
      <c r="F393" s="72">
        <v>27216</v>
      </c>
      <c r="G393" s="2">
        <v>2160000</v>
      </c>
      <c r="H393" s="2">
        <v>311000</v>
      </c>
    </row>
    <row r="394" spans="1:8" x14ac:dyDescent="0.2">
      <c r="A394" s="72">
        <v>26177</v>
      </c>
      <c r="B394" s="73">
        <v>60.1</v>
      </c>
      <c r="C394" s="2">
        <v>71614</v>
      </c>
      <c r="D394" s="73">
        <v>6</v>
      </c>
      <c r="F394" s="72">
        <v>27223</v>
      </c>
      <c r="G394" s="2">
        <v>2125000</v>
      </c>
      <c r="H394" s="2">
        <v>304000</v>
      </c>
    </row>
    <row r="395" spans="1:8" x14ac:dyDescent="0.2">
      <c r="A395" s="72">
        <v>26207</v>
      </c>
      <c r="B395" s="73">
        <v>60.1</v>
      </c>
      <c r="C395" s="2">
        <v>71642</v>
      </c>
      <c r="D395" s="73">
        <v>5.8</v>
      </c>
      <c r="F395" s="72">
        <v>27230</v>
      </c>
      <c r="G395" s="2">
        <v>2109000</v>
      </c>
      <c r="H395" s="2">
        <v>303000</v>
      </c>
    </row>
    <row r="396" spans="1:8" x14ac:dyDescent="0.2">
      <c r="A396" s="72">
        <v>26238</v>
      </c>
      <c r="B396" s="73">
        <v>60.4</v>
      </c>
      <c r="C396" s="2">
        <v>71847</v>
      </c>
      <c r="D396" s="73">
        <v>6</v>
      </c>
      <c r="F396" s="72">
        <v>27237</v>
      </c>
      <c r="G396" s="2">
        <v>2097000</v>
      </c>
      <c r="H396" s="2">
        <v>320000</v>
      </c>
    </row>
    <row r="397" spans="1:8" x14ac:dyDescent="0.2">
      <c r="A397" s="72">
        <v>26268</v>
      </c>
      <c r="B397" s="73">
        <v>60.4</v>
      </c>
      <c r="C397" s="2">
        <v>72109</v>
      </c>
      <c r="D397" s="73">
        <v>6</v>
      </c>
      <c r="F397" s="72">
        <v>27244</v>
      </c>
      <c r="G397" s="2">
        <v>2147000</v>
      </c>
      <c r="H397" s="2">
        <v>335000</v>
      </c>
    </row>
    <row r="398" spans="1:8" x14ac:dyDescent="0.2">
      <c r="A398" s="72">
        <v>26299</v>
      </c>
      <c r="B398" s="73">
        <v>60.2</v>
      </c>
      <c r="C398" s="2">
        <v>72441</v>
      </c>
      <c r="D398" s="73">
        <v>5.8</v>
      </c>
      <c r="F398" s="72">
        <v>27251</v>
      </c>
      <c r="G398" s="2">
        <v>2171000</v>
      </c>
      <c r="H398" s="2">
        <v>347000</v>
      </c>
    </row>
    <row r="399" spans="1:8" x14ac:dyDescent="0.2">
      <c r="A399" s="72">
        <v>26330</v>
      </c>
      <c r="B399" s="73">
        <v>60.2</v>
      </c>
      <c r="C399" s="2">
        <v>72648</v>
      </c>
      <c r="D399" s="73">
        <v>5.7</v>
      </c>
      <c r="F399" s="72">
        <v>27258</v>
      </c>
      <c r="G399" s="2">
        <v>2168000</v>
      </c>
      <c r="H399" s="2">
        <v>332000</v>
      </c>
    </row>
    <row r="400" spans="1:8" x14ac:dyDescent="0.2">
      <c r="A400" s="72">
        <v>26359</v>
      </c>
      <c r="B400" s="73">
        <v>60.5</v>
      </c>
      <c r="C400" s="2">
        <v>72944</v>
      </c>
      <c r="D400" s="73">
        <v>5.8</v>
      </c>
      <c r="F400" s="72">
        <v>27265</v>
      </c>
      <c r="G400" s="2">
        <v>2172000</v>
      </c>
      <c r="H400" s="2">
        <v>343000</v>
      </c>
    </row>
    <row r="401" spans="1:8" x14ac:dyDescent="0.2">
      <c r="A401" s="72">
        <v>26390</v>
      </c>
      <c r="B401" s="73">
        <v>60.4</v>
      </c>
      <c r="C401" s="2">
        <v>73162</v>
      </c>
      <c r="D401" s="73">
        <v>5.7</v>
      </c>
      <c r="F401" s="72">
        <v>27272</v>
      </c>
      <c r="G401" s="2">
        <v>2211000</v>
      </c>
      <c r="H401" s="2">
        <v>350000</v>
      </c>
    </row>
    <row r="402" spans="1:8" x14ac:dyDescent="0.2">
      <c r="A402" s="72">
        <v>26420</v>
      </c>
      <c r="B402" s="73">
        <v>60.4</v>
      </c>
      <c r="C402" s="2">
        <v>73469</v>
      </c>
      <c r="D402" s="73">
        <v>5.7</v>
      </c>
      <c r="F402" s="72">
        <v>27279</v>
      </c>
      <c r="G402" s="2">
        <v>2265000</v>
      </c>
      <c r="H402" s="2">
        <v>350000</v>
      </c>
    </row>
    <row r="403" spans="1:8" x14ac:dyDescent="0.2">
      <c r="A403" s="72">
        <v>26451</v>
      </c>
      <c r="B403" s="73">
        <v>60.4</v>
      </c>
      <c r="C403" s="2">
        <v>73758</v>
      </c>
      <c r="D403" s="73">
        <v>5.7</v>
      </c>
      <c r="F403" s="72">
        <v>27286</v>
      </c>
      <c r="G403" s="2">
        <v>2274000</v>
      </c>
      <c r="H403" s="2">
        <v>357000</v>
      </c>
    </row>
    <row r="404" spans="1:8" x14ac:dyDescent="0.2">
      <c r="A404" s="72">
        <v>26481</v>
      </c>
      <c r="B404" s="73">
        <v>60.4</v>
      </c>
      <c r="C404" s="2">
        <v>73709</v>
      </c>
      <c r="D404" s="73">
        <v>5.6</v>
      </c>
      <c r="F404" s="72">
        <v>27293</v>
      </c>
      <c r="G404" s="2">
        <v>2273000</v>
      </c>
      <c r="H404" s="2">
        <v>370000</v>
      </c>
    </row>
    <row r="405" spans="1:8" x14ac:dyDescent="0.2">
      <c r="A405" s="72">
        <v>26512</v>
      </c>
      <c r="B405" s="73">
        <v>60.6</v>
      </c>
      <c r="C405" s="2">
        <v>74141</v>
      </c>
      <c r="D405" s="73">
        <v>5.6</v>
      </c>
      <c r="F405" s="72">
        <v>27300</v>
      </c>
      <c r="G405" s="2">
        <v>2306000</v>
      </c>
      <c r="H405" s="2">
        <v>366000</v>
      </c>
    </row>
    <row r="406" spans="1:8" x14ac:dyDescent="0.2">
      <c r="A406" s="72">
        <v>26543</v>
      </c>
      <c r="B406" s="73">
        <v>60.4</v>
      </c>
      <c r="C406" s="2">
        <v>74264</v>
      </c>
      <c r="D406" s="73">
        <v>5.5</v>
      </c>
      <c r="F406" s="72">
        <v>27307</v>
      </c>
      <c r="G406" s="2">
        <v>2360000</v>
      </c>
      <c r="H406" s="2">
        <v>371000</v>
      </c>
    </row>
    <row r="407" spans="1:8" x14ac:dyDescent="0.2">
      <c r="A407" s="72">
        <v>26573</v>
      </c>
      <c r="B407" s="73">
        <v>60.3</v>
      </c>
      <c r="C407" s="2">
        <v>74674</v>
      </c>
      <c r="D407" s="73">
        <v>5.6</v>
      </c>
      <c r="F407" s="72">
        <v>27314</v>
      </c>
      <c r="G407" s="2">
        <v>2396000</v>
      </c>
      <c r="H407" s="2">
        <v>413000</v>
      </c>
    </row>
    <row r="408" spans="1:8" x14ac:dyDescent="0.2">
      <c r="A408" s="72">
        <v>26604</v>
      </c>
      <c r="B408" s="73">
        <v>60.3</v>
      </c>
      <c r="C408" s="2">
        <v>74973</v>
      </c>
      <c r="D408" s="73">
        <v>5.3</v>
      </c>
      <c r="F408" s="72">
        <v>27321</v>
      </c>
      <c r="G408" s="2">
        <v>2519000</v>
      </c>
      <c r="H408" s="2">
        <v>389000</v>
      </c>
    </row>
    <row r="409" spans="1:8" x14ac:dyDescent="0.2">
      <c r="A409" s="72">
        <v>26634</v>
      </c>
      <c r="B409" s="73">
        <v>60.5</v>
      </c>
      <c r="C409" s="2">
        <v>75268</v>
      </c>
      <c r="D409" s="73">
        <v>5.2</v>
      </c>
      <c r="F409" s="72">
        <v>27328</v>
      </c>
      <c r="G409" s="2">
        <v>2520000</v>
      </c>
      <c r="H409" s="2">
        <v>414000</v>
      </c>
    </row>
    <row r="410" spans="1:8" x14ac:dyDescent="0.2">
      <c r="A410" s="72">
        <v>26665</v>
      </c>
      <c r="B410" s="73">
        <v>60</v>
      </c>
      <c r="C410" s="2">
        <v>75617</v>
      </c>
      <c r="D410" s="73">
        <v>4.9000000000000004</v>
      </c>
      <c r="F410" s="72">
        <v>27335</v>
      </c>
      <c r="G410" s="2">
        <v>2623000</v>
      </c>
      <c r="H410" s="2">
        <v>406000</v>
      </c>
    </row>
    <row r="411" spans="1:8" x14ac:dyDescent="0.2">
      <c r="A411" s="72">
        <v>26696</v>
      </c>
      <c r="B411" s="73">
        <v>60.5</v>
      </c>
      <c r="C411" s="2">
        <v>76014</v>
      </c>
      <c r="D411" s="73">
        <v>5</v>
      </c>
      <c r="F411" s="72">
        <v>27342</v>
      </c>
      <c r="G411" s="2">
        <v>2699000</v>
      </c>
      <c r="H411" s="2">
        <v>441000</v>
      </c>
    </row>
    <row r="412" spans="1:8" x14ac:dyDescent="0.2">
      <c r="A412" s="72">
        <v>26724</v>
      </c>
      <c r="B412" s="73">
        <v>60.8</v>
      </c>
      <c r="C412" s="2">
        <v>76284</v>
      </c>
      <c r="D412" s="73">
        <v>4.9000000000000004</v>
      </c>
      <c r="F412" s="72">
        <v>27349</v>
      </c>
      <c r="G412" s="2">
        <v>2862000</v>
      </c>
      <c r="H412" s="2">
        <v>449000</v>
      </c>
    </row>
    <row r="413" spans="1:8" x14ac:dyDescent="0.2">
      <c r="A413" s="72">
        <v>26755</v>
      </c>
      <c r="B413" s="73">
        <v>60.8</v>
      </c>
      <c r="C413" s="2">
        <v>76455</v>
      </c>
      <c r="D413" s="73">
        <v>5</v>
      </c>
      <c r="F413" s="72">
        <v>27356</v>
      </c>
      <c r="G413" s="2">
        <v>2748000</v>
      </c>
      <c r="H413" s="2">
        <v>518000</v>
      </c>
    </row>
    <row r="414" spans="1:8" x14ac:dyDescent="0.2">
      <c r="A414" s="72">
        <v>26785</v>
      </c>
      <c r="B414" s="73">
        <v>60.6</v>
      </c>
      <c r="C414" s="2">
        <v>76648</v>
      </c>
      <c r="D414" s="73">
        <v>4.9000000000000004</v>
      </c>
      <c r="F414" s="72">
        <v>27363</v>
      </c>
      <c r="G414" s="2">
        <v>3086000</v>
      </c>
      <c r="H414" s="2">
        <v>474000</v>
      </c>
    </row>
    <row r="415" spans="1:8" x14ac:dyDescent="0.2">
      <c r="A415" s="72">
        <v>26816</v>
      </c>
      <c r="B415" s="73">
        <v>60.9</v>
      </c>
      <c r="C415" s="2">
        <v>76887</v>
      </c>
      <c r="D415" s="73">
        <v>4.9000000000000004</v>
      </c>
      <c r="F415" s="72">
        <v>27370</v>
      </c>
      <c r="G415" s="2">
        <v>3178000</v>
      </c>
      <c r="H415" s="2">
        <v>528000</v>
      </c>
    </row>
    <row r="416" spans="1:8" x14ac:dyDescent="0.2">
      <c r="A416" s="72">
        <v>26846</v>
      </c>
      <c r="B416" s="73">
        <v>60.9</v>
      </c>
      <c r="C416" s="2">
        <v>76913</v>
      </c>
      <c r="D416" s="73">
        <v>4.8</v>
      </c>
      <c r="F416" s="72">
        <v>27377</v>
      </c>
      <c r="G416" s="2">
        <v>3291000</v>
      </c>
      <c r="H416" s="2">
        <v>510000</v>
      </c>
    </row>
    <row r="417" spans="1:8" x14ac:dyDescent="0.2">
      <c r="A417" s="72">
        <v>26877</v>
      </c>
      <c r="B417" s="73">
        <v>60.7</v>
      </c>
      <c r="C417" s="2">
        <v>77168</v>
      </c>
      <c r="D417" s="73">
        <v>4.8</v>
      </c>
      <c r="F417" s="72">
        <v>27384</v>
      </c>
      <c r="G417" s="2">
        <v>3300000</v>
      </c>
      <c r="H417" s="2">
        <v>521000</v>
      </c>
    </row>
    <row r="418" spans="1:8" x14ac:dyDescent="0.2">
      <c r="A418" s="72">
        <v>26908</v>
      </c>
      <c r="B418" s="73">
        <v>60.8</v>
      </c>
      <c r="C418" s="2">
        <v>77276</v>
      </c>
      <c r="D418" s="73">
        <v>4.8</v>
      </c>
      <c r="F418" s="72">
        <v>27391</v>
      </c>
      <c r="G418" s="2">
        <v>3396000</v>
      </c>
      <c r="H418" s="2">
        <v>537000</v>
      </c>
    </row>
    <row r="419" spans="1:8" x14ac:dyDescent="0.2">
      <c r="A419" s="72">
        <v>26938</v>
      </c>
      <c r="B419" s="73">
        <v>60.9</v>
      </c>
      <c r="C419" s="2">
        <v>77607</v>
      </c>
      <c r="D419" s="73">
        <v>4.5999999999999996</v>
      </c>
      <c r="F419" s="72">
        <v>27398</v>
      </c>
      <c r="G419" s="2">
        <v>3554000</v>
      </c>
      <c r="H419" s="2">
        <v>456000</v>
      </c>
    </row>
    <row r="420" spans="1:8" x14ac:dyDescent="0.2">
      <c r="A420" s="72">
        <v>26969</v>
      </c>
      <c r="B420" s="73">
        <v>61.2</v>
      </c>
      <c r="C420" s="2">
        <v>77920</v>
      </c>
      <c r="D420" s="73">
        <v>4.8</v>
      </c>
      <c r="F420" s="72">
        <v>27405</v>
      </c>
      <c r="G420" s="2">
        <v>3557000</v>
      </c>
      <c r="H420" s="2">
        <v>554000</v>
      </c>
    </row>
    <row r="421" spans="1:8" x14ac:dyDescent="0.2">
      <c r="A421" s="72">
        <v>26999</v>
      </c>
      <c r="B421" s="73">
        <v>61.2</v>
      </c>
      <c r="C421" s="2">
        <v>78031</v>
      </c>
      <c r="D421" s="73">
        <v>4.9000000000000004</v>
      </c>
      <c r="F421" s="72">
        <v>27412</v>
      </c>
      <c r="G421" s="2">
        <v>3658000</v>
      </c>
      <c r="H421" s="2">
        <v>575000</v>
      </c>
    </row>
    <row r="422" spans="1:8" x14ac:dyDescent="0.2">
      <c r="A422" s="72">
        <v>27030</v>
      </c>
      <c r="B422" s="73">
        <v>61.3</v>
      </c>
      <c r="C422" s="2">
        <v>78100</v>
      </c>
      <c r="D422" s="73">
        <v>5.0999999999999996</v>
      </c>
      <c r="F422" s="72">
        <v>27419</v>
      </c>
      <c r="G422" s="2">
        <v>3708000</v>
      </c>
      <c r="H422" s="2">
        <v>555000</v>
      </c>
    </row>
    <row r="423" spans="1:8" x14ac:dyDescent="0.2">
      <c r="A423" s="72">
        <v>27061</v>
      </c>
      <c r="B423" s="73">
        <v>61.4</v>
      </c>
      <c r="C423" s="2">
        <v>78254</v>
      </c>
      <c r="D423" s="73">
        <v>5.2</v>
      </c>
      <c r="F423" s="72">
        <v>27426</v>
      </c>
      <c r="G423" s="2">
        <v>3738000</v>
      </c>
      <c r="H423" s="2">
        <v>559000</v>
      </c>
    </row>
    <row r="424" spans="1:8" x14ac:dyDescent="0.2">
      <c r="A424" s="72">
        <v>27089</v>
      </c>
      <c r="B424" s="73">
        <v>61.3</v>
      </c>
      <c r="C424" s="2">
        <v>78296</v>
      </c>
      <c r="D424" s="73">
        <v>5.0999999999999996</v>
      </c>
      <c r="F424" s="72">
        <v>27433</v>
      </c>
      <c r="G424" s="2">
        <v>3856000</v>
      </c>
      <c r="H424" s="2">
        <v>545000</v>
      </c>
    </row>
    <row r="425" spans="1:8" x14ac:dyDescent="0.2">
      <c r="A425" s="72">
        <v>27120</v>
      </c>
      <c r="B425" s="73">
        <v>61.1</v>
      </c>
      <c r="C425" s="2">
        <v>78382</v>
      </c>
      <c r="D425" s="73">
        <v>5.0999999999999996</v>
      </c>
      <c r="F425" s="72">
        <v>27440</v>
      </c>
      <c r="G425" s="2">
        <v>3863000</v>
      </c>
      <c r="H425" s="2">
        <v>530000</v>
      </c>
    </row>
    <row r="426" spans="1:8" x14ac:dyDescent="0.2">
      <c r="A426" s="72">
        <v>27150</v>
      </c>
      <c r="B426" s="73">
        <v>61.2</v>
      </c>
      <c r="C426" s="2">
        <v>78549</v>
      </c>
      <c r="D426" s="73">
        <v>5.0999999999999996</v>
      </c>
      <c r="F426" s="72">
        <v>27447</v>
      </c>
      <c r="G426" s="2">
        <v>3969000</v>
      </c>
      <c r="H426" s="2">
        <v>544000</v>
      </c>
    </row>
    <row r="427" spans="1:8" x14ac:dyDescent="0.2">
      <c r="A427" s="72">
        <v>27181</v>
      </c>
      <c r="B427" s="73">
        <v>61.2</v>
      </c>
      <c r="C427" s="2">
        <v>78604</v>
      </c>
      <c r="D427" s="73">
        <v>5.4</v>
      </c>
      <c r="F427" s="72">
        <v>27454</v>
      </c>
      <c r="G427" s="2">
        <v>4023000</v>
      </c>
      <c r="H427" s="2">
        <v>546000</v>
      </c>
    </row>
    <row r="428" spans="1:8" x14ac:dyDescent="0.2">
      <c r="A428" s="72">
        <v>27211</v>
      </c>
      <c r="B428" s="73">
        <v>61.4</v>
      </c>
      <c r="C428" s="2">
        <v>78636</v>
      </c>
      <c r="D428" s="73">
        <v>5.5</v>
      </c>
      <c r="F428" s="72">
        <v>27461</v>
      </c>
      <c r="G428" s="2">
        <v>4147000</v>
      </c>
      <c r="H428" s="2">
        <v>551000</v>
      </c>
    </row>
    <row r="429" spans="1:8" x14ac:dyDescent="0.2">
      <c r="A429" s="72">
        <v>27242</v>
      </c>
      <c r="B429" s="73">
        <v>61.2</v>
      </c>
      <c r="C429" s="2">
        <v>78619</v>
      </c>
      <c r="D429" s="73">
        <v>5.5</v>
      </c>
      <c r="F429" s="72">
        <v>27468</v>
      </c>
      <c r="G429" s="2">
        <v>4195000</v>
      </c>
      <c r="H429" s="2">
        <v>531000</v>
      </c>
    </row>
    <row r="430" spans="1:8" x14ac:dyDescent="0.2">
      <c r="A430" s="72">
        <v>27273</v>
      </c>
      <c r="B430" s="73">
        <v>61.4</v>
      </c>
      <c r="C430" s="2">
        <v>78610</v>
      </c>
      <c r="D430" s="73">
        <v>5.9</v>
      </c>
      <c r="F430" s="72">
        <v>27475</v>
      </c>
      <c r="G430" s="2">
        <v>4201000</v>
      </c>
      <c r="H430" s="2">
        <v>550000</v>
      </c>
    </row>
    <row r="431" spans="1:8" x14ac:dyDescent="0.2">
      <c r="A431" s="72">
        <v>27303</v>
      </c>
      <c r="B431" s="73">
        <v>61.3</v>
      </c>
      <c r="C431" s="2">
        <v>78630</v>
      </c>
      <c r="D431" s="73">
        <v>6</v>
      </c>
      <c r="F431" s="72">
        <v>27482</v>
      </c>
      <c r="G431" s="2">
        <v>4310000</v>
      </c>
      <c r="H431" s="2">
        <v>555000</v>
      </c>
    </row>
    <row r="432" spans="1:8" x14ac:dyDescent="0.2">
      <c r="A432" s="72">
        <v>27334</v>
      </c>
      <c r="B432" s="73">
        <v>61.3</v>
      </c>
      <c r="C432" s="2">
        <v>78265</v>
      </c>
      <c r="D432" s="73">
        <v>6.6</v>
      </c>
      <c r="F432" s="72">
        <v>27489</v>
      </c>
      <c r="G432" s="2">
        <v>4428000</v>
      </c>
      <c r="H432" s="2">
        <v>537000</v>
      </c>
    </row>
    <row r="433" spans="1:8" x14ac:dyDescent="0.2">
      <c r="A433" s="72">
        <v>27364</v>
      </c>
      <c r="B433" s="73">
        <v>61.2</v>
      </c>
      <c r="C433" s="2">
        <v>77652</v>
      </c>
      <c r="D433" s="73">
        <v>7.2</v>
      </c>
      <c r="F433" s="72">
        <v>27496</v>
      </c>
      <c r="G433" s="2">
        <v>4449000</v>
      </c>
      <c r="H433" s="2">
        <v>520000</v>
      </c>
    </row>
    <row r="434" spans="1:8" x14ac:dyDescent="0.2">
      <c r="A434" s="72">
        <v>27395</v>
      </c>
      <c r="B434" s="73">
        <v>61.4</v>
      </c>
      <c r="C434" s="2">
        <v>77293</v>
      </c>
      <c r="D434" s="73">
        <v>8.1</v>
      </c>
      <c r="F434" s="72">
        <v>27503</v>
      </c>
      <c r="G434" s="2">
        <v>4497000</v>
      </c>
      <c r="H434" s="2">
        <v>531000</v>
      </c>
    </row>
    <row r="435" spans="1:8" x14ac:dyDescent="0.2">
      <c r="A435" s="72">
        <v>27426</v>
      </c>
      <c r="B435" s="73">
        <v>61</v>
      </c>
      <c r="C435" s="2">
        <v>76918</v>
      </c>
      <c r="D435" s="73">
        <v>8.1</v>
      </c>
      <c r="F435" s="72">
        <v>27510</v>
      </c>
      <c r="G435" s="2">
        <v>4520000</v>
      </c>
      <c r="H435" s="2">
        <v>513000</v>
      </c>
    </row>
    <row r="436" spans="1:8" x14ac:dyDescent="0.2">
      <c r="A436" s="72">
        <v>27454</v>
      </c>
      <c r="B436" s="73">
        <v>61.2</v>
      </c>
      <c r="C436" s="2">
        <v>76648</v>
      </c>
      <c r="D436" s="73">
        <v>8.6</v>
      </c>
      <c r="F436" s="72">
        <v>27517</v>
      </c>
      <c r="G436" s="2">
        <v>4604000</v>
      </c>
      <c r="H436" s="2">
        <v>505000</v>
      </c>
    </row>
    <row r="437" spans="1:8" x14ac:dyDescent="0.2">
      <c r="A437" s="72">
        <v>27485</v>
      </c>
      <c r="B437" s="73">
        <v>61.3</v>
      </c>
      <c r="C437" s="2">
        <v>76460</v>
      </c>
      <c r="D437" s="73">
        <v>8.8000000000000007</v>
      </c>
      <c r="F437" s="72">
        <v>27524</v>
      </c>
      <c r="G437" s="2">
        <v>4597000</v>
      </c>
      <c r="H437" s="2">
        <v>507000</v>
      </c>
    </row>
    <row r="438" spans="1:8" x14ac:dyDescent="0.2">
      <c r="A438" s="72">
        <v>27515</v>
      </c>
      <c r="B438" s="73">
        <v>61.5</v>
      </c>
      <c r="C438" s="2">
        <v>76624</v>
      </c>
      <c r="D438" s="73">
        <v>9</v>
      </c>
      <c r="F438" s="72">
        <v>27531</v>
      </c>
      <c r="G438" s="2">
        <v>4592000</v>
      </c>
      <c r="H438" s="2">
        <v>514000</v>
      </c>
    </row>
    <row r="439" spans="1:8" x14ac:dyDescent="0.2">
      <c r="A439" s="72">
        <v>27546</v>
      </c>
      <c r="B439" s="73">
        <v>61.2</v>
      </c>
      <c r="C439" s="2">
        <v>76521</v>
      </c>
      <c r="D439" s="73">
        <v>8.8000000000000007</v>
      </c>
      <c r="F439" s="72">
        <v>27538</v>
      </c>
      <c r="G439" s="2">
        <v>4461000</v>
      </c>
      <c r="H439" s="2">
        <v>493000</v>
      </c>
    </row>
    <row r="440" spans="1:8" x14ac:dyDescent="0.2">
      <c r="A440" s="72">
        <v>27576</v>
      </c>
      <c r="B440" s="73">
        <v>61.3</v>
      </c>
      <c r="C440" s="2">
        <v>76770</v>
      </c>
      <c r="D440" s="73">
        <v>8.6</v>
      </c>
      <c r="F440" s="72">
        <v>27545</v>
      </c>
      <c r="G440" s="2">
        <v>4637000</v>
      </c>
      <c r="H440" s="2">
        <v>475000</v>
      </c>
    </row>
    <row r="441" spans="1:8" x14ac:dyDescent="0.2">
      <c r="A441" s="72">
        <v>27607</v>
      </c>
      <c r="B441" s="73">
        <v>61.3</v>
      </c>
      <c r="C441" s="2">
        <v>77153</v>
      </c>
      <c r="D441" s="73">
        <v>8.4</v>
      </c>
      <c r="F441" s="72">
        <v>27552</v>
      </c>
      <c r="G441" s="2">
        <v>4484000</v>
      </c>
      <c r="H441" s="2">
        <v>529000</v>
      </c>
    </row>
    <row r="442" spans="1:8" x14ac:dyDescent="0.2">
      <c r="A442" s="72">
        <v>27638</v>
      </c>
      <c r="B442" s="73">
        <v>61.2</v>
      </c>
      <c r="C442" s="2">
        <v>77228</v>
      </c>
      <c r="D442" s="73">
        <v>8.4</v>
      </c>
      <c r="F442" s="72">
        <v>27559</v>
      </c>
      <c r="G442" s="2">
        <v>4529000</v>
      </c>
      <c r="H442" s="2">
        <v>497000</v>
      </c>
    </row>
    <row r="443" spans="1:8" x14ac:dyDescent="0.2">
      <c r="A443" s="72">
        <v>27668</v>
      </c>
      <c r="B443" s="73">
        <v>61.2</v>
      </c>
      <c r="C443" s="2">
        <v>77540</v>
      </c>
      <c r="D443" s="73">
        <v>8.4</v>
      </c>
      <c r="F443" s="72">
        <v>27566</v>
      </c>
      <c r="G443" s="2">
        <v>4406000</v>
      </c>
      <c r="H443" s="2">
        <v>497000</v>
      </c>
    </row>
    <row r="444" spans="1:8" x14ac:dyDescent="0.2">
      <c r="A444" s="72">
        <v>27699</v>
      </c>
      <c r="B444" s="73">
        <v>61.1</v>
      </c>
      <c r="C444" s="2">
        <v>77685</v>
      </c>
      <c r="D444" s="73">
        <v>8.3000000000000007</v>
      </c>
      <c r="F444" s="72">
        <v>27573</v>
      </c>
      <c r="G444" s="2">
        <v>4090000</v>
      </c>
      <c r="H444" s="2">
        <v>459000</v>
      </c>
    </row>
    <row r="445" spans="1:8" x14ac:dyDescent="0.2">
      <c r="A445" s="72">
        <v>27729</v>
      </c>
      <c r="B445" s="73">
        <v>61.1</v>
      </c>
      <c r="C445" s="2">
        <v>78017</v>
      </c>
      <c r="D445" s="73">
        <v>8.1999999999999993</v>
      </c>
      <c r="F445" s="72">
        <v>27580</v>
      </c>
      <c r="G445" s="2">
        <v>4239000</v>
      </c>
      <c r="H445" s="2">
        <v>423000</v>
      </c>
    </row>
    <row r="446" spans="1:8" x14ac:dyDescent="0.2">
      <c r="A446" s="72">
        <v>27760</v>
      </c>
      <c r="B446" s="73">
        <v>61.3</v>
      </c>
      <c r="C446" s="2">
        <v>78503</v>
      </c>
      <c r="D446" s="73">
        <v>7.9</v>
      </c>
      <c r="F446" s="72">
        <v>27587</v>
      </c>
      <c r="G446" s="2">
        <v>4057000</v>
      </c>
      <c r="H446" s="2">
        <v>446000</v>
      </c>
    </row>
    <row r="447" spans="1:8" x14ac:dyDescent="0.2">
      <c r="A447" s="72">
        <v>27791</v>
      </c>
      <c r="B447" s="73">
        <v>61.3</v>
      </c>
      <c r="C447" s="2">
        <v>78816</v>
      </c>
      <c r="D447" s="73">
        <v>7.7</v>
      </c>
      <c r="F447" s="72">
        <v>27594</v>
      </c>
      <c r="G447" s="2">
        <v>4208000</v>
      </c>
      <c r="H447" s="2">
        <v>445000</v>
      </c>
    </row>
    <row r="448" spans="1:8" x14ac:dyDescent="0.2">
      <c r="A448" s="72">
        <v>27820</v>
      </c>
      <c r="B448" s="73">
        <v>61.3</v>
      </c>
      <c r="C448" s="2">
        <v>79048</v>
      </c>
      <c r="D448" s="73">
        <v>7.6</v>
      </c>
      <c r="F448" s="72">
        <v>27601</v>
      </c>
      <c r="G448" s="2">
        <v>4075000</v>
      </c>
      <c r="H448" s="2">
        <v>454000</v>
      </c>
    </row>
    <row r="449" spans="1:8" x14ac:dyDescent="0.2">
      <c r="A449" s="72">
        <v>27851</v>
      </c>
      <c r="B449" s="73">
        <v>61.6</v>
      </c>
      <c r="C449" s="2">
        <v>79292</v>
      </c>
      <c r="D449" s="73">
        <v>7.7</v>
      </c>
      <c r="F449" s="72">
        <v>27608</v>
      </c>
      <c r="G449" s="2">
        <v>4015000</v>
      </c>
      <c r="H449" s="2">
        <v>454000</v>
      </c>
    </row>
    <row r="450" spans="1:8" x14ac:dyDescent="0.2">
      <c r="A450" s="72">
        <v>27881</v>
      </c>
      <c r="B450" s="73">
        <v>61.5</v>
      </c>
      <c r="C450" s="2">
        <v>79312</v>
      </c>
      <c r="D450" s="73">
        <v>7.4</v>
      </c>
      <c r="F450" s="72">
        <v>27615</v>
      </c>
      <c r="G450" s="2">
        <v>4028000</v>
      </c>
      <c r="H450" s="2">
        <v>459000</v>
      </c>
    </row>
    <row r="451" spans="1:8" x14ac:dyDescent="0.2">
      <c r="A451" s="72">
        <v>27912</v>
      </c>
      <c r="B451" s="73">
        <v>61.5</v>
      </c>
      <c r="C451" s="2">
        <v>79376</v>
      </c>
      <c r="D451" s="73">
        <v>7.6</v>
      </c>
      <c r="F451" s="72">
        <v>27622</v>
      </c>
      <c r="G451" s="2">
        <v>3934000</v>
      </c>
      <c r="H451" s="2">
        <v>444000</v>
      </c>
    </row>
    <row r="452" spans="1:8" x14ac:dyDescent="0.2">
      <c r="A452" s="72">
        <v>27942</v>
      </c>
      <c r="B452" s="73">
        <v>61.8</v>
      </c>
      <c r="C452" s="2">
        <v>79547</v>
      </c>
      <c r="D452" s="73">
        <v>7.8</v>
      </c>
      <c r="F452" s="72">
        <v>27629</v>
      </c>
      <c r="G452" s="2">
        <v>3940000</v>
      </c>
      <c r="H452" s="2">
        <v>457000</v>
      </c>
    </row>
    <row r="453" spans="1:8" x14ac:dyDescent="0.2">
      <c r="A453" s="72">
        <v>27973</v>
      </c>
      <c r="B453" s="73">
        <v>61.8</v>
      </c>
      <c r="C453" s="2">
        <v>79704</v>
      </c>
      <c r="D453" s="73">
        <v>7.8</v>
      </c>
      <c r="F453" s="72">
        <v>27636</v>
      </c>
      <c r="G453" s="2">
        <v>3854000</v>
      </c>
      <c r="H453" s="2">
        <v>446000</v>
      </c>
    </row>
    <row r="454" spans="1:8" x14ac:dyDescent="0.2">
      <c r="A454" s="72">
        <v>28004</v>
      </c>
      <c r="B454" s="73">
        <v>61.6</v>
      </c>
      <c r="C454" s="2">
        <v>79892</v>
      </c>
      <c r="D454" s="73">
        <v>7.6</v>
      </c>
      <c r="F454" s="72">
        <v>27643</v>
      </c>
      <c r="G454" s="2">
        <v>3969000</v>
      </c>
      <c r="H454" s="2">
        <v>447000</v>
      </c>
    </row>
    <row r="455" spans="1:8" x14ac:dyDescent="0.2">
      <c r="A455" s="72">
        <v>28034</v>
      </c>
      <c r="B455" s="73">
        <v>61.6</v>
      </c>
      <c r="C455" s="2">
        <v>79911</v>
      </c>
      <c r="D455" s="73">
        <v>7.7</v>
      </c>
      <c r="F455" s="72">
        <v>27650</v>
      </c>
      <c r="G455" s="2">
        <v>3880000</v>
      </c>
      <c r="H455" s="2">
        <v>456000</v>
      </c>
    </row>
    <row r="456" spans="1:8" x14ac:dyDescent="0.2">
      <c r="A456" s="72">
        <v>28065</v>
      </c>
      <c r="B456" s="73">
        <v>61.9</v>
      </c>
      <c r="C456" s="2">
        <v>80240</v>
      </c>
      <c r="D456" s="73">
        <v>7.8</v>
      </c>
      <c r="F456" s="72">
        <v>27657</v>
      </c>
      <c r="G456" s="2">
        <v>3880000</v>
      </c>
      <c r="H456" s="2">
        <v>433000</v>
      </c>
    </row>
    <row r="457" spans="1:8" x14ac:dyDescent="0.2">
      <c r="A457" s="72">
        <v>28095</v>
      </c>
      <c r="B457" s="73">
        <v>61.8</v>
      </c>
      <c r="C457" s="2">
        <v>80448</v>
      </c>
      <c r="D457" s="73">
        <v>7.8</v>
      </c>
      <c r="F457" s="72">
        <v>27664</v>
      </c>
      <c r="G457" s="2">
        <v>3851000</v>
      </c>
      <c r="H457" s="2">
        <v>445000</v>
      </c>
    </row>
    <row r="458" spans="1:8" x14ac:dyDescent="0.2">
      <c r="A458" s="72">
        <v>28126</v>
      </c>
      <c r="B458" s="73">
        <v>61.6</v>
      </c>
      <c r="C458" s="2">
        <v>80690</v>
      </c>
      <c r="D458" s="73">
        <v>7.5</v>
      </c>
      <c r="F458" s="72">
        <v>27671</v>
      </c>
      <c r="G458" s="2">
        <v>3868000</v>
      </c>
      <c r="H458" s="2">
        <v>426000</v>
      </c>
    </row>
    <row r="459" spans="1:8" x14ac:dyDescent="0.2">
      <c r="A459" s="72">
        <v>28157</v>
      </c>
      <c r="B459" s="73">
        <v>61.9</v>
      </c>
      <c r="C459" s="2">
        <v>80988</v>
      </c>
      <c r="D459" s="73">
        <v>7.6</v>
      </c>
      <c r="F459" s="72">
        <v>27678</v>
      </c>
      <c r="G459" s="2">
        <v>3675000</v>
      </c>
      <c r="H459" s="2">
        <v>429000</v>
      </c>
    </row>
    <row r="460" spans="1:8" x14ac:dyDescent="0.2">
      <c r="A460" s="72">
        <v>28185</v>
      </c>
      <c r="B460" s="73">
        <v>62</v>
      </c>
      <c r="C460" s="2">
        <v>81391</v>
      </c>
      <c r="D460" s="73">
        <v>7.4</v>
      </c>
      <c r="F460" s="72">
        <v>27685</v>
      </c>
      <c r="G460" s="2">
        <v>3720000</v>
      </c>
      <c r="H460" s="2">
        <v>404000</v>
      </c>
    </row>
    <row r="461" spans="1:8" x14ac:dyDescent="0.2">
      <c r="A461" s="72">
        <v>28216</v>
      </c>
      <c r="B461" s="73">
        <v>62.1</v>
      </c>
      <c r="C461" s="2">
        <v>81728</v>
      </c>
      <c r="D461" s="73">
        <v>7.2</v>
      </c>
      <c r="F461" s="72">
        <v>27692</v>
      </c>
      <c r="G461" s="2">
        <v>3662000</v>
      </c>
      <c r="H461" s="2">
        <v>426000</v>
      </c>
    </row>
    <row r="462" spans="1:8" x14ac:dyDescent="0.2">
      <c r="A462" s="72">
        <v>28246</v>
      </c>
      <c r="B462" s="73">
        <v>62.2</v>
      </c>
      <c r="C462" s="2">
        <v>82088</v>
      </c>
      <c r="D462" s="73">
        <v>7</v>
      </c>
      <c r="F462" s="72">
        <v>27699</v>
      </c>
      <c r="G462" s="2">
        <v>3607000</v>
      </c>
      <c r="H462" s="2">
        <v>414000</v>
      </c>
    </row>
    <row r="463" spans="1:8" x14ac:dyDescent="0.2">
      <c r="A463" s="72">
        <v>28277</v>
      </c>
      <c r="B463" s="73">
        <v>62.4</v>
      </c>
      <c r="C463" s="2">
        <v>82488</v>
      </c>
      <c r="D463" s="73">
        <v>7.2</v>
      </c>
      <c r="F463" s="72">
        <v>27706</v>
      </c>
      <c r="G463" s="2">
        <v>3546000</v>
      </c>
      <c r="H463" s="2">
        <v>415000</v>
      </c>
    </row>
    <row r="464" spans="1:8" x14ac:dyDescent="0.2">
      <c r="A464" s="72">
        <v>28307</v>
      </c>
      <c r="B464" s="73">
        <v>62.1</v>
      </c>
      <c r="C464" s="2">
        <v>82834</v>
      </c>
      <c r="D464" s="73">
        <v>6.9</v>
      </c>
      <c r="F464" s="72">
        <v>27713</v>
      </c>
      <c r="G464" s="2">
        <v>3551000</v>
      </c>
      <c r="H464" s="2">
        <v>386000</v>
      </c>
    </row>
    <row r="465" spans="1:8" x14ac:dyDescent="0.2">
      <c r="A465" s="72">
        <v>28338</v>
      </c>
      <c r="B465" s="73">
        <v>62.3</v>
      </c>
      <c r="C465" s="2">
        <v>83075</v>
      </c>
      <c r="D465" s="73">
        <v>7</v>
      </c>
      <c r="F465" s="72">
        <v>27720</v>
      </c>
      <c r="G465" s="2">
        <v>3377000</v>
      </c>
      <c r="H465" s="2">
        <v>401000</v>
      </c>
    </row>
    <row r="466" spans="1:8" x14ac:dyDescent="0.2">
      <c r="A466" s="72">
        <v>28369</v>
      </c>
      <c r="B466" s="73">
        <v>62.3</v>
      </c>
      <c r="C466" s="2">
        <v>83532</v>
      </c>
      <c r="D466" s="73">
        <v>6.8</v>
      </c>
      <c r="F466" s="72">
        <v>27727</v>
      </c>
      <c r="G466" s="2">
        <v>3391000</v>
      </c>
      <c r="H466" s="2">
        <v>387000</v>
      </c>
    </row>
    <row r="467" spans="1:8" x14ac:dyDescent="0.2">
      <c r="A467" s="72">
        <v>28399</v>
      </c>
      <c r="B467" s="73">
        <v>62.4</v>
      </c>
      <c r="C467" s="2">
        <v>83800</v>
      </c>
      <c r="D467" s="73">
        <v>6.8</v>
      </c>
      <c r="F467" s="72">
        <v>27734</v>
      </c>
      <c r="G467" s="2">
        <v>3331000</v>
      </c>
      <c r="H467" s="2">
        <v>373000</v>
      </c>
    </row>
    <row r="468" spans="1:8" x14ac:dyDescent="0.2">
      <c r="A468" s="72">
        <v>28430</v>
      </c>
      <c r="B468" s="73">
        <v>62.8</v>
      </c>
      <c r="C468" s="2">
        <v>84173</v>
      </c>
      <c r="D468" s="73">
        <v>6.8</v>
      </c>
      <c r="F468" s="72">
        <v>27741</v>
      </c>
      <c r="G468" s="2">
        <v>3266000</v>
      </c>
      <c r="H468" s="2">
        <v>368000</v>
      </c>
    </row>
    <row r="469" spans="1:8" x14ac:dyDescent="0.2">
      <c r="A469" s="72">
        <v>28460</v>
      </c>
      <c r="B469" s="73">
        <v>62.7</v>
      </c>
      <c r="C469" s="2">
        <v>84410</v>
      </c>
      <c r="D469" s="73">
        <v>6.4</v>
      </c>
      <c r="F469" s="72">
        <v>27748</v>
      </c>
      <c r="G469" s="2">
        <v>3124000</v>
      </c>
      <c r="H469" s="2">
        <v>365000</v>
      </c>
    </row>
    <row r="470" spans="1:8" x14ac:dyDescent="0.2">
      <c r="A470" s="72">
        <v>28491</v>
      </c>
      <c r="B470" s="73">
        <v>62.8</v>
      </c>
      <c r="C470" s="2">
        <v>84594</v>
      </c>
      <c r="D470" s="73">
        <v>6.4</v>
      </c>
      <c r="F470" s="72">
        <v>27755</v>
      </c>
      <c r="G470" s="2">
        <v>3072000</v>
      </c>
      <c r="H470" s="2">
        <v>391000</v>
      </c>
    </row>
    <row r="471" spans="1:8" x14ac:dyDescent="0.2">
      <c r="A471" s="72">
        <v>28522</v>
      </c>
      <c r="B471" s="73">
        <v>62.7</v>
      </c>
      <c r="C471" s="2">
        <v>84948</v>
      </c>
      <c r="D471" s="73">
        <v>6.3</v>
      </c>
      <c r="F471" s="72">
        <v>27762</v>
      </c>
      <c r="G471" s="2">
        <v>3214000</v>
      </c>
      <c r="H471" s="2">
        <v>362000</v>
      </c>
    </row>
    <row r="472" spans="1:8" x14ac:dyDescent="0.2">
      <c r="A472" s="72">
        <v>28550</v>
      </c>
      <c r="B472" s="73">
        <v>62.8</v>
      </c>
      <c r="C472" s="2">
        <v>85460</v>
      </c>
      <c r="D472" s="73">
        <v>6.3</v>
      </c>
      <c r="F472" s="72">
        <v>27769</v>
      </c>
      <c r="G472" s="2">
        <v>3084000</v>
      </c>
      <c r="H472" s="2">
        <v>402000</v>
      </c>
    </row>
    <row r="473" spans="1:8" x14ac:dyDescent="0.2">
      <c r="A473" s="72">
        <v>28581</v>
      </c>
      <c r="B473" s="73">
        <v>63</v>
      </c>
      <c r="C473" s="2">
        <v>86162</v>
      </c>
      <c r="D473" s="73">
        <v>6.1</v>
      </c>
      <c r="F473" s="72">
        <v>27776</v>
      </c>
      <c r="G473" s="2">
        <v>3026000</v>
      </c>
      <c r="H473" s="2">
        <v>370000</v>
      </c>
    </row>
    <row r="474" spans="1:8" x14ac:dyDescent="0.2">
      <c r="A474" s="72">
        <v>28611</v>
      </c>
      <c r="B474" s="73">
        <v>63.1</v>
      </c>
      <c r="C474" s="2">
        <v>86509</v>
      </c>
      <c r="D474" s="73">
        <v>6</v>
      </c>
      <c r="F474" s="72">
        <v>27783</v>
      </c>
      <c r="G474" s="2">
        <v>2957000</v>
      </c>
      <c r="H474" s="2">
        <v>363000</v>
      </c>
    </row>
    <row r="475" spans="1:8" x14ac:dyDescent="0.2">
      <c r="A475" s="72">
        <v>28642</v>
      </c>
      <c r="B475" s="73">
        <v>63.3</v>
      </c>
      <c r="C475" s="2">
        <v>86950</v>
      </c>
      <c r="D475" s="73">
        <v>5.9</v>
      </c>
      <c r="F475" s="72">
        <v>27790</v>
      </c>
      <c r="G475" s="2">
        <v>2895000</v>
      </c>
      <c r="H475" s="2">
        <v>359000</v>
      </c>
    </row>
    <row r="476" spans="1:8" x14ac:dyDescent="0.2">
      <c r="A476" s="72">
        <v>28672</v>
      </c>
      <c r="B476" s="73">
        <v>63.2</v>
      </c>
      <c r="C476" s="2">
        <v>87204</v>
      </c>
      <c r="D476" s="73">
        <v>6.2</v>
      </c>
      <c r="F476" s="72">
        <v>27797</v>
      </c>
      <c r="G476" s="2">
        <v>2912000</v>
      </c>
      <c r="H476" s="2">
        <v>353000</v>
      </c>
    </row>
    <row r="477" spans="1:8" x14ac:dyDescent="0.2">
      <c r="A477" s="72">
        <v>28703</v>
      </c>
      <c r="B477" s="73">
        <v>63.2</v>
      </c>
      <c r="C477" s="2">
        <v>87483</v>
      </c>
      <c r="D477" s="73">
        <v>5.9</v>
      </c>
      <c r="F477" s="72">
        <v>27804</v>
      </c>
      <c r="G477" s="2">
        <v>2867000</v>
      </c>
      <c r="H477" s="2">
        <v>344000</v>
      </c>
    </row>
    <row r="478" spans="1:8" x14ac:dyDescent="0.2">
      <c r="A478" s="72">
        <v>28734</v>
      </c>
      <c r="B478" s="73">
        <v>63.3</v>
      </c>
      <c r="C478" s="2">
        <v>87621</v>
      </c>
      <c r="D478" s="73">
        <v>6</v>
      </c>
      <c r="F478" s="72">
        <v>27811</v>
      </c>
      <c r="G478" s="2">
        <v>2862000</v>
      </c>
      <c r="H478" s="2">
        <v>347000</v>
      </c>
    </row>
    <row r="479" spans="1:8" x14ac:dyDescent="0.2">
      <c r="A479" s="72">
        <v>28764</v>
      </c>
      <c r="B479" s="73">
        <v>63.3</v>
      </c>
      <c r="C479" s="2">
        <v>87956</v>
      </c>
      <c r="D479" s="73">
        <v>5.8</v>
      </c>
      <c r="F479" s="72">
        <v>27818</v>
      </c>
      <c r="G479" s="2">
        <v>2822000</v>
      </c>
      <c r="H479" s="2">
        <v>349000</v>
      </c>
    </row>
    <row r="480" spans="1:8" x14ac:dyDescent="0.2">
      <c r="A480" s="72">
        <v>28795</v>
      </c>
      <c r="B480" s="73">
        <v>63.5</v>
      </c>
      <c r="C480" s="2">
        <v>88391</v>
      </c>
      <c r="D480" s="73">
        <v>5.9</v>
      </c>
      <c r="F480" s="72">
        <v>27825</v>
      </c>
      <c r="G480" s="2">
        <v>2853000</v>
      </c>
      <c r="H480" s="2">
        <v>348000</v>
      </c>
    </row>
    <row r="481" spans="1:8" x14ac:dyDescent="0.2">
      <c r="A481" s="72">
        <v>28825</v>
      </c>
      <c r="B481" s="73">
        <v>63.6</v>
      </c>
      <c r="C481" s="2">
        <v>88671</v>
      </c>
      <c r="D481" s="73">
        <v>6</v>
      </c>
      <c r="F481" s="72">
        <v>27832</v>
      </c>
      <c r="G481" s="2">
        <v>2837000</v>
      </c>
      <c r="H481" s="2">
        <v>360000</v>
      </c>
    </row>
    <row r="482" spans="1:8" x14ac:dyDescent="0.2">
      <c r="A482" s="72">
        <v>28856</v>
      </c>
      <c r="B482" s="73">
        <v>63.6</v>
      </c>
      <c r="C482" s="2">
        <v>88808</v>
      </c>
      <c r="D482" s="73">
        <v>5.9</v>
      </c>
      <c r="F482" s="72">
        <v>27839</v>
      </c>
      <c r="G482" s="2">
        <v>2852000</v>
      </c>
      <c r="H482" s="2">
        <v>368000</v>
      </c>
    </row>
    <row r="483" spans="1:8" x14ac:dyDescent="0.2">
      <c r="A483" s="72">
        <v>28887</v>
      </c>
      <c r="B483" s="73">
        <v>63.8</v>
      </c>
      <c r="C483" s="2">
        <v>89055</v>
      </c>
      <c r="D483" s="73">
        <v>5.9</v>
      </c>
      <c r="F483" s="72">
        <v>27846</v>
      </c>
      <c r="G483" s="2">
        <v>2830000</v>
      </c>
      <c r="H483" s="2">
        <v>366000</v>
      </c>
    </row>
    <row r="484" spans="1:8" x14ac:dyDescent="0.2">
      <c r="A484" s="72">
        <v>28915</v>
      </c>
      <c r="B484" s="73">
        <v>63.8</v>
      </c>
      <c r="C484" s="2">
        <v>89479</v>
      </c>
      <c r="D484" s="73">
        <v>5.8</v>
      </c>
      <c r="F484" s="72">
        <v>27853</v>
      </c>
      <c r="G484" s="2">
        <v>2859000</v>
      </c>
      <c r="H484" s="2">
        <v>380000</v>
      </c>
    </row>
    <row r="485" spans="1:8" x14ac:dyDescent="0.2">
      <c r="A485" s="72">
        <v>28946</v>
      </c>
      <c r="B485" s="73">
        <v>63.5</v>
      </c>
      <c r="C485" s="2">
        <v>89417</v>
      </c>
      <c r="D485" s="73">
        <v>5.8</v>
      </c>
      <c r="F485" s="72">
        <v>27860</v>
      </c>
      <c r="G485" s="2">
        <v>2840000</v>
      </c>
      <c r="H485" s="2">
        <v>373000</v>
      </c>
    </row>
    <row r="486" spans="1:8" x14ac:dyDescent="0.2">
      <c r="A486" s="72">
        <v>28976</v>
      </c>
      <c r="B486" s="73">
        <v>63.3</v>
      </c>
      <c r="C486" s="2">
        <v>89789</v>
      </c>
      <c r="D486" s="73">
        <v>5.6</v>
      </c>
      <c r="F486" s="72">
        <v>27867</v>
      </c>
      <c r="G486" s="2">
        <v>2890000</v>
      </c>
      <c r="H486" s="2">
        <v>361000</v>
      </c>
    </row>
    <row r="487" spans="1:8" x14ac:dyDescent="0.2">
      <c r="A487" s="72">
        <v>29007</v>
      </c>
      <c r="B487" s="73">
        <v>63.5</v>
      </c>
      <c r="C487" s="2">
        <v>90108</v>
      </c>
      <c r="D487" s="73">
        <v>5.7</v>
      </c>
      <c r="F487" s="72">
        <v>27874</v>
      </c>
      <c r="G487" s="2">
        <v>2900000</v>
      </c>
      <c r="H487" s="2">
        <v>367000</v>
      </c>
    </row>
    <row r="488" spans="1:8" x14ac:dyDescent="0.2">
      <c r="A488" s="72">
        <v>29037</v>
      </c>
      <c r="B488" s="73">
        <v>63.6</v>
      </c>
      <c r="C488" s="2">
        <v>90217</v>
      </c>
      <c r="D488" s="73">
        <v>5.7</v>
      </c>
      <c r="F488" s="72">
        <v>27881</v>
      </c>
      <c r="G488" s="2">
        <v>2940000</v>
      </c>
      <c r="H488" s="2">
        <v>385000</v>
      </c>
    </row>
    <row r="489" spans="1:8" x14ac:dyDescent="0.2">
      <c r="A489" s="72">
        <v>29068</v>
      </c>
      <c r="B489" s="73">
        <v>63.6</v>
      </c>
      <c r="C489" s="2">
        <v>90300</v>
      </c>
      <c r="D489" s="73">
        <v>6</v>
      </c>
      <c r="F489" s="72">
        <v>27888</v>
      </c>
      <c r="G489" s="2">
        <v>2941000</v>
      </c>
      <c r="H489" s="2">
        <v>395000</v>
      </c>
    </row>
    <row r="490" spans="1:8" x14ac:dyDescent="0.2">
      <c r="A490" s="72">
        <v>29099</v>
      </c>
      <c r="B490" s="73">
        <v>63.8</v>
      </c>
      <c r="C490" s="2">
        <v>90327</v>
      </c>
      <c r="D490" s="73">
        <v>5.9</v>
      </c>
      <c r="F490" s="72">
        <v>27895</v>
      </c>
      <c r="G490" s="2">
        <v>2947000</v>
      </c>
      <c r="H490" s="2">
        <v>382000</v>
      </c>
    </row>
    <row r="491" spans="1:8" x14ac:dyDescent="0.2">
      <c r="A491" s="72">
        <v>29129</v>
      </c>
      <c r="B491" s="73">
        <v>63.7</v>
      </c>
      <c r="C491" s="2">
        <v>90481</v>
      </c>
      <c r="D491" s="73">
        <v>6</v>
      </c>
      <c r="F491" s="72">
        <v>27902</v>
      </c>
      <c r="G491" s="2">
        <v>2961000</v>
      </c>
      <c r="H491" s="2">
        <v>394000</v>
      </c>
    </row>
    <row r="492" spans="1:8" x14ac:dyDescent="0.2">
      <c r="A492" s="72">
        <v>29160</v>
      </c>
      <c r="B492" s="73">
        <v>63.7</v>
      </c>
      <c r="C492" s="2">
        <v>90573</v>
      </c>
      <c r="D492" s="73">
        <v>5.9</v>
      </c>
      <c r="F492" s="72">
        <v>27909</v>
      </c>
      <c r="G492" s="2">
        <v>2916000</v>
      </c>
      <c r="H492" s="2">
        <v>402000</v>
      </c>
    </row>
    <row r="493" spans="1:8" x14ac:dyDescent="0.2">
      <c r="A493" s="72">
        <v>29190</v>
      </c>
      <c r="B493" s="73">
        <v>63.9</v>
      </c>
      <c r="C493" s="2">
        <v>90672</v>
      </c>
      <c r="D493" s="73">
        <v>6</v>
      </c>
      <c r="F493" s="72">
        <v>27916</v>
      </c>
      <c r="G493" s="2">
        <v>2970000</v>
      </c>
      <c r="H493" s="2">
        <v>382000</v>
      </c>
    </row>
    <row r="494" spans="1:8" x14ac:dyDescent="0.2">
      <c r="A494" s="72">
        <v>29221</v>
      </c>
      <c r="B494" s="73">
        <v>64</v>
      </c>
      <c r="C494" s="2">
        <v>90800</v>
      </c>
      <c r="D494" s="73">
        <v>6.3</v>
      </c>
      <c r="F494" s="72">
        <v>27923</v>
      </c>
      <c r="G494" s="2">
        <v>2950000</v>
      </c>
      <c r="H494" s="2">
        <v>407000</v>
      </c>
    </row>
    <row r="495" spans="1:8" x14ac:dyDescent="0.2">
      <c r="A495" s="72">
        <v>29252</v>
      </c>
      <c r="B495" s="73">
        <v>64</v>
      </c>
      <c r="C495" s="2">
        <v>90883</v>
      </c>
      <c r="D495" s="73">
        <v>6.3</v>
      </c>
      <c r="F495" s="72">
        <v>27930</v>
      </c>
      <c r="G495" s="2">
        <v>3003000</v>
      </c>
      <c r="H495" s="2">
        <v>399000</v>
      </c>
    </row>
    <row r="496" spans="1:8" x14ac:dyDescent="0.2">
      <c r="A496" s="72">
        <v>29281</v>
      </c>
      <c r="B496" s="73">
        <v>63.7</v>
      </c>
      <c r="C496" s="2">
        <v>90994</v>
      </c>
      <c r="D496" s="73">
        <v>6.3</v>
      </c>
      <c r="F496" s="72">
        <v>27937</v>
      </c>
      <c r="G496" s="2">
        <v>3035000</v>
      </c>
      <c r="H496" s="2">
        <v>387000</v>
      </c>
    </row>
    <row r="497" spans="1:8" x14ac:dyDescent="0.2">
      <c r="A497" s="72">
        <v>29312</v>
      </c>
      <c r="B497" s="73">
        <v>63.8</v>
      </c>
      <c r="C497" s="2">
        <v>90849</v>
      </c>
      <c r="D497" s="73">
        <v>6.9</v>
      </c>
      <c r="F497" s="72">
        <v>27944</v>
      </c>
      <c r="G497" s="2">
        <v>2958000</v>
      </c>
      <c r="H497" s="2">
        <v>394000</v>
      </c>
    </row>
    <row r="498" spans="1:8" x14ac:dyDescent="0.2">
      <c r="A498" s="72">
        <v>29342</v>
      </c>
      <c r="B498" s="73">
        <v>63.9</v>
      </c>
      <c r="C498" s="2">
        <v>90420</v>
      </c>
      <c r="D498" s="73">
        <v>7.5</v>
      </c>
      <c r="F498" s="72">
        <v>27951</v>
      </c>
      <c r="G498" s="2">
        <v>2995000</v>
      </c>
      <c r="H498" s="2">
        <v>372000</v>
      </c>
    </row>
    <row r="499" spans="1:8" x14ac:dyDescent="0.2">
      <c r="A499" s="72">
        <v>29373</v>
      </c>
      <c r="B499" s="73">
        <v>63.7</v>
      </c>
      <c r="C499" s="2">
        <v>90101</v>
      </c>
      <c r="D499" s="73">
        <v>7.6</v>
      </c>
      <c r="F499" s="72">
        <v>27958</v>
      </c>
      <c r="G499" s="2">
        <v>3011000</v>
      </c>
      <c r="H499" s="2">
        <v>406000</v>
      </c>
    </row>
    <row r="500" spans="1:8" x14ac:dyDescent="0.2">
      <c r="A500" s="72">
        <v>29403</v>
      </c>
      <c r="B500" s="73">
        <v>63.8</v>
      </c>
      <c r="C500" s="2">
        <v>89840</v>
      </c>
      <c r="D500" s="73">
        <v>7.8</v>
      </c>
      <c r="F500" s="72">
        <v>27965</v>
      </c>
      <c r="G500" s="2">
        <v>3019000</v>
      </c>
      <c r="H500" s="2">
        <v>394000</v>
      </c>
    </row>
    <row r="501" spans="1:8" x14ac:dyDescent="0.2">
      <c r="A501" s="72">
        <v>29434</v>
      </c>
      <c r="B501" s="73">
        <v>63.7</v>
      </c>
      <c r="C501" s="2">
        <v>90099</v>
      </c>
      <c r="D501" s="73">
        <v>7.7</v>
      </c>
      <c r="F501" s="72">
        <v>27972</v>
      </c>
      <c r="G501" s="2">
        <v>2996000</v>
      </c>
      <c r="H501" s="2">
        <v>388000</v>
      </c>
    </row>
    <row r="502" spans="1:8" x14ac:dyDescent="0.2">
      <c r="A502" s="72">
        <v>29465</v>
      </c>
      <c r="B502" s="73">
        <v>63.6</v>
      </c>
      <c r="C502" s="2">
        <v>90213</v>
      </c>
      <c r="D502" s="73">
        <v>7.5</v>
      </c>
      <c r="F502" s="72">
        <v>27979</v>
      </c>
      <c r="G502" s="2">
        <v>3007000</v>
      </c>
      <c r="H502" s="2">
        <v>378000</v>
      </c>
    </row>
    <row r="503" spans="1:8" x14ac:dyDescent="0.2">
      <c r="A503" s="72">
        <v>29495</v>
      </c>
      <c r="B503" s="73">
        <v>63.7</v>
      </c>
      <c r="C503" s="2">
        <v>90490</v>
      </c>
      <c r="D503" s="73">
        <v>7.5</v>
      </c>
      <c r="F503" s="72">
        <v>27986</v>
      </c>
      <c r="G503" s="2">
        <v>2990000</v>
      </c>
      <c r="H503" s="2">
        <v>382000</v>
      </c>
    </row>
    <row r="504" spans="1:8" x14ac:dyDescent="0.2">
      <c r="A504" s="72">
        <v>29526</v>
      </c>
      <c r="B504" s="73">
        <v>63.8</v>
      </c>
      <c r="C504" s="2">
        <v>90747</v>
      </c>
      <c r="D504" s="73">
        <v>7.5</v>
      </c>
      <c r="F504" s="72">
        <v>27993</v>
      </c>
      <c r="G504" s="2">
        <v>2983000</v>
      </c>
      <c r="H504" s="2">
        <v>400000</v>
      </c>
    </row>
    <row r="505" spans="1:8" x14ac:dyDescent="0.2">
      <c r="A505" s="72">
        <v>29556</v>
      </c>
      <c r="B505" s="73">
        <v>63.6</v>
      </c>
      <c r="C505" s="2">
        <v>90943</v>
      </c>
      <c r="D505" s="73">
        <v>7.2</v>
      </c>
      <c r="F505" s="72">
        <v>28000</v>
      </c>
      <c r="G505" s="2">
        <v>3081000</v>
      </c>
      <c r="H505" s="2">
        <v>394000</v>
      </c>
    </row>
    <row r="506" spans="1:8" x14ac:dyDescent="0.2">
      <c r="A506" s="72">
        <v>29587</v>
      </c>
      <c r="B506" s="73">
        <v>63.9</v>
      </c>
      <c r="C506" s="2">
        <v>91033</v>
      </c>
      <c r="D506" s="73">
        <v>7.5</v>
      </c>
      <c r="F506" s="72">
        <v>28007</v>
      </c>
      <c r="G506" s="2">
        <v>2988000</v>
      </c>
      <c r="H506" s="2">
        <v>421000</v>
      </c>
    </row>
    <row r="507" spans="1:8" x14ac:dyDescent="0.2">
      <c r="A507" s="72">
        <v>29618</v>
      </c>
      <c r="B507" s="73">
        <v>63.9</v>
      </c>
      <c r="C507" s="2">
        <v>91105</v>
      </c>
      <c r="D507" s="73">
        <v>7.4</v>
      </c>
      <c r="F507" s="72">
        <v>28014</v>
      </c>
      <c r="G507" s="2">
        <v>3092000</v>
      </c>
      <c r="H507" s="2">
        <v>383000</v>
      </c>
    </row>
    <row r="508" spans="1:8" x14ac:dyDescent="0.2">
      <c r="A508" s="72">
        <v>29646</v>
      </c>
      <c r="B508" s="73">
        <v>64.099999999999994</v>
      </c>
      <c r="C508" s="2">
        <v>91210</v>
      </c>
      <c r="D508" s="73">
        <v>7.4</v>
      </c>
      <c r="F508" s="72">
        <v>28021</v>
      </c>
      <c r="G508" s="2">
        <v>3097000</v>
      </c>
      <c r="H508" s="2">
        <v>403000</v>
      </c>
    </row>
    <row r="509" spans="1:8" x14ac:dyDescent="0.2">
      <c r="A509" s="72">
        <v>29677</v>
      </c>
      <c r="B509" s="73">
        <v>64.2</v>
      </c>
      <c r="C509" s="2">
        <v>91283</v>
      </c>
      <c r="D509" s="73">
        <v>7.2</v>
      </c>
      <c r="F509" s="72">
        <v>28028</v>
      </c>
      <c r="G509" s="2">
        <v>3103000</v>
      </c>
      <c r="H509" s="2">
        <v>423000</v>
      </c>
    </row>
    <row r="510" spans="1:8" x14ac:dyDescent="0.2">
      <c r="A510" s="72">
        <v>29707</v>
      </c>
      <c r="B510" s="73">
        <v>64.3</v>
      </c>
      <c r="C510" s="2">
        <v>91296</v>
      </c>
      <c r="D510" s="73">
        <v>7.5</v>
      </c>
      <c r="F510" s="72">
        <v>28035</v>
      </c>
      <c r="G510" s="2">
        <v>3104000</v>
      </c>
      <c r="H510" s="2">
        <v>408000</v>
      </c>
    </row>
    <row r="511" spans="1:8" x14ac:dyDescent="0.2">
      <c r="A511" s="72">
        <v>29738</v>
      </c>
      <c r="B511" s="73">
        <v>63.7</v>
      </c>
      <c r="C511" s="2">
        <v>91490</v>
      </c>
      <c r="D511" s="73">
        <v>7.5</v>
      </c>
      <c r="F511" s="72">
        <v>28042</v>
      </c>
      <c r="G511" s="2">
        <v>3119000</v>
      </c>
      <c r="H511" s="2">
        <v>411000</v>
      </c>
    </row>
    <row r="512" spans="1:8" x14ac:dyDescent="0.2">
      <c r="A512" s="72">
        <v>29768</v>
      </c>
      <c r="B512" s="73">
        <v>63.8</v>
      </c>
      <c r="C512" s="2">
        <v>91601</v>
      </c>
      <c r="D512" s="73">
        <v>7.2</v>
      </c>
      <c r="F512" s="72">
        <v>28049</v>
      </c>
      <c r="G512" s="2">
        <v>3074000</v>
      </c>
      <c r="H512" s="2">
        <v>403000</v>
      </c>
    </row>
    <row r="513" spans="1:8" x14ac:dyDescent="0.2">
      <c r="A513" s="72">
        <v>29799</v>
      </c>
      <c r="B513" s="73">
        <v>63.8</v>
      </c>
      <c r="C513" s="2">
        <v>91565</v>
      </c>
      <c r="D513" s="73">
        <v>7.4</v>
      </c>
      <c r="F513" s="72">
        <v>28056</v>
      </c>
      <c r="G513" s="2">
        <v>3088000</v>
      </c>
      <c r="H513" s="2">
        <v>409000</v>
      </c>
    </row>
    <row r="514" spans="1:8" x14ac:dyDescent="0.2">
      <c r="A514" s="72">
        <v>29830</v>
      </c>
      <c r="B514" s="73">
        <v>63.5</v>
      </c>
      <c r="C514" s="2">
        <v>91477</v>
      </c>
      <c r="D514" s="73">
        <v>7.6</v>
      </c>
      <c r="F514" s="72">
        <v>28063</v>
      </c>
      <c r="G514" s="2">
        <v>3080000</v>
      </c>
      <c r="H514" s="2">
        <v>414000</v>
      </c>
    </row>
    <row r="515" spans="1:8" x14ac:dyDescent="0.2">
      <c r="A515" s="72">
        <v>29860</v>
      </c>
      <c r="B515" s="73">
        <v>63.8</v>
      </c>
      <c r="C515" s="2">
        <v>91380</v>
      </c>
      <c r="D515" s="73">
        <v>7.9</v>
      </c>
      <c r="F515" s="72">
        <v>28070</v>
      </c>
      <c r="G515" s="2">
        <v>3079000</v>
      </c>
      <c r="H515" s="2">
        <v>390000</v>
      </c>
    </row>
    <row r="516" spans="1:8" x14ac:dyDescent="0.2">
      <c r="A516" s="72">
        <v>29891</v>
      </c>
      <c r="B516" s="73">
        <v>63.9</v>
      </c>
      <c r="C516" s="2">
        <v>91171</v>
      </c>
      <c r="D516" s="73">
        <v>8.3000000000000007</v>
      </c>
      <c r="F516" s="72">
        <v>28077</v>
      </c>
      <c r="G516" s="2">
        <v>3064000</v>
      </c>
      <c r="H516" s="2">
        <v>383000</v>
      </c>
    </row>
    <row r="517" spans="1:8" x14ac:dyDescent="0.2">
      <c r="A517" s="72">
        <v>29921</v>
      </c>
      <c r="B517" s="73">
        <v>63.6</v>
      </c>
      <c r="C517" s="2">
        <v>90895</v>
      </c>
      <c r="D517" s="73">
        <v>8.5</v>
      </c>
      <c r="F517" s="72">
        <v>28084</v>
      </c>
      <c r="G517" s="2">
        <v>3061000</v>
      </c>
      <c r="H517" s="2">
        <v>408000</v>
      </c>
    </row>
    <row r="518" spans="1:8" x14ac:dyDescent="0.2">
      <c r="A518" s="72">
        <v>29952</v>
      </c>
      <c r="B518" s="73">
        <v>63.7</v>
      </c>
      <c r="C518" s="2">
        <v>90565</v>
      </c>
      <c r="D518" s="73">
        <v>8.6</v>
      </c>
      <c r="F518" s="72">
        <v>28091</v>
      </c>
      <c r="G518" s="2">
        <v>3019000</v>
      </c>
      <c r="H518" s="2">
        <v>377000</v>
      </c>
    </row>
    <row r="519" spans="1:8" x14ac:dyDescent="0.2">
      <c r="A519" s="72">
        <v>29983</v>
      </c>
      <c r="B519" s="73">
        <v>63.8</v>
      </c>
      <c r="C519" s="2">
        <v>90563</v>
      </c>
      <c r="D519" s="73">
        <v>8.9</v>
      </c>
      <c r="F519" s="72">
        <v>28098</v>
      </c>
      <c r="G519" s="2">
        <v>2994000</v>
      </c>
      <c r="H519" s="2">
        <v>402000</v>
      </c>
    </row>
    <row r="520" spans="1:8" x14ac:dyDescent="0.2">
      <c r="A520" s="72">
        <v>30011</v>
      </c>
      <c r="B520" s="73">
        <v>63.8</v>
      </c>
      <c r="C520" s="2">
        <v>90434</v>
      </c>
      <c r="D520" s="73">
        <v>9</v>
      </c>
      <c r="F520" s="72">
        <v>28105</v>
      </c>
      <c r="G520" s="2">
        <v>2978000</v>
      </c>
      <c r="H520" s="2">
        <v>395000</v>
      </c>
    </row>
    <row r="521" spans="1:8" x14ac:dyDescent="0.2">
      <c r="A521" s="72">
        <v>30042</v>
      </c>
      <c r="B521" s="73">
        <v>63.9</v>
      </c>
      <c r="C521" s="2">
        <v>90150</v>
      </c>
      <c r="D521" s="73">
        <v>9.3000000000000007</v>
      </c>
      <c r="F521" s="72">
        <v>28112</v>
      </c>
      <c r="G521" s="2">
        <v>2900000</v>
      </c>
      <c r="H521" s="2">
        <v>365000</v>
      </c>
    </row>
    <row r="522" spans="1:8" x14ac:dyDescent="0.2">
      <c r="A522" s="72">
        <v>30072</v>
      </c>
      <c r="B522" s="73">
        <v>64.2</v>
      </c>
      <c r="C522" s="2">
        <v>90107</v>
      </c>
      <c r="D522" s="73">
        <v>9.4</v>
      </c>
      <c r="F522" s="72">
        <v>28119</v>
      </c>
      <c r="G522" s="2">
        <v>2822000</v>
      </c>
      <c r="H522" s="2">
        <v>333000</v>
      </c>
    </row>
    <row r="523" spans="1:8" x14ac:dyDescent="0.2">
      <c r="A523" s="72">
        <v>30103</v>
      </c>
      <c r="B523" s="73">
        <v>63.9</v>
      </c>
      <c r="C523" s="2">
        <v>89865</v>
      </c>
      <c r="D523" s="73">
        <v>9.6</v>
      </c>
      <c r="F523" s="72">
        <v>28126</v>
      </c>
      <c r="G523" s="2">
        <v>2818000</v>
      </c>
      <c r="H523" s="2">
        <v>380000</v>
      </c>
    </row>
    <row r="524" spans="1:8" x14ac:dyDescent="0.2">
      <c r="A524" s="72">
        <v>30133</v>
      </c>
      <c r="B524" s="73">
        <v>64</v>
      </c>
      <c r="C524" s="2">
        <v>89521</v>
      </c>
      <c r="D524" s="73">
        <v>9.8000000000000007</v>
      </c>
      <c r="F524" s="72">
        <v>28133</v>
      </c>
      <c r="G524" s="2">
        <v>2764000</v>
      </c>
      <c r="H524" s="2">
        <v>416000</v>
      </c>
    </row>
    <row r="525" spans="1:8" x14ac:dyDescent="0.2">
      <c r="A525" s="72">
        <v>30164</v>
      </c>
      <c r="B525" s="73">
        <v>64.099999999999994</v>
      </c>
      <c r="C525" s="2">
        <v>89363</v>
      </c>
      <c r="D525" s="73">
        <v>9.8000000000000007</v>
      </c>
      <c r="F525" s="72">
        <v>28140</v>
      </c>
      <c r="G525" s="2">
        <v>2841000</v>
      </c>
      <c r="H525" s="2">
        <v>368000</v>
      </c>
    </row>
    <row r="526" spans="1:8" x14ac:dyDescent="0.2">
      <c r="A526" s="72">
        <v>30195</v>
      </c>
      <c r="B526" s="73">
        <v>64.099999999999994</v>
      </c>
      <c r="C526" s="2">
        <v>89183</v>
      </c>
      <c r="D526" s="73">
        <v>10.1</v>
      </c>
      <c r="F526" s="72">
        <v>28147</v>
      </c>
      <c r="G526" s="2">
        <v>2834000</v>
      </c>
      <c r="H526" s="2">
        <v>423000</v>
      </c>
    </row>
    <row r="527" spans="1:8" x14ac:dyDescent="0.2">
      <c r="A527" s="72">
        <v>30225</v>
      </c>
      <c r="B527" s="73">
        <v>64.099999999999994</v>
      </c>
      <c r="C527" s="2">
        <v>88907</v>
      </c>
      <c r="D527" s="73">
        <v>10.4</v>
      </c>
      <c r="F527" s="72">
        <v>28154</v>
      </c>
      <c r="G527" s="2">
        <v>2879000</v>
      </c>
      <c r="H527" s="2">
        <v>422000</v>
      </c>
    </row>
    <row r="528" spans="1:8" x14ac:dyDescent="0.2">
      <c r="A528" s="72">
        <v>30256</v>
      </c>
      <c r="B528" s="73">
        <v>64.2</v>
      </c>
      <c r="C528" s="2">
        <v>88786</v>
      </c>
      <c r="D528" s="73">
        <v>10.8</v>
      </c>
      <c r="F528" s="72">
        <v>28161</v>
      </c>
      <c r="G528" s="2">
        <v>2956000</v>
      </c>
      <c r="H528" s="2">
        <v>565000</v>
      </c>
    </row>
    <row r="529" spans="1:8" x14ac:dyDescent="0.2">
      <c r="A529" s="72">
        <v>30286</v>
      </c>
      <c r="B529" s="73">
        <v>64.099999999999994</v>
      </c>
      <c r="C529" s="2">
        <v>88771</v>
      </c>
      <c r="D529" s="73">
        <v>10.8</v>
      </c>
      <c r="F529" s="72">
        <v>28168</v>
      </c>
      <c r="G529" s="2">
        <v>2904000</v>
      </c>
      <c r="H529" s="2">
        <v>477000</v>
      </c>
    </row>
    <row r="530" spans="1:8" x14ac:dyDescent="0.2">
      <c r="A530" s="72">
        <v>30317</v>
      </c>
      <c r="B530" s="73">
        <v>63.9</v>
      </c>
      <c r="C530" s="2">
        <v>88990</v>
      </c>
      <c r="D530" s="73">
        <v>10.4</v>
      </c>
      <c r="F530" s="72">
        <v>28175</v>
      </c>
      <c r="G530" s="2">
        <v>2772000</v>
      </c>
      <c r="H530" s="2">
        <v>399000</v>
      </c>
    </row>
    <row r="531" spans="1:8" x14ac:dyDescent="0.2">
      <c r="A531" s="72">
        <v>30348</v>
      </c>
      <c r="B531" s="73">
        <v>63.8</v>
      </c>
      <c r="C531" s="2">
        <v>88917</v>
      </c>
      <c r="D531" s="73">
        <v>10.4</v>
      </c>
      <c r="F531" s="72">
        <v>28182</v>
      </c>
      <c r="G531" s="2">
        <v>2764000</v>
      </c>
      <c r="H531" s="2">
        <v>362000</v>
      </c>
    </row>
    <row r="532" spans="1:8" x14ac:dyDescent="0.2">
      <c r="A532" s="72">
        <v>30376</v>
      </c>
      <c r="B532" s="73">
        <v>63.7</v>
      </c>
      <c r="C532" s="2">
        <v>89090</v>
      </c>
      <c r="D532" s="73">
        <v>10.3</v>
      </c>
      <c r="F532" s="72">
        <v>28189</v>
      </c>
      <c r="G532" s="2">
        <v>2717000</v>
      </c>
      <c r="H532" s="2">
        <v>361000</v>
      </c>
    </row>
    <row r="533" spans="1:8" x14ac:dyDescent="0.2">
      <c r="A533" s="72">
        <v>30407</v>
      </c>
      <c r="B533" s="73">
        <v>63.8</v>
      </c>
      <c r="C533" s="2">
        <v>89364</v>
      </c>
      <c r="D533" s="73">
        <v>10.199999999999999</v>
      </c>
      <c r="F533" s="72">
        <v>28196</v>
      </c>
      <c r="G533" s="2">
        <v>2728000</v>
      </c>
      <c r="H533" s="2">
        <v>355000</v>
      </c>
    </row>
    <row r="534" spans="1:8" x14ac:dyDescent="0.2">
      <c r="A534" s="72">
        <v>30437</v>
      </c>
      <c r="B534" s="73">
        <v>63.7</v>
      </c>
      <c r="C534" s="2">
        <v>89644</v>
      </c>
      <c r="D534" s="73">
        <v>10.1</v>
      </c>
      <c r="F534" s="72">
        <v>28203</v>
      </c>
      <c r="G534" s="2">
        <v>2695000</v>
      </c>
      <c r="H534" s="2">
        <v>369000</v>
      </c>
    </row>
    <row r="535" spans="1:8" x14ac:dyDescent="0.2">
      <c r="A535" s="72">
        <v>30468</v>
      </c>
      <c r="B535" s="73">
        <v>64.3</v>
      </c>
      <c r="C535" s="2">
        <v>90021</v>
      </c>
      <c r="D535" s="73">
        <v>10.1</v>
      </c>
      <c r="F535" s="72">
        <v>28210</v>
      </c>
      <c r="G535" s="2">
        <v>2671000</v>
      </c>
      <c r="H535" s="2">
        <v>356000</v>
      </c>
    </row>
    <row r="536" spans="1:8" x14ac:dyDescent="0.2">
      <c r="A536" s="72">
        <v>30498</v>
      </c>
      <c r="B536" s="73">
        <v>64.099999999999994</v>
      </c>
      <c r="C536" s="2">
        <v>90437</v>
      </c>
      <c r="D536" s="73">
        <v>9.4</v>
      </c>
      <c r="F536" s="72">
        <v>28217</v>
      </c>
      <c r="G536" s="2">
        <v>2655000</v>
      </c>
      <c r="H536" s="2">
        <v>350000</v>
      </c>
    </row>
    <row r="537" spans="1:8" x14ac:dyDescent="0.2">
      <c r="A537" s="72">
        <v>30529</v>
      </c>
      <c r="B537" s="73">
        <v>64.3</v>
      </c>
      <c r="C537" s="2">
        <v>90129</v>
      </c>
      <c r="D537" s="73">
        <v>9.5</v>
      </c>
      <c r="F537" s="72">
        <v>28224</v>
      </c>
      <c r="G537" s="2">
        <v>2717000</v>
      </c>
      <c r="H537" s="2">
        <v>376000</v>
      </c>
    </row>
    <row r="538" spans="1:8" x14ac:dyDescent="0.2">
      <c r="A538" s="72">
        <v>30560</v>
      </c>
      <c r="B538" s="73">
        <v>64.3</v>
      </c>
      <c r="C538" s="2">
        <v>91247</v>
      </c>
      <c r="D538" s="73">
        <v>9.1999999999999993</v>
      </c>
      <c r="F538" s="72">
        <v>28231</v>
      </c>
      <c r="G538" s="2">
        <v>2680000</v>
      </c>
      <c r="H538" s="2">
        <v>361000</v>
      </c>
    </row>
    <row r="539" spans="1:8" x14ac:dyDescent="0.2">
      <c r="A539" s="72">
        <v>30590</v>
      </c>
      <c r="B539" s="73">
        <v>64</v>
      </c>
      <c r="C539" s="2">
        <v>91520</v>
      </c>
      <c r="D539" s="73">
        <v>8.8000000000000007</v>
      </c>
      <c r="F539" s="72">
        <v>28238</v>
      </c>
      <c r="G539" s="2">
        <v>2660000</v>
      </c>
      <c r="H539" s="2">
        <v>375000</v>
      </c>
    </row>
    <row r="540" spans="1:8" x14ac:dyDescent="0.2">
      <c r="A540" s="72">
        <v>30621</v>
      </c>
      <c r="B540" s="73">
        <v>64.099999999999994</v>
      </c>
      <c r="C540" s="2">
        <v>91875</v>
      </c>
      <c r="D540" s="73">
        <v>8.5</v>
      </c>
      <c r="F540" s="72">
        <v>28245</v>
      </c>
      <c r="G540" s="2">
        <v>2644000</v>
      </c>
      <c r="H540" s="2">
        <v>375000</v>
      </c>
    </row>
    <row r="541" spans="1:8" x14ac:dyDescent="0.2">
      <c r="A541" s="72">
        <v>30651</v>
      </c>
      <c r="B541" s="73">
        <v>64.099999999999994</v>
      </c>
      <c r="C541" s="2">
        <v>92230</v>
      </c>
      <c r="D541" s="73">
        <v>8.3000000000000007</v>
      </c>
      <c r="F541" s="72">
        <v>28252</v>
      </c>
      <c r="G541" s="2">
        <v>2618000</v>
      </c>
      <c r="H541" s="2">
        <v>384000</v>
      </c>
    </row>
    <row r="542" spans="1:8" x14ac:dyDescent="0.2">
      <c r="A542" s="72">
        <v>30682</v>
      </c>
      <c r="B542" s="73">
        <v>63.9</v>
      </c>
      <c r="C542" s="2">
        <v>92673</v>
      </c>
      <c r="D542" s="73">
        <v>8</v>
      </c>
      <c r="F542" s="72">
        <v>28259</v>
      </c>
      <c r="G542" s="2">
        <v>2635000</v>
      </c>
      <c r="H542" s="2">
        <v>381000</v>
      </c>
    </row>
    <row r="543" spans="1:8" x14ac:dyDescent="0.2">
      <c r="A543" s="72">
        <v>30713</v>
      </c>
      <c r="B543" s="73">
        <v>64.099999999999994</v>
      </c>
      <c r="C543" s="2">
        <v>93157</v>
      </c>
      <c r="D543" s="73">
        <v>7.8</v>
      </c>
      <c r="F543" s="72">
        <v>28266</v>
      </c>
      <c r="G543" s="2">
        <v>2647000</v>
      </c>
      <c r="H543" s="2">
        <v>375000</v>
      </c>
    </row>
    <row r="544" spans="1:8" x14ac:dyDescent="0.2">
      <c r="A544" s="72">
        <v>30742</v>
      </c>
      <c r="B544" s="73">
        <v>64.099999999999994</v>
      </c>
      <c r="C544" s="2">
        <v>93429</v>
      </c>
      <c r="D544" s="73">
        <v>7.8</v>
      </c>
      <c r="F544" s="72">
        <v>28273</v>
      </c>
      <c r="G544" s="2">
        <v>2625000</v>
      </c>
      <c r="H544" s="2">
        <v>381000</v>
      </c>
    </row>
    <row r="545" spans="1:8" x14ac:dyDescent="0.2">
      <c r="A545" s="72">
        <v>30773</v>
      </c>
      <c r="B545" s="73">
        <v>64.3</v>
      </c>
      <c r="C545" s="2">
        <v>93792</v>
      </c>
      <c r="D545" s="73">
        <v>7.7</v>
      </c>
      <c r="F545" s="72">
        <v>28280</v>
      </c>
      <c r="G545" s="2">
        <v>2650000</v>
      </c>
      <c r="H545" s="2">
        <v>363000</v>
      </c>
    </row>
    <row r="546" spans="1:8" x14ac:dyDescent="0.2">
      <c r="A546" s="72">
        <v>30803</v>
      </c>
      <c r="B546" s="73">
        <v>64.5</v>
      </c>
      <c r="C546" s="2">
        <v>94098</v>
      </c>
      <c r="D546" s="73">
        <v>7.4</v>
      </c>
      <c r="F546" s="72">
        <v>28287</v>
      </c>
      <c r="G546" s="2">
        <v>2589000</v>
      </c>
      <c r="H546" s="2">
        <v>358000</v>
      </c>
    </row>
    <row r="547" spans="1:8" x14ac:dyDescent="0.2">
      <c r="A547" s="72">
        <v>30834</v>
      </c>
      <c r="B547" s="73">
        <v>64.599999999999994</v>
      </c>
      <c r="C547" s="2">
        <v>94479</v>
      </c>
      <c r="D547" s="73">
        <v>7.2</v>
      </c>
      <c r="F547" s="72">
        <v>28294</v>
      </c>
      <c r="G547" s="2">
        <v>2622000</v>
      </c>
      <c r="H547" s="2">
        <v>359000</v>
      </c>
    </row>
    <row r="548" spans="1:8" x14ac:dyDescent="0.2">
      <c r="A548" s="72">
        <v>30864</v>
      </c>
      <c r="B548" s="73">
        <v>64.599999999999994</v>
      </c>
      <c r="C548" s="2">
        <v>94789</v>
      </c>
      <c r="D548" s="73">
        <v>7.5</v>
      </c>
      <c r="F548" s="72">
        <v>28301</v>
      </c>
      <c r="G548" s="2">
        <v>2616000</v>
      </c>
      <c r="H548" s="2">
        <v>365000</v>
      </c>
    </row>
    <row r="549" spans="1:8" x14ac:dyDescent="0.2">
      <c r="A549" s="72">
        <v>30895</v>
      </c>
      <c r="B549" s="73">
        <v>64.400000000000006</v>
      </c>
      <c r="C549" s="2">
        <v>95032</v>
      </c>
      <c r="D549" s="73">
        <v>7.5</v>
      </c>
      <c r="F549" s="72">
        <v>28308</v>
      </c>
      <c r="G549" s="2">
        <v>2572000</v>
      </c>
      <c r="H549" s="2">
        <v>350000</v>
      </c>
    </row>
    <row r="550" spans="1:8" x14ac:dyDescent="0.2">
      <c r="A550" s="72">
        <v>30926</v>
      </c>
      <c r="B550" s="73">
        <v>64.400000000000006</v>
      </c>
      <c r="C550" s="2">
        <v>95344</v>
      </c>
      <c r="D550" s="73">
        <v>7.3</v>
      </c>
      <c r="F550" s="72">
        <v>28315</v>
      </c>
      <c r="G550" s="2">
        <v>2563000</v>
      </c>
      <c r="H550" s="2">
        <v>361000</v>
      </c>
    </row>
    <row r="551" spans="1:8" x14ac:dyDescent="0.2">
      <c r="A551" s="72">
        <v>30956</v>
      </c>
      <c r="B551" s="73">
        <v>64.400000000000006</v>
      </c>
      <c r="C551" s="2">
        <v>95629</v>
      </c>
      <c r="D551" s="73">
        <v>7.4</v>
      </c>
      <c r="F551" s="72">
        <v>28322</v>
      </c>
      <c r="G551" s="2">
        <v>2591000</v>
      </c>
      <c r="H551" s="2">
        <v>366000</v>
      </c>
    </row>
    <row r="552" spans="1:8" x14ac:dyDescent="0.2">
      <c r="A552" s="72">
        <v>30987</v>
      </c>
      <c r="B552" s="73">
        <v>64.5</v>
      </c>
      <c r="C552" s="2">
        <v>95982</v>
      </c>
      <c r="D552" s="73">
        <v>7.2</v>
      </c>
      <c r="F552" s="72">
        <v>28329</v>
      </c>
      <c r="G552" s="2">
        <v>2584000</v>
      </c>
      <c r="H552" s="2">
        <v>365000</v>
      </c>
    </row>
    <row r="553" spans="1:8" x14ac:dyDescent="0.2">
      <c r="A553" s="72">
        <v>31017</v>
      </c>
      <c r="B553" s="73">
        <v>64.599999999999994</v>
      </c>
      <c r="C553" s="2">
        <v>96107</v>
      </c>
      <c r="D553" s="73">
        <v>7.3</v>
      </c>
      <c r="F553" s="72">
        <v>28336</v>
      </c>
      <c r="G553" s="2">
        <v>2605000</v>
      </c>
      <c r="H553" s="2">
        <v>365000</v>
      </c>
    </row>
    <row r="554" spans="1:8" x14ac:dyDescent="0.2">
      <c r="A554" s="72">
        <v>31048</v>
      </c>
      <c r="B554" s="73">
        <v>64.7</v>
      </c>
      <c r="C554" s="2">
        <v>96372</v>
      </c>
      <c r="D554" s="73">
        <v>7.3</v>
      </c>
      <c r="F554" s="72">
        <v>28343</v>
      </c>
      <c r="G554" s="2">
        <v>2605000</v>
      </c>
      <c r="H554" s="2">
        <v>378000</v>
      </c>
    </row>
    <row r="555" spans="1:8" x14ac:dyDescent="0.2">
      <c r="A555" s="72">
        <v>31079</v>
      </c>
      <c r="B555" s="73">
        <v>64.7</v>
      </c>
      <c r="C555" s="2">
        <v>96503</v>
      </c>
      <c r="D555" s="73">
        <v>7.2</v>
      </c>
      <c r="F555" s="72">
        <v>28350</v>
      </c>
      <c r="G555" s="2">
        <v>2618000</v>
      </c>
      <c r="H555" s="2">
        <v>359000</v>
      </c>
    </row>
    <row r="556" spans="1:8" x14ac:dyDescent="0.2">
      <c r="A556" s="72">
        <v>31107</v>
      </c>
      <c r="B556" s="73">
        <v>64.900000000000006</v>
      </c>
      <c r="C556" s="2">
        <v>96842</v>
      </c>
      <c r="D556" s="73">
        <v>7.2</v>
      </c>
      <c r="F556" s="72">
        <v>28357</v>
      </c>
      <c r="G556" s="2">
        <v>2612000</v>
      </c>
      <c r="H556" s="2">
        <v>367000</v>
      </c>
    </row>
    <row r="557" spans="1:8" x14ac:dyDescent="0.2">
      <c r="A557" s="72">
        <v>31138</v>
      </c>
      <c r="B557" s="73">
        <v>64.900000000000006</v>
      </c>
      <c r="C557" s="2">
        <v>97038</v>
      </c>
      <c r="D557" s="73">
        <v>7.3</v>
      </c>
      <c r="F557" s="72">
        <v>28364</v>
      </c>
      <c r="G557" s="2">
        <v>2607000</v>
      </c>
      <c r="H557" s="2">
        <v>365000</v>
      </c>
    </row>
    <row r="558" spans="1:8" x14ac:dyDescent="0.2">
      <c r="A558" s="72">
        <v>31168</v>
      </c>
      <c r="B558" s="73">
        <v>64.8</v>
      </c>
      <c r="C558" s="2">
        <v>97312</v>
      </c>
      <c r="D558" s="73">
        <v>7.2</v>
      </c>
      <c r="F558" s="72">
        <v>28371</v>
      </c>
      <c r="G558" s="2">
        <v>2571000</v>
      </c>
      <c r="H558" s="2">
        <v>374000</v>
      </c>
    </row>
    <row r="559" spans="1:8" x14ac:dyDescent="0.2">
      <c r="A559" s="72">
        <v>31199</v>
      </c>
      <c r="B559" s="73">
        <v>64.599999999999994</v>
      </c>
      <c r="C559" s="2">
        <v>97459</v>
      </c>
      <c r="D559" s="73">
        <v>7.4</v>
      </c>
      <c r="F559" s="72">
        <v>28378</v>
      </c>
      <c r="G559" s="2">
        <v>2601000</v>
      </c>
      <c r="H559" s="2">
        <v>359000</v>
      </c>
    </row>
    <row r="560" spans="1:8" x14ac:dyDescent="0.2">
      <c r="A560" s="72">
        <v>31229</v>
      </c>
      <c r="B560" s="73">
        <v>64.7</v>
      </c>
      <c r="C560" s="2">
        <v>97648</v>
      </c>
      <c r="D560" s="73">
        <v>7.4</v>
      </c>
      <c r="F560" s="72">
        <v>28385</v>
      </c>
      <c r="G560" s="2">
        <v>2605000</v>
      </c>
      <c r="H560" s="2">
        <v>362000</v>
      </c>
    </row>
    <row r="561" spans="1:8" x14ac:dyDescent="0.2">
      <c r="A561" s="72">
        <v>31260</v>
      </c>
      <c r="B561" s="73">
        <v>64.599999999999994</v>
      </c>
      <c r="C561" s="2">
        <v>97840</v>
      </c>
      <c r="D561" s="73">
        <v>7.1</v>
      </c>
      <c r="F561" s="72">
        <v>28392</v>
      </c>
      <c r="G561" s="2">
        <v>2581000</v>
      </c>
      <c r="H561" s="2">
        <v>380000</v>
      </c>
    </row>
    <row r="562" spans="1:8" x14ac:dyDescent="0.2">
      <c r="A562" s="72">
        <v>31291</v>
      </c>
      <c r="B562" s="73">
        <v>64.900000000000006</v>
      </c>
      <c r="C562" s="2">
        <v>98045</v>
      </c>
      <c r="D562" s="73">
        <v>7.1</v>
      </c>
      <c r="F562" s="72">
        <v>28399</v>
      </c>
      <c r="G562" s="2">
        <v>2583000</v>
      </c>
      <c r="H562" s="2">
        <v>348000</v>
      </c>
    </row>
    <row r="563" spans="1:8" x14ac:dyDescent="0.2">
      <c r="A563" s="72">
        <v>31321</v>
      </c>
      <c r="B563" s="73">
        <v>65</v>
      </c>
      <c r="C563" s="2">
        <v>98233</v>
      </c>
      <c r="D563" s="73">
        <v>7.1</v>
      </c>
      <c r="F563" s="72">
        <v>28406</v>
      </c>
      <c r="G563" s="2">
        <v>2575000</v>
      </c>
      <c r="H563" s="2">
        <v>365000</v>
      </c>
    </row>
    <row r="564" spans="1:8" x14ac:dyDescent="0.2">
      <c r="A564" s="72">
        <v>31352</v>
      </c>
      <c r="B564" s="73">
        <v>64.900000000000006</v>
      </c>
      <c r="C564" s="2">
        <v>98443</v>
      </c>
      <c r="D564" s="73">
        <v>7</v>
      </c>
      <c r="F564" s="72">
        <v>28413</v>
      </c>
      <c r="G564" s="2">
        <v>2575000</v>
      </c>
      <c r="H564" s="2">
        <v>358000</v>
      </c>
    </row>
    <row r="565" spans="1:8" x14ac:dyDescent="0.2">
      <c r="A565" s="72">
        <v>31382</v>
      </c>
      <c r="B565" s="73">
        <v>65</v>
      </c>
      <c r="C565" s="2">
        <v>98609</v>
      </c>
      <c r="D565" s="73">
        <v>7</v>
      </c>
      <c r="F565" s="72">
        <v>28420</v>
      </c>
      <c r="G565" s="2">
        <v>2561000</v>
      </c>
      <c r="H565" s="2">
        <v>375000</v>
      </c>
    </row>
    <row r="566" spans="1:8" x14ac:dyDescent="0.2">
      <c r="A566" s="72">
        <v>31413</v>
      </c>
      <c r="B566" s="73">
        <v>64.900000000000006</v>
      </c>
      <c r="C566" s="2">
        <v>98732</v>
      </c>
      <c r="D566" s="73">
        <v>6.7</v>
      </c>
      <c r="F566" s="72">
        <v>28427</v>
      </c>
      <c r="G566" s="2">
        <v>2587000</v>
      </c>
      <c r="H566" s="2">
        <v>349000</v>
      </c>
    </row>
    <row r="567" spans="1:8" x14ac:dyDescent="0.2">
      <c r="A567" s="72">
        <v>31444</v>
      </c>
      <c r="B567" s="73">
        <v>65</v>
      </c>
      <c r="C567" s="2">
        <v>98847</v>
      </c>
      <c r="D567" s="73">
        <v>7.2</v>
      </c>
      <c r="F567" s="72">
        <v>28434</v>
      </c>
      <c r="G567" s="2">
        <v>2535000</v>
      </c>
      <c r="H567" s="2">
        <v>366000</v>
      </c>
    </row>
    <row r="568" spans="1:8" x14ac:dyDescent="0.2">
      <c r="A568" s="72">
        <v>31472</v>
      </c>
      <c r="B568" s="73">
        <v>65.099999999999994</v>
      </c>
      <c r="C568" s="2">
        <v>98934</v>
      </c>
      <c r="D568" s="73">
        <v>7.2</v>
      </c>
      <c r="F568" s="72">
        <v>28441</v>
      </c>
      <c r="G568" s="2">
        <v>2592000</v>
      </c>
      <c r="H568" s="2">
        <v>334000</v>
      </c>
    </row>
    <row r="569" spans="1:8" x14ac:dyDescent="0.2">
      <c r="A569" s="72">
        <v>31503</v>
      </c>
      <c r="B569" s="73">
        <v>65.099999999999994</v>
      </c>
      <c r="C569" s="2">
        <v>99121</v>
      </c>
      <c r="D569" s="73">
        <v>7.1</v>
      </c>
      <c r="F569" s="72">
        <v>28448</v>
      </c>
      <c r="G569" s="2">
        <v>2527000</v>
      </c>
      <c r="H569" s="2">
        <v>360000</v>
      </c>
    </row>
    <row r="570" spans="1:8" x14ac:dyDescent="0.2">
      <c r="A570" s="72">
        <v>31533</v>
      </c>
      <c r="B570" s="73">
        <v>65.2</v>
      </c>
      <c r="C570" s="2">
        <v>99248</v>
      </c>
      <c r="D570" s="73">
        <v>7.2</v>
      </c>
      <c r="F570" s="72">
        <v>28455</v>
      </c>
      <c r="G570" s="2">
        <v>2620000</v>
      </c>
      <c r="H570" s="2">
        <v>354000</v>
      </c>
    </row>
    <row r="571" spans="1:8" x14ac:dyDescent="0.2">
      <c r="A571" s="72">
        <v>31564</v>
      </c>
      <c r="B571" s="73">
        <v>65.400000000000006</v>
      </c>
      <c r="C571" s="2">
        <v>99155</v>
      </c>
      <c r="D571" s="73">
        <v>7.2</v>
      </c>
      <c r="F571" s="72">
        <v>28462</v>
      </c>
      <c r="G571" s="2">
        <v>2505000</v>
      </c>
      <c r="H571" s="2">
        <v>367000</v>
      </c>
    </row>
    <row r="572" spans="1:8" x14ac:dyDescent="0.2">
      <c r="A572" s="72">
        <v>31594</v>
      </c>
      <c r="B572" s="73">
        <v>65.400000000000006</v>
      </c>
      <c r="C572" s="2">
        <v>99473</v>
      </c>
      <c r="D572" s="73">
        <v>7</v>
      </c>
      <c r="F572" s="72">
        <v>28469</v>
      </c>
      <c r="G572" s="2">
        <v>2529000</v>
      </c>
      <c r="H572" s="2">
        <v>364000</v>
      </c>
    </row>
    <row r="573" spans="1:8" x14ac:dyDescent="0.2">
      <c r="A573" s="72">
        <v>31625</v>
      </c>
      <c r="B573" s="73">
        <v>65.3</v>
      </c>
      <c r="C573" s="2">
        <v>99588</v>
      </c>
      <c r="D573" s="73">
        <v>6.9</v>
      </c>
      <c r="F573" s="72">
        <v>28476</v>
      </c>
      <c r="G573" s="2">
        <v>2558000</v>
      </c>
      <c r="H573" s="2">
        <v>359000</v>
      </c>
    </row>
    <row r="574" spans="1:8" x14ac:dyDescent="0.2">
      <c r="A574" s="72">
        <v>31656</v>
      </c>
      <c r="B574" s="73">
        <v>65.400000000000006</v>
      </c>
      <c r="C574" s="2">
        <v>99934</v>
      </c>
      <c r="D574" s="73">
        <v>7</v>
      </c>
      <c r="F574" s="72">
        <v>28483</v>
      </c>
      <c r="G574" s="2">
        <v>2482000</v>
      </c>
      <c r="H574" s="2">
        <v>344000</v>
      </c>
    </row>
    <row r="575" spans="1:8" x14ac:dyDescent="0.2">
      <c r="A575" s="72">
        <v>31686</v>
      </c>
      <c r="B575" s="73">
        <v>65.400000000000006</v>
      </c>
      <c r="C575" s="2">
        <v>100121</v>
      </c>
      <c r="D575" s="73">
        <v>7</v>
      </c>
      <c r="F575" s="72">
        <v>28490</v>
      </c>
      <c r="G575" s="2">
        <v>2461000</v>
      </c>
      <c r="H575" s="2">
        <v>364000</v>
      </c>
    </row>
    <row r="576" spans="1:8" x14ac:dyDescent="0.2">
      <c r="A576" s="72">
        <v>31717</v>
      </c>
      <c r="B576" s="73">
        <v>65.400000000000006</v>
      </c>
      <c r="C576" s="2">
        <v>100308</v>
      </c>
      <c r="D576" s="73">
        <v>6.9</v>
      </c>
      <c r="F576" s="72">
        <v>28497</v>
      </c>
      <c r="G576" s="2">
        <v>2456000</v>
      </c>
      <c r="H576" s="2">
        <v>346000</v>
      </c>
    </row>
    <row r="577" spans="1:8" x14ac:dyDescent="0.2">
      <c r="A577" s="72">
        <v>31747</v>
      </c>
      <c r="B577" s="73">
        <v>65.3</v>
      </c>
      <c r="C577" s="2">
        <v>100509</v>
      </c>
      <c r="D577" s="73">
        <v>6.6</v>
      </c>
      <c r="F577" s="72">
        <v>28504</v>
      </c>
      <c r="G577" s="2">
        <v>2418000</v>
      </c>
      <c r="H577" s="2">
        <v>343000</v>
      </c>
    </row>
    <row r="578" spans="1:8" x14ac:dyDescent="0.2">
      <c r="A578" s="72">
        <v>31778</v>
      </c>
      <c r="B578" s="73">
        <v>65.400000000000006</v>
      </c>
      <c r="C578" s="2">
        <v>100678</v>
      </c>
      <c r="D578" s="73">
        <v>6.6</v>
      </c>
      <c r="F578" s="72">
        <v>28511</v>
      </c>
      <c r="G578" s="2">
        <v>2522000</v>
      </c>
      <c r="H578" s="2">
        <v>352000</v>
      </c>
    </row>
    <row r="579" spans="1:8" x14ac:dyDescent="0.2">
      <c r="A579" s="72">
        <v>31809</v>
      </c>
      <c r="B579" s="73">
        <v>65.5</v>
      </c>
      <c r="C579" s="2">
        <v>100919</v>
      </c>
      <c r="D579" s="73">
        <v>6.6</v>
      </c>
      <c r="F579" s="72">
        <v>28518</v>
      </c>
      <c r="G579" s="2">
        <v>2578000</v>
      </c>
      <c r="H579" s="2">
        <v>363000</v>
      </c>
    </row>
    <row r="580" spans="1:8" x14ac:dyDescent="0.2">
      <c r="A580" s="72">
        <v>31837</v>
      </c>
      <c r="B580" s="73">
        <v>65.5</v>
      </c>
      <c r="C580" s="2">
        <v>101164</v>
      </c>
      <c r="D580" s="73">
        <v>6.6</v>
      </c>
      <c r="F580" s="72">
        <v>28525</v>
      </c>
      <c r="G580" s="2">
        <v>2468000</v>
      </c>
      <c r="H580" s="2">
        <v>360000</v>
      </c>
    </row>
    <row r="581" spans="1:8" x14ac:dyDescent="0.2">
      <c r="A581" s="72">
        <v>31868</v>
      </c>
      <c r="B581" s="73">
        <v>65.400000000000006</v>
      </c>
      <c r="C581" s="2">
        <v>101499</v>
      </c>
      <c r="D581" s="73">
        <v>6.3</v>
      </c>
      <c r="F581" s="72">
        <v>28532</v>
      </c>
      <c r="G581" s="2">
        <v>2656000</v>
      </c>
      <c r="H581" s="2">
        <v>373000</v>
      </c>
    </row>
    <row r="582" spans="1:8" x14ac:dyDescent="0.2">
      <c r="A582" s="72">
        <v>31898</v>
      </c>
      <c r="B582" s="73">
        <v>65.7</v>
      </c>
      <c r="C582" s="2">
        <v>101728</v>
      </c>
      <c r="D582" s="73">
        <v>6.3</v>
      </c>
      <c r="F582" s="72">
        <v>28539</v>
      </c>
      <c r="G582" s="2">
        <v>2545000</v>
      </c>
      <c r="H582" s="2">
        <v>429000</v>
      </c>
    </row>
    <row r="583" spans="1:8" x14ac:dyDescent="0.2">
      <c r="A583" s="72">
        <v>31929</v>
      </c>
      <c r="B583" s="73">
        <v>65.5</v>
      </c>
      <c r="C583" s="2">
        <v>101900</v>
      </c>
      <c r="D583" s="73">
        <v>6.2</v>
      </c>
      <c r="F583" s="72">
        <v>28546</v>
      </c>
      <c r="G583" s="2">
        <v>2553000</v>
      </c>
      <c r="H583" s="2">
        <v>371000</v>
      </c>
    </row>
    <row r="584" spans="1:8" x14ac:dyDescent="0.2">
      <c r="A584" s="72">
        <v>31959</v>
      </c>
      <c r="B584" s="73">
        <v>65.599999999999994</v>
      </c>
      <c r="C584" s="2">
        <v>102247</v>
      </c>
      <c r="D584" s="73">
        <v>6.1</v>
      </c>
      <c r="F584" s="72">
        <v>28553</v>
      </c>
      <c r="G584" s="2">
        <v>2529000</v>
      </c>
      <c r="H584" s="2">
        <v>355000</v>
      </c>
    </row>
    <row r="585" spans="1:8" x14ac:dyDescent="0.2">
      <c r="A585" s="72">
        <v>31990</v>
      </c>
      <c r="B585" s="73">
        <v>65.7</v>
      </c>
      <c r="C585" s="2">
        <v>102420</v>
      </c>
      <c r="D585" s="73">
        <v>6</v>
      </c>
      <c r="F585" s="72">
        <v>28560</v>
      </c>
      <c r="G585" s="2">
        <v>2526000</v>
      </c>
      <c r="H585" s="2">
        <v>359000</v>
      </c>
    </row>
    <row r="586" spans="1:8" x14ac:dyDescent="0.2">
      <c r="A586" s="72">
        <v>32021</v>
      </c>
      <c r="B586" s="73">
        <v>65.5</v>
      </c>
      <c r="C586" s="2">
        <v>102647</v>
      </c>
      <c r="D586" s="73">
        <v>5.9</v>
      </c>
      <c r="F586" s="72">
        <v>28567</v>
      </c>
      <c r="G586" s="2">
        <v>2471000</v>
      </c>
      <c r="H586" s="2">
        <v>347000</v>
      </c>
    </row>
    <row r="587" spans="1:8" x14ac:dyDescent="0.2">
      <c r="A587" s="72">
        <v>32051</v>
      </c>
      <c r="B587" s="73">
        <v>65.7</v>
      </c>
      <c r="C587" s="2">
        <v>103138</v>
      </c>
      <c r="D587" s="73">
        <v>6</v>
      </c>
      <c r="F587" s="72">
        <v>28574</v>
      </c>
      <c r="G587" s="2">
        <v>2473000</v>
      </c>
      <c r="H587" s="2">
        <v>335000</v>
      </c>
    </row>
    <row r="588" spans="1:8" x14ac:dyDescent="0.2">
      <c r="A588" s="72">
        <v>32082</v>
      </c>
      <c r="B588" s="73">
        <v>65.7</v>
      </c>
      <c r="C588" s="2">
        <v>103372</v>
      </c>
      <c r="D588" s="73">
        <v>5.8</v>
      </c>
      <c r="F588" s="72">
        <v>28581</v>
      </c>
      <c r="G588" s="2">
        <v>2453000</v>
      </c>
      <c r="H588" s="2">
        <v>333000</v>
      </c>
    </row>
    <row r="589" spans="1:8" x14ac:dyDescent="0.2">
      <c r="A589" s="72">
        <v>32112</v>
      </c>
      <c r="B589" s="73">
        <v>65.7</v>
      </c>
      <c r="C589" s="2">
        <v>103661</v>
      </c>
      <c r="D589" s="73">
        <v>5.7</v>
      </c>
      <c r="F589" s="72">
        <v>28588</v>
      </c>
      <c r="G589" s="2">
        <v>2397000</v>
      </c>
      <c r="H589" s="2">
        <v>345000</v>
      </c>
    </row>
    <row r="590" spans="1:8" x14ac:dyDescent="0.2">
      <c r="A590" s="72">
        <v>32143</v>
      </c>
      <c r="B590" s="73">
        <v>65.8</v>
      </c>
      <c r="C590" s="2">
        <v>103753</v>
      </c>
      <c r="D590" s="73">
        <v>5.7</v>
      </c>
      <c r="F590" s="72">
        <v>28595</v>
      </c>
      <c r="G590" s="2">
        <v>2339000</v>
      </c>
      <c r="H590" s="2">
        <v>309000</v>
      </c>
    </row>
    <row r="591" spans="1:8" x14ac:dyDescent="0.2">
      <c r="A591" s="72">
        <v>32174</v>
      </c>
      <c r="B591" s="73">
        <v>65.900000000000006</v>
      </c>
      <c r="C591" s="2">
        <v>104214</v>
      </c>
      <c r="D591" s="73">
        <v>5.7</v>
      </c>
      <c r="F591" s="72">
        <v>28602</v>
      </c>
      <c r="G591" s="2">
        <v>2287000</v>
      </c>
      <c r="H591" s="2">
        <v>319000</v>
      </c>
    </row>
    <row r="592" spans="1:8" x14ac:dyDescent="0.2">
      <c r="A592" s="72">
        <v>32203</v>
      </c>
      <c r="B592" s="73">
        <v>65.7</v>
      </c>
      <c r="C592" s="2">
        <v>104489</v>
      </c>
      <c r="D592" s="73">
        <v>5.7</v>
      </c>
      <c r="F592" s="72">
        <v>28609</v>
      </c>
      <c r="G592" s="2">
        <v>2272000</v>
      </c>
      <c r="H592" s="2">
        <v>324000</v>
      </c>
    </row>
    <row r="593" spans="1:8" x14ac:dyDescent="0.2">
      <c r="A593" s="72">
        <v>32234</v>
      </c>
      <c r="B593" s="73">
        <v>65.8</v>
      </c>
      <c r="C593" s="2">
        <v>104732</v>
      </c>
      <c r="D593" s="73">
        <v>5.4</v>
      </c>
      <c r="F593" s="72">
        <v>28616</v>
      </c>
      <c r="G593" s="2">
        <v>2246000</v>
      </c>
      <c r="H593" s="2">
        <v>334000</v>
      </c>
    </row>
    <row r="594" spans="1:8" x14ac:dyDescent="0.2">
      <c r="A594" s="72">
        <v>32264</v>
      </c>
      <c r="B594" s="73">
        <v>65.7</v>
      </c>
      <c r="C594" s="2">
        <v>104962</v>
      </c>
      <c r="D594" s="73">
        <v>5.6</v>
      </c>
      <c r="F594" s="72">
        <v>28623</v>
      </c>
      <c r="G594" s="2">
        <v>2231000</v>
      </c>
      <c r="H594" s="2">
        <v>322000</v>
      </c>
    </row>
    <row r="595" spans="1:8" x14ac:dyDescent="0.2">
      <c r="A595" s="72">
        <v>32295</v>
      </c>
      <c r="B595" s="73">
        <v>65.8</v>
      </c>
      <c r="C595" s="2">
        <v>105326</v>
      </c>
      <c r="D595" s="73">
        <v>5.4</v>
      </c>
      <c r="F595" s="72">
        <v>28630</v>
      </c>
      <c r="G595" s="2">
        <v>2238000</v>
      </c>
      <c r="H595" s="2">
        <v>334000</v>
      </c>
    </row>
    <row r="596" spans="1:8" x14ac:dyDescent="0.2">
      <c r="A596" s="72">
        <v>32325</v>
      </c>
      <c r="B596" s="73">
        <v>65.900000000000006</v>
      </c>
      <c r="C596" s="2">
        <v>105550</v>
      </c>
      <c r="D596" s="73">
        <v>5.4</v>
      </c>
      <c r="F596" s="72">
        <v>28637</v>
      </c>
      <c r="G596" s="2">
        <v>2211000</v>
      </c>
      <c r="H596" s="2">
        <v>318000</v>
      </c>
    </row>
    <row r="597" spans="1:8" x14ac:dyDescent="0.2">
      <c r="A597" s="72">
        <v>32356</v>
      </c>
      <c r="B597" s="73">
        <v>66.099999999999994</v>
      </c>
      <c r="C597" s="2">
        <v>105674</v>
      </c>
      <c r="D597" s="73">
        <v>5.6</v>
      </c>
      <c r="F597" s="72">
        <v>28644</v>
      </c>
      <c r="G597" s="2">
        <v>2224000</v>
      </c>
      <c r="H597" s="2">
        <v>310000</v>
      </c>
    </row>
    <row r="598" spans="1:8" x14ac:dyDescent="0.2">
      <c r="A598" s="72">
        <v>32387</v>
      </c>
      <c r="B598" s="73">
        <v>65.900000000000006</v>
      </c>
      <c r="C598" s="2">
        <v>106013</v>
      </c>
      <c r="D598" s="73">
        <v>5.4</v>
      </c>
      <c r="F598" s="72">
        <v>28651</v>
      </c>
      <c r="G598" s="2">
        <v>2189000</v>
      </c>
      <c r="H598" s="2">
        <v>331000</v>
      </c>
    </row>
    <row r="599" spans="1:8" x14ac:dyDescent="0.2">
      <c r="A599" s="72">
        <v>32417</v>
      </c>
      <c r="B599" s="73">
        <v>66</v>
      </c>
      <c r="C599" s="2">
        <v>106276</v>
      </c>
      <c r="D599" s="73">
        <v>5.4</v>
      </c>
      <c r="F599" s="72">
        <v>28658</v>
      </c>
      <c r="G599" s="2">
        <v>2225000</v>
      </c>
      <c r="H599" s="2">
        <v>326000</v>
      </c>
    </row>
    <row r="600" spans="1:8" x14ac:dyDescent="0.2">
      <c r="A600" s="72">
        <v>32448</v>
      </c>
      <c r="B600" s="73">
        <v>66.2</v>
      </c>
      <c r="C600" s="2">
        <v>106617</v>
      </c>
      <c r="D600" s="73">
        <v>5.3</v>
      </c>
      <c r="F600" s="72">
        <v>28665</v>
      </c>
      <c r="G600" s="2">
        <v>2249000</v>
      </c>
      <c r="H600" s="2">
        <v>330000</v>
      </c>
    </row>
    <row r="601" spans="1:8" x14ac:dyDescent="0.2">
      <c r="A601" s="72">
        <v>32478</v>
      </c>
      <c r="B601" s="73">
        <v>66.099999999999994</v>
      </c>
      <c r="C601" s="2">
        <v>106898</v>
      </c>
      <c r="D601" s="73">
        <v>5.3</v>
      </c>
      <c r="F601" s="72">
        <v>28672</v>
      </c>
      <c r="G601" s="2">
        <v>2242000</v>
      </c>
      <c r="H601" s="2">
        <v>348000</v>
      </c>
    </row>
    <row r="602" spans="1:8" x14ac:dyDescent="0.2">
      <c r="A602" s="72">
        <v>32509</v>
      </c>
      <c r="B602" s="73">
        <v>66.5</v>
      </c>
      <c r="C602" s="2">
        <v>107161</v>
      </c>
      <c r="D602" s="73">
        <v>5.4</v>
      </c>
      <c r="F602" s="72">
        <v>28679</v>
      </c>
      <c r="G602" s="2">
        <v>2331000</v>
      </c>
      <c r="H602" s="2">
        <v>356000</v>
      </c>
    </row>
    <row r="603" spans="1:8" x14ac:dyDescent="0.2">
      <c r="A603" s="72">
        <v>32540</v>
      </c>
      <c r="B603" s="73">
        <v>66.3</v>
      </c>
      <c r="C603" s="2">
        <v>107427</v>
      </c>
      <c r="D603" s="73">
        <v>5.2</v>
      </c>
      <c r="F603" s="72">
        <v>28686</v>
      </c>
      <c r="G603" s="2">
        <v>2328000</v>
      </c>
      <c r="H603" s="2">
        <v>352000</v>
      </c>
    </row>
    <row r="604" spans="1:8" x14ac:dyDescent="0.2">
      <c r="A604" s="72">
        <v>32568</v>
      </c>
      <c r="B604" s="73">
        <v>66.3</v>
      </c>
      <c r="C604" s="2">
        <v>107621</v>
      </c>
      <c r="D604" s="73">
        <v>5</v>
      </c>
      <c r="F604" s="72">
        <v>28693</v>
      </c>
      <c r="G604" s="2">
        <v>2321000</v>
      </c>
      <c r="H604" s="2">
        <v>349000</v>
      </c>
    </row>
    <row r="605" spans="1:8" x14ac:dyDescent="0.2">
      <c r="A605" s="72">
        <v>32599</v>
      </c>
      <c r="B605" s="73">
        <v>66.400000000000006</v>
      </c>
      <c r="C605" s="2">
        <v>107791</v>
      </c>
      <c r="D605" s="73">
        <v>5.2</v>
      </c>
      <c r="F605" s="72">
        <v>28700</v>
      </c>
      <c r="G605" s="2">
        <v>2344000</v>
      </c>
      <c r="H605" s="2">
        <v>346000</v>
      </c>
    </row>
    <row r="606" spans="1:8" x14ac:dyDescent="0.2">
      <c r="A606" s="72">
        <v>32629</v>
      </c>
      <c r="B606" s="73">
        <v>66.3</v>
      </c>
      <c r="C606" s="2">
        <v>107913</v>
      </c>
      <c r="D606" s="73">
        <v>5.2</v>
      </c>
      <c r="F606" s="72">
        <v>28707</v>
      </c>
      <c r="G606" s="2">
        <v>2395000</v>
      </c>
      <c r="H606" s="2">
        <v>365000</v>
      </c>
    </row>
    <row r="607" spans="1:8" x14ac:dyDescent="0.2">
      <c r="A607" s="72">
        <v>32660</v>
      </c>
      <c r="B607" s="73">
        <v>66.5</v>
      </c>
      <c r="C607" s="2">
        <v>108027</v>
      </c>
      <c r="D607" s="73">
        <v>5.3</v>
      </c>
      <c r="F607" s="72">
        <v>28714</v>
      </c>
      <c r="G607" s="2">
        <v>2422000</v>
      </c>
      <c r="H607" s="2">
        <v>354000</v>
      </c>
    </row>
    <row r="608" spans="1:8" x14ac:dyDescent="0.2">
      <c r="A608" s="72">
        <v>32690</v>
      </c>
      <c r="B608" s="73">
        <v>66.5</v>
      </c>
      <c r="C608" s="2">
        <v>108069</v>
      </c>
      <c r="D608" s="73">
        <v>5.2</v>
      </c>
      <c r="F608" s="72">
        <v>28721</v>
      </c>
      <c r="G608" s="2">
        <v>2405000</v>
      </c>
      <c r="H608" s="2">
        <v>343000</v>
      </c>
    </row>
    <row r="609" spans="1:8" x14ac:dyDescent="0.2">
      <c r="A609" s="72">
        <v>32721</v>
      </c>
      <c r="B609" s="73">
        <v>66.5</v>
      </c>
      <c r="C609" s="2">
        <v>108120</v>
      </c>
      <c r="D609" s="73">
        <v>5.2</v>
      </c>
      <c r="F609" s="72">
        <v>28728</v>
      </c>
      <c r="G609" s="2">
        <v>2370000</v>
      </c>
      <c r="H609" s="2">
        <v>333000</v>
      </c>
    </row>
    <row r="610" spans="1:8" x14ac:dyDescent="0.2">
      <c r="A610" s="72">
        <v>32752</v>
      </c>
      <c r="B610" s="73">
        <v>66.400000000000006</v>
      </c>
      <c r="C610" s="2">
        <v>108369</v>
      </c>
      <c r="D610" s="73">
        <v>5.3</v>
      </c>
      <c r="F610" s="72">
        <v>28735</v>
      </c>
      <c r="G610" s="2">
        <v>2336000</v>
      </c>
      <c r="H610" s="2">
        <v>313000</v>
      </c>
    </row>
    <row r="611" spans="1:8" x14ac:dyDescent="0.2">
      <c r="A611" s="72">
        <v>32782</v>
      </c>
      <c r="B611" s="73">
        <v>66.5</v>
      </c>
      <c r="C611" s="2">
        <v>108476</v>
      </c>
      <c r="D611" s="73">
        <v>5.3</v>
      </c>
      <c r="F611" s="72">
        <v>28742</v>
      </c>
      <c r="G611" s="2">
        <v>2278000</v>
      </c>
      <c r="H611" s="2">
        <v>337000</v>
      </c>
    </row>
    <row r="612" spans="1:8" x14ac:dyDescent="0.2">
      <c r="A612" s="72">
        <v>32813</v>
      </c>
      <c r="B612" s="73">
        <v>66.599999999999994</v>
      </c>
      <c r="C612" s="2">
        <v>108752</v>
      </c>
      <c r="D612" s="73">
        <v>5.4</v>
      </c>
      <c r="F612" s="72">
        <v>28749</v>
      </c>
      <c r="G612" s="2">
        <v>2271000</v>
      </c>
      <c r="H612" s="2">
        <v>322000</v>
      </c>
    </row>
    <row r="613" spans="1:8" x14ac:dyDescent="0.2">
      <c r="A613" s="72">
        <v>32843</v>
      </c>
      <c r="B613" s="73">
        <v>66.5</v>
      </c>
      <c r="C613" s="2">
        <v>108836</v>
      </c>
      <c r="D613" s="73">
        <v>5.4</v>
      </c>
      <c r="F613" s="72">
        <v>28756</v>
      </c>
      <c r="G613" s="2">
        <v>2247000</v>
      </c>
      <c r="H613" s="2">
        <v>323000</v>
      </c>
    </row>
    <row r="614" spans="1:8" x14ac:dyDescent="0.2">
      <c r="A614" s="72">
        <v>32874</v>
      </c>
      <c r="B614" s="73">
        <v>66.8</v>
      </c>
      <c r="C614" s="2">
        <v>109199</v>
      </c>
      <c r="D614" s="73">
        <v>5.4</v>
      </c>
      <c r="F614" s="72">
        <v>28763</v>
      </c>
      <c r="G614" s="2">
        <v>2217000</v>
      </c>
      <c r="H614" s="2">
        <v>318000</v>
      </c>
    </row>
    <row r="615" spans="1:8" x14ac:dyDescent="0.2">
      <c r="A615" s="72">
        <v>32905</v>
      </c>
      <c r="B615" s="73">
        <v>66.7</v>
      </c>
      <c r="C615" s="2">
        <v>109435</v>
      </c>
      <c r="D615" s="73">
        <v>5.3</v>
      </c>
      <c r="F615" s="72">
        <v>28770</v>
      </c>
      <c r="G615" s="2">
        <v>2219000</v>
      </c>
      <c r="H615" s="2">
        <v>343000</v>
      </c>
    </row>
    <row r="616" spans="1:8" x14ac:dyDescent="0.2">
      <c r="A616" s="72">
        <v>32933</v>
      </c>
      <c r="B616" s="73">
        <v>66.7</v>
      </c>
      <c r="C616" s="2">
        <v>109644</v>
      </c>
      <c r="D616" s="73">
        <v>5.2</v>
      </c>
      <c r="F616" s="72">
        <v>28777</v>
      </c>
      <c r="G616" s="2">
        <v>2274000</v>
      </c>
      <c r="H616" s="2">
        <v>316000</v>
      </c>
    </row>
    <row r="617" spans="1:8" x14ac:dyDescent="0.2">
      <c r="A617" s="72">
        <v>32964</v>
      </c>
      <c r="B617" s="73">
        <v>66.599999999999994</v>
      </c>
      <c r="C617" s="2">
        <v>109686</v>
      </c>
      <c r="D617" s="73">
        <v>5.4</v>
      </c>
      <c r="F617" s="72">
        <v>28784</v>
      </c>
      <c r="G617" s="2">
        <v>2207000</v>
      </c>
      <c r="H617" s="2">
        <v>338000</v>
      </c>
    </row>
    <row r="618" spans="1:8" x14ac:dyDescent="0.2">
      <c r="A618" s="72">
        <v>32994</v>
      </c>
      <c r="B618" s="73">
        <v>66.599999999999994</v>
      </c>
      <c r="C618" s="2">
        <v>109839</v>
      </c>
      <c r="D618" s="73">
        <v>5.4</v>
      </c>
      <c r="F618" s="72">
        <v>28791</v>
      </c>
      <c r="G618" s="2">
        <v>2222000</v>
      </c>
      <c r="H618" s="2">
        <v>316000</v>
      </c>
    </row>
    <row r="619" spans="1:8" x14ac:dyDescent="0.2">
      <c r="A619" s="72">
        <v>33025</v>
      </c>
      <c r="B619" s="73">
        <v>66.400000000000006</v>
      </c>
      <c r="C619" s="2">
        <v>109856</v>
      </c>
      <c r="D619" s="73">
        <v>5.2</v>
      </c>
      <c r="F619" s="72">
        <v>28798</v>
      </c>
      <c r="G619" s="2">
        <v>2188000</v>
      </c>
      <c r="H619" s="2">
        <v>317000</v>
      </c>
    </row>
    <row r="620" spans="1:8" x14ac:dyDescent="0.2">
      <c r="A620" s="72">
        <v>33055</v>
      </c>
      <c r="B620" s="73">
        <v>66.5</v>
      </c>
      <c r="C620" s="2">
        <v>109824</v>
      </c>
      <c r="D620" s="73">
        <v>5.5</v>
      </c>
      <c r="F620" s="72">
        <v>28805</v>
      </c>
      <c r="G620" s="2">
        <v>2200000</v>
      </c>
      <c r="H620" s="2">
        <v>304000</v>
      </c>
    </row>
    <row r="621" spans="1:8" x14ac:dyDescent="0.2">
      <c r="A621" s="72">
        <v>33086</v>
      </c>
      <c r="B621" s="73">
        <v>66.5</v>
      </c>
      <c r="C621" s="2">
        <v>109616</v>
      </c>
      <c r="D621" s="73">
        <v>5.7</v>
      </c>
      <c r="F621" s="72">
        <v>28812</v>
      </c>
      <c r="G621" s="2">
        <v>2158000</v>
      </c>
      <c r="H621" s="2">
        <v>342000</v>
      </c>
    </row>
    <row r="622" spans="1:8" x14ac:dyDescent="0.2">
      <c r="A622" s="72">
        <v>33117</v>
      </c>
      <c r="B622" s="73">
        <v>66.400000000000006</v>
      </c>
      <c r="C622" s="2">
        <v>109518</v>
      </c>
      <c r="D622" s="73">
        <v>5.9</v>
      </c>
      <c r="F622" s="72">
        <v>28819</v>
      </c>
      <c r="G622" s="2">
        <v>2349000</v>
      </c>
      <c r="H622" s="2">
        <v>359000</v>
      </c>
    </row>
    <row r="623" spans="1:8" x14ac:dyDescent="0.2">
      <c r="A623" s="72">
        <v>33147</v>
      </c>
      <c r="B623" s="73">
        <v>66.400000000000006</v>
      </c>
      <c r="C623" s="2">
        <v>109367</v>
      </c>
      <c r="D623" s="73">
        <v>5.9</v>
      </c>
      <c r="F623" s="72">
        <v>28826</v>
      </c>
      <c r="G623" s="2">
        <v>2248000</v>
      </c>
      <c r="H623" s="2">
        <v>377000</v>
      </c>
    </row>
    <row r="624" spans="1:8" x14ac:dyDescent="0.2">
      <c r="A624" s="72">
        <v>33178</v>
      </c>
      <c r="B624" s="73">
        <v>66.400000000000006</v>
      </c>
      <c r="C624" s="2">
        <v>109214</v>
      </c>
      <c r="D624" s="73">
        <v>6.2</v>
      </c>
      <c r="F624" s="72">
        <v>28833</v>
      </c>
      <c r="G624" s="2">
        <v>2292000</v>
      </c>
      <c r="H624" s="2">
        <v>344000</v>
      </c>
    </row>
    <row r="625" spans="1:8" x14ac:dyDescent="0.2">
      <c r="A625" s="72">
        <v>33208</v>
      </c>
      <c r="B625" s="73">
        <v>66.400000000000006</v>
      </c>
      <c r="C625" s="2">
        <v>109166</v>
      </c>
      <c r="D625" s="73">
        <v>6.3</v>
      </c>
      <c r="F625" s="72">
        <v>28840</v>
      </c>
      <c r="G625" s="2">
        <v>2328000</v>
      </c>
      <c r="H625" s="2">
        <v>347000</v>
      </c>
    </row>
    <row r="626" spans="1:8" x14ac:dyDescent="0.2">
      <c r="A626" s="72">
        <v>33239</v>
      </c>
      <c r="B626" s="73">
        <v>66.2</v>
      </c>
      <c r="C626" s="2">
        <v>109055</v>
      </c>
      <c r="D626" s="73">
        <v>6.4</v>
      </c>
      <c r="F626" s="72">
        <v>28847</v>
      </c>
      <c r="G626" s="2">
        <v>2276000</v>
      </c>
      <c r="H626" s="2">
        <v>352000</v>
      </c>
    </row>
    <row r="627" spans="1:8" x14ac:dyDescent="0.2">
      <c r="A627" s="72">
        <v>33270</v>
      </c>
      <c r="B627" s="73">
        <v>66.2</v>
      </c>
      <c r="C627" s="2">
        <v>108734</v>
      </c>
      <c r="D627" s="73">
        <v>6.6</v>
      </c>
      <c r="F627" s="72">
        <v>28854</v>
      </c>
      <c r="G627" s="2">
        <v>2289000</v>
      </c>
      <c r="H627" s="2">
        <v>358000</v>
      </c>
    </row>
    <row r="628" spans="1:8" x14ac:dyDescent="0.2">
      <c r="A628" s="72">
        <v>33298</v>
      </c>
      <c r="B628" s="73">
        <v>66.3</v>
      </c>
      <c r="C628" s="2">
        <v>108574</v>
      </c>
      <c r="D628" s="73">
        <v>6.8</v>
      </c>
      <c r="F628" s="72">
        <v>28861</v>
      </c>
      <c r="G628" s="2">
        <v>2366000</v>
      </c>
      <c r="H628" s="2">
        <v>359000</v>
      </c>
    </row>
    <row r="629" spans="1:8" x14ac:dyDescent="0.2">
      <c r="A629" s="72">
        <v>33329</v>
      </c>
      <c r="B629" s="73">
        <v>66.400000000000006</v>
      </c>
      <c r="C629" s="2">
        <v>108364</v>
      </c>
      <c r="D629" s="73">
        <v>6.7</v>
      </c>
      <c r="F629" s="72">
        <v>28868</v>
      </c>
      <c r="G629" s="2">
        <v>2368000</v>
      </c>
      <c r="H629" s="2">
        <v>392000</v>
      </c>
    </row>
    <row r="630" spans="1:8" x14ac:dyDescent="0.2">
      <c r="A630" s="72">
        <v>33359</v>
      </c>
      <c r="B630" s="73">
        <v>66.2</v>
      </c>
      <c r="C630" s="2">
        <v>108249</v>
      </c>
      <c r="D630" s="73">
        <v>6.9</v>
      </c>
      <c r="F630" s="72">
        <v>28875</v>
      </c>
      <c r="G630" s="2">
        <v>2403000</v>
      </c>
      <c r="H630" s="2">
        <v>337000</v>
      </c>
    </row>
    <row r="631" spans="1:8" x14ac:dyDescent="0.2">
      <c r="A631" s="72">
        <v>33390</v>
      </c>
      <c r="B631" s="73">
        <v>66.2</v>
      </c>
      <c r="C631" s="2">
        <v>108334</v>
      </c>
      <c r="D631" s="73">
        <v>6.9</v>
      </c>
      <c r="F631" s="72">
        <v>28882</v>
      </c>
      <c r="G631" s="2">
        <v>2393000</v>
      </c>
      <c r="H631" s="2">
        <v>342000</v>
      </c>
    </row>
    <row r="632" spans="1:8" x14ac:dyDescent="0.2">
      <c r="A632" s="72">
        <v>33420</v>
      </c>
      <c r="B632" s="73">
        <v>66.099999999999994</v>
      </c>
      <c r="C632" s="2">
        <v>108292</v>
      </c>
      <c r="D632" s="73">
        <v>6.8</v>
      </c>
      <c r="F632" s="72">
        <v>28889</v>
      </c>
      <c r="G632" s="2">
        <v>2411000</v>
      </c>
      <c r="H632" s="2">
        <v>348000</v>
      </c>
    </row>
    <row r="633" spans="1:8" x14ac:dyDescent="0.2">
      <c r="A633" s="72">
        <v>33451</v>
      </c>
      <c r="B633" s="73">
        <v>66</v>
      </c>
      <c r="C633" s="2">
        <v>108310</v>
      </c>
      <c r="D633" s="73">
        <v>6.9</v>
      </c>
      <c r="F633" s="72">
        <v>28896</v>
      </c>
      <c r="G633" s="2">
        <v>2412000</v>
      </c>
      <c r="H633" s="2">
        <v>359000</v>
      </c>
    </row>
    <row r="634" spans="1:8" x14ac:dyDescent="0.2">
      <c r="A634" s="72">
        <v>33482</v>
      </c>
      <c r="B634" s="73">
        <v>66.2</v>
      </c>
      <c r="C634" s="2">
        <v>108336</v>
      </c>
      <c r="D634" s="73">
        <v>6.9</v>
      </c>
      <c r="F634" s="72">
        <v>28903</v>
      </c>
      <c r="G634" s="2">
        <v>2383000</v>
      </c>
      <c r="H634" s="2">
        <v>367000</v>
      </c>
    </row>
    <row r="635" spans="1:8" x14ac:dyDescent="0.2">
      <c r="A635" s="72">
        <v>33512</v>
      </c>
      <c r="B635" s="73">
        <v>66.099999999999994</v>
      </c>
      <c r="C635" s="2">
        <v>108357</v>
      </c>
      <c r="D635" s="73">
        <v>7</v>
      </c>
      <c r="F635" s="72">
        <v>28910</v>
      </c>
      <c r="G635" s="2">
        <v>2451000</v>
      </c>
      <c r="H635" s="2">
        <v>360000</v>
      </c>
    </row>
    <row r="636" spans="1:8" x14ac:dyDescent="0.2">
      <c r="A636" s="72">
        <v>33543</v>
      </c>
      <c r="B636" s="73">
        <v>66.099999999999994</v>
      </c>
      <c r="C636" s="2">
        <v>108296</v>
      </c>
      <c r="D636" s="73">
        <v>7</v>
      </c>
      <c r="F636" s="72">
        <v>28917</v>
      </c>
      <c r="G636" s="2">
        <v>2451000</v>
      </c>
      <c r="H636" s="2">
        <v>355000</v>
      </c>
    </row>
    <row r="637" spans="1:8" x14ac:dyDescent="0.2">
      <c r="A637" s="72">
        <v>33573</v>
      </c>
      <c r="B637" s="73">
        <v>66</v>
      </c>
      <c r="C637" s="2">
        <v>108328</v>
      </c>
      <c r="D637" s="73">
        <v>7.3</v>
      </c>
      <c r="F637" s="72">
        <v>28924</v>
      </c>
      <c r="G637" s="2">
        <v>2413000</v>
      </c>
      <c r="H637" s="2">
        <v>363000</v>
      </c>
    </row>
    <row r="638" spans="1:8" x14ac:dyDescent="0.2">
      <c r="A638" s="72">
        <v>33604</v>
      </c>
      <c r="B638" s="73">
        <v>66.3</v>
      </c>
      <c r="C638" s="2">
        <v>108369</v>
      </c>
      <c r="D638" s="73">
        <v>7.3</v>
      </c>
      <c r="F638" s="72">
        <v>28931</v>
      </c>
      <c r="G638" s="2">
        <v>2377000</v>
      </c>
      <c r="H638" s="2">
        <v>359000</v>
      </c>
    </row>
    <row r="639" spans="1:8" x14ac:dyDescent="0.2">
      <c r="A639" s="72">
        <v>33635</v>
      </c>
      <c r="B639" s="73">
        <v>66.2</v>
      </c>
      <c r="C639" s="2">
        <v>108311</v>
      </c>
      <c r="D639" s="73">
        <v>7.4</v>
      </c>
      <c r="F639" s="72">
        <v>28938</v>
      </c>
      <c r="G639" s="2">
        <v>2353000</v>
      </c>
      <c r="H639" s="2">
        <v>353000</v>
      </c>
    </row>
    <row r="640" spans="1:8" x14ac:dyDescent="0.2">
      <c r="A640" s="72">
        <v>33664</v>
      </c>
      <c r="B640" s="73">
        <v>66.400000000000006</v>
      </c>
      <c r="C640" s="2">
        <v>108365</v>
      </c>
      <c r="D640" s="73">
        <v>7.4</v>
      </c>
      <c r="F640" s="72">
        <v>28945</v>
      </c>
      <c r="G640" s="2">
        <v>2335000</v>
      </c>
      <c r="H640" s="2">
        <v>360000</v>
      </c>
    </row>
    <row r="641" spans="1:8" x14ac:dyDescent="0.2">
      <c r="A641" s="72">
        <v>33695</v>
      </c>
      <c r="B641" s="73">
        <v>66.5</v>
      </c>
      <c r="C641" s="2">
        <v>108519</v>
      </c>
      <c r="D641" s="73">
        <v>7.4</v>
      </c>
      <c r="F641" s="72">
        <v>28952</v>
      </c>
      <c r="G641" s="2">
        <v>2368000</v>
      </c>
      <c r="H641" s="2">
        <v>465000</v>
      </c>
    </row>
    <row r="642" spans="1:8" x14ac:dyDescent="0.2">
      <c r="A642" s="72">
        <v>33725</v>
      </c>
      <c r="B642" s="73">
        <v>66.599999999999994</v>
      </c>
      <c r="C642" s="2">
        <v>108649</v>
      </c>
      <c r="D642" s="73">
        <v>7.6</v>
      </c>
      <c r="F642" s="72">
        <v>28959</v>
      </c>
      <c r="G642" s="2">
        <v>2467000</v>
      </c>
      <c r="H642" s="2">
        <v>457000</v>
      </c>
    </row>
    <row r="643" spans="1:8" x14ac:dyDescent="0.2">
      <c r="A643" s="72">
        <v>33756</v>
      </c>
      <c r="B643" s="73">
        <v>66.7</v>
      </c>
      <c r="C643" s="2">
        <v>108715</v>
      </c>
      <c r="D643" s="73">
        <v>7.8</v>
      </c>
      <c r="F643" s="72">
        <v>28966</v>
      </c>
      <c r="G643" s="2">
        <v>2408000</v>
      </c>
      <c r="H643" s="2">
        <v>383000</v>
      </c>
    </row>
    <row r="644" spans="1:8" x14ac:dyDescent="0.2">
      <c r="A644" s="72">
        <v>33786</v>
      </c>
      <c r="B644" s="73">
        <v>66.7</v>
      </c>
      <c r="C644" s="2">
        <v>108793</v>
      </c>
      <c r="D644" s="73">
        <v>7.7</v>
      </c>
      <c r="F644" s="72">
        <v>28973</v>
      </c>
      <c r="G644" s="2">
        <v>2351000</v>
      </c>
      <c r="H644" s="2">
        <v>357000</v>
      </c>
    </row>
    <row r="645" spans="1:8" x14ac:dyDescent="0.2">
      <c r="A645" s="72">
        <v>33817</v>
      </c>
      <c r="B645" s="73">
        <v>66.599999999999994</v>
      </c>
      <c r="C645" s="2">
        <v>108925</v>
      </c>
      <c r="D645" s="73">
        <v>7.6</v>
      </c>
      <c r="F645" s="72">
        <v>28980</v>
      </c>
      <c r="G645" s="2">
        <v>2292000</v>
      </c>
      <c r="H645" s="2">
        <v>353000</v>
      </c>
    </row>
    <row r="646" spans="1:8" x14ac:dyDescent="0.2">
      <c r="A646" s="72">
        <v>33848</v>
      </c>
      <c r="B646" s="73">
        <v>66.5</v>
      </c>
      <c r="C646" s="2">
        <v>108959</v>
      </c>
      <c r="D646" s="73">
        <v>7.6</v>
      </c>
      <c r="F646" s="72">
        <v>28987</v>
      </c>
      <c r="G646" s="2">
        <v>2261000</v>
      </c>
      <c r="H646" s="2">
        <v>344000</v>
      </c>
    </row>
    <row r="647" spans="1:8" x14ac:dyDescent="0.2">
      <c r="A647" s="72">
        <v>33878</v>
      </c>
      <c r="B647" s="73">
        <v>66.2</v>
      </c>
      <c r="C647" s="2">
        <v>109139</v>
      </c>
      <c r="D647" s="73">
        <v>7.3</v>
      </c>
      <c r="F647" s="72">
        <v>28994</v>
      </c>
      <c r="G647" s="2">
        <v>2238000</v>
      </c>
      <c r="H647" s="2">
        <v>346000</v>
      </c>
    </row>
    <row r="648" spans="1:8" x14ac:dyDescent="0.2">
      <c r="A648" s="72">
        <v>33909</v>
      </c>
      <c r="B648" s="73">
        <v>66.3</v>
      </c>
      <c r="C648" s="2">
        <v>109272</v>
      </c>
      <c r="D648" s="73">
        <v>7.4</v>
      </c>
      <c r="F648" s="72">
        <v>29001</v>
      </c>
      <c r="G648" s="2">
        <v>2246000</v>
      </c>
      <c r="H648" s="2">
        <v>349000</v>
      </c>
    </row>
    <row r="649" spans="1:8" x14ac:dyDescent="0.2">
      <c r="A649" s="72">
        <v>33939</v>
      </c>
      <c r="B649" s="73">
        <v>66.3</v>
      </c>
      <c r="C649" s="2">
        <v>109495</v>
      </c>
      <c r="D649" s="73">
        <v>7.4</v>
      </c>
      <c r="F649" s="72">
        <v>29008</v>
      </c>
      <c r="G649" s="2">
        <v>2260000</v>
      </c>
      <c r="H649" s="2">
        <v>336000</v>
      </c>
    </row>
    <row r="650" spans="1:8" x14ac:dyDescent="0.2">
      <c r="A650" s="72">
        <v>33970</v>
      </c>
      <c r="B650" s="73">
        <v>66.2</v>
      </c>
      <c r="C650" s="2">
        <v>109794</v>
      </c>
      <c r="D650" s="73">
        <v>7.3</v>
      </c>
      <c r="F650" s="72">
        <v>29015</v>
      </c>
      <c r="G650" s="2">
        <v>2207000</v>
      </c>
      <c r="H650" s="2">
        <v>365000</v>
      </c>
    </row>
    <row r="651" spans="1:8" x14ac:dyDescent="0.2">
      <c r="A651" s="72">
        <v>34001</v>
      </c>
      <c r="B651" s="73">
        <v>66.2</v>
      </c>
      <c r="C651" s="2">
        <v>110044</v>
      </c>
      <c r="D651" s="73">
        <v>7.1</v>
      </c>
      <c r="F651" s="72">
        <v>29022</v>
      </c>
      <c r="G651" s="2">
        <v>2234000</v>
      </c>
      <c r="H651" s="2">
        <v>351000</v>
      </c>
    </row>
    <row r="652" spans="1:8" x14ac:dyDescent="0.2">
      <c r="A652" s="72">
        <v>34029</v>
      </c>
      <c r="B652" s="73">
        <v>66.2</v>
      </c>
      <c r="C652" s="2">
        <v>109994</v>
      </c>
      <c r="D652" s="73">
        <v>7</v>
      </c>
      <c r="F652" s="72">
        <v>29029</v>
      </c>
      <c r="G652" s="2">
        <v>2275000</v>
      </c>
      <c r="H652" s="2">
        <v>379000</v>
      </c>
    </row>
    <row r="653" spans="1:8" x14ac:dyDescent="0.2">
      <c r="A653" s="72">
        <v>34060</v>
      </c>
      <c r="B653" s="73">
        <v>66.099999999999994</v>
      </c>
      <c r="C653" s="2">
        <v>110296</v>
      </c>
      <c r="D653" s="73">
        <v>7.1</v>
      </c>
      <c r="F653" s="72">
        <v>29036</v>
      </c>
      <c r="G653" s="2">
        <v>2282000</v>
      </c>
      <c r="H653" s="2">
        <v>369000</v>
      </c>
    </row>
    <row r="654" spans="1:8" x14ac:dyDescent="0.2">
      <c r="A654" s="72">
        <v>34090</v>
      </c>
      <c r="B654" s="73">
        <v>66.400000000000006</v>
      </c>
      <c r="C654" s="2">
        <v>110568</v>
      </c>
      <c r="D654" s="73">
        <v>7.1</v>
      </c>
      <c r="F654" s="72">
        <v>29043</v>
      </c>
      <c r="G654" s="2">
        <v>2368000</v>
      </c>
      <c r="H654" s="2">
        <v>368000</v>
      </c>
    </row>
    <row r="655" spans="1:8" x14ac:dyDescent="0.2">
      <c r="A655" s="72">
        <v>34121</v>
      </c>
      <c r="B655" s="73">
        <v>66.5</v>
      </c>
      <c r="C655" s="2">
        <v>110749</v>
      </c>
      <c r="D655" s="73">
        <v>7</v>
      </c>
      <c r="F655" s="72">
        <v>29050</v>
      </c>
      <c r="G655" s="2">
        <v>2356000</v>
      </c>
      <c r="H655" s="2">
        <v>368000</v>
      </c>
    </row>
    <row r="656" spans="1:8" x14ac:dyDescent="0.2">
      <c r="A656" s="72">
        <v>34151</v>
      </c>
      <c r="B656" s="73">
        <v>66.400000000000006</v>
      </c>
      <c r="C656" s="2">
        <v>111055</v>
      </c>
      <c r="D656" s="73">
        <v>6.9</v>
      </c>
      <c r="F656" s="72">
        <v>29057</v>
      </c>
      <c r="G656" s="2">
        <v>2335000</v>
      </c>
      <c r="H656" s="2">
        <v>395000</v>
      </c>
    </row>
    <row r="657" spans="1:8" x14ac:dyDescent="0.2">
      <c r="A657" s="72">
        <v>34182</v>
      </c>
      <c r="B657" s="73">
        <v>66.400000000000006</v>
      </c>
      <c r="C657" s="2">
        <v>111206</v>
      </c>
      <c r="D657" s="73">
        <v>6.8</v>
      </c>
      <c r="F657" s="72">
        <v>29064</v>
      </c>
      <c r="G657" s="2">
        <v>2375000</v>
      </c>
      <c r="H657" s="2">
        <v>386000</v>
      </c>
    </row>
    <row r="658" spans="1:8" x14ac:dyDescent="0.2">
      <c r="A658" s="72">
        <v>34213</v>
      </c>
      <c r="B658" s="73">
        <v>66.2</v>
      </c>
      <c r="C658" s="2">
        <v>111448</v>
      </c>
      <c r="D658" s="73">
        <v>6.7</v>
      </c>
      <c r="F658" s="72">
        <v>29071</v>
      </c>
      <c r="G658" s="2">
        <v>2422000</v>
      </c>
      <c r="H658" s="2">
        <v>412000</v>
      </c>
    </row>
    <row r="659" spans="1:8" x14ac:dyDescent="0.2">
      <c r="A659" s="72">
        <v>34243</v>
      </c>
      <c r="B659" s="73">
        <v>66.3</v>
      </c>
      <c r="C659" s="2">
        <v>111733</v>
      </c>
      <c r="D659" s="73">
        <v>6.8</v>
      </c>
      <c r="F659" s="72">
        <v>29078</v>
      </c>
      <c r="G659" s="2">
        <v>2466000</v>
      </c>
      <c r="H659" s="2">
        <v>386000</v>
      </c>
    </row>
    <row r="660" spans="1:8" x14ac:dyDescent="0.2">
      <c r="A660" s="72">
        <v>34274</v>
      </c>
      <c r="B660" s="73">
        <v>66.3</v>
      </c>
      <c r="C660" s="2">
        <v>111984</v>
      </c>
      <c r="D660" s="73">
        <v>6.6</v>
      </c>
      <c r="F660" s="72">
        <v>29085</v>
      </c>
      <c r="G660" s="2">
        <v>2474000</v>
      </c>
      <c r="H660" s="2">
        <v>387000</v>
      </c>
    </row>
    <row r="661" spans="1:8" x14ac:dyDescent="0.2">
      <c r="A661" s="72">
        <v>34304</v>
      </c>
      <c r="B661" s="73">
        <v>66.400000000000006</v>
      </c>
      <c r="C661" s="2">
        <v>112314</v>
      </c>
      <c r="D661" s="73">
        <v>6.5</v>
      </c>
      <c r="F661" s="72">
        <v>29092</v>
      </c>
      <c r="G661" s="2">
        <v>2471000</v>
      </c>
      <c r="H661" s="2">
        <v>390000</v>
      </c>
    </row>
    <row r="662" spans="1:8" x14ac:dyDescent="0.2">
      <c r="A662" s="72">
        <v>34335</v>
      </c>
      <c r="B662" s="73">
        <v>66.599999999999994</v>
      </c>
      <c r="C662" s="2">
        <v>112595</v>
      </c>
      <c r="D662" s="73">
        <v>6.6</v>
      </c>
      <c r="F662" s="72">
        <v>29099</v>
      </c>
      <c r="G662" s="2">
        <v>2448000</v>
      </c>
      <c r="H662" s="2">
        <v>389000</v>
      </c>
    </row>
    <row r="663" spans="1:8" x14ac:dyDescent="0.2">
      <c r="A663" s="72">
        <v>34366</v>
      </c>
      <c r="B663" s="73">
        <v>66.599999999999994</v>
      </c>
      <c r="C663" s="2">
        <v>112781</v>
      </c>
      <c r="D663" s="73">
        <v>6.6</v>
      </c>
      <c r="F663" s="72">
        <v>29106</v>
      </c>
      <c r="G663" s="2">
        <v>2432000</v>
      </c>
      <c r="H663" s="2">
        <v>378000</v>
      </c>
    </row>
    <row r="664" spans="1:8" x14ac:dyDescent="0.2">
      <c r="A664" s="72">
        <v>34394</v>
      </c>
      <c r="B664" s="73">
        <v>66.5</v>
      </c>
      <c r="C664" s="2">
        <v>113242</v>
      </c>
      <c r="D664" s="73">
        <v>6.5</v>
      </c>
      <c r="F664" s="72">
        <v>29113</v>
      </c>
      <c r="G664" s="2">
        <v>2431000</v>
      </c>
      <c r="H664" s="2">
        <v>384000</v>
      </c>
    </row>
    <row r="665" spans="1:8" x14ac:dyDescent="0.2">
      <c r="A665" s="72">
        <v>34425</v>
      </c>
      <c r="B665" s="73">
        <v>66.5</v>
      </c>
      <c r="C665" s="2">
        <v>113586</v>
      </c>
      <c r="D665" s="73">
        <v>6.4</v>
      </c>
      <c r="F665" s="72">
        <v>29120</v>
      </c>
      <c r="G665" s="2">
        <v>2404000</v>
      </c>
      <c r="H665" s="2">
        <v>388000</v>
      </c>
    </row>
    <row r="666" spans="1:8" x14ac:dyDescent="0.2">
      <c r="A666" s="72">
        <v>34455</v>
      </c>
      <c r="B666" s="73">
        <v>66.599999999999994</v>
      </c>
      <c r="C666" s="2">
        <v>113921</v>
      </c>
      <c r="D666" s="73">
        <v>6.1</v>
      </c>
      <c r="F666" s="72">
        <v>29127</v>
      </c>
      <c r="G666" s="2">
        <v>2426000</v>
      </c>
      <c r="H666" s="2">
        <v>390000</v>
      </c>
    </row>
    <row r="667" spans="1:8" x14ac:dyDescent="0.2">
      <c r="A667" s="72">
        <v>34486</v>
      </c>
      <c r="B667" s="73">
        <v>66.400000000000006</v>
      </c>
      <c r="C667" s="2">
        <v>114238</v>
      </c>
      <c r="D667" s="73">
        <v>6.1</v>
      </c>
      <c r="F667" s="72">
        <v>29134</v>
      </c>
      <c r="G667" s="2">
        <v>2428000</v>
      </c>
      <c r="H667" s="2">
        <v>412000</v>
      </c>
    </row>
    <row r="668" spans="1:8" x14ac:dyDescent="0.2">
      <c r="A668" s="72">
        <v>34516</v>
      </c>
      <c r="B668" s="73">
        <v>66.400000000000006</v>
      </c>
      <c r="C668" s="2">
        <v>114610</v>
      </c>
      <c r="D668" s="73">
        <v>6.1</v>
      </c>
      <c r="F668" s="72">
        <v>29141</v>
      </c>
      <c r="G668" s="2">
        <v>2535000</v>
      </c>
      <c r="H668" s="2">
        <v>393000</v>
      </c>
    </row>
    <row r="669" spans="1:8" x14ac:dyDescent="0.2">
      <c r="A669" s="72">
        <v>34547</v>
      </c>
      <c r="B669" s="73">
        <v>66.599999999999994</v>
      </c>
      <c r="C669" s="2">
        <v>114896</v>
      </c>
      <c r="D669" s="73">
        <v>6</v>
      </c>
      <c r="F669" s="72">
        <v>29148</v>
      </c>
      <c r="G669" s="2">
        <v>2475000</v>
      </c>
      <c r="H669" s="2">
        <v>406000</v>
      </c>
    </row>
    <row r="670" spans="1:8" x14ac:dyDescent="0.2">
      <c r="A670" s="72">
        <v>34578</v>
      </c>
      <c r="B670" s="73">
        <v>66.599999999999994</v>
      </c>
      <c r="C670" s="2">
        <v>115247</v>
      </c>
      <c r="D670" s="73">
        <v>5.9</v>
      </c>
      <c r="F670" s="72">
        <v>29155</v>
      </c>
      <c r="G670" s="2">
        <v>2522000</v>
      </c>
      <c r="H670" s="2">
        <v>398000</v>
      </c>
    </row>
    <row r="671" spans="1:8" x14ac:dyDescent="0.2">
      <c r="A671" s="72">
        <v>34608</v>
      </c>
      <c r="B671" s="73">
        <v>66.7</v>
      </c>
      <c r="C671" s="2">
        <v>115458</v>
      </c>
      <c r="D671" s="73">
        <v>5.8</v>
      </c>
      <c r="F671" s="72">
        <v>29162</v>
      </c>
      <c r="G671" s="2">
        <v>2569000</v>
      </c>
      <c r="H671" s="2">
        <v>395000</v>
      </c>
    </row>
    <row r="672" spans="1:8" x14ac:dyDescent="0.2">
      <c r="A672" s="72">
        <v>34639</v>
      </c>
      <c r="B672" s="73">
        <v>66.7</v>
      </c>
      <c r="C672" s="2">
        <v>115869</v>
      </c>
      <c r="D672" s="73">
        <v>5.6</v>
      </c>
      <c r="F672" s="72">
        <v>29169</v>
      </c>
      <c r="G672" s="2">
        <v>2537000</v>
      </c>
      <c r="H672" s="2">
        <v>414000</v>
      </c>
    </row>
    <row r="673" spans="1:8" x14ac:dyDescent="0.2">
      <c r="A673" s="72">
        <v>34669</v>
      </c>
      <c r="B673" s="73">
        <v>66.7</v>
      </c>
      <c r="C673" s="2">
        <v>116165</v>
      </c>
      <c r="D673" s="73">
        <v>5.5</v>
      </c>
      <c r="F673" s="72">
        <v>29176</v>
      </c>
      <c r="G673" s="2">
        <v>2656000</v>
      </c>
      <c r="H673" s="2">
        <v>430000</v>
      </c>
    </row>
    <row r="674" spans="1:8" x14ac:dyDescent="0.2">
      <c r="A674" s="72">
        <v>34700</v>
      </c>
      <c r="B674" s="73">
        <v>66.8</v>
      </c>
      <c r="C674" s="2">
        <v>116501</v>
      </c>
      <c r="D674" s="73">
        <v>5.6</v>
      </c>
      <c r="F674" s="72">
        <v>29183</v>
      </c>
      <c r="G674" s="2">
        <v>2648000</v>
      </c>
      <c r="H674" s="2">
        <v>414000</v>
      </c>
    </row>
    <row r="675" spans="1:8" x14ac:dyDescent="0.2">
      <c r="A675" s="72">
        <v>34731</v>
      </c>
      <c r="B675" s="73">
        <v>66.8</v>
      </c>
      <c r="C675" s="2">
        <v>116697</v>
      </c>
      <c r="D675" s="73">
        <v>5.4</v>
      </c>
      <c r="F675" s="72">
        <v>29190</v>
      </c>
      <c r="G675" s="2">
        <v>2698000</v>
      </c>
      <c r="H675" s="2">
        <v>416000</v>
      </c>
    </row>
    <row r="676" spans="1:8" x14ac:dyDescent="0.2">
      <c r="A676" s="72">
        <v>34759</v>
      </c>
      <c r="B676" s="73">
        <v>66.7</v>
      </c>
      <c r="C676" s="2">
        <v>116907</v>
      </c>
      <c r="D676" s="73">
        <v>5.4</v>
      </c>
      <c r="F676" s="72">
        <v>29197</v>
      </c>
      <c r="G676" s="2">
        <v>2685000</v>
      </c>
      <c r="H676" s="2">
        <v>415000</v>
      </c>
    </row>
    <row r="677" spans="1:8" x14ac:dyDescent="0.2">
      <c r="A677" s="72">
        <v>34790</v>
      </c>
      <c r="B677" s="73">
        <v>66.900000000000006</v>
      </c>
      <c r="C677" s="2">
        <v>117069</v>
      </c>
      <c r="D677" s="73">
        <v>5.8</v>
      </c>
      <c r="F677" s="72">
        <v>29204</v>
      </c>
      <c r="G677" s="2">
        <v>2712000</v>
      </c>
      <c r="H677" s="2">
        <v>411000</v>
      </c>
    </row>
    <row r="678" spans="1:8" x14ac:dyDescent="0.2">
      <c r="A678" s="72">
        <v>34820</v>
      </c>
      <c r="B678" s="73">
        <v>66.5</v>
      </c>
      <c r="C678" s="2">
        <v>117049</v>
      </c>
      <c r="D678" s="73">
        <v>5.6</v>
      </c>
      <c r="F678" s="72">
        <v>29211</v>
      </c>
      <c r="G678" s="2">
        <v>2674000</v>
      </c>
      <c r="H678" s="2">
        <v>471000</v>
      </c>
    </row>
    <row r="679" spans="1:8" x14ac:dyDescent="0.2">
      <c r="A679" s="72">
        <v>34851</v>
      </c>
      <c r="B679" s="73">
        <v>66.5</v>
      </c>
      <c r="C679" s="2">
        <v>117286</v>
      </c>
      <c r="D679" s="73">
        <v>5.6</v>
      </c>
      <c r="F679" s="72">
        <v>29218</v>
      </c>
      <c r="G679" s="2">
        <v>2725000</v>
      </c>
      <c r="H679" s="2">
        <v>428000</v>
      </c>
    </row>
    <row r="680" spans="1:8" x14ac:dyDescent="0.2">
      <c r="A680" s="72">
        <v>34881</v>
      </c>
      <c r="B680" s="73">
        <v>66.599999999999994</v>
      </c>
      <c r="C680" s="2">
        <v>117380</v>
      </c>
      <c r="D680" s="73">
        <v>5.7</v>
      </c>
      <c r="F680" s="72">
        <v>29225</v>
      </c>
      <c r="G680" s="2">
        <v>2749000</v>
      </c>
      <c r="H680" s="2">
        <v>394000</v>
      </c>
    </row>
    <row r="681" spans="1:8" x14ac:dyDescent="0.2">
      <c r="A681" s="72">
        <v>34912</v>
      </c>
      <c r="B681" s="73">
        <v>66.599999999999994</v>
      </c>
      <c r="C681" s="2">
        <v>117634</v>
      </c>
      <c r="D681" s="73">
        <v>5.7</v>
      </c>
      <c r="F681" s="72">
        <v>29232</v>
      </c>
      <c r="G681" s="2">
        <v>2778000</v>
      </c>
      <c r="H681" s="2">
        <v>405000</v>
      </c>
    </row>
    <row r="682" spans="1:8" x14ac:dyDescent="0.2">
      <c r="A682" s="72">
        <v>34943</v>
      </c>
      <c r="B682" s="73">
        <v>66.599999999999994</v>
      </c>
      <c r="C682" s="2">
        <v>117875</v>
      </c>
      <c r="D682" s="73">
        <v>5.6</v>
      </c>
      <c r="F682" s="72">
        <v>29239</v>
      </c>
      <c r="G682" s="2">
        <v>2783000</v>
      </c>
      <c r="H682" s="2">
        <v>446000</v>
      </c>
    </row>
    <row r="683" spans="1:8" x14ac:dyDescent="0.2">
      <c r="A683" s="72">
        <v>34973</v>
      </c>
      <c r="B683" s="73">
        <v>66.599999999999994</v>
      </c>
      <c r="C683" s="2">
        <v>118031</v>
      </c>
      <c r="D683" s="73">
        <v>5.5</v>
      </c>
      <c r="F683" s="72">
        <v>29246</v>
      </c>
      <c r="G683" s="2">
        <v>2817000</v>
      </c>
      <c r="H683" s="2">
        <v>412000</v>
      </c>
    </row>
    <row r="684" spans="1:8" x14ac:dyDescent="0.2">
      <c r="A684" s="72">
        <v>35004</v>
      </c>
      <c r="B684" s="73">
        <v>66.5</v>
      </c>
      <c r="C684" s="2">
        <v>118175</v>
      </c>
      <c r="D684" s="73">
        <v>5.6</v>
      </c>
      <c r="F684" s="72">
        <v>29253</v>
      </c>
      <c r="G684" s="2">
        <v>2864000</v>
      </c>
      <c r="H684" s="2">
        <v>404000</v>
      </c>
    </row>
    <row r="685" spans="1:8" x14ac:dyDescent="0.2">
      <c r="A685" s="72">
        <v>35034</v>
      </c>
      <c r="B685" s="73">
        <v>66.400000000000006</v>
      </c>
      <c r="C685" s="2">
        <v>118320</v>
      </c>
      <c r="D685" s="73">
        <v>5.6</v>
      </c>
      <c r="F685" s="72">
        <v>29260</v>
      </c>
      <c r="G685" s="2">
        <v>2867000</v>
      </c>
      <c r="H685" s="2">
        <v>425000</v>
      </c>
    </row>
    <row r="686" spans="1:8" x14ac:dyDescent="0.2">
      <c r="A686" s="72">
        <v>35065</v>
      </c>
      <c r="B686" s="73">
        <v>66.400000000000006</v>
      </c>
      <c r="C686" s="2">
        <v>118316</v>
      </c>
      <c r="D686" s="73">
        <v>5.6</v>
      </c>
      <c r="F686" s="72">
        <v>29267</v>
      </c>
      <c r="G686" s="2">
        <v>2877000</v>
      </c>
      <c r="H686" s="2">
        <v>415000</v>
      </c>
    </row>
    <row r="687" spans="1:8" x14ac:dyDescent="0.2">
      <c r="A687" s="72">
        <v>35096</v>
      </c>
      <c r="B687" s="73">
        <v>66.599999999999994</v>
      </c>
      <c r="C687" s="2">
        <v>118739</v>
      </c>
      <c r="D687" s="73">
        <v>5.5</v>
      </c>
      <c r="F687" s="72">
        <v>29274</v>
      </c>
      <c r="G687" s="2">
        <v>2866000</v>
      </c>
      <c r="H687" s="2">
        <v>428000</v>
      </c>
    </row>
    <row r="688" spans="1:8" x14ac:dyDescent="0.2">
      <c r="A688" s="72">
        <v>35125</v>
      </c>
      <c r="B688" s="73">
        <v>66.599999999999994</v>
      </c>
      <c r="C688" s="2">
        <v>118993</v>
      </c>
      <c r="D688" s="73">
        <v>5.5</v>
      </c>
      <c r="F688" s="72">
        <v>29281</v>
      </c>
      <c r="G688" s="2">
        <v>2848000</v>
      </c>
      <c r="H688" s="2">
        <v>409000</v>
      </c>
    </row>
    <row r="689" spans="1:8" x14ac:dyDescent="0.2">
      <c r="A689" s="72">
        <v>35156</v>
      </c>
      <c r="B689" s="73">
        <v>66.7</v>
      </c>
      <c r="C689" s="2">
        <v>119158</v>
      </c>
      <c r="D689" s="73">
        <v>5.6</v>
      </c>
      <c r="F689" s="72">
        <v>29288</v>
      </c>
      <c r="G689" s="2">
        <v>2883000</v>
      </c>
      <c r="H689" s="2">
        <v>418000</v>
      </c>
    </row>
    <row r="690" spans="1:8" x14ac:dyDescent="0.2">
      <c r="A690" s="72">
        <v>35186</v>
      </c>
      <c r="B690" s="73">
        <v>66.7</v>
      </c>
      <c r="C690" s="2">
        <v>119486</v>
      </c>
      <c r="D690" s="73">
        <v>5.6</v>
      </c>
      <c r="F690" s="72">
        <v>29295</v>
      </c>
      <c r="G690" s="2">
        <v>2888000</v>
      </c>
      <c r="H690" s="2">
        <v>432000</v>
      </c>
    </row>
    <row r="691" spans="1:8" x14ac:dyDescent="0.2">
      <c r="A691" s="72">
        <v>35217</v>
      </c>
      <c r="B691" s="73">
        <v>66.7</v>
      </c>
      <c r="C691" s="2">
        <v>119769</v>
      </c>
      <c r="D691" s="73">
        <v>5.3</v>
      </c>
      <c r="F691" s="72">
        <v>29302</v>
      </c>
      <c r="G691" s="2">
        <v>2921000</v>
      </c>
      <c r="H691" s="2">
        <v>435000</v>
      </c>
    </row>
    <row r="692" spans="1:8" x14ac:dyDescent="0.2">
      <c r="A692" s="72">
        <v>35247</v>
      </c>
      <c r="B692" s="73">
        <v>66.900000000000006</v>
      </c>
      <c r="C692" s="2">
        <v>120015</v>
      </c>
      <c r="D692" s="73">
        <v>5.5</v>
      </c>
      <c r="F692" s="72">
        <v>29309</v>
      </c>
      <c r="G692" s="2">
        <v>2866000</v>
      </c>
      <c r="H692" s="2">
        <v>475000</v>
      </c>
    </row>
    <row r="693" spans="1:8" x14ac:dyDescent="0.2">
      <c r="A693" s="72">
        <v>35278</v>
      </c>
      <c r="B693" s="73">
        <v>66.7</v>
      </c>
      <c r="C693" s="2">
        <v>120199</v>
      </c>
      <c r="D693" s="73">
        <v>5.0999999999999996</v>
      </c>
      <c r="F693" s="72">
        <v>29316</v>
      </c>
      <c r="G693" s="2">
        <v>3007000</v>
      </c>
      <c r="H693" s="2">
        <v>464000</v>
      </c>
    </row>
    <row r="694" spans="1:8" x14ac:dyDescent="0.2">
      <c r="A694" s="72">
        <v>35309</v>
      </c>
      <c r="B694" s="73">
        <v>66.900000000000006</v>
      </c>
      <c r="C694" s="2">
        <v>120410</v>
      </c>
      <c r="D694" s="73">
        <v>5.2</v>
      </c>
      <c r="F694" s="72">
        <v>29323</v>
      </c>
      <c r="G694" s="2">
        <v>3085000</v>
      </c>
      <c r="H694" s="2">
        <v>544000</v>
      </c>
    </row>
    <row r="695" spans="1:8" x14ac:dyDescent="0.2">
      <c r="A695" s="72">
        <v>35339</v>
      </c>
      <c r="B695" s="73">
        <v>67</v>
      </c>
      <c r="C695" s="2">
        <v>120665</v>
      </c>
      <c r="D695" s="73">
        <v>5.2</v>
      </c>
      <c r="F695" s="72">
        <v>29330</v>
      </c>
      <c r="G695" s="2">
        <v>3188000</v>
      </c>
      <c r="H695" s="2">
        <v>548000</v>
      </c>
    </row>
    <row r="696" spans="1:8" x14ac:dyDescent="0.2">
      <c r="A696" s="72">
        <v>35370</v>
      </c>
      <c r="B696" s="73">
        <v>67</v>
      </c>
      <c r="C696" s="2">
        <v>120961</v>
      </c>
      <c r="D696" s="73">
        <v>5.4</v>
      </c>
      <c r="F696" s="72">
        <v>29337</v>
      </c>
      <c r="G696" s="2">
        <v>3226000</v>
      </c>
      <c r="H696" s="2">
        <v>563000</v>
      </c>
    </row>
    <row r="697" spans="1:8" x14ac:dyDescent="0.2">
      <c r="A697" s="72">
        <v>35400</v>
      </c>
      <c r="B697" s="73">
        <v>67</v>
      </c>
      <c r="C697" s="2">
        <v>121143</v>
      </c>
      <c r="D697" s="73">
        <v>5.4</v>
      </c>
      <c r="F697" s="72">
        <v>29344</v>
      </c>
      <c r="G697" s="2">
        <v>3334000</v>
      </c>
      <c r="H697" s="2">
        <v>572000</v>
      </c>
    </row>
    <row r="698" spans="1:8" x14ac:dyDescent="0.2">
      <c r="A698" s="72">
        <v>35431</v>
      </c>
      <c r="B698" s="73">
        <v>67</v>
      </c>
      <c r="C698" s="2">
        <v>121363</v>
      </c>
      <c r="D698" s="73">
        <v>5.3</v>
      </c>
      <c r="F698" s="72">
        <v>29351</v>
      </c>
      <c r="G698" s="2">
        <v>3417000</v>
      </c>
      <c r="H698" s="2">
        <v>601000</v>
      </c>
    </row>
    <row r="699" spans="1:8" x14ac:dyDescent="0.2">
      <c r="A699" s="72">
        <v>35462</v>
      </c>
      <c r="B699" s="73">
        <v>66.900000000000006</v>
      </c>
      <c r="C699" s="2">
        <v>121675</v>
      </c>
      <c r="D699" s="73">
        <v>5.2</v>
      </c>
      <c r="F699" s="72">
        <v>29358</v>
      </c>
      <c r="G699" s="2">
        <v>3544000</v>
      </c>
      <c r="H699" s="2">
        <v>642000</v>
      </c>
    </row>
    <row r="700" spans="1:8" x14ac:dyDescent="0.2">
      <c r="A700" s="72">
        <v>35490</v>
      </c>
      <c r="B700" s="73">
        <v>67.099999999999994</v>
      </c>
      <c r="C700" s="2">
        <v>121990</v>
      </c>
      <c r="D700" s="73">
        <v>5.2</v>
      </c>
      <c r="F700" s="72">
        <v>29365</v>
      </c>
      <c r="G700" s="2">
        <v>3698000</v>
      </c>
      <c r="H700" s="2">
        <v>627000</v>
      </c>
    </row>
    <row r="701" spans="1:8" x14ac:dyDescent="0.2">
      <c r="A701" s="72">
        <v>35521</v>
      </c>
      <c r="B701" s="73">
        <v>67.099999999999994</v>
      </c>
      <c r="C701" s="2">
        <v>122286</v>
      </c>
      <c r="D701" s="73">
        <v>5.0999999999999996</v>
      </c>
      <c r="F701" s="72">
        <v>29372</v>
      </c>
      <c r="G701" s="2">
        <v>3731000</v>
      </c>
      <c r="H701" s="2">
        <v>637000</v>
      </c>
    </row>
    <row r="702" spans="1:8" x14ac:dyDescent="0.2">
      <c r="A702" s="72">
        <v>35551</v>
      </c>
      <c r="B702" s="73">
        <v>67.099999999999994</v>
      </c>
      <c r="C702" s="2">
        <v>122546</v>
      </c>
      <c r="D702" s="73">
        <v>4.9000000000000004</v>
      </c>
      <c r="F702" s="72">
        <v>29379</v>
      </c>
      <c r="G702" s="2">
        <v>3781000</v>
      </c>
      <c r="H702" s="2">
        <v>610000</v>
      </c>
    </row>
    <row r="703" spans="1:8" x14ac:dyDescent="0.2">
      <c r="A703" s="72">
        <v>35582</v>
      </c>
      <c r="B703" s="73">
        <v>67.099999999999994</v>
      </c>
      <c r="C703" s="2">
        <v>122814</v>
      </c>
      <c r="D703" s="73">
        <v>5</v>
      </c>
      <c r="F703" s="72">
        <v>29386</v>
      </c>
      <c r="G703" s="2">
        <v>3779000</v>
      </c>
      <c r="H703" s="2">
        <v>592000</v>
      </c>
    </row>
    <row r="704" spans="1:8" x14ac:dyDescent="0.2">
      <c r="A704" s="72">
        <v>35612</v>
      </c>
      <c r="B704" s="73">
        <v>67.2</v>
      </c>
      <c r="C704" s="2">
        <v>123111</v>
      </c>
      <c r="D704" s="73">
        <v>4.9000000000000004</v>
      </c>
      <c r="F704" s="72">
        <v>29393</v>
      </c>
      <c r="G704" s="2">
        <v>3858000</v>
      </c>
      <c r="H704" s="2">
        <v>599000</v>
      </c>
    </row>
    <row r="705" spans="1:8" x14ac:dyDescent="0.2">
      <c r="A705" s="72">
        <v>35643</v>
      </c>
      <c r="B705" s="73">
        <v>67.2</v>
      </c>
      <c r="C705" s="2">
        <v>123093</v>
      </c>
      <c r="D705" s="73">
        <v>4.8</v>
      </c>
      <c r="F705" s="72">
        <v>29400</v>
      </c>
      <c r="G705" s="2">
        <v>3912000</v>
      </c>
      <c r="H705" s="2">
        <v>627000</v>
      </c>
    </row>
    <row r="706" spans="1:8" x14ac:dyDescent="0.2">
      <c r="A706" s="72">
        <v>35674</v>
      </c>
      <c r="B706" s="73">
        <v>67.099999999999994</v>
      </c>
      <c r="C706" s="2">
        <v>123585</v>
      </c>
      <c r="D706" s="73">
        <v>4.9000000000000004</v>
      </c>
      <c r="F706" s="72">
        <v>29407</v>
      </c>
      <c r="G706" s="2">
        <v>3823000</v>
      </c>
      <c r="H706" s="2">
        <v>579000</v>
      </c>
    </row>
    <row r="707" spans="1:8" x14ac:dyDescent="0.2">
      <c r="A707" s="72">
        <v>35704</v>
      </c>
      <c r="B707" s="73">
        <v>67.099999999999994</v>
      </c>
      <c r="C707" s="2">
        <v>123929</v>
      </c>
      <c r="D707" s="73">
        <v>4.7</v>
      </c>
      <c r="F707" s="72">
        <v>29414</v>
      </c>
      <c r="G707" s="2">
        <v>3836000</v>
      </c>
      <c r="H707" s="2">
        <v>533000</v>
      </c>
    </row>
    <row r="708" spans="1:8" x14ac:dyDescent="0.2">
      <c r="A708" s="72">
        <v>35735</v>
      </c>
      <c r="B708" s="73">
        <v>67.2</v>
      </c>
      <c r="C708" s="2">
        <v>124235</v>
      </c>
      <c r="D708" s="73">
        <v>4.5999999999999996</v>
      </c>
      <c r="F708" s="72">
        <v>29421</v>
      </c>
      <c r="G708" s="2">
        <v>3872000</v>
      </c>
      <c r="H708" s="2">
        <v>567000</v>
      </c>
    </row>
    <row r="709" spans="1:8" x14ac:dyDescent="0.2">
      <c r="A709" s="72">
        <v>35765</v>
      </c>
      <c r="B709" s="73">
        <v>67.2</v>
      </c>
      <c r="C709" s="2">
        <v>124549</v>
      </c>
      <c r="D709" s="73">
        <v>4.7</v>
      </c>
      <c r="F709" s="72">
        <v>29428</v>
      </c>
      <c r="G709" s="2">
        <v>3851000</v>
      </c>
      <c r="H709" s="2">
        <v>558000</v>
      </c>
    </row>
    <row r="710" spans="1:8" x14ac:dyDescent="0.2">
      <c r="A710" s="72">
        <v>35796</v>
      </c>
      <c r="B710" s="73">
        <v>67.099999999999994</v>
      </c>
      <c r="C710" s="2">
        <v>124812</v>
      </c>
      <c r="D710" s="73">
        <v>4.5999999999999996</v>
      </c>
      <c r="F710" s="72">
        <v>29435</v>
      </c>
      <c r="G710" s="2">
        <v>3789000</v>
      </c>
      <c r="H710" s="2">
        <v>569000</v>
      </c>
    </row>
    <row r="711" spans="1:8" x14ac:dyDescent="0.2">
      <c r="A711" s="72">
        <v>35827</v>
      </c>
      <c r="B711" s="73">
        <v>67.099999999999994</v>
      </c>
      <c r="C711" s="2">
        <v>125016</v>
      </c>
      <c r="D711" s="73">
        <v>4.5999999999999996</v>
      </c>
      <c r="F711" s="72">
        <v>29442</v>
      </c>
      <c r="G711" s="2">
        <v>3862000</v>
      </c>
      <c r="H711" s="2">
        <v>533000</v>
      </c>
    </row>
    <row r="712" spans="1:8" x14ac:dyDescent="0.2">
      <c r="A712" s="72">
        <v>35855</v>
      </c>
      <c r="B712" s="73">
        <v>67.099999999999994</v>
      </c>
      <c r="C712" s="2">
        <v>125164</v>
      </c>
      <c r="D712" s="73">
        <v>4.7</v>
      </c>
      <c r="F712" s="72">
        <v>29449</v>
      </c>
      <c r="G712" s="2">
        <v>3813000</v>
      </c>
      <c r="H712" s="2">
        <v>525000</v>
      </c>
    </row>
    <row r="713" spans="1:8" x14ac:dyDescent="0.2">
      <c r="A713" s="72">
        <v>35886</v>
      </c>
      <c r="B713" s="73">
        <v>67</v>
      </c>
      <c r="C713" s="2">
        <v>125442</v>
      </c>
      <c r="D713" s="73">
        <v>4.3</v>
      </c>
      <c r="F713" s="72">
        <v>29456</v>
      </c>
      <c r="G713" s="2">
        <v>3754000</v>
      </c>
      <c r="H713" s="2">
        <v>512000</v>
      </c>
    </row>
    <row r="714" spans="1:8" x14ac:dyDescent="0.2">
      <c r="A714" s="72">
        <v>35916</v>
      </c>
      <c r="B714" s="73">
        <v>67</v>
      </c>
      <c r="C714" s="2">
        <v>125844</v>
      </c>
      <c r="D714" s="73">
        <v>4.4000000000000004</v>
      </c>
      <c r="F714" s="72">
        <v>29463</v>
      </c>
      <c r="G714" s="2">
        <v>3808000</v>
      </c>
      <c r="H714" s="2">
        <v>502000</v>
      </c>
    </row>
    <row r="715" spans="1:8" x14ac:dyDescent="0.2">
      <c r="A715" s="72">
        <v>35947</v>
      </c>
      <c r="B715" s="73">
        <v>67</v>
      </c>
      <c r="C715" s="2">
        <v>126076</v>
      </c>
      <c r="D715" s="73">
        <v>4.5</v>
      </c>
      <c r="F715" s="72">
        <v>29470</v>
      </c>
      <c r="G715" s="2">
        <v>3698000</v>
      </c>
      <c r="H715" s="2">
        <v>511000</v>
      </c>
    </row>
    <row r="716" spans="1:8" x14ac:dyDescent="0.2">
      <c r="A716" s="72">
        <v>35977</v>
      </c>
      <c r="B716" s="73">
        <v>67</v>
      </c>
      <c r="C716" s="2">
        <v>126205</v>
      </c>
      <c r="D716" s="73">
        <v>4.5</v>
      </c>
      <c r="F716" s="72">
        <v>29477</v>
      </c>
      <c r="G716" s="2">
        <v>3699000</v>
      </c>
      <c r="H716" s="2">
        <v>492000</v>
      </c>
    </row>
    <row r="717" spans="1:8" x14ac:dyDescent="0.2">
      <c r="A717" s="72">
        <v>36008</v>
      </c>
      <c r="B717" s="73">
        <v>67</v>
      </c>
      <c r="C717" s="2">
        <v>126544</v>
      </c>
      <c r="D717" s="73">
        <v>4.5</v>
      </c>
      <c r="F717" s="72">
        <v>29484</v>
      </c>
      <c r="G717" s="2">
        <v>3698000</v>
      </c>
      <c r="H717" s="2">
        <v>465000</v>
      </c>
    </row>
    <row r="718" spans="1:8" x14ac:dyDescent="0.2">
      <c r="A718" s="72">
        <v>36039</v>
      </c>
      <c r="B718" s="73">
        <v>67.2</v>
      </c>
      <c r="C718" s="2">
        <v>126752</v>
      </c>
      <c r="D718" s="73">
        <v>4.5999999999999996</v>
      </c>
      <c r="F718" s="72">
        <v>29491</v>
      </c>
      <c r="G718" s="2">
        <v>3679000</v>
      </c>
      <c r="H718" s="2">
        <v>463000</v>
      </c>
    </row>
    <row r="719" spans="1:8" x14ac:dyDescent="0.2">
      <c r="A719" s="72">
        <v>36069</v>
      </c>
      <c r="B719" s="73">
        <v>67.2</v>
      </c>
      <c r="C719" s="2">
        <v>126954</v>
      </c>
      <c r="D719" s="73">
        <v>4.5</v>
      </c>
      <c r="F719" s="72">
        <v>29498</v>
      </c>
      <c r="G719" s="2">
        <v>3672000</v>
      </c>
      <c r="H719" s="2">
        <v>462000</v>
      </c>
    </row>
    <row r="720" spans="1:8" x14ac:dyDescent="0.2">
      <c r="A720" s="72">
        <v>36100</v>
      </c>
      <c r="B720" s="73">
        <v>67.099999999999994</v>
      </c>
      <c r="C720" s="2">
        <v>127231</v>
      </c>
      <c r="D720" s="73">
        <v>4.4000000000000004</v>
      </c>
      <c r="F720" s="72">
        <v>29505</v>
      </c>
      <c r="G720" s="2">
        <v>3549000</v>
      </c>
      <c r="H720" s="2">
        <v>447000</v>
      </c>
    </row>
    <row r="721" spans="1:8" x14ac:dyDescent="0.2">
      <c r="A721" s="72">
        <v>36130</v>
      </c>
      <c r="B721" s="73">
        <v>67.2</v>
      </c>
      <c r="C721" s="2">
        <v>127596</v>
      </c>
      <c r="D721" s="73">
        <v>4.4000000000000004</v>
      </c>
      <c r="F721" s="72">
        <v>29512</v>
      </c>
      <c r="G721" s="2">
        <v>3477000</v>
      </c>
      <c r="H721" s="2">
        <v>425000</v>
      </c>
    </row>
    <row r="722" spans="1:8" x14ac:dyDescent="0.2">
      <c r="A722" s="72">
        <v>36161</v>
      </c>
      <c r="B722" s="73">
        <v>67.2</v>
      </c>
      <c r="C722" s="2">
        <v>127702</v>
      </c>
      <c r="D722" s="73">
        <v>4.3</v>
      </c>
      <c r="F722" s="72">
        <v>29519</v>
      </c>
      <c r="G722" s="2">
        <v>3527000</v>
      </c>
      <c r="H722" s="2">
        <v>418000</v>
      </c>
    </row>
    <row r="723" spans="1:8" x14ac:dyDescent="0.2">
      <c r="A723" s="72">
        <v>36192</v>
      </c>
      <c r="B723" s="73">
        <v>67.2</v>
      </c>
      <c r="C723" s="2">
        <v>128120</v>
      </c>
      <c r="D723" s="73">
        <v>4.4000000000000004</v>
      </c>
      <c r="F723" s="72">
        <v>29526</v>
      </c>
      <c r="G723" s="2">
        <v>3391000</v>
      </c>
      <c r="H723" s="2">
        <v>419000</v>
      </c>
    </row>
    <row r="724" spans="1:8" x14ac:dyDescent="0.2">
      <c r="A724" s="72">
        <v>36220</v>
      </c>
      <c r="B724" s="73">
        <v>67</v>
      </c>
      <c r="C724" s="2">
        <v>128227</v>
      </c>
      <c r="D724" s="73">
        <v>4.2</v>
      </c>
      <c r="F724" s="72">
        <v>29533</v>
      </c>
      <c r="G724" s="2">
        <v>3380000</v>
      </c>
      <c r="H724" s="2">
        <v>407000</v>
      </c>
    </row>
    <row r="725" spans="1:8" x14ac:dyDescent="0.2">
      <c r="A725" s="72">
        <v>36251</v>
      </c>
      <c r="B725" s="73">
        <v>67.099999999999994</v>
      </c>
      <c r="C725" s="2">
        <v>128597</v>
      </c>
      <c r="D725" s="73">
        <v>4.3</v>
      </c>
      <c r="F725" s="72">
        <v>29540</v>
      </c>
      <c r="G725" s="2">
        <v>3260000</v>
      </c>
      <c r="H725" s="2">
        <v>427000</v>
      </c>
    </row>
    <row r="726" spans="1:8" x14ac:dyDescent="0.2">
      <c r="A726" s="72">
        <v>36281</v>
      </c>
      <c r="B726" s="73">
        <v>67.099999999999994</v>
      </c>
      <c r="C726" s="2">
        <v>128808</v>
      </c>
      <c r="D726" s="73">
        <v>4.2</v>
      </c>
      <c r="F726" s="72">
        <v>29547</v>
      </c>
      <c r="G726" s="2">
        <v>3303000</v>
      </c>
      <c r="H726" s="2">
        <v>398000</v>
      </c>
    </row>
    <row r="727" spans="1:8" x14ac:dyDescent="0.2">
      <c r="A727" s="72">
        <v>36312</v>
      </c>
      <c r="B727" s="73">
        <v>67.099999999999994</v>
      </c>
      <c r="C727" s="2">
        <v>129089</v>
      </c>
      <c r="D727" s="73">
        <v>4.3</v>
      </c>
      <c r="F727" s="72">
        <v>29554</v>
      </c>
      <c r="G727" s="2">
        <v>3169000</v>
      </c>
      <c r="H727" s="2">
        <v>412000</v>
      </c>
    </row>
    <row r="728" spans="1:8" x14ac:dyDescent="0.2">
      <c r="A728" s="72">
        <v>36342</v>
      </c>
      <c r="B728" s="73">
        <v>67.099999999999994</v>
      </c>
      <c r="C728" s="2">
        <v>129414</v>
      </c>
      <c r="D728" s="73">
        <v>4.3</v>
      </c>
      <c r="F728" s="72">
        <v>29561</v>
      </c>
      <c r="G728" s="2">
        <v>3185000</v>
      </c>
      <c r="H728" s="2">
        <v>416000</v>
      </c>
    </row>
    <row r="729" spans="1:8" x14ac:dyDescent="0.2">
      <c r="A729" s="72">
        <v>36373</v>
      </c>
      <c r="B729" s="73">
        <v>67</v>
      </c>
      <c r="C729" s="2">
        <v>129569</v>
      </c>
      <c r="D729" s="73">
        <v>4.2</v>
      </c>
      <c r="F729" s="72">
        <v>29568</v>
      </c>
      <c r="G729" s="2">
        <v>3125000</v>
      </c>
      <c r="H729" s="2">
        <v>413000</v>
      </c>
    </row>
    <row r="730" spans="1:8" x14ac:dyDescent="0.2">
      <c r="A730" s="72">
        <v>36404</v>
      </c>
      <c r="B730" s="73">
        <v>67</v>
      </c>
      <c r="C730" s="2">
        <v>129772</v>
      </c>
      <c r="D730" s="73">
        <v>4.2</v>
      </c>
      <c r="F730" s="72">
        <v>29575</v>
      </c>
      <c r="G730" s="2">
        <v>3056000</v>
      </c>
      <c r="H730" s="2">
        <v>412000</v>
      </c>
    </row>
    <row r="731" spans="1:8" x14ac:dyDescent="0.2">
      <c r="A731" s="72">
        <v>36434</v>
      </c>
      <c r="B731" s="73">
        <v>67</v>
      </c>
      <c r="C731" s="2">
        <v>130177</v>
      </c>
      <c r="D731" s="73">
        <v>4.0999999999999996</v>
      </c>
      <c r="F731" s="72">
        <v>29582</v>
      </c>
      <c r="G731" s="2">
        <v>3136000</v>
      </c>
      <c r="H731" s="2">
        <v>399000</v>
      </c>
    </row>
    <row r="732" spans="1:8" x14ac:dyDescent="0.2">
      <c r="A732" s="72">
        <v>36465</v>
      </c>
      <c r="B732" s="73">
        <v>67.099999999999994</v>
      </c>
      <c r="C732" s="2">
        <v>130466</v>
      </c>
      <c r="D732" s="73">
        <v>4.0999999999999996</v>
      </c>
      <c r="F732" s="72">
        <v>29589</v>
      </c>
      <c r="G732" s="2">
        <v>3123000</v>
      </c>
      <c r="H732" s="2">
        <v>410000</v>
      </c>
    </row>
    <row r="733" spans="1:8" x14ac:dyDescent="0.2">
      <c r="A733" s="72">
        <v>36495</v>
      </c>
      <c r="B733" s="73">
        <v>67.099999999999994</v>
      </c>
      <c r="C733" s="2">
        <v>130772</v>
      </c>
      <c r="D733" s="73">
        <v>4</v>
      </c>
      <c r="F733" s="72">
        <v>29596</v>
      </c>
      <c r="G733" s="2">
        <v>3082000</v>
      </c>
      <c r="H733" s="2">
        <v>419000</v>
      </c>
    </row>
    <row r="734" spans="1:8" x14ac:dyDescent="0.2">
      <c r="A734" s="72">
        <v>36526</v>
      </c>
      <c r="B734" s="73">
        <v>67.3</v>
      </c>
      <c r="C734" s="2">
        <v>131005</v>
      </c>
      <c r="D734" s="73">
        <v>4</v>
      </c>
      <c r="F734" s="72">
        <v>29603</v>
      </c>
      <c r="G734" s="2">
        <v>3023000</v>
      </c>
      <c r="H734" s="2">
        <v>421000</v>
      </c>
    </row>
    <row r="735" spans="1:8" x14ac:dyDescent="0.2">
      <c r="A735" s="72">
        <v>36557</v>
      </c>
      <c r="B735" s="73">
        <v>67.3</v>
      </c>
      <c r="C735" s="2">
        <v>131124</v>
      </c>
      <c r="D735" s="73">
        <v>4.0999999999999996</v>
      </c>
      <c r="F735" s="72">
        <v>29610</v>
      </c>
      <c r="G735" s="2">
        <v>2988000</v>
      </c>
      <c r="H735" s="2">
        <v>396000</v>
      </c>
    </row>
    <row r="736" spans="1:8" x14ac:dyDescent="0.2">
      <c r="A736" s="72">
        <v>36586</v>
      </c>
      <c r="B736" s="73">
        <v>67.3</v>
      </c>
      <c r="C736" s="2">
        <v>131596</v>
      </c>
      <c r="D736" s="73">
        <v>4</v>
      </c>
      <c r="F736" s="72">
        <v>29617</v>
      </c>
      <c r="G736" s="2">
        <v>2975000</v>
      </c>
      <c r="H736" s="2">
        <v>419000</v>
      </c>
    </row>
    <row r="737" spans="1:8" x14ac:dyDescent="0.2">
      <c r="A737" s="72">
        <v>36617</v>
      </c>
      <c r="B737" s="73">
        <v>67.3</v>
      </c>
      <c r="C737" s="2">
        <v>131888</v>
      </c>
      <c r="D737" s="73">
        <v>3.8</v>
      </c>
      <c r="F737" s="72">
        <v>29624</v>
      </c>
      <c r="G737" s="2">
        <v>2945000</v>
      </c>
      <c r="H737" s="2">
        <v>420000</v>
      </c>
    </row>
    <row r="738" spans="1:8" x14ac:dyDescent="0.2">
      <c r="A738" s="72">
        <v>36647</v>
      </c>
      <c r="B738" s="73">
        <v>67.099999999999994</v>
      </c>
      <c r="C738" s="2">
        <v>132105</v>
      </c>
      <c r="D738" s="73">
        <v>4</v>
      </c>
      <c r="F738" s="72">
        <v>29631</v>
      </c>
      <c r="G738" s="2">
        <v>3043000</v>
      </c>
      <c r="H738" s="2">
        <v>423000</v>
      </c>
    </row>
    <row r="739" spans="1:8" x14ac:dyDescent="0.2">
      <c r="A739" s="72">
        <v>36678</v>
      </c>
      <c r="B739" s="73">
        <v>67.099999999999994</v>
      </c>
      <c r="C739" s="2">
        <v>132061</v>
      </c>
      <c r="D739" s="73">
        <v>4</v>
      </c>
      <c r="F739" s="72">
        <v>29638</v>
      </c>
      <c r="G739" s="2">
        <v>3023000</v>
      </c>
      <c r="H739" s="2">
        <v>438000</v>
      </c>
    </row>
    <row r="740" spans="1:8" x14ac:dyDescent="0.2">
      <c r="A740" s="72">
        <v>36708</v>
      </c>
      <c r="B740" s="73">
        <v>66.900000000000006</v>
      </c>
      <c r="C740" s="2">
        <v>132236</v>
      </c>
      <c r="D740" s="73">
        <v>4</v>
      </c>
      <c r="F740" s="72">
        <v>29645</v>
      </c>
      <c r="G740" s="2">
        <v>2901000</v>
      </c>
      <c r="H740" s="2">
        <v>434000</v>
      </c>
    </row>
    <row r="741" spans="1:8" x14ac:dyDescent="0.2">
      <c r="A741" s="72">
        <v>36739</v>
      </c>
      <c r="B741" s="73">
        <v>66.900000000000006</v>
      </c>
      <c r="C741" s="2">
        <v>132230</v>
      </c>
      <c r="D741" s="73">
        <v>4.0999999999999996</v>
      </c>
      <c r="F741" s="72">
        <v>29652</v>
      </c>
      <c r="G741" s="2">
        <v>2931000</v>
      </c>
      <c r="H741" s="2">
        <v>409000</v>
      </c>
    </row>
    <row r="742" spans="1:8" x14ac:dyDescent="0.2">
      <c r="A742" s="72">
        <v>36770</v>
      </c>
      <c r="B742" s="73">
        <v>66.900000000000006</v>
      </c>
      <c r="C742" s="2">
        <v>132353</v>
      </c>
      <c r="D742" s="73">
        <v>3.9</v>
      </c>
      <c r="F742" s="72">
        <v>29659</v>
      </c>
      <c r="G742" s="2">
        <v>2905000</v>
      </c>
      <c r="H742" s="2">
        <v>408000</v>
      </c>
    </row>
    <row r="743" spans="1:8" x14ac:dyDescent="0.2">
      <c r="A743" s="72">
        <v>36800</v>
      </c>
      <c r="B743" s="73">
        <v>66.8</v>
      </c>
      <c r="C743" s="2">
        <v>132351</v>
      </c>
      <c r="D743" s="73">
        <v>3.9</v>
      </c>
      <c r="F743" s="72">
        <v>29666</v>
      </c>
      <c r="G743" s="2">
        <v>2885000</v>
      </c>
      <c r="H743" s="2">
        <v>401000</v>
      </c>
    </row>
    <row r="744" spans="1:8" x14ac:dyDescent="0.2">
      <c r="A744" s="72">
        <v>36831</v>
      </c>
      <c r="B744" s="73">
        <v>66.900000000000006</v>
      </c>
      <c r="C744" s="2">
        <v>132556</v>
      </c>
      <c r="D744" s="73">
        <v>3.9</v>
      </c>
      <c r="F744" s="72">
        <v>29673</v>
      </c>
      <c r="G744" s="2">
        <v>2876000</v>
      </c>
      <c r="H744" s="2">
        <v>412000</v>
      </c>
    </row>
    <row r="745" spans="1:8" x14ac:dyDescent="0.2">
      <c r="A745" s="72">
        <v>36861</v>
      </c>
      <c r="B745" s="73">
        <v>67</v>
      </c>
      <c r="C745" s="2">
        <v>132709</v>
      </c>
      <c r="D745" s="73">
        <v>3.9</v>
      </c>
      <c r="F745" s="72">
        <v>29680</v>
      </c>
      <c r="G745" s="2">
        <v>2875000</v>
      </c>
      <c r="H745" s="2">
        <v>417000</v>
      </c>
    </row>
    <row r="746" spans="1:8" x14ac:dyDescent="0.2">
      <c r="A746" s="72">
        <v>36892</v>
      </c>
      <c r="B746" s="73">
        <v>67.2</v>
      </c>
      <c r="C746" s="2">
        <v>132698</v>
      </c>
      <c r="D746" s="73">
        <v>4.2</v>
      </c>
      <c r="F746" s="72">
        <v>29687</v>
      </c>
      <c r="G746" s="2">
        <v>2800000</v>
      </c>
      <c r="H746" s="2">
        <v>396000</v>
      </c>
    </row>
    <row r="747" spans="1:8" x14ac:dyDescent="0.2">
      <c r="A747" s="72">
        <v>36923</v>
      </c>
      <c r="B747" s="73">
        <v>67.099999999999994</v>
      </c>
      <c r="C747" s="2">
        <v>132789</v>
      </c>
      <c r="D747" s="73">
        <v>4.2</v>
      </c>
      <c r="F747" s="72">
        <v>29694</v>
      </c>
      <c r="G747" s="2">
        <v>2860000</v>
      </c>
      <c r="H747" s="2">
        <v>392000</v>
      </c>
    </row>
    <row r="748" spans="1:8" x14ac:dyDescent="0.2">
      <c r="A748" s="72">
        <v>36951</v>
      </c>
      <c r="B748" s="73">
        <v>67.2</v>
      </c>
      <c r="C748" s="2">
        <v>132747</v>
      </c>
      <c r="D748" s="73">
        <v>4.3</v>
      </c>
      <c r="F748" s="72">
        <v>29701</v>
      </c>
      <c r="G748" s="2">
        <v>2893000</v>
      </c>
      <c r="H748" s="2">
        <v>436000</v>
      </c>
    </row>
    <row r="749" spans="1:8" x14ac:dyDescent="0.2">
      <c r="A749" s="72">
        <v>36982</v>
      </c>
      <c r="B749" s="73">
        <v>66.900000000000006</v>
      </c>
      <c r="C749" s="2">
        <v>132463</v>
      </c>
      <c r="D749" s="73">
        <v>4.4000000000000004</v>
      </c>
      <c r="F749" s="72">
        <v>29708</v>
      </c>
      <c r="G749" s="2">
        <v>2944000</v>
      </c>
      <c r="H749" s="2">
        <v>413000</v>
      </c>
    </row>
    <row r="750" spans="1:8" x14ac:dyDescent="0.2">
      <c r="A750" s="72">
        <v>37012</v>
      </c>
      <c r="B750" s="73">
        <v>66.7</v>
      </c>
      <c r="C750" s="2">
        <v>132410</v>
      </c>
      <c r="D750" s="73">
        <v>4.3</v>
      </c>
      <c r="F750" s="72">
        <v>29715</v>
      </c>
      <c r="G750" s="2">
        <v>2887000</v>
      </c>
      <c r="H750" s="2">
        <v>423000</v>
      </c>
    </row>
    <row r="751" spans="1:8" x14ac:dyDescent="0.2">
      <c r="A751" s="72">
        <v>37043</v>
      </c>
      <c r="B751" s="73">
        <v>66.7</v>
      </c>
      <c r="C751" s="2">
        <v>132299</v>
      </c>
      <c r="D751" s="73">
        <v>4.5</v>
      </c>
      <c r="F751" s="72">
        <v>29722</v>
      </c>
      <c r="G751" s="2">
        <v>2865000</v>
      </c>
      <c r="H751" s="2">
        <v>414000</v>
      </c>
    </row>
    <row r="752" spans="1:8" x14ac:dyDescent="0.2">
      <c r="A752" s="72">
        <v>37073</v>
      </c>
      <c r="B752" s="73">
        <v>66.8</v>
      </c>
      <c r="C752" s="2">
        <v>132177</v>
      </c>
      <c r="D752" s="73">
        <v>4.5999999999999996</v>
      </c>
      <c r="F752" s="72">
        <v>29729</v>
      </c>
      <c r="G752" s="2">
        <v>2862000</v>
      </c>
      <c r="H752" s="2">
        <v>415000</v>
      </c>
    </row>
    <row r="753" spans="1:8" x14ac:dyDescent="0.2">
      <c r="A753" s="72">
        <v>37104</v>
      </c>
      <c r="B753" s="73">
        <v>66.5</v>
      </c>
      <c r="C753" s="2">
        <v>132028</v>
      </c>
      <c r="D753" s="73">
        <v>4.9000000000000004</v>
      </c>
      <c r="F753" s="72">
        <v>29736</v>
      </c>
      <c r="G753" s="2">
        <v>2962000</v>
      </c>
      <c r="H753" s="2">
        <v>417000</v>
      </c>
    </row>
    <row r="754" spans="1:8" x14ac:dyDescent="0.2">
      <c r="A754" s="72">
        <v>37135</v>
      </c>
      <c r="B754" s="73">
        <v>66.8</v>
      </c>
      <c r="C754" s="2">
        <v>131771</v>
      </c>
      <c r="D754" s="73">
        <v>5</v>
      </c>
      <c r="F754" s="72">
        <v>29743</v>
      </c>
      <c r="G754" s="2">
        <v>2877000</v>
      </c>
      <c r="H754" s="2">
        <v>428000</v>
      </c>
    </row>
    <row r="755" spans="1:8" x14ac:dyDescent="0.2">
      <c r="A755" s="72">
        <v>37165</v>
      </c>
      <c r="B755" s="73">
        <v>66.7</v>
      </c>
      <c r="C755" s="2">
        <v>131454</v>
      </c>
      <c r="D755" s="73">
        <v>5.3</v>
      </c>
      <c r="F755" s="72">
        <v>29750</v>
      </c>
      <c r="G755" s="2">
        <v>2867000</v>
      </c>
      <c r="H755" s="2">
        <v>425000</v>
      </c>
    </row>
    <row r="756" spans="1:8" x14ac:dyDescent="0.2">
      <c r="A756" s="72">
        <v>37196</v>
      </c>
      <c r="B756" s="73">
        <v>66.7</v>
      </c>
      <c r="C756" s="2">
        <v>131142</v>
      </c>
      <c r="D756" s="73">
        <v>5.5</v>
      </c>
      <c r="F756" s="72">
        <v>29757</v>
      </c>
      <c r="G756" s="2">
        <v>2886000</v>
      </c>
      <c r="H756" s="2">
        <v>435000</v>
      </c>
    </row>
    <row r="757" spans="1:8" x14ac:dyDescent="0.2">
      <c r="A757" s="72">
        <v>37226</v>
      </c>
      <c r="B757" s="73">
        <v>66.7</v>
      </c>
      <c r="C757" s="2">
        <v>130982</v>
      </c>
      <c r="D757" s="73">
        <v>5.7</v>
      </c>
      <c r="F757" s="72">
        <v>29764</v>
      </c>
      <c r="G757" s="2">
        <v>2983000</v>
      </c>
      <c r="H757" s="2">
        <v>444000</v>
      </c>
    </row>
    <row r="758" spans="1:8" x14ac:dyDescent="0.2">
      <c r="A758" s="72">
        <v>37257</v>
      </c>
      <c r="B758" s="73">
        <v>66.5</v>
      </c>
      <c r="C758" s="2">
        <v>130852</v>
      </c>
      <c r="D758" s="73">
        <v>5.7</v>
      </c>
      <c r="F758" s="72">
        <v>29771</v>
      </c>
      <c r="G758" s="2">
        <v>2886000</v>
      </c>
      <c r="H758" s="2">
        <v>460000</v>
      </c>
    </row>
    <row r="759" spans="1:8" x14ac:dyDescent="0.2">
      <c r="A759" s="72">
        <v>37288</v>
      </c>
      <c r="B759" s="73">
        <v>66.8</v>
      </c>
      <c r="C759" s="2">
        <v>130736</v>
      </c>
      <c r="D759" s="73">
        <v>5.7</v>
      </c>
      <c r="F759" s="72">
        <v>29778</v>
      </c>
      <c r="G759" s="2">
        <v>2845000</v>
      </c>
      <c r="H759" s="2">
        <v>426000</v>
      </c>
    </row>
    <row r="760" spans="1:8" x14ac:dyDescent="0.2">
      <c r="A760" s="72">
        <v>37316</v>
      </c>
      <c r="B760" s="73">
        <v>66.599999999999994</v>
      </c>
      <c r="C760" s="2">
        <v>130717</v>
      </c>
      <c r="D760" s="73">
        <v>5.7</v>
      </c>
      <c r="F760" s="72">
        <v>29785</v>
      </c>
      <c r="G760" s="2">
        <v>2902000</v>
      </c>
      <c r="H760" s="2">
        <v>430000</v>
      </c>
    </row>
    <row r="761" spans="1:8" x14ac:dyDescent="0.2">
      <c r="A761" s="72">
        <v>37347</v>
      </c>
      <c r="B761" s="73">
        <v>66.7</v>
      </c>
      <c r="C761" s="2">
        <v>130623</v>
      </c>
      <c r="D761" s="73">
        <v>5.9</v>
      </c>
      <c r="F761" s="72">
        <v>29792</v>
      </c>
      <c r="G761" s="2">
        <v>2899000</v>
      </c>
      <c r="H761" s="2">
        <v>407000</v>
      </c>
    </row>
    <row r="762" spans="1:8" x14ac:dyDescent="0.2">
      <c r="A762" s="72">
        <v>37377</v>
      </c>
      <c r="B762" s="73">
        <v>66.7</v>
      </c>
      <c r="C762" s="2">
        <v>130634</v>
      </c>
      <c r="D762" s="73">
        <v>5.8</v>
      </c>
      <c r="F762" s="72">
        <v>29799</v>
      </c>
      <c r="G762" s="2">
        <v>2867000</v>
      </c>
      <c r="H762" s="2">
        <v>476000</v>
      </c>
    </row>
    <row r="763" spans="1:8" x14ac:dyDescent="0.2">
      <c r="A763" s="72">
        <v>37408</v>
      </c>
      <c r="B763" s="73">
        <v>66.599999999999994</v>
      </c>
      <c r="C763" s="2">
        <v>130684</v>
      </c>
      <c r="D763" s="73">
        <v>5.8</v>
      </c>
      <c r="F763" s="72">
        <v>29806</v>
      </c>
      <c r="G763" s="2">
        <v>2998000</v>
      </c>
      <c r="H763" s="2">
        <v>448000</v>
      </c>
    </row>
    <row r="764" spans="1:8" x14ac:dyDescent="0.2">
      <c r="A764" s="72">
        <v>37438</v>
      </c>
      <c r="B764" s="73">
        <v>66.5</v>
      </c>
      <c r="C764" s="2">
        <v>130590</v>
      </c>
      <c r="D764" s="73">
        <v>5.8</v>
      </c>
      <c r="F764" s="72">
        <v>29813</v>
      </c>
      <c r="G764" s="2">
        <v>2966000</v>
      </c>
      <c r="H764" s="2">
        <v>442000</v>
      </c>
    </row>
    <row r="765" spans="1:8" x14ac:dyDescent="0.2">
      <c r="A765" s="72">
        <v>37469</v>
      </c>
      <c r="B765" s="73">
        <v>66.599999999999994</v>
      </c>
      <c r="C765" s="2">
        <v>130587</v>
      </c>
      <c r="D765" s="73">
        <v>5.7</v>
      </c>
      <c r="F765" s="72">
        <v>29820</v>
      </c>
      <c r="G765" s="2">
        <v>2957000</v>
      </c>
      <c r="H765" s="2">
        <v>434000</v>
      </c>
    </row>
    <row r="766" spans="1:8" x14ac:dyDescent="0.2">
      <c r="A766" s="72">
        <v>37500</v>
      </c>
      <c r="B766" s="73">
        <v>66.7</v>
      </c>
      <c r="C766" s="2">
        <v>130501</v>
      </c>
      <c r="D766" s="73">
        <v>5.7</v>
      </c>
      <c r="F766" s="72">
        <v>29827</v>
      </c>
      <c r="G766" s="2">
        <v>2954000</v>
      </c>
      <c r="H766" s="2">
        <v>451000</v>
      </c>
    </row>
    <row r="767" spans="1:8" x14ac:dyDescent="0.2">
      <c r="A767" s="72">
        <v>37530</v>
      </c>
      <c r="B767" s="73">
        <v>66.599999999999994</v>
      </c>
      <c r="C767" s="2">
        <v>130628</v>
      </c>
      <c r="D767" s="73">
        <v>5.7</v>
      </c>
      <c r="F767" s="72">
        <v>29834</v>
      </c>
      <c r="G767" s="2">
        <v>2914000</v>
      </c>
      <c r="H767" s="2">
        <v>473000</v>
      </c>
    </row>
    <row r="768" spans="1:8" x14ac:dyDescent="0.2">
      <c r="A768" s="72">
        <v>37561</v>
      </c>
      <c r="B768" s="73">
        <v>66.400000000000006</v>
      </c>
      <c r="C768" s="2">
        <v>130615</v>
      </c>
      <c r="D768" s="73">
        <v>5.9</v>
      </c>
      <c r="F768" s="72">
        <v>29841</v>
      </c>
      <c r="G768" s="2">
        <v>3051000</v>
      </c>
      <c r="H768" s="2">
        <v>454000</v>
      </c>
    </row>
    <row r="769" spans="1:8" x14ac:dyDescent="0.2">
      <c r="A769" s="72">
        <v>37591</v>
      </c>
      <c r="B769" s="73">
        <v>66.3</v>
      </c>
      <c r="C769" s="2">
        <v>130472</v>
      </c>
      <c r="D769" s="73">
        <v>6</v>
      </c>
      <c r="F769" s="72">
        <v>29848</v>
      </c>
      <c r="G769" s="2">
        <v>3014000</v>
      </c>
      <c r="H769" s="2">
        <v>475000</v>
      </c>
    </row>
    <row r="770" spans="1:8" x14ac:dyDescent="0.2">
      <c r="A770" s="72">
        <v>37622</v>
      </c>
      <c r="B770" s="73">
        <v>66.400000000000006</v>
      </c>
      <c r="C770" s="2">
        <v>130580</v>
      </c>
      <c r="D770" s="73">
        <v>5.8</v>
      </c>
      <c r="F770" s="72">
        <v>29855</v>
      </c>
      <c r="G770" s="2">
        <v>3073000</v>
      </c>
      <c r="H770" s="2">
        <v>491000</v>
      </c>
    </row>
    <row r="771" spans="1:8" x14ac:dyDescent="0.2">
      <c r="A771" s="72">
        <v>37653</v>
      </c>
      <c r="B771" s="73">
        <v>66.400000000000006</v>
      </c>
      <c r="C771" s="2">
        <v>130444</v>
      </c>
      <c r="D771" s="73">
        <v>5.9</v>
      </c>
      <c r="F771" s="72">
        <v>29862</v>
      </c>
      <c r="G771" s="2">
        <v>3069000</v>
      </c>
      <c r="H771" s="2">
        <v>489000</v>
      </c>
    </row>
    <row r="772" spans="1:8" x14ac:dyDescent="0.2">
      <c r="A772" s="72">
        <v>37681</v>
      </c>
      <c r="B772" s="73">
        <v>66.3</v>
      </c>
      <c r="C772" s="2">
        <v>130232</v>
      </c>
      <c r="D772" s="73">
        <v>5.9</v>
      </c>
      <c r="F772" s="72">
        <v>29869</v>
      </c>
      <c r="G772" s="2">
        <v>3098000</v>
      </c>
      <c r="H772" s="2">
        <v>491000</v>
      </c>
    </row>
    <row r="773" spans="1:8" x14ac:dyDescent="0.2">
      <c r="A773" s="72">
        <v>37712</v>
      </c>
      <c r="B773" s="73">
        <v>66.400000000000006</v>
      </c>
      <c r="C773" s="2">
        <v>130177</v>
      </c>
      <c r="D773" s="73">
        <v>6</v>
      </c>
      <c r="F773" s="72">
        <v>29876</v>
      </c>
      <c r="G773" s="2">
        <v>3104000</v>
      </c>
      <c r="H773" s="2">
        <v>487000</v>
      </c>
    </row>
    <row r="774" spans="1:8" x14ac:dyDescent="0.2">
      <c r="A774" s="72">
        <v>37742</v>
      </c>
      <c r="B774" s="73">
        <v>66.400000000000006</v>
      </c>
      <c r="C774" s="2">
        <v>130196</v>
      </c>
      <c r="D774" s="73">
        <v>6.1</v>
      </c>
      <c r="F774" s="72">
        <v>29883</v>
      </c>
      <c r="G774" s="2">
        <v>3181000</v>
      </c>
      <c r="H774" s="2">
        <v>483000</v>
      </c>
    </row>
    <row r="775" spans="1:8" x14ac:dyDescent="0.2">
      <c r="A775" s="72">
        <v>37773</v>
      </c>
      <c r="B775" s="73">
        <v>66.5</v>
      </c>
      <c r="C775" s="2">
        <v>130194</v>
      </c>
      <c r="D775" s="73">
        <v>6.3</v>
      </c>
      <c r="F775" s="72">
        <v>29890</v>
      </c>
      <c r="G775" s="2">
        <v>3183000</v>
      </c>
      <c r="H775" s="2">
        <v>514000</v>
      </c>
    </row>
    <row r="776" spans="1:8" x14ac:dyDescent="0.2">
      <c r="A776" s="72">
        <v>37803</v>
      </c>
      <c r="B776" s="73">
        <v>66.2</v>
      </c>
      <c r="C776" s="2">
        <v>130191</v>
      </c>
      <c r="D776" s="73">
        <v>6.2</v>
      </c>
      <c r="F776" s="72">
        <v>29897</v>
      </c>
      <c r="G776" s="2">
        <v>3282000</v>
      </c>
      <c r="H776" s="2">
        <v>514000</v>
      </c>
    </row>
    <row r="777" spans="1:8" x14ac:dyDescent="0.2">
      <c r="A777" s="72">
        <v>37834</v>
      </c>
      <c r="B777" s="73">
        <v>66.099999999999994</v>
      </c>
      <c r="C777" s="2">
        <v>130149</v>
      </c>
      <c r="D777" s="73">
        <v>6.1</v>
      </c>
      <c r="F777" s="72">
        <v>29904</v>
      </c>
      <c r="G777" s="2">
        <v>3291000</v>
      </c>
      <c r="H777" s="2">
        <v>517000</v>
      </c>
    </row>
    <row r="778" spans="1:8" x14ac:dyDescent="0.2">
      <c r="A778" s="72">
        <v>37865</v>
      </c>
      <c r="B778" s="73">
        <v>66.099999999999994</v>
      </c>
      <c r="C778" s="2">
        <v>130254</v>
      </c>
      <c r="D778" s="73">
        <v>6.1</v>
      </c>
      <c r="F778" s="72">
        <v>29911</v>
      </c>
      <c r="G778" s="2">
        <v>3416000</v>
      </c>
      <c r="H778" s="2">
        <v>464000</v>
      </c>
    </row>
    <row r="779" spans="1:8" x14ac:dyDescent="0.2">
      <c r="A779" s="72">
        <v>37895</v>
      </c>
      <c r="B779" s="73">
        <v>66.099999999999994</v>
      </c>
      <c r="C779" s="2">
        <v>130454</v>
      </c>
      <c r="D779" s="73">
        <v>6</v>
      </c>
      <c r="F779" s="72">
        <v>29918</v>
      </c>
      <c r="G779" s="2">
        <v>3360000</v>
      </c>
      <c r="H779" s="2">
        <v>552000</v>
      </c>
    </row>
    <row r="780" spans="1:8" x14ac:dyDescent="0.2">
      <c r="A780" s="72">
        <v>37926</v>
      </c>
      <c r="B780" s="73">
        <v>66.099999999999994</v>
      </c>
      <c r="C780" s="2">
        <v>130474</v>
      </c>
      <c r="D780" s="73">
        <v>5.8</v>
      </c>
      <c r="F780" s="72">
        <v>29925</v>
      </c>
      <c r="G780" s="2">
        <v>3517000</v>
      </c>
      <c r="H780" s="2">
        <v>558000</v>
      </c>
    </row>
    <row r="781" spans="1:8" x14ac:dyDescent="0.2">
      <c r="A781" s="72">
        <v>37956</v>
      </c>
      <c r="B781" s="73">
        <v>65.900000000000006</v>
      </c>
      <c r="C781" s="2">
        <v>130588</v>
      </c>
      <c r="D781" s="73">
        <v>5.7</v>
      </c>
      <c r="F781" s="72">
        <v>29932</v>
      </c>
      <c r="G781" s="2">
        <v>3397000</v>
      </c>
      <c r="H781" s="2">
        <v>551000</v>
      </c>
    </row>
    <row r="782" spans="1:8" x14ac:dyDescent="0.2">
      <c r="A782" s="72">
        <v>37987</v>
      </c>
      <c r="B782" s="73">
        <v>66.099999999999994</v>
      </c>
      <c r="C782" s="2">
        <v>130769</v>
      </c>
      <c r="D782" s="73">
        <v>5.7</v>
      </c>
      <c r="F782" s="72">
        <v>29939</v>
      </c>
      <c r="G782" s="2">
        <v>3551000</v>
      </c>
      <c r="H782" s="2">
        <v>539000</v>
      </c>
    </row>
    <row r="783" spans="1:8" x14ac:dyDescent="0.2">
      <c r="A783" s="72">
        <v>38018</v>
      </c>
      <c r="B783" s="73">
        <v>66</v>
      </c>
      <c r="C783" s="2">
        <v>130825</v>
      </c>
      <c r="D783" s="73">
        <v>5.6</v>
      </c>
      <c r="F783" s="72">
        <v>29946</v>
      </c>
      <c r="G783" s="2">
        <v>3636000</v>
      </c>
      <c r="H783" s="2">
        <v>556000</v>
      </c>
    </row>
    <row r="784" spans="1:8" x14ac:dyDescent="0.2">
      <c r="A784" s="72">
        <v>38047</v>
      </c>
      <c r="B784" s="73">
        <v>66</v>
      </c>
      <c r="C784" s="2">
        <v>131142</v>
      </c>
      <c r="D784" s="73">
        <v>5.8</v>
      </c>
      <c r="F784" s="72">
        <v>29953</v>
      </c>
      <c r="G784" s="2">
        <v>3523000</v>
      </c>
      <c r="H784" s="2">
        <v>495000</v>
      </c>
    </row>
    <row r="785" spans="1:8" x14ac:dyDescent="0.2">
      <c r="A785" s="72">
        <v>38078</v>
      </c>
      <c r="B785" s="73">
        <v>65.900000000000006</v>
      </c>
      <c r="C785" s="2">
        <v>131411</v>
      </c>
      <c r="D785" s="73">
        <v>5.6</v>
      </c>
      <c r="F785" s="72">
        <v>29960</v>
      </c>
      <c r="G785" s="2">
        <v>3398000</v>
      </c>
      <c r="H785" s="2">
        <v>545000</v>
      </c>
    </row>
    <row r="786" spans="1:8" x14ac:dyDescent="0.2">
      <c r="A786" s="72">
        <v>38108</v>
      </c>
      <c r="B786" s="73">
        <v>66</v>
      </c>
      <c r="C786" s="2">
        <v>131694</v>
      </c>
      <c r="D786" s="73">
        <v>5.6</v>
      </c>
      <c r="F786" s="72">
        <v>29967</v>
      </c>
      <c r="G786" s="2">
        <v>3624000</v>
      </c>
      <c r="H786" s="2">
        <v>489000</v>
      </c>
    </row>
    <row r="787" spans="1:8" x14ac:dyDescent="0.2">
      <c r="A787" s="72">
        <v>38139</v>
      </c>
      <c r="B787" s="73">
        <v>66.099999999999994</v>
      </c>
      <c r="C787" s="2">
        <v>131793</v>
      </c>
      <c r="D787" s="73">
        <v>5.6</v>
      </c>
      <c r="F787" s="72">
        <v>29974</v>
      </c>
      <c r="G787" s="2">
        <v>3602000</v>
      </c>
      <c r="H787" s="2">
        <v>564000</v>
      </c>
    </row>
    <row r="788" spans="1:8" x14ac:dyDescent="0.2">
      <c r="A788" s="72">
        <v>38169</v>
      </c>
      <c r="B788" s="73">
        <v>66.099999999999994</v>
      </c>
      <c r="C788" s="2">
        <v>131848</v>
      </c>
      <c r="D788" s="73">
        <v>5.5</v>
      </c>
      <c r="F788" s="72">
        <v>29981</v>
      </c>
      <c r="G788" s="2">
        <v>3521000</v>
      </c>
      <c r="H788" s="2">
        <v>583000</v>
      </c>
    </row>
    <row r="789" spans="1:8" x14ac:dyDescent="0.2">
      <c r="A789" s="72">
        <v>38200</v>
      </c>
      <c r="B789" s="73">
        <v>66</v>
      </c>
      <c r="C789" s="2">
        <v>131937</v>
      </c>
      <c r="D789" s="73">
        <v>5.4</v>
      </c>
      <c r="F789" s="72">
        <v>29988</v>
      </c>
      <c r="G789" s="2">
        <v>3617000</v>
      </c>
      <c r="H789" s="2">
        <v>556000</v>
      </c>
    </row>
    <row r="790" spans="1:8" x14ac:dyDescent="0.2">
      <c r="A790" s="72">
        <v>38231</v>
      </c>
      <c r="B790" s="73">
        <v>65.8</v>
      </c>
      <c r="C790" s="2">
        <v>132093</v>
      </c>
      <c r="D790" s="73">
        <v>5.4</v>
      </c>
      <c r="F790" s="72">
        <v>29995</v>
      </c>
      <c r="G790" s="2">
        <v>3490000</v>
      </c>
      <c r="H790" s="2">
        <v>507000</v>
      </c>
    </row>
    <row r="791" spans="1:8" x14ac:dyDescent="0.2">
      <c r="A791" s="72">
        <v>38261</v>
      </c>
      <c r="B791" s="73">
        <v>65.900000000000006</v>
      </c>
      <c r="C791" s="2">
        <v>132447</v>
      </c>
      <c r="D791" s="73">
        <v>5.5</v>
      </c>
      <c r="F791" s="72">
        <v>30002</v>
      </c>
      <c r="G791" s="2">
        <v>3562000</v>
      </c>
      <c r="H791" s="2">
        <v>544000</v>
      </c>
    </row>
    <row r="792" spans="1:8" x14ac:dyDescent="0.2">
      <c r="A792" s="72">
        <v>38292</v>
      </c>
      <c r="B792" s="73">
        <v>66</v>
      </c>
      <c r="C792" s="2">
        <v>132503</v>
      </c>
      <c r="D792" s="73">
        <v>5.4</v>
      </c>
      <c r="F792" s="72">
        <v>30009</v>
      </c>
      <c r="G792" s="2">
        <v>3553000</v>
      </c>
      <c r="H792" s="2">
        <v>528000</v>
      </c>
    </row>
    <row r="793" spans="1:8" x14ac:dyDescent="0.2">
      <c r="A793" s="72">
        <v>38322</v>
      </c>
      <c r="B793" s="73">
        <v>65.900000000000006</v>
      </c>
      <c r="C793" s="2">
        <v>132624</v>
      </c>
      <c r="D793" s="73">
        <v>5.4</v>
      </c>
      <c r="F793" s="72">
        <v>30016</v>
      </c>
      <c r="G793" s="2">
        <v>3619000</v>
      </c>
      <c r="H793" s="2">
        <v>556000</v>
      </c>
    </row>
    <row r="794" spans="1:8" x14ac:dyDescent="0.2">
      <c r="A794" s="72">
        <v>38353</v>
      </c>
      <c r="B794" s="73">
        <v>65.8</v>
      </c>
      <c r="C794" s="2">
        <v>132774</v>
      </c>
      <c r="D794" s="73">
        <v>5.3</v>
      </c>
      <c r="F794" s="72">
        <v>30023</v>
      </c>
      <c r="G794" s="2">
        <v>3605000</v>
      </c>
      <c r="H794" s="2">
        <v>539000</v>
      </c>
    </row>
    <row r="795" spans="1:8" x14ac:dyDescent="0.2">
      <c r="A795" s="72">
        <v>38384</v>
      </c>
      <c r="B795" s="73">
        <v>65.900000000000006</v>
      </c>
      <c r="C795" s="2">
        <v>133032</v>
      </c>
      <c r="D795" s="73">
        <v>5.4</v>
      </c>
      <c r="F795" s="72">
        <v>30030</v>
      </c>
      <c r="G795" s="2">
        <v>3684000</v>
      </c>
      <c r="H795" s="2">
        <v>557000</v>
      </c>
    </row>
    <row r="796" spans="1:8" x14ac:dyDescent="0.2">
      <c r="A796" s="72">
        <v>38412</v>
      </c>
      <c r="B796" s="73">
        <v>65.900000000000006</v>
      </c>
      <c r="C796" s="2">
        <v>133156</v>
      </c>
      <c r="D796" s="73">
        <v>5.2</v>
      </c>
      <c r="F796" s="72">
        <v>30037</v>
      </c>
      <c r="G796" s="2">
        <v>3714000</v>
      </c>
      <c r="H796" s="2">
        <v>574000</v>
      </c>
    </row>
    <row r="797" spans="1:8" x14ac:dyDescent="0.2">
      <c r="A797" s="72">
        <v>38443</v>
      </c>
      <c r="B797" s="73">
        <v>66.099999999999994</v>
      </c>
      <c r="C797" s="2">
        <v>133518</v>
      </c>
      <c r="D797" s="73">
        <v>5.2</v>
      </c>
      <c r="F797" s="72">
        <v>30044</v>
      </c>
      <c r="G797" s="2">
        <v>3720000</v>
      </c>
      <c r="H797" s="2">
        <v>578000</v>
      </c>
    </row>
    <row r="798" spans="1:8" x14ac:dyDescent="0.2">
      <c r="A798" s="72">
        <v>38473</v>
      </c>
      <c r="B798" s="73">
        <v>66.099999999999994</v>
      </c>
      <c r="C798" s="2">
        <v>133690</v>
      </c>
      <c r="D798" s="73">
        <v>5.0999999999999996</v>
      </c>
      <c r="F798" s="72">
        <v>30051</v>
      </c>
      <c r="G798" s="2">
        <v>3841000</v>
      </c>
      <c r="H798" s="2">
        <v>585000</v>
      </c>
    </row>
    <row r="799" spans="1:8" x14ac:dyDescent="0.2">
      <c r="A799" s="72">
        <v>38504</v>
      </c>
      <c r="B799" s="73">
        <v>66.099999999999994</v>
      </c>
      <c r="C799" s="2">
        <v>133942</v>
      </c>
      <c r="D799" s="73">
        <v>5</v>
      </c>
      <c r="F799" s="72">
        <v>30058</v>
      </c>
      <c r="G799" s="2">
        <v>3967000</v>
      </c>
      <c r="H799" s="2">
        <v>597000</v>
      </c>
    </row>
    <row r="800" spans="1:8" x14ac:dyDescent="0.2">
      <c r="A800" s="72">
        <v>38534</v>
      </c>
      <c r="B800" s="73">
        <v>66.099999999999994</v>
      </c>
      <c r="C800" s="2">
        <v>134296</v>
      </c>
      <c r="D800" s="73">
        <v>5</v>
      </c>
      <c r="F800" s="72">
        <v>30065</v>
      </c>
      <c r="G800" s="2">
        <v>3930000</v>
      </c>
      <c r="H800" s="2">
        <v>588000</v>
      </c>
    </row>
    <row r="801" spans="1:8" x14ac:dyDescent="0.2">
      <c r="A801" s="72">
        <v>38565</v>
      </c>
      <c r="B801" s="73">
        <v>66.2</v>
      </c>
      <c r="C801" s="2">
        <v>134498</v>
      </c>
      <c r="D801" s="73">
        <v>4.9000000000000004</v>
      </c>
      <c r="F801" s="72">
        <v>30072</v>
      </c>
      <c r="G801" s="2">
        <v>3960000</v>
      </c>
      <c r="H801" s="2">
        <v>576000</v>
      </c>
    </row>
    <row r="802" spans="1:8" x14ac:dyDescent="0.2">
      <c r="A802" s="72">
        <v>38596</v>
      </c>
      <c r="B802" s="73">
        <v>66.099999999999994</v>
      </c>
      <c r="C802" s="2">
        <v>134566</v>
      </c>
      <c r="D802" s="73">
        <v>5</v>
      </c>
      <c r="F802" s="72">
        <v>30079</v>
      </c>
      <c r="G802" s="2">
        <v>3972000</v>
      </c>
      <c r="H802" s="2">
        <v>584000</v>
      </c>
    </row>
    <row r="803" spans="1:8" x14ac:dyDescent="0.2">
      <c r="A803" s="72">
        <v>38626</v>
      </c>
      <c r="B803" s="73">
        <v>66.099999999999994</v>
      </c>
      <c r="C803" s="2">
        <v>134655</v>
      </c>
      <c r="D803" s="73">
        <v>5</v>
      </c>
      <c r="F803" s="72">
        <v>30086</v>
      </c>
      <c r="G803" s="2">
        <v>3968000</v>
      </c>
      <c r="H803" s="2">
        <v>585000</v>
      </c>
    </row>
    <row r="804" spans="1:8" x14ac:dyDescent="0.2">
      <c r="A804" s="72">
        <v>38657</v>
      </c>
      <c r="B804" s="73">
        <v>66</v>
      </c>
      <c r="C804" s="2">
        <v>134993</v>
      </c>
      <c r="D804" s="73">
        <v>5</v>
      </c>
      <c r="F804" s="72">
        <v>30093</v>
      </c>
      <c r="G804" s="2">
        <v>4103000</v>
      </c>
      <c r="H804" s="2">
        <v>586000</v>
      </c>
    </row>
    <row r="805" spans="1:8" x14ac:dyDescent="0.2">
      <c r="A805" s="72">
        <v>38687</v>
      </c>
      <c r="B805" s="73">
        <v>66</v>
      </c>
      <c r="C805" s="2">
        <v>135149</v>
      </c>
      <c r="D805" s="73">
        <v>4.9000000000000004</v>
      </c>
      <c r="F805" s="72">
        <v>30100</v>
      </c>
      <c r="G805" s="2">
        <v>3956000</v>
      </c>
      <c r="H805" s="2">
        <v>588000</v>
      </c>
    </row>
    <row r="806" spans="1:8" x14ac:dyDescent="0.2">
      <c r="A806" s="72">
        <v>38718</v>
      </c>
      <c r="B806" s="73">
        <v>66</v>
      </c>
      <c r="C806" s="2">
        <v>135429</v>
      </c>
      <c r="D806" s="73">
        <v>4.7</v>
      </c>
      <c r="F806" s="72">
        <v>30107</v>
      </c>
      <c r="G806" s="2">
        <v>4094000</v>
      </c>
      <c r="H806" s="2">
        <v>611000</v>
      </c>
    </row>
    <row r="807" spans="1:8" x14ac:dyDescent="0.2">
      <c r="A807" s="72">
        <v>38749</v>
      </c>
      <c r="B807" s="73">
        <v>66.099999999999994</v>
      </c>
      <c r="C807" s="2">
        <v>135737</v>
      </c>
      <c r="D807" s="73">
        <v>4.8</v>
      </c>
      <c r="F807" s="72">
        <v>30114</v>
      </c>
      <c r="G807" s="2">
        <v>4121000</v>
      </c>
      <c r="H807" s="2">
        <v>614000</v>
      </c>
    </row>
    <row r="808" spans="1:8" x14ac:dyDescent="0.2">
      <c r="A808" s="72">
        <v>38777</v>
      </c>
      <c r="B808" s="73">
        <v>66.2</v>
      </c>
      <c r="C808" s="2">
        <v>136047</v>
      </c>
      <c r="D808" s="73">
        <v>4.7</v>
      </c>
      <c r="F808" s="72">
        <v>30121</v>
      </c>
      <c r="G808" s="2">
        <v>4105000</v>
      </c>
      <c r="H808" s="2">
        <v>591000</v>
      </c>
    </row>
    <row r="809" spans="1:8" x14ac:dyDescent="0.2">
      <c r="A809" s="72">
        <v>38808</v>
      </c>
      <c r="B809" s="73">
        <v>66.099999999999994</v>
      </c>
      <c r="C809" s="2">
        <v>136205</v>
      </c>
      <c r="D809" s="73">
        <v>4.7</v>
      </c>
      <c r="F809" s="72">
        <v>30128</v>
      </c>
      <c r="G809" s="2">
        <v>4057000</v>
      </c>
      <c r="H809" s="2">
        <v>582000</v>
      </c>
    </row>
    <row r="810" spans="1:8" x14ac:dyDescent="0.2">
      <c r="A810" s="72">
        <v>38838</v>
      </c>
      <c r="B810" s="73">
        <v>66.099999999999994</v>
      </c>
      <c r="C810" s="2">
        <v>136244</v>
      </c>
      <c r="D810" s="73">
        <v>4.5999999999999996</v>
      </c>
      <c r="F810" s="72">
        <v>30135</v>
      </c>
      <c r="G810" s="2">
        <v>4139000</v>
      </c>
      <c r="H810" s="2">
        <v>600000</v>
      </c>
    </row>
    <row r="811" spans="1:8" x14ac:dyDescent="0.2">
      <c r="A811" s="72">
        <v>38869</v>
      </c>
      <c r="B811" s="73">
        <v>66.2</v>
      </c>
      <c r="C811" s="2">
        <v>136325</v>
      </c>
      <c r="D811" s="73">
        <v>4.5999999999999996</v>
      </c>
      <c r="F811" s="72">
        <v>30142</v>
      </c>
      <c r="G811" s="2">
        <v>4025000</v>
      </c>
      <c r="H811" s="2">
        <v>572000</v>
      </c>
    </row>
    <row r="812" spans="1:8" x14ac:dyDescent="0.2">
      <c r="A812" s="72">
        <v>38899</v>
      </c>
      <c r="B812" s="73">
        <v>66.099999999999994</v>
      </c>
      <c r="C812" s="2">
        <v>136520</v>
      </c>
      <c r="D812" s="73">
        <v>4.7</v>
      </c>
      <c r="F812" s="72">
        <v>30149</v>
      </c>
      <c r="G812" s="2">
        <v>4148000</v>
      </c>
      <c r="H812" s="2">
        <v>567000</v>
      </c>
    </row>
    <row r="813" spans="1:8" x14ac:dyDescent="0.2">
      <c r="A813" s="72">
        <v>38930</v>
      </c>
      <c r="B813" s="73">
        <v>66.2</v>
      </c>
      <c r="C813" s="2">
        <v>136694</v>
      </c>
      <c r="D813" s="73">
        <v>4.7</v>
      </c>
      <c r="F813" s="72">
        <v>30156</v>
      </c>
      <c r="G813" s="2">
        <v>4155000</v>
      </c>
      <c r="H813" s="2">
        <v>536000</v>
      </c>
    </row>
    <row r="814" spans="1:8" x14ac:dyDescent="0.2">
      <c r="A814" s="72">
        <v>38961</v>
      </c>
      <c r="B814" s="73">
        <v>66.099999999999994</v>
      </c>
      <c r="C814" s="2">
        <v>136843</v>
      </c>
      <c r="D814" s="73">
        <v>4.5</v>
      </c>
      <c r="F814" s="72">
        <v>30163</v>
      </c>
      <c r="G814" s="2">
        <v>4040000</v>
      </c>
      <c r="H814" s="2">
        <v>605000</v>
      </c>
    </row>
    <row r="815" spans="1:8" x14ac:dyDescent="0.2">
      <c r="A815" s="72">
        <v>38991</v>
      </c>
      <c r="B815" s="73">
        <v>66.2</v>
      </c>
      <c r="C815" s="2">
        <v>136852</v>
      </c>
      <c r="D815" s="73">
        <v>4.4000000000000004</v>
      </c>
      <c r="F815" s="72">
        <v>30170</v>
      </c>
      <c r="G815" s="2">
        <v>4191000</v>
      </c>
      <c r="H815" s="2">
        <v>606000</v>
      </c>
    </row>
    <row r="816" spans="1:8" x14ac:dyDescent="0.2">
      <c r="A816" s="72">
        <v>39022</v>
      </c>
      <c r="B816" s="73">
        <v>66.3</v>
      </c>
      <c r="C816" s="2">
        <v>137063</v>
      </c>
      <c r="D816" s="73">
        <v>4.5</v>
      </c>
      <c r="F816" s="72">
        <v>30177</v>
      </c>
      <c r="G816" s="2">
        <v>4234000</v>
      </c>
      <c r="H816" s="2">
        <v>637000</v>
      </c>
    </row>
    <row r="817" spans="1:8" x14ac:dyDescent="0.2">
      <c r="A817" s="72">
        <v>39052</v>
      </c>
      <c r="B817" s="73">
        <v>66.400000000000006</v>
      </c>
      <c r="C817" s="2">
        <v>137249</v>
      </c>
      <c r="D817" s="73">
        <v>4.4000000000000004</v>
      </c>
      <c r="F817" s="72">
        <v>30184</v>
      </c>
      <c r="G817" s="2">
        <v>4300000</v>
      </c>
      <c r="H817" s="2">
        <v>628000</v>
      </c>
    </row>
    <row r="818" spans="1:8" x14ac:dyDescent="0.2">
      <c r="A818" s="72">
        <v>39083</v>
      </c>
      <c r="B818" s="73">
        <v>66.400000000000006</v>
      </c>
      <c r="C818" s="2">
        <v>137477</v>
      </c>
      <c r="D818" s="73">
        <v>4.5999999999999996</v>
      </c>
      <c r="F818" s="72">
        <v>30191</v>
      </c>
      <c r="G818" s="2">
        <v>4316000</v>
      </c>
      <c r="H818" s="2">
        <v>647000</v>
      </c>
    </row>
    <row r="819" spans="1:8" x14ac:dyDescent="0.2">
      <c r="A819" s="72">
        <v>39114</v>
      </c>
      <c r="B819" s="73">
        <v>66.3</v>
      </c>
      <c r="C819" s="2">
        <v>137558</v>
      </c>
      <c r="D819" s="73">
        <v>4.5</v>
      </c>
      <c r="F819" s="72">
        <v>30198</v>
      </c>
      <c r="G819" s="2">
        <v>4356000</v>
      </c>
      <c r="H819" s="2">
        <v>651000</v>
      </c>
    </row>
    <row r="820" spans="1:8" x14ac:dyDescent="0.2">
      <c r="A820" s="72">
        <v>39142</v>
      </c>
      <c r="B820" s="73">
        <v>66.2</v>
      </c>
      <c r="C820" s="2">
        <v>137793</v>
      </c>
      <c r="D820" s="73">
        <v>4.4000000000000004</v>
      </c>
      <c r="F820" s="72">
        <v>30205</v>
      </c>
      <c r="G820" s="2">
        <v>4445000</v>
      </c>
      <c r="H820" s="2">
        <v>641000</v>
      </c>
    </row>
    <row r="821" spans="1:8" x14ac:dyDescent="0.2">
      <c r="A821" s="72">
        <v>39173</v>
      </c>
      <c r="B821" s="73">
        <v>65.900000000000006</v>
      </c>
      <c r="C821" s="2">
        <v>137842</v>
      </c>
      <c r="D821" s="73">
        <v>4.5</v>
      </c>
      <c r="F821" s="72">
        <v>30212</v>
      </c>
      <c r="G821" s="2">
        <v>4468000</v>
      </c>
      <c r="H821" s="2">
        <v>680000</v>
      </c>
    </row>
    <row r="822" spans="1:8" x14ac:dyDescent="0.2">
      <c r="A822" s="72">
        <v>39203</v>
      </c>
      <c r="B822" s="73">
        <v>66</v>
      </c>
      <c r="C822" s="2">
        <v>137993</v>
      </c>
      <c r="D822" s="73">
        <v>4.4000000000000004</v>
      </c>
      <c r="F822" s="72">
        <v>30219</v>
      </c>
      <c r="G822" s="2">
        <v>4542000</v>
      </c>
      <c r="H822" s="2">
        <v>671000</v>
      </c>
    </row>
    <row r="823" spans="1:8" x14ac:dyDescent="0.2">
      <c r="A823" s="72">
        <v>39234</v>
      </c>
      <c r="B823" s="73">
        <v>66</v>
      </c>
      <c r="C823" s="2">
        <v>138069</v>
      </c>
      <c r="D823" s="73">
        <v>4.5999999999999996</v>
      </c>
      <c r="F823" s="72">
        <v>30226</v>
      </c>
      <c r="G823" s="2">
        <v>4629000</v>
      </c>
      <c r="H823" s="2">
        <v>695000</v>
      </c>
    </row>
    <row r="824" spans="1:8" x14ac:dyDescent="0.2">
      <c r="A824" s="72">
        <v>39264</v>
      </c>
      <c r="B824" s="73">
        <v>66</v>
      </c>
      <c r="C824" s="2">
        <v>138038</v>
      </c>
      <c r="D824" s="73">
        <v>4.7</v>
      </c>
      <c r="F824" s="72">
        <v>30233</v>
      </c>
      <c r="G824" s="2">
        <v>4689000</v>
      </c>
      <c r="H824" s="2">
        <v>651000</v>
      </c>
    </row>
    <row r="825" spans="1:8" x14ac:dyDescent="0.2">
      <c r="A825" s="72">
        <v>39295</v>
      </c>
      <c r="B825" s="73">
        <v>65.8</v>
      </c>
      <c r="C825" s="2">
        <v>138015</v>
      </c>
      <c r="D825" s="73">
        <v>4.5999999999999996</v>
      </c>
      <c r="F825" s="72">
        <v>30240</v>
      </c>
      <c r="G825" s="2">
        <v>4599000</v>
      </c>
      <c r="H825" s="2">
        <v>656000</v>
      </c>
    </row>
    <row r="826" spans="1:8" x14ac:dyDescent="0.2">
      <c r="A826" s="72">
        <v>39326</v>
      </c>
      <c r="B826" s="73">
        <v>66</v>
      </c>
      <c r="C826" s="2">
        <v>138095</v>
      </c>
      <c r="D826" s="73">
        <v>4.7</v>
      </c>
      <c r="F826" s="72">
        <v>30247</v>
      </c>
      <c r="G826" s="2">
        <v>4686000</v>
      </c>
      <c r="H826" s="2">
        <v>623000</v>
      </c>
    </row>
    <row r="827" spans="1:8" x14ac:dyDescent="0.2">
      <c r="A827" s="72">
        <v>39356</v>
      </c>
      <c r="B827" s="73">
        <v>65.8</v>
      </c>
      <c r="C827" s="2">
        <v>138174</v>
      </c>
      <c r="D827" s="73">
        <v>4.7</v>
      </c>
      <c r="F827" s="72">
        <v>30254</v>
      </c>
      <c r="G827" s="2">
        <v>4595000</v>
      </c>
      <c r="H827" s="2">
        <v>637000</v>
      </c>
    </row>
    <row r="828" spans="1:8" x14ac:dyDescent="0.2">
      <c r="A828" s="72">
        <v>39387</v>
      </c>
      <c r="B828" s="73">
        <v>66</v>
      </c>
      <c r="C828" s="2">
        <v>138284</v>
      </c>
      <c r="D828" s="73">
        <v>4.7</v>
      </c>
      <c r="F828" s="72">
        <v>30261</v>
      </c>
      <c r="G828" s="2">
        <v>4713000</v>
      </c>
      <c r="H828" s="2">
        <v>589000</v>
      </c>
    </row>
    <row r="829" spans="1:8" x14ac:dyDescent="0.2">
      <c r="A829" s="72">
        <v>39417</v>
      </c>
      <c r="B829" s="73">
        <v>66</v>
      </c>
      <c r="C829" s="2">
        <v>138392</v>
      </c>
      <c r="D829" s="73">
        <v>5</v>
      </c>
      <c r="F829" s="72">
        <v>30268</v>
      </c>
      <c r="G829" s="2">
        <v>4554000</v>
      </c>
      <c r="H829" s="2">
        <v>599000</v>
      </c>
    </row>
    <row r="830" spans="1:8" x14ac:dyDescent="0.2">
      <c r="A830" s="72">
        <v>39448</v>
      </c>
      <c r="B830" s="73">
        <v>66.2</v>
      </c>
      <c r="C830" s="2">
        <v>138403</v>
      </c>
      <c r="D830" s="73">
        <v>5</v>
      </c>
      <c r="F830" s="72">
        <v>30275</v>
      </c>
      <c r="G830" s="2">
        <v>4695000</v>
      </c>
      <c r="H830" s="2">
        <v>577000</v>
      </c>
    </row>
    <row r="831" spans="1:8" x14ac:dyDescent="0.2">
      <c r="A831" s="72">
        <v>39479</v>
      </c>
      <c r="B831" s="73">
        <v>66</v>
      </c>
      <c r="C831" s="2">
        <v>138324</v>
      </c>
      <c r="D831" s="73">
        <v>4.9000000000000004</v>
      </c>
      <c r="F831" s="72">
        <v>30282</v>
      </c>
      <c r="G831" s="2">
        <v>4442000</v>
      </c>
      <c r="H831" s="2">
        <v>612000</v>
      </c>
    </row>
    <row r="832" spans="1:8" x14ac:dyDescent="0.2">
      <c r="A832" s="72">
        <v>39508</v>
      </c>
      <c r="B832" s="73">
        <v>66.099999999999994</v>
      </c>
      <c r="C832" s="2">
        <v>138275</v>
      </c>
      <c r="D832" s="73">
        <v>5.0999999999999996</v>
      </c>
      <c r="F832" s="72">
        <v>30289</v>
      </c>
      <c r="G832" s="2">
        <v>4509000</v>
      </c>
      <c r="H832" s="2">
        <v>557000</v>
      </c>
    </row>
    <row r="833" spans="1:8" x14ac:dyDescent="0.2">
      <c r="A833" s="72">
        <v>39539</v>
      </c>
      <c r="B833" s="73">
        <v>65.900000000000006</v>
      </c>
      <c r="C833" s="2">
        <v>138035</v>
      </c>
      <c r="D833" s="73">
        <v>5</v>
      </c>
      <c r="F833" s="72">
        <v>30296</v>
      </c>
      <c r="G833" s="2">
        <v>4339000</v>
      </c>
      <c r="H833" s="2">
        <v>533000</v>
      </c>
    </row>
    <row r="834" spans="1:8" x14ac:dyDescent="0.2">
      <c r="A834" s="72">
        <v>39569</v>
      </c>
      <c r="B834" s="73">
        <v>66.099999999999994</v>
      </c>
      <c r="C834" s="2">
        <v>137858</v>
      </c>
      <c r="D834" s="73">
        <v>5.4</v>
      </c>
      <c r="F834" s="72">
        <v>30303</v>
      </c>
      <c r="G834" s="2">
        <v>4371000</v>
      </c>
      <c r="H834" s="2">
        <v>516000</v>
      </c>
    </row>
    <row r="835" spans="1:8" x14ac:dyDescent="0.2">
      <c r="A835" s="72">
        <v>39600</v>
      </c>
      <c r="B835" s="73">
        <v>66.099999999999994</v>
      </c>
      <c r="C835" s="2">
        <v>137687</v>
      </c>
      <c r="D835" s="73">
        <v>5.6</v>
      </c>
      <c r="F835" s="72">
        <v>30310</v>
      </c>
      <c r="G835" s="2">
        <v>4381000</v>
      </c>
      <c r="H835" s="2">
        <v>489000</v>
      </c>
    </row>
    <row r="836" spans="1:8" x14ac:dyDescent="0.2">
      <c r="A836" s="72">
        <v>39630</v>
      </c>
      <c r="B836" s="73">
        <v>66.099999999999994</v>
      </c>
      <c r="C836" s="2">
        <v>137491</v>
      </c>
      <c r="D836" s="73">
        <v>5.8</v>
      </c>
      <c r="F836" s="72">
        <v>30317</v>
      </c>
      <c r="G836" s="2">
        <v>4010000</v>
      </c>
      <c r="H836" s="2">
        <v>534000</v>
      </c>
    </row>
    <row r="837" spans="1:8" x14ac:dyDescent="0.2">
      <c r="A837" s="72">
        <v>39661</v>
      </c>
      <c r="B837" s="73">
        <v>66.099999999999994</v>
      </c>
      <c r="C837" s="2">
        <v>137213</v>
      </c>
      <c r="D837" s="73">
        <v>6.1</v>
      </c>
      <c r="F837" s="72">
        <v>30324</v>
      </c>
      <c r="G837" s="2">
        <v>3885000</v>
      </c>
      <c r="H837" s="2">
        <v>510000</v>
      </c>
    </row>
    <row r="838" spans="1:8" x14ac:dyDescent="0.2">
      <c r="A838" s="72">
        <v>39692</v>
      </c>
      <c r="B838" s="73">
        <v>66</v>
      </c>
      <c r="C838" s="2">
        <v>136753</v>
      </c>
      <c r="D838" s="73">
        <v>6.1</v>
      </c>
      <c r="F838" s="72">
        <v>30331</v>
      </c>
      <c r="G838" s="2">
        <v>3950000</v>
      </c>
      <c r="H838" s="2">
        <v>479000</v>
      </c>
    </row>
    <row r="839" spans="1:8" x14ac:dyDescent="0.2">
      <c r="A839" s="72">
        <v>39722</v>
      </c>
      <c r="B839" s="73">
        <v>66</v>
      </c>
      <c r="C839" s="2">
        <v>136272</v>
      </c>
      <c r="D839" s="73">
        <v>6.5</v>
      </c>
      <c r="F839" s="72">
        <v>30338</v>
      </c>
      <c r="G839" s="2">
        <v>3860000</v>
      </c>
      <c r="H839" s="2">
        <v>479000</v>
      </c>
    </row>
    <row r="840" spans="1:8" x14ac:dyDescent="0.2">
      <c r="A840" s="72">
        <v>39753</v>
      </c>
      <c r="B840" s="73">
        <v>65.900000000000006</v>
      </c>
      <c r="C840" s="2">
        <v>135545</v>
      </c>
      <c r="D840" s="73">
        <v>6.8</v>
      </c>
      <c r="F840" s="72">
        <v>30345</v>
      </c>
      <c r="G840" s="2">
        <v>3890000</v>
      </c>
      <c r="H840" s="2">
        <v>503000</v>
      </c>
    </row>
    <row r="841" spans="1:8" x14ac:dyDescent="0.2">
      <c r="A841" s="72">
        <v>39783</v>
      </c>
      <c r="B841" s="73">
        <v>65.8</v>
      </c>
      <c r="C841" s="2">
        <v>134839</v>
      </c>
      <c r="D841" s="73">
        <v>7.3</v>
      </c>
      <c r="F841" s="72">
        <v>30352</v>
      </c>
      <c r="G841" s="2">
        <v>3877000</v>
      </c>
      <c r="H841" s="2">
        <v>501000</v>
      </c>
    </row>
    <row r="842" spans="1:8" x14ac:dyDescent="0.2">
      <c r="A842" s="72">
        <v>39814</v>
      </c>
      <c r="B842" s="73">
        <v>65.7</v>
      </c>
      <c r="C842" s="2">
        <v>134055</v>
      </c>
      <c r="D842" s="73">
        <v>7.8</v>
      </c>
      <c r="F842" s="72">
        <v>30359</v>
      </c>
      <c r="G842" s="2">
        <v>3865000</v>
      </c>
      <c r="H842" s="2">
        <v>486000</v>
      </c>
    </row>
    <row r="843" spans="1:8" x14ac:dyDescent="0.2">
      <c r="A843" s="72">
        <v>39845</v>
      </c>
      <c r="B843" s="73">
        <v>65.8</v>
      </c>
      <c r="C843" s="2">
        <v>133312</v>
      </c>
      <c r="D843" s="73">
        <v>8.3000000000000007</v>
      </c>
      <c r="F843" s="72">
        <v>30366</v>
      </c>
      <c r="G843" s="2">
        <v>3819000</v>
      </c>
      <c r="H843" s="2">
        <v>487000</v>
      </c>
    </row>
    <row r="844" spans="1:8" x14ac:dyDescent="0.2">
      <c r="A844" s="72">
        <v>39873</v>
      </c>
      <c r="B844" s="73">
        <v>65.599999999999994</v>
      </c>
      <c r="C844" s="2">
        <v>132512</v>
      </c>
      <c r="D844" s="73">
        <v>8.6999999999999993</v>
      </c>
      <c r="F844" s="72">
        <v>30373</v>
      </c>
      <c r="G844" s="2">
        <v>3876000</v>
      </c>
      <c r="H844" s="2">
        <v>481000</v>
      </c>
    </row>
    <row r="845" spans="1:8" x14ac:dyDescent="0.2">
      <c r="A845" s="72">
        <v>39904</v>
      </c>
      <c r="B845" s="73">
        <v>65.7</v>
      </c>
      <c r="C845" s="2">
        <v>131817</v>
      </c>
      <c r="D845" s="73">
        <v>9</v>
      </c>
      <c r="F845" s="72">
        <v>30380</v>
      </c>
      <c r="G845" s="2">
        <v>3797000</v>
      </c>
      <c r="H845" s="2">
        <v>495000</v>
      </c>
    </row>
    <row r="846" spans="1:8" x14ac:dyDescent="0.2">
      <c r="A846" s="72">
        <v>39934</v>
      </c>
      <c r="B846" s="73">
        <v>65.7</v>
      </c>
      <c r="C846" s="2">
        <v>131475</v>
      </c>
      <c r="D846" s="73">
        <v>9.4</v>
      </c>
      <c r="F846" s="72">
        <v>30387</v>
      </c>
      <c r="G846" s="2">
        <v>3787000</v>
      </c>
      <c r="H846" s="2">
        <v>475000</v>
      </c>
    </row>
    <row r="847" spans="1:8" x14ac:dyDescent="0.2">
      <c r="A847" s="72">
        <v>39965</v>
      </c>
      <c r="B847" s="73">
        <v>65.7</v>
      </c>
      <c r="C847" s="2">
        <v>131008</v>
      </c>
      <c r="D847" s="73">
        <v>9.5</v>
      </c>
      <c r="F847" s="72">
        <v>30394</v>
      </c>
      <c r="G847" s="2">
        <v>3752000</v>
      </c>
      <c r="H847" s="2">
        <v>470000</v>
      </c>
    </row>
    <row r="848" spans="1:8" x14ac:dyDescent="0.2">
      <c r="A848" s="72">
        <v>39995</v>
      </c>
      <c r="B848" s="73">
        <v>65.5</v>
      </c>
      <c r="C848" s="2">
        <v>130668</v>
      </c>
      <c r="D848" s="73">
        <v>9.5</v>
      </c>
      <c r="F848" s="72">
        <v>30401</v>
      </c>
      <c r="G848" s="2">
        <v>3734000</v>
      </c>
      <c r="H848" s="2">
        <v>481000</v>
      </c>
    </row>
    <row r="849" spans="1:8" x14ac:dyDescent="0.2">
      <c r="A849" s="72">
        <v>40026</v>
      </c>
      <c r="B849" s="73">
        <v>65.400000000000006</v>
      </c>
      <c r="C849" s="2">
        <v>130485</v>
      </c>
      <c r="D849" s="73">
        <v>9.6</v>
      </c>
      <c r="F849" s="72">
        <v>30408</v>
      </c>
      <c r="G849" s="2">
        <v>3759000</v>
      </c>
      <c r="H849" s="2">
        <v>491000</v>
      </c>
    </row>
    <row r="850" spans="1:8" x14ac:dyDescent="0.2">
      <c r="A850" s="72">
        <v>40057</v>
      </c>
      <c r="B850" s="73">
        <v>65.099999999999994</v>
      </c>
      <c r="C850" s="2">
        <v>130244</v>
      </c>
      <c r="D850" s="73">
        <v>9.8000000000000007</v>
      </c>
      <c r="F850" s="72">
        <v>30415</v>
      </c>
      <c r="G850" s="2">
        <v>3814000</v>
      </c>
      <c r="H850" s="2">
        <v>496000</v>
      </c>
    </row>
    <row r="851" spans="1:8" x14ac:dyDescent="0.2">
      <c r="A851" s="72">
        <v>40087</v>
      </c>
      <c r="B851" s="73">
        <v>65</v>
      </c>
      <c r="C851" s="2">
        <v>130045</v>
      </c>
      <c r="D851" s="73">
        <v>10</v>
      </c>
      <c r="F851" s="72">
        <v>30422</v>
      </c>
      <c r="G851" s="2">
        <v>3744000</v>
      </c>
      <c r="H851" s="2">
        <v>515000</v>
      </c>
    </row>
    <row r="852" spans="1:8" x14ac:dyDescent="0.2">
      <c r="A852" s="72">
        <v>40118</v>
      </c>
      <c r="B852" s="73">
        <v>65</v>
      </c>
      <c r="C852" s="2">
        <v>130057</v>
      </c>
      <c r="D852" s="73">
        <v>9.9</v>
      </c>
      <c r="F852" s="72">
        <v>30429</v>
      </c>
      <c r="G852" s="2">
        <v>3762000</v>
      </c>
      <c r="H852" s="2">
        <v>488000</v>
      </c>
    </row>
    <row r="853" spans="1:8" x14ac:dyDescent="0.2">
      <c r="A853" s="72">
        <v>40148</v>
      </c>
      <c r="B853" s="73">
        <v>64.599999999999994</v>
      </c>
      <c r="C853" s="2">
        <v>129788</v>
      </c>
      <c r="D853" s="73">
        <v>9.9</v>
      </c>
      <c r="F853" s="72">
        <v>30436</v>
      </c>
      <c r="G853" s="2">
        <v>3722000</v>
      </c>
      <c r="H853" s="2">
        <v>490000</v>
      </c>
    </row>
    <row r="854" spans="1:8" x14ac:dyDescent="0.2">
      <c r="A854" s="72">
        <v>40179</v>
      </c>
      <c r="B854" s="73">
        <v>64.8</v>
      </c>
      <c r="C854" s="2">
        <v>129790</v>
      </c>
      <c r="D854" s="73">
        <v>9.8000000000000007</v>
      </c>
      <c r="F854" s="72">
        <v>30443</v>
      </c>
      <c r="G854" s="2">
        <v>3714000</v>
      </c>
      <c r="H854" s="2">
        <v>494000</v>
      </c>
    </row>
    <row r="855" spans="1:8" x14ac:dyDescent="0.2">
      <c r="A855" s="72">
        <v>40210</v>
      </c>
      <c r="B855" s="73">
        <v>64.900000000000006</v>
      </c>
      <c r="C855" s="2">
        <v>129698</v>
      </c>
      <c r="D855" s="73">
        <v>9.8000000000000007</v>
      </c>
      <c r="F855" s="72">
        <v>30450</v>
      </c>
      <c r="G855" s="2">
        <v>3625000</v>
      </c>
      <c r="H855" s="2">
        <v>464000</v>
      </c>
    </row>
    <row r="856" spans="1:8" x14ac:dyDescent="0.2">
      <c r="A856" s="72">
        <v>40238</v>
      </c>
      <c r="B856" s="73">
        <v>64.900000000000006</v>
      </c>
      <c r="C856" s="2">
        <v>129879</v>
      </c>
      <c r="D856" s="73">
        <v>9.9</v>
      </c>
      <c r="F856" s="72">
        <v>30457</v>
      </c>
      <c r="G856" s="2">
        <v>3701000</v>
      </c>
      <c r="H856" s="2">
        <v>460000</v>
      </c>
    </row>
    <row r="857" spans="1:8" x14ac:dyDescent="0.2">
      <c r="A857" s="72">
        <v>40269</v>
      </c>
      <c r="B857" s="73">
        <v>65.2</v>
      </c>
      <c r="C857" s="2">
        <v>130110</v>
      </c>
      <c r="D857" s="73">
        <v>9.9</v>
      </c>
      <c r="F857" s="72">
        <v>30464</v>
      </c>
      <c r="G857" s="2">
        <v>3457000</v>
      </c>
      <c r="H857" s="2">
        <v>454000</v>
      </c>
    </row>
    <row r="858" spans="1:8" x14ac:dyDescent="0.2">
      <c r="A858" s="72">
        <v>40299</v>
      </c>
      <c r="B858" s="73">
        <v>64.900000000000006</v>
      </c>
      <c r="C858" s="2">
        <v>130650</v>
      </c>
      <c r="D858" s="73">
        <v>9.6</v>
      </c>
      <c r="F858" s="72">
        <v>30471</v>
      </c>
      <c r="G858" s="2">
        <v>3548000</v>
      </c>
      <c r="H858" s="2">
        <v>459000</v>
      </c>
    </row>
    <row r="859" spans="1:8" x14ac:dyDescent="0.2">
      <c r="A859" s="72">
        <v>40330</v>
      </c>
      <c r="B859" s="73">
        <v>64.599999999999994</v>
      </c>
      <c r="C859" s="2">
        <v>130511</v>
      </c>
      <c r="D859" s="73">
        <v>9.4</v>
      </c>
      <c r="F859" s="72">
        <v>30478</v>
      </c>
      <c r="G859" s="2">
        <v>3453000</v>
      </c>
      <c r="H859" s="2">
        <v>442000</v>
      </c>
    </row>
    <row r="860" spans="1:8" x14ac:dyDescent="0.2">
      <c r="A860" s="72">
        <v>40360</v>
      </c>
      <c r="B860" s="73">
        <v>64.599999999999994</v>
      </c>
      <c r="C860" s="2">
        <v>130427</v>
      </c>
      <c r="D860" s="73">
        <v>9.4</v>
      </c>
      <c r="F860" s="72">
        <v>30485</v>
      </c>
      <c r="G860" s="2">
        <v>3452000</v>
      </c>
      <c r="H860" s="2">
        <v>434000</v>
      </c>
    </row>
    <row r="861" spans="1:8" x14ac:dyDescent="0.2">
      <c r="A861" s="72">
        <v>40391</v>
      </c>
      <c r="B861" s="73">
        <v>64.7</v>
      </c>
      <c r="C861" s="2">
        <v>130422</v>
      </c>
      <c r="D861" s="73">
        <v>9.5</v>
      </c>
      <c r="F861" s="72">
        <v>30492</v>
      </c>
      <c r="G861" s="2">
        <v>3369000</v>
      </c>
      <c r="H861" s="2">
        <v>442000</v>
      </c>
    </row>
    <row r="862" spans="1:8" x14ac:dyDescent="0.2">
      <c r="A862" s="72">
        <v>40422</v>
      </c>
      <c r="B862" s="73">
        <v>64.599999999999994</v>
      </c>
      <c r="C862" s="2">
        <v>130357</v>
      </c>
      <c r="D862" s="73">
        <v>9.5</v>
      </c>
      <c r="F862" s="72">
        <v>30499</v>
      </c>
      <c r="G862" s="2">
        <v>3239000</v>
      </c>
      <c r="H862" s="2">
        <v>422000</v>
      </c>
    </row>
    <row r="863" spans="1:8" x14ac:dyDescent="0.2">
      <c r="A863" s="72">
        <v>40452</v>
      </c>
      <c r="B863" s="73">
        <v>64.400000000000006</v>
      </c>
      <c r="C863" s="2">
        <v>130625</v>
      </c>
      <c r="D863" s="73">
        <v>9.4</v>
      </c>
      <c r="F863" s="72">
        <v>30506</v>
      </c>
      <c r="G863" s="2">
        <v>3226000</v>
      </c>
      <c r="H863" s="2">
        <v>412000</v>
      </c>
    </row>
    <row r="864" spans="1:8" x14ac:dyDescent="0.2">
      <c r="A864" s="72">
        <v>40483</v>
      </c>
      <c r="B864" s="73">
        <v>64.599999999999994</v>
      </c>
      <c r="C864" s="2">
        <v>130750</v>
      </c>
      <c r="D864" s="73">
        <v>9.8000000000000007</v>
      </c>
      <c r="F864" s="72">
        <v>30513</v>
      </c>
      <c r="G864" s="2">
        <v>3216000</v>
      </c>
      <c r="H864" s="2">
        <v>396000</v>
      </c>
    </row>
    <row r="865" spans="1:8" x14ac:dyDescent="0.2">
      <c r="A865" s="72">
        <v>40513</v>
      </c>
      <c r="B865" s="73">
        <v>64.3</v>
      </c>
      <c r="C865" s="2">
        <v>130822</v>
      </c>
      <c r="D865" s="73">
        <v>9.3000000000000007</v>
      </c>
      <c r="F865" s="72">
        <v>30520</v>
      </c>
      <c r="G865" s="2">
        <v>3155000</v>
      </c>
      <c r="H865" s="2">
        <v>395000</v>
      </c>
    </row>
    <row r="866" spans="1:8" x14ac:dyDescent="0.2">
      <c r="A866" s="72">
        <v>40544</v>
      </c>
      <c r="B866" s="73">
        <v>64.2</v>
      </c>
      <c r="C866" s="2">
        <v>130841</v>
      </c>
      <c r="D866" s="73">
        <v>9.1</v>
      </c>
      <c r="F866" s="72">
        <v>30527</v>
      </c>
      <c r="G866" s="2">
        <v>3112000</v>
      </c>
      <c r="H866" s="2">
        <v>415000</v>
      </c>
    </row>
    <row r="867" spans="1:8" x14ac:dyDescent="0.2">
      <c r="A867" s="72">
        <v>40575</v>
      </c>
      <c r="B867" s="73">
        <v>64.099999999999994</v>
      </c>
      <c r="C867" s="2">
        <v>131053</v>
      </c>
      <c r="D867" s="73">
        <v>9</v>
      </c>
      <c r="F867" s="72">
        <v>30534</v>
      </c>
      <c r="G867" s="2">
        <v>3106000</v>
      </c>
      <c r="H867" s="2">
        <v>415000</v>
      </c>
    </row>
    <row r="868" spans="1:8" x14ac:dyDescent="0.2">
      <c r="A868" s="72">
        <v>40603</v>
      </c>
      <c r="B868" s="73">
        <v>64.2</v>
      </c>
      <c r="C868" s="2">
        <v>131288</v>
      </c>
      <c r="D868" s="73">
        <v>9</v>
      </c>
      <c r="F868" s="72">
        <v>30541</v>
      </c>
      <c r="G868" s="2">
        <v>3107000</v>
      </c>
      <c r="H868" s="2">
        <v>457000</v>
      </c>
    </row>
    <row r="869" spans="1:8" x14ac:dyDescent="0.2">
      <c r="A869" s="72">
        <v>40634</v>
      </c>
      <c r="B869" s="73">
        <v>64.2</v>
      </c>
      <c r="C869" s="2">
        <v>131602</v>
      </c>
      <c r="D869" s="73">
        <v>9.1</v>
      </c>
      <c r="F869" s="72">
        <v>30548</v>
      </c>
      <c r="G869" s="2">
        <v>3131000</v>
      </c>
      <c r="H869" s="2">
        <v>445000</v>
      </c>
    </row>
    <row r="870" spans="1:8" x14ac:dyDescent="0.2">
      <c r="A870" s="72">
        <v>40664</v>
      </c>
      <c r="B870" s="73">
        <v>64.099999999999994</v>
      </c>
      <c r="C870" s="2">
        <v>131703</v>
      </c>
      <c r="D870" s="73">
        <v>9</v>
      </c>
      <c r="F870" s="72">
        <v>30555</v>
      </c>
      <c r="G870" s="2">
        <v>3079000</v>
      </c>
      <c r="H870" s="2">
        <v>426000</v>
      </c>
    </row>
    <row r="871" spans="1:8" x14ac:dyDescent="0.2">
      <c r="A871" s="72">
        <v>40695</v>
      </c>
      <c r="B871" s="73">
        <v>64</v>
      </c>
      <c r="C871" s="2">
        <v>131939</v>
      </c>
      <c r="D871" s="73">
        <v>9.1</v>
      </c>
      <c r="F871" s="72">
        <v>30562</v>
      </c>
      <c r="G871" s="2">
        <v>3055000</v>
      </c>
      <c r="H871" s="2">
        <v>411000</v>
      </c>
    </row>
    <row r="872" spans="1:8" x14ac:dyDescent="0.2">
      <c r="A872" s="72">
        <v>40725</v>
      </c>
      <c r="B872" s="73">
        <v>64</v>
      </c>
      <c r="C872" s="2">
        <v>131999</v>
      </c>
      <c r="D872" s="73">
        <v>9</v>
      </c>
      <c r="F872" s="72">
        <v>30569</v>
      </c>
      <c r="G872" s="2">
        <v>3007000</v>
      </c>
      <c r="H872" s="2">
        <v>403000</v>
      </c>
    </row>
    <row r="873" spans="1:8" x14ac:dyDescent="0.2">
      <c r="A873" s="72">
        <v>40756</v>
      </c>
      <c r="B873" s="73">
        <v>64.099999999999994</v>
      </c>
      <c r="C873" s="2">
        <v>132125</v>
      </c>
      <c r="D873" s="73">
        <v>9</v>
      </c>
      <c r="F873" s="72">
        <v>30576</v>
      </c>
      <c r="G873" s="2">
        <v>2993000</v>
      </c>
      <c r="H873" s="2">
        <v>405000</v>
      </c>
    </row>
    <row r="874" spans="1:8" x14ac:dyDescent="0.2">
      <c r="A874" s="72">
        <v>40787</v>
      </c>
      <c r="B874" s="73">
        <v>64.2</v>
      </c>
      <c r="C874" s="2">
        <v>132358</v>
      </c>
      <c r="D874" s="73">
        <v>9</v>
      </c>
      <c r="F874" s="72">
        <v>30583</v>
      </c>
      <c r="G874" s="2">
        <v>2973000</v>
      </c>
      <c r="H874" s="2">
        <v>416000</v>
      </c>
    </row>
    <row r="875" spans="1:8" x14ac:dyDescent="0.2">
      <c r="A875" s="72">
        <v>40817</v>
      </c>
      <c r="B875" s="73">
        <v>64.099999999999994</v>
      </c>
      <c r="C875" s="2">
        <v>132562</v>
      </c>
      <c r="D875" s="73">
        <v>8.8000000000000007</v>
      </c>
      <c r="F875" s="72">
        <v>30590</v>
      </c>
      <c r="G875" s="2">
        <v>2926000</v>
      </c>
      <c r="H875" s="2">
        <v>413000</v>
      </c>
    </row>
    <row r="876" spans="1:8" x14ac:dyDescent="0.2">
      <c r="A876" s="72">
        <v>40848</v>
      </c>
      <c r="B876" s="73">
        <v>64.099999999999994</v>
      </c>
      <c r="C876" s="2">
        <v>132694</v>
      </c>
      <c r="D876" s="73">
        <v>8.6</v>
      </c>
      <c r="F876" s="72">
        <v>30597</v>
      </c>
      <c r="G876" s="2">
        <v>2929000</v>
      </c>
      <c r="H876" s="2">
        <v>406000</v>
      </c>
    </row>
    <row r="877" spans="1:8" x14ac:dyDescent="0.2">
      <c r="A877" s="72">
        <v>40878</v>
      </c>
      <c r="B877" s="73">
        <v>64</v>
      </c>
      <c r="C877" s="2">
        <v>132896</v>
      </c>
      <c r="D877" s="73">
        <v>8.5</v>
      </c>
      <c r="F877" s="72">
        <v>30604</v>
      </c>
      <c r="G877" s="2">
        <v>2913000</v>
      </c>
      <c r="H877" s="2">
        <v>394000</v>
      </c>
    </row>
    <row r="878" spans="1:8" x14ac:dyDescent="0.2">
      <c r="A878" s="72">
        <v>40909</v>
      </c>
      <c r="B878" s="73">
        <v>63.7</v>
      </c>
      <c r="C878" s="2">
        <v>133250</v>
      </c>
      <c r="D878" s="73">
        <v>8.3000000000000007</v>
      </c>
      <c r="F878" s="72">
        <v>30611</v>
      </c>
      <c r="G878" s="2">
        <v>2886000</v>
      </c>
      <c r="H878" s="2">
        <v>394000</v>
      </c>
    </row>
    <row r="879" spans="1:8" x14ac:dyDescent="0.2">
      <c r="A879" s="72">
        <v>40940</v>
      </c>
      <c r="B879" s="73">
        <v>63.8</v>
      </c>
      <c r="C879" s="2">
        <v>133512</v>
      </c>
      <c r="D879" s="73">
        <v>8.3000000000000007</v>
      </c>
      <c r="F879" s="72">
        <v>30618</v>
      </c>
      <c r="G879" s="2">
        <v>2860000</v>
      </c>
      <c r="H879" s="2">
        <v>404000</v>
      </c>
    </row>
    <row r="880" spans="1:8" x14ac:dyDescent="0.2">
      <c r="A880" s="72">
        <v>40969</v>
      </c>
      <c r="B880" s="73">
        <v>63.8</v>
      </c>
      <c r="C880" s="2">
        <v>133752</v>
      </c>
      <c r="D880" s="73">
        <v>8.1999999999999993</v>
      </c>
      <c r="F880" s="72">
        <v>30625</v>
      </c>
      <c r="G880" s="2">
        <v>2750000</v>
      </c>
      <c r="H880" s="2">
        <v>395000</v>
      </c>
    </row>
    <row r="881" spans="1:8" x14ac:dyDescent="0.2">
      <c r="A881" s="72">
        <v>41000</v>
      </c>
      <c r="B881" s="73">
        <v>63.7</v>
      </c>
      <c r="C881" s="2">
        <v>133834</v>
      </c>
      <c r="D881" s="73">
        <v>8.1999999999999993</v>
      </c>
      <c r="F881" s="72">
        <v>30632</v>
      </c>
      <c r="G881" s="2">
        <v>2789000</v>
      </c>
      <c r="H881" s="2">
        <v>390000</v>
      </c>
    </row>
    <row r="882" spans="1:8" x14ac:dyDescent="0.2">
      <c r="A882" s="72">
        <v>41030</v>
      </c>
      <c r="B882" s="73">
        <v>63.7</v>
      </c>
      <c r="C882" s="2">
        <v>133934</v>
      </c>
      <c r="D882" s="73">
        <v>8.1999999999999993</v>
      </c>
      <c r="F882" s="72">
        <v>30639</v>
      </c>
      <c r="G882" s="2">
        <v>2879000</v>
      </c>
      <c r="H882" s="2">
        <v>387000</v>
      </c>
    </row>
    <row r="883" spans="1:8" x14ac:dyDescent="0.2">
      <c r="A883" s="72">
        <v>41061</v>
      </c>
      <c r="B883" s="73">
        <v>63.8</v>
      </c>
      <c r="C883" s="2">
        <v>134007</v>
      </c>
      <c r="D883" s="73">
        <v>8.1999999999999993</v>
      </c>
      <c r="F883" s="72">
        <v>30646</v>
      </c>
      <c r="G883" s="2">
        <v>2733000</v>
      </c>
      <c r="H883" s="2">
        <v>398000</v>
      </c>
    </row>
    <row r="884" spans="1:8" x14ac:dyDescent="0.2">
      <c r="A884" s="72">
        <v>41091</v>
      </c>
      <c r="B884" s="73">
        <v>63.7</v>
      </c>
      <c r="C884" s="2">
        <v>134159</v>
      </c>
      <c r="D884" s="73">
        <v>8.1999999999999993</v>
      </c>
      <c r="F884" s="72">
        <v>30653</v>
      </c>
      <c r="G884" s="2">
        <v>2737000</v>
      </c>
      <c r="H884" s="2">
        <v>365000</v>
      </c>
    </row>
    <row r="885" spans="1:8" x14ac:dyDescent="0.2">
      <c r="A885" s="72">
        <v>41122</v>
      </c>
      <c r="B885" s="73">
        <v>63.5</v>
      </c>
      <c r="C885" s="2">
        <v>134331</v>
      </c>
      <c r="D885" s="73">
        <v>8.1</v>
      </c>
      <c r="F885" s="72">
        <v>30660</v>
      </c>
      <c r="G885" s="2">
        <v>2666000</v>
      </c>
      <c r="H885" s="2">
        <v>368000</v>
      </c>
    </row>
    <row r="886" spans="1:8" x14ac:dyDescent="0.2">
      <c r="A886" s="72">
        <v>41153</v>
      </c>
      <c r="B886" s="73">
        <v>63.6</v>
      </c>
      <c r="C886" s="2">
        <v>134518</v>
      </c>
      <c r="D886" s="73">
        <v>7.8</v>
      </c>
      <c r="F886" s="72">
        <v>30667</v>
      </c>
      <c r="G886" s="2">
        <v>2796000</v>
      </c>
      <c r="H886" s="2">
        <v>362000</v>
      </c>
    </row>
    <row r="887" spans="1:8" x14ac:dyDescent="0.2">
      <c r="A887" s="72">
        <v>41183</v>
      </c>
      <c r="B887" s="73">
        <v>63.8</v>
      </c>
      <c r="C887" s="2">
        <v>134677</v>
      </c>
      <c r="D887" s="73">
        <v>7.8</v>
      </c>
      <c r="F887" s="72">
        <v>30674</v>
      </c>
      <c r="G887" s="2">
        <v>2718000</v>
      </c>
      <c r="H887" s="2">
        <v>377000</v>
      </c>
    </row>
    <row r="888" spans="1:8" x14ac:dyDescent="0.2">
      <c r="A888" s="72">
        <v>41214</v>
      </c>
      <c r="B888" s="73">
        <v>63.6</v>
      </c>
      <c r="C888" s="2">
        <v>134833</v>
      </c>
      <c r="D888" s="73">
        <v>7.7</v>
      </c>
      <c r="F888" s="72">
        <v>30681</v>
      </c>
      <c r="G888" s="2">
        <v>2644000</v>
      </c>
      <c r="H888" s="2">
        <v>372000</v>
      </c>
    </row>
    <row r="889" spans="1:8" x14ac:dyDescent="0.2">
      <c r="A889" s="72">
        <v>41244</v>
      </c>
      <c r="B889" s="73">
        <v>63.7</v>
      </c>
      <c r="C889" s="2">
        <v>135072</v>
      </c>
      <c r="D889" s="73">
        <v>7.9</v>
      </c>
      <c r="F889" s="72">
        <v>30688</v>
      </c>
      <c r="G889" s="2">
        <v>2588000</v>
      </c>
      <c r="H889" s="2">
        <v>356000</v>
      </c>
    </row>
    <row r="890" spans="1:8" x14ac:dyDescent="0.2">
      <c r="A890" s="72">
        <v>41275</v>
      </c>
      <c r="B890" s="73">
        <v>63.7</v>
      </c>
      <c r="C890" s="2">
        <v>135263</v>
      </c>
      <c r="D890" s="73">
        <v>8</v>
      </c>
      <c r="F890" s="72">
        <v>30695</v>
      </c>
      <c r="G890" s="2">
        <v>2522000</v>
      </c>
      <c r="H890" s="2">
        <v>351000</v>
      </c>
    </row>
    <row r="891" spans="1:8" x14ac:dyDescent="0.2">
      <c r="A891" s="72">
        <v>41306</v>
      </c>
      <c r="B891" s="73">
        <v>63.4</v>
      </c>
      <c r="C891" s="2">
        <v>135541</v>
      </c>
      <c r="D891" s="73">
        <v>7.7</v>
      </c>
      <c r="F891" s="72">
        <v>30702</v>
      </c>
      <c r="G891" s="2">
        <v>2531000</v>
      </c>
      <c r="H891" s="2">
        <v>333000</v>
      </c>
    </row>
    <row r="892" spans="1:8" x14ac:dyDescent="0.2">
      <c r="A892" s="72">
        <v>41334</v>
      </c>
      <c r="B892" s="73">
        <v>63.3</v>
      </c>
      <c r="C892" s="2">
        <v>135680</v>
      </c>
      <c r="D892" s="73">
        <v>7.5</v>
      </c>
      <c r="F892" s="72">
        <v>30709</v>
      </c>
      <c r="G892" s="2">
        <v>2556000</v>
      </c>
      <c r="H892" s="2">
        <v>364000</v>
      </c>
    </row>
    <row r="893" spans="1:8" x14ac:dyDescent="0.2">
      <c r="A893" s="72">
        <v>41365</v>
      </c>
      <c r="B893" s="73">
        <v>63.4</v>
      </c>
      <c r="C893" s="2">
        <v>135871</v>
      </c>
      <c r="D893" s="73">
        <v>7.6</v>
      </c>
      <c r="F893" s="72">
        <v>30716</v>
      </c>
      <c r="G893" s="2">
        <v>2531000</v>
      </c>
      <c r="H893" s="2">
        <v>342000</v>
      </c>
    </row>
    <row r="894" spans="1:8" x14ac:dyDescent="0.2">
      <c r="A894" s="72">
        <v>41395</v>
      </c>
      <c r="B894" s="73">
        <v>63.4</v>
      </c>
      <c r="C894" s="2">
        <v>136093</v>
      </c>
      <c r="D894" s="73">
        <v>7.5</v>
      </c>
      <c r="F894" s="72">
        <v>30723</v>
      </c>
      <c r="G894" s="2">
        <v>2453000</v>
      </c>
      <c r="H894" s="2">
        <v>338000</v>
      </c>
    </row>
    <row r="895" spans="1:8" x14ac:dyDescent="0.2">
      <c r="A895" s="72">
        <v>41426</v>
      </c>
      <c r="B895" s="73">
        <v>63.4</v>
      </c>
      <c r="C895" s="2">
        <v>136274</v>
      </c>
      <c r="D895" s="73">
        <v>7.5</v>
      </c>
      <c r="F895" s="72">
        <v>30730</v>
      </c>
      <c r="G895" s="2">
        <v>2425000</v>
      </c>
      <c r="H895" s="2">
        <v>334000</v>
      </c>
    </row>
    <row r="896" spans="1:8" x14ac:dyDescent="0.2">
      <c r="A896" s="72">
        <v>41456</v>
      </c>
      <c r="B896" s="73">
        <v>63.3</v>
      </c>
      <c r="C896" s="2">
        <v>136386</v>
      </c>
      <c r="D896" s="73">
        <v>7.3</v>
      </c>
      <c r="F896" s="72">
        <v>30737</v>
      </c>
      <c r="G896" s="2">
        <v>2469000</v>
      </c>
      <c r="H896" s="2">
        <v>343000</v>
      </c>
    </row>
    <row r="897" spans="1:8" x14ac:dyDescent="0.2">
      <c r="A897" s="72">
        <v>41487</v>
      </c>
      <c r="B897" s="73">
        <v>63.3</v>
      </c>
      <c r="C897" s="2">
        <v>136628</v>
      </c>
      <c r="D897" s="73">
        <v>7.2</v>
      </c>
      <c r="F897" s="72">
        <v>30744</v>
      </c>
      <c r="G897" s="2">
        <v>2441000</v>
      </c>
      <c r="H897" s="2">
        <v>347000</v>
      </c>
    </row>
    <row r="898" spans="1:8" x14ac:dyDescent="0.2">
      <c r="A898" s="72">
        <v>41518</v>
      </c>
      <c r="B898" s="73">
        <v>63.2</v>
      </c>
      <c r="C898" s="2">
        <v>136815</v>
      </c>
      <c r="D898" s="73">
        <v>7.2</v>
      </c>
      <c r="F898" s="72">
        <v>30751</v>
      </c>
      <c r="G898" s="2">
        <v>2431000</v>
      </c>
      <c r="H898" s="2">
        <v>346000</v>
      </c>
    </row>
    <row r="899" spans="1:8" x14ac:dyDescent="0.2">
      <c r="A899" s="72">
        <v>41548</v>
      </c>
      <c r="B899" s="73">
        <v>62.8</v>
      </c>
      <c r="C899" s="2">
        <v>137040</v>
      </c>
      <c r="D899" s="73">
        <v>7.2</v>
      </c>
      <c r="F899" s="72">
        <v>30758</v>
      </c>
      <c r="G899" s="2">
        <v>2426000</v>
      </c>
      <c r="H899" s="2">
        <v>349000</v>
      </c>
    </row>
    <row r="900" spans="1:8" x14ac:dyDescent="0.2">
      <c r="A900" s="72">
        <v>41579</v>
      </c>
      <c r="B900" s="73">
        <v>63</v>
      </c>
      <c r="C900" s="2">
        <v>137304</v>
      </c>
      <c r="D900" s="73">
        <v>6.9</v>
      </c>
      <c r="F900" s="72">
        <v>30765</v>
      </c>
      <c r="G900" s="2">
        <v>2412000</v>
      </c>
      <c r="H900" s="2">
        <v>346000</v>
      </c>
    </row>
    <row r="901" spans="1:8" x14ac:dyDescent="0.2">
      <c r="A901" s="72">
        <v>41609</v>
      </c>
      <c r="B901" s="73">
        <v>62.9</v>
      </c>
      <c r="C901" s="2">
        <v>137373</v>
      </c>
      <c r="D901" s="73">
        <v>6.7</v>
      </c>
      <c r="F901" s="72">
        <v>30772</v>
      </c>
      <c r="G901" s="2">
        <v>2412000</v>
      </c>
      <c r="H901" s="2">
        <v>341000</v>
      </c>
    </row>
    <row r="902" spans="1:8" x14ac:dyDescent="0.2">
      <c r="A902" s="72">
        <v>41640</v>
      </c>
      <c r="B902" s="73">
        <v>62.9</v>
      </c>
      <c r="C902" s="2">
        <v>137548</v>
      </c>
      <c r="D902" s="73">
        <v>6.6</v>
      </c>
      <c r="F902" s="72">
        <v>30779</v>
      </c>
      <c r="G902" s="2">
        <v>2425000</v>
      </c>
      <c r="H902" s="2">
        <v>381000</v>
      </c>
    </row>
    <row r="903" spans="1:8" x14ac:dyDescent="0.2">
      <c r="A903" s="72">
        <v>41671</v>
      </c>
      <c r="B903" s="73">
        <v>62.9</v>
      </c>
      <c r="C903" s="2">
        <v>137714</v>
      </c>
      <c r="D903" s="73">
        <v>6.7</v>
      </c>
      <c r="F903" s="72">
        <v>30786</v>
      </c>
      <c r="G903" s="2">
        <v>2396000</v>
      </c>
      <c r="H903" s="2">
        <v>357000</v>
      </c>
    </row>
    <row r="904" spans="1:8" x14ac:dyDescent="0.2">
      <c r="A904" s="72">
        <v>41699</v>
      </c>
      <c r="B904" s="73">
        <v>63.1</v>
      </c>
      <c r="C904" s="2">
        <v>137968</v>
      </c>
      <c r="D904" s="73">
        <v>6.7</v>
      </c>
      <c r="F904" s="72">
        <v>30793</v>
      </c>
      <c r="G904" s="2">
        <v>2433000</v>
      </c>
      <c r="H904" s="2">
        <v>364000</v>
      </c>
    </row>
    <row r="905" spans="1:8" x14ac:dyDescent="0.2">
      <c r="A905" s="72">
        <v>41730</v>
      </c>
      <c r="B905" s="73">
        <v>62.8</v>
      </c>
      <c r="C905" s="2">
        <v>138293</v>
      </c>
      <c r="D905" s="73">
        <v>6.2</v>
      </c>
      <c r="F905" s="72">
        <v>30800</v>
      </c>
      <c r="G905" s="2">
        <v>2435000</v>
      </c>
      <c r="H905" s="2">
        <v>375000</v>
      </c>
    </row>
    <row r="906" spans="1:8" x14ac:dyDescent="0.2">
      <c r="A906" s="72">
        <v>41760</v>
      </c>
      <c r="B906" s="73">
        <v>62.9</v>
      </c>
      <c r="C906" s="2">
        <v>138511</v>
      </c>
      <c r="D906" s="73">
        <v>6.3</v>
      </c>
      <c r="F906" s="72">
        <v>30807</v>
      </c>
      <c r="G906" s="2">
        <v>2430000</v>
      </c>
      <c r="H906" s="2">
        <v>365000</v>
      </c>
    </row>
    <row r="907" spans="1:8" x14ac:dyDescent="0.2">
      <c r="A907" s="72">
        <v>41791</v>
      </c>
      <c r="B907" s="73">
        <v>62.8</v>
      </c>
      <c r="C907" s="2">
        <v>138837</v>
      </c>
      <c r="D907" s="73">
        <v>6.1</v>
      </c>
      <c r="F907" s="72">
        <v>30814</v>
      </c>
      <c r="G907" s="2">
        <v>2386000</v>
      </c>
      <c r="H907" s="2">
        <v>368000</v>
      </c>
    </row>
    <row r="908" spans="1:8" x14ac:dyDescent="0.2">
      <c r="A908" s="72">
        <v>41821</v>
      </c>
      <c r="B908" s="73">
        <v>62.9</v>
      </c>
      <c r="C908" s="2">
        <v>139069</v>
      </c>
      <c r="D908" s="73">
        <v>6.2</v>
      </c>
      <c r="F908" s="72">
        <v>30821</v>
      </c>
      <c r="G908" s="2">
        <v>2401000</v>
      </c>
      <c r="H908" s="2">
        <v>354000</v>
      </c>
    </row>
    <row r="909" spans="1:8" x14ac:dyDescent="0.2">
      <c r="A909" s="72">
        <v>41852</v>
      </c>
      <c r="B909" s="73">
        <v>62.9</v>
      </c>
      <c r="C909" s="2">
        <v>139257</v>
      </c>
      <c r="D909" s="73">
        <v>6.1</v>
      </c>
      <c r="F909" s="72">
        <v>30828</v>
      </c>
      <c r="G909" s="2">
        <v>2323000</v>
      </c>
      <c r="H909" s="2">
        <v>354000</v>
      </c>
    </row>
    <row r="910" spans="1:8" x14ac:dyDescent="0.2">
      <c r="A910" s="72">
        <v>41883</v>
      </c>
      <c r="B910" s="73">
        <v>62.8</v>
      </c>
      <c r="C910" s="2">
        <v>139566</v>
      </c>
      <c r="D910" s="73">
        <v>5.9</v>
      </c>
      <c r="F910" s="72">
        <v>30835</v>
      </c>
      <c r="G910" s="2">
        <v>2379000</v>
      </c>
      <c r="H910" s="2">
        <v>355000</v>
      </c>
    </row>
    <row r="911" spans="1:8" x14ac:dyDescent="0.2">
      <c r="A911" s="72">
        <v>41913</v>
      </c>
      <c r="B911" s="73">
        <v>62.9</v>
      </c>
      <c r="C911" s="2">
        <v>139818</v>
      </c>
      <c r="D911" s="73">
        <v>5.7</v>
      </c>
      <c r="F911" s="72">
        <v>30842</v>
      </c>
      <c r="G911" s="2">
        <v>2391000</v>
      </c>
      <c r="H911" s="2">
        <v>369000</v>
      </c>
    </row>
    <row r="912" spans="1:8" x14ac:dyDescent="0.2">
      <c r="A912" s="72">
        <v>41944</v>
      </c>
      <c r="B912" s="73">
        <v>62.9</v>
      </c>
      <c r="C912" s="2">
        <v>140109</v>
      </c>
      <c r="D912" s="73">
        <v>5.8</v>
      </c>
      <c r="F912" s="72">
        <v>30849</v>
      </c>
      <c r="G912" s="2">
        <v>2364000</v>
      </c>
      <c r="H912" s="2">
        <v>361000</v>
      </c>
    </row>
    <row r="913" spans="1:8" x14ac:dyDescent="0.2">
      <c r="A913" s="72">
        <v>41974</v>
      </c>
      <c r="B913" s="73">
        <v>62.8</v>
      </c>
      <c r="C913" s="2">
        <v>140377</v>
      </c>
      <c r="D913" s="73">
        <v>5.6</v>
      </c>
      <c r="F913" s="72">
        <v>30856</v>
      </c>
      <c r="G913" s="2">
        <v>2339000</v>
      </c>
      <c r="H913" s="2">
        <v>362000</v>
      </c>
    </row>
    <row r="914" spans="1:8" x14ac:dyDescent="0.2">
      <c r="A914" s="72">
        <v>42005</v>
      </c>
      <c r="B914" s="73">
        <v>62.9</v>
      </c>
      <c r="C914" s="2">
        <v>140568</v>
      </c>
      <c r="D914" s="73">
        <v>5.7</v>
      </c>
      <c r="F914" s="72">
        <v>30863</v>
      </c>
      <c r="G914" s="2">
        <v>2329000</v>
      </c>
      <c r="H914" s="2">
        <v>360000</v>
      </c>
    </row>
    <row r="915" spans="1:8" x14ac:dyDescent="0.2">
      <c r="A915" s="72">
        <v>42036</v>
      </c>
      <c r="B915" s="73">
        <v>62.7</v>
      </c>
      <c r="C915" s="2">
        <v>140839</v>
      </c>
      <c r="D915" s="73">
        <v>5.5</v>
      </c>
      <c r="F915" s="72">
        <v>30870</v>
      </c>
      <c r="G915" s="2">
        <v>2375000</v>
      </c>
      <c r="H915" s="2">
        <v>366000</v>
      </c>
    </row>
    <row r="916" spans="1:8" x14ac:dyDescent="0.2">
      <c r="A916" s="72">
        <v>42064</v>
      </c>
      <c r="B916" s="73">
        <v>62.6</v>
      </c>
      <c r="C916" s="2">
        <v>140910</v>
      </c>
      <c r="D916" s="73">
        <v>5.4</v>
      </c>
      <c r="F916" s="72">
        <v>30877</v>
      </c>
      <c r="G916" s="2">
        <v>2371000</v>
      </c>
      <c r="H916" s="2">
        <v>360000</v>
      </c>
    </row>
    <row r="917" spans="1:8" x14ac:dyDescent="0.2">
      <c r="A917" s="72">
        <v>42095</v>
      </c>
      <c r="B917" s="73">
        <v>62.8</v>
      </c>
      <c r="C917" s="2">
        <v>141194</v>
      </c>
      <c r="D917" s="73">
        <v>5.4</v>
      </c>
      <c r="F917" s="72">
        <v>30884</v>
      </c>
      <c r="G917" s="2">
        <v>2337000</v>
      </c>
      <c r="H917" s="2">
        <v>357000</v>
      </c>
    </row>
    <row r="918" spans="1:8" x14ac:dyDescent="0.2">
      <c r="A918" s="72">
        <v>42125</v>
      </c>
      <c r="B918" s="73">
        <v>62.9</v>
      </c>
      <c r="C918" s="2">
        <v>141525</v>
      </c>
      <c r="D918" s="73">
        <v>5.6</v>
      </c>
      <c r="F918" s="72">
        <v>30891</v>
      </c>
      <c r="G918" s="2">
        <v>2329000</v>
      </c>
      <c r="H918" s="2">
        <v>359000</v>
      </c>
    </row>
    <row r="919" spans="1:8" x14ac:dyDescent="0.2">
      <c r="A919" s="72">
        <v>42156</v>
      </c>
      <c r="B919" s="73">
        <v>62.7</v>
      </c>
      <c r="C919" s="2">
        <v>141699</v>
      </c>
      <c r="D919" s="73">
        <v>5.3</v>
      </c>
      <c r="F919" s="72">
        <v>30898</v>
      </c>
      <c r="G919" s="2">
        <v>2332000</v>
      </c>
      <c r="H919" s="2">
        <v>382000</v>
      </c>
    </row>
    <row r="920" spans="1:8" x14ac:dyDescent="0.2">
      <c r="A920" s="72">
        <v>42186</v>
      </c>
      <c r="B920" s="73">
        <v>62.6</v>
      </c>
      <c r="C920" s="2">
        <v>142001</v>
      </c>
      <c r="D920" s="73">
        <v>5.2</v>
      </c>
      <c r="F920" s="72">
        <v>30905</v>
      </c>
      <c r="G920" s="2">
        <v>2390000</v>
      </c>
      <c r="H920" s="2">
        <v>380000</v>
      </c>
    </row>
    <row r="921" spans="1:8" x14ac:dyDescent="0.2">
      <c r="A921" s="72">
        <v>42217</v>
      </c>
      <c r="B921" s="73">
        <v>62.6</v>
      </c>
      <c r="C921" s="2">
        <v>142126</v>
      </c>
      <c r="D921" s="73">
        <v>5.0999999999999996</v>
      </c>
      <c r="F921" s="72">
        <v>30912</v>
      </c>
      <c r="G921" s="2">
        <v>2416000</v>
      </c>
      <c r="H921" s="2">
        <v>401000</v>
      </c>
    </row>
    <row r="922" spans="1:8" x14ac:dyDescent="0.2">
      <c r="A922" s="72">
        <v>42248</v>
      </c>
      <c r="B922" s="73">
        <v>62.4</v>
      </c>
      <c r="C922" s="2">
        <v>142281</v>
      </c>
      <c r="D922" s="73">
        <v>5</v>
      </c>
      <c r="F922" s="72">
        <v>30919</v>
      </c>
      <c r="G922" s="2">
        <v>2405000</v>
      </c>
      <c r="H922" s="2">
        <v>395000</v>
      </c>
    </row>
    <row r="923" spans="1:8" x14ac:dyDescent="0.2">
      <c r="A923" s="72">
        <v>42278</v>
      </c>
      <c r="B923" s="73">
        <v>62.5</v>
      </c>
      <c r="C923" s="2">
        <v>142587</v>
      </c>
      <c r="D923" s="73">
        <v>5</v>
      </c>
      <c r="F923" s="72">
        <v>30926</v>
      </c>
      <c r="G923" s="2">
        <v>2410000</v>
      </c>
      <c r="H923" s="2">
        <v>385000</v>
      </c>
    </row>
    <row r="924" spans="1:8" x14ac:dyDescent="0.2">
      <c r="A924" s="72">
        <v>42309</v>
      </c>
      <c r="B924" s="73">
        <v>62.5</v>
      </c>
      <c r="C924" s="2">
        <v>142824</v>
      </c>
      <c r="D924" s="73">
        <v>5.0999999999999996</v>
      </c>
      <c r="F924" s="72">
        <v>30933</v>
      </c>
      <c r="G924" s="2">
        <v>2435000</v>
      </c>
      <c r="H924" s="2">
        <v>402000</v>
      </c>
    </row>
    <row r="925" spans="1:8" x14ac:dyDescent="0.2">
      <c r="A925" s="72">
        <v>42339</v>
      </c>
      <c r="B925" s="73">
        <v>62.7</v>
      </c>
      <c r="C925" s="2">
        <v>143097</v>
      </c>
      <c r="D925" s="73">
        <v>5</v>
      </c>
      <c r="F925" s="72">
        <v>30940</v>
      </c>
      <c r="G925" s="2">
        <v>2434000</v>
      </c>
      <c r="H925" s="2">
        <v>393000</v>
      </c>
    </row>
    <row r="926" spans="1:8" x14ac:dyDescent="0.2">
      <c r="A926" s="72">
        <v>42370</v>
      </c>
      <c r="B926" s="73">
        <v>62.7</v>
      </c>
      <c r="C926" s="2">
        <v>143205</v>
      </c>
      <c r="D926" s="73">
        <v>4.8</v>
      </c>
      <c r="F926" s="72">
        <v>30947</v>
      </c>
      <c r="G926" s="2">
        <v>2421000</v>
      </c>
      <c r="H926" s="2">
        <v>395000</v>
      </c>
    </row>
    <row r="927" spans="1:8" x14ac:dyDescent="0.2">
      <c r="A927" s="72">
        <v>42401</v>
      </c>
      <c r="B927" s="73">
        <v>62.8</v>
      </c>
      <c r="C927" s="2">
        <v>143417</v>
      </c>
      <c r="D927" s="73">
        <v>4.9000000000000004</v>
      </c>
      <c r="F927" s="72">
        <v>30954</v>
      </c>
      <c r="G927" s="2">
        <v>2474000</v>
      </c>
      <c r="H927" s="2">
        <v>402000</v>
      </c>
    </row>
    <row r="928" spans="1:8" x14ac:dyDescent="0.2">
      <c r="A928" s="72">
        <v>42430</v>
      </c>
      <c r="B928" s="73">
        <v>63</v>
      </c>
      <c r="C928" s="2">
        <v>143654</v>
      </c>
      <c r="D928" s="73">
        <v>5</v>
      </c>
      <c r="F928" s="72">
        <v>30961</v>
      </c>
      <c r="G928" s="2">
        <v>2455000</v>
      </c>
      <c r="H928" s="2">
        <v>403000</v>
      </c>
    </row>
    <row r="929" spans="1:8" x14ac:dyDescent="0.2">
      <c r="A929" s="72">
        <v>42461</v>
      </c>
      <c r="B929" s="73">
        <v>62.9</v>
      </c>
      <c r="C929" s="2">
        <v>143851</v>
      </c>
      <c r="D929" s="73">
        <v>5.0999999999999996</v>
      </c>
      <c r="F929" s="72">
        <v>30968</v>
      </c>
      <c r="G929" s="2">
        <v>2538000</v>
      </c>
      <c r="H929" s="2">
        <v>410000</v>
      </c>
    </row>
    <row r="930" spans="1:8" x14ac:dyDescent="0.2">
      <c r="A930" s="72">
        <v>42491</v>
      </c>
      <c r="B930" s="73">
        <v>62.7</v>
      </c>
      <c r="C930" s="2">
        <v>143892</v>
      </c>
      <c r="D930" s="73">
        <v>4.8</v>
      </c>
      <c r="F930" s="72">
        <v>30975</v>
      </c>
      <c r="G930" s="2">
        <v>2529000</v>
      </c>
      <c r="H930" s="2">
        <v>439000</v>
      </c>
    </row>
    <row r="931" spans="1:8" x14ac:dyDescent="0.2">
      <c r="A931" s="72">
        <v>42522</v>
      </c>
      <c r="B931" s="73">
        <v>62.7</v>
      </c>
      <c r="C931" s="2">
        <v>144150</v>
      </c>
      <c r="D931" s="73">
        <v>4.9000000000000004</v>
      </c>
      <c r="F931" s="72">
        <v>30982</v>
      </c>
      <c r="G931" s="2">
        <v>2574000</v>
      </c>
      <c r="H931" s="2">
        <v>425000</v>
      </c>
    </row>
    <row r="932" spans="1:8" x14ac:dyDescent="0.2">
      <c r="A932" s="72">
        <v>42552</v>
      </c>
      <c r="B932" s="73">
        <v>62.8</v>
      </c>
      <c r="C932" s="2">
        <v>144521</v>
      </c>
      <c r="D932" s="73">
        <v>4.8</v>
      </c>
      <c r="F932" s="72">
        <v>30989</v>
      </c>
      <c r="G932" s="2">
        <v>2578000</v>
      </c>
      <c r="H932" s="2">
        <v>423000</v>
      </c>
    </row>
    <row r="933" spans="1:8" x14ac:dyDescent="0.2">
      <c r="A933" s="72">
        <v>42583</v>
      </c>
      <c r="B933" s="73">
        <v>62.9</v>
      </c>
      <c r="C933" s="2">
        <v>144664</v>
      </c>
      <c r="D933" s="73">
        <v>4.9000000000000004</v>
      </c>
      <c r="F933" s="72">
        <v>30996</v>
      </c>
      <c r="G933" s="2">
        <v>2545000</v>
      </c>
      <c r="H933" s="2">
        <v>393000</v>
      </c>
    </row>
    <row r="934" spans="1:8" x14ac:dyDescent="0.2">
      <c r="A934" s="72">
        <v>42614</v>
      </c>
      <c r="B934" s="73">
        <v>62.9</v>
      </c>
      <c r="C934" s="2">
        <v>144953</v>
      </c>
      <c r="D934" s="73">
        <v>5</v>
      </c>
      <c r="F934" s="72">
        <v>31003</v>
      </c>
      <c r="G934" s="2">
        <v>2645000</v>
      </c>
      <c r="H934" s="2">
        <v>383000</v>
      </c>
    </row>
    <row r="935" spans="1:8" x14ac:dyDescent="0.2">
      <c r="A935" s="72">
        <v>42644</v>
      </c>
      <c r="B935" s="73">
        <v>62.8</v>
      </c>
      <c r="C935" s="2">
        <v>145071</v>
      </c>
      <c r="D935" s="73">
        <v>4.9000000000000004</v>
      </c>
      <c r="F935" s="72">
        <v>31010</v>
      </c>
      <c r="G935" s="2">
        <v>2569000</v>
      </c>
      <c r="H935" s="2">
        <v>429000</v>
      </c>
    </row>
    <row r="936" spans="1:8" x14ac:dyDescent="0.2">
      <c r="A936" s="72">
        <v>42675</v>
      </c>
      <c r="B936" s="73">
        <v>62.7</v>
      </c>
      <c r="C936" s="2">
        <v>145201</v>
      </c>
      <c r="D936" s="73">
        <v>4.7</v>
      </c>
      <c r="F936" s="72">
        <v>31017</v>
      </c>
      <c r="G936" s="2">
        <v>2529000</v>
      </c>
      <c r="H936" s="2">
        <v>401000</v>
      </c>
    </row>
    <row r="937" spans="1:8" x14ac:dyDescent="0.2">
      <c r="A937" s="72">
        <v>42705</v>
      </c>
      <c r="B937" s="73">
        <v>62.7</v>
      </c>
      <c r="C937" s="2">
        <v>145415</v>
      </c>
      <c r="D937" s="73">
        <v>4.7</v>
      </c>
      <c r="F937" s="72">
        <v>31024</v>
      </c>
      <c r="G937" s="2">
        <v>2589000</v>
      </c>
      <c r="H937" s="2">
        <v>383000</v>
      </c>
    </row>
    <row r="938" spans="1:8" x14ac:dyDescent="0.2">
      <c r="A938" s="72">
        <v>42736</v>
      </c>
      <c r="B938" s="73">
        <v>62.8</v>
      </c>
      <c r="C938" s="2">
        <v>145612</v>
      </c>
      <c r="D938" s="73">
        <v>4.7</v>
      </c>
      <c r="F938" s="72">
        <v>31031</v>
      </c>
      <c r="G938" s="2">
        <v>2594000</v>
      </c>
      <c r="H938" s="2">
        <v>386000</v>
      </c>
    </row>
    <row r="939" spans="1:8" x14ac:dyDescent="0.2">
      <c r="A939" s="72">
        <v>42767</v>
      </c>
      <c r="B939" s="73">
        <v>62.8</v>
      </c>
      <c r="C939" s="2">
        <v>145795</v>
      </c>
      <c r="D939" s="73">
        <v>4.5999999999999996</v>
      </c>
      <c r="F939" s="72">
        <v>31038</v>
      </c>
      <c r="G939" s="2">
        <v>2487000</v>
      </c>
      <c r="H939" s="2">
        <v>379000</v>
      </c>
    </row>
    <row r="940" spans="1:8" x14ac:dyDescent="0.2">
      <c r="A940" s="72">
        <v>42795</v>
      </c>
      <c r="B940" s="73">
        <v>63</v>
      </c>
      <c r="C940" s="2">
        <v>145934</v>
      </c>
      <c r="D940" s="73">
        <v>4.4000000000000004</v>
      </c>
      <c r="F940" s="72">
        <v>31045</v>
      </c>
      <c r="G940" s="2">
        <v>2536000</v>
      </c>
      <c r="H940" s="2">
        <v>379000</v>
      </c>
    </row>
    <row r="941" spans="1:8" x14ac:dyDescent="0.2">
      <c r="A941" s="72">
        <v>42826</v>
      </c>
      <c r="B941" s="73">
        <v>63</v>
      </c>
      <c r="C941" s="2">
        <v>146154</v>
      </c>
      <c r="D941" s="73">
        <v>4.5</v>
      </c>
      <c r="F941" s="72">
        <v>31052</v>
      </c>
      <c r="G941" s="2">
        <v>2593000</v>
      </c>
      <c r="H941" s="2">
        <v>369000</v>
      </c>
    </row>
    <row r="942" spans="1:8" x14ac:dyDescent="0.2">
      <c r="A942" s="72">
        <v>42856</v>
      </c>
      <c r="B942" s="73">
        <v>62.8</v>
      </c>
      <c r="C942" s="2">
        <v>146295</v>
      </c>
      <c r="D942" s="73">
        <v>4.4000000000000004</v>
      </c>
      <c r="F942" s="72">
        <v>31059</v>
      </c>
      <c r="G942" s="2">
        <v>2543000</v>
      </c>
      <c r="H942" s="2">
        <v>387000</v>
      </c>
    </row>
    <row r="943" spans="1:8" x14ac:dyDescent="0.2">
      <c r="A943" s="72">
        <v>42887</v>
      </c>
      <c r="B943" s="73">
        <v>62.8</v>
      </c>
      <c r="C943" s="2">
        <v>146506</v>
      </c>
      <c r="D943" s="73">
        <v>4.3</v>
      </c>
      <c r="F943" s="72">
        <v>31066</v>
      </c>
      <c r="G943" s="2">
        <v>2472000</v>
      </c>
      <c r="H943" s="2">
        <v>359000</v>
      </c>
    </row>
    <row r="944" spans="1:8" x14ac:dyDescent="0.2">
      <c r="A944" s="72">
        <v>42917</v>
      </c>
      <c r="B944" s="73">
        <v>62.9</v>
      </c>
      <c r="C944" s="2">
        <v>146734</v>
      </c>
      <c r="D944" s="73">
        <v>4.3</v>
      </c>
      <c r="F944" s="72">
        <v>31073</v>
      </c>
      <c r="G944" s="2">
        <v>2601000</v>
      </c>
      <c r="H944" s="2">
        <v>368000</v>
      </c>
    </row>
    <row r="945" spans="1:8" x14ac:dyDescent="0.2">
      <c r="A945" s="72">
        <v>42948</v>
      </c>
      <c r="B945" s="73">
        <v>62.9</v>
      </c>
      <c r="C945" s="2">
        <v>146924</v>
      </c>
      <c r="D945" s="73">
        <v>4.4000000000000004</v>
      </c>
      <c r="F945" s="72">
        <v>31080</v>
      </c>
      <c r="G945" s="2">
        <v>2632000</v>
      </c>
      <c r="H945" s="2">
        <v>386000</v>
      </c>
    </row>
    <row r="946" spans="1:8" x14ac:dyDescent="0.2">
      <c r="A946" s="72">
        <v>42979</v>
      </c>
      <c r="B946" s="73">
        <v>63</v>
      </c>
      <c r="C946" s="2">
        <v>146966</v>
      </c>
      <c r="D946" s="73">
        <v>4.2</v>
      </c>
      <c r="F946" s="72">
        <v>31087</v>
      </c>
      <c r="G946" s="2">
        <v>2608000</v>
      </c>
      <c r="H946" s="2">
        <v>401000</v>
      </c>
    </row>
    <row r="947" spans="1:8" x14ac:dyDescent="0.2">
      <c r="A947" s="72">
        <v>43009</v>
      </c>
      <c r="B947" s="73">
        <v>62.7</v>
      </c>
      <c r="C947" s="2">
        <v>147215</v>
      </c>
      <c r="D947" s="73">
        <v>4.0999999999999996</v>
      </c>
      <c r="F947" s="72">
        <v>31094</v>
      </c>
      <c r="G947" s="2">
        <v>2613000</v>
      </c>
      <c r="H947" s="2">
        <v>390000</v>
      </c>
    </row>
    <row r="948" spans="1:8" x14ac:dyDescent="0.2">
      <c r="A948" s="72">
        <v>43040</v>
      </c>
      <c r="B948" s="73">
        <v>62.7</v>
      </c>
      <c r="C948" s="2">
        <v>147411</v>
      </c>
      <c r="D948" s="73">
        <v>4.2</v>
      </c>
      <c r="F948" s="72">
        <v>31101</v>
      </c>
      <c r="G948" s="2">
        <v>2641000</v>
      </c>
      <c r="H948" s="2">
        <v>390000</v>
      </c>
    </row>
    <row r="949" spans="1:8" x14ac:dyDescent="0.2">
      <c r="A949" s="72">
        <v>43070</v>
      </c>
      <c r="B949" s="73">
        <v>62.7</v>
      </c>
      <c r="C949" s="2">
        <v>147590</v>
      </c>
      <c r="D949" s="73">
        <v>4.0999999999999996</v>
      </c>
      <c r="F949" s="72">
        <v>31108</v>
      </c>
      <c r="G949" s="2">
        <v>2571000</v>
      </c>
      <c r="H949" s="2">
        <v>374000</v>
      </c>
    </row>
    <row r="950" spans="1:8" x14ac:dyDescent="0.2">
      <c r="A950" s="72">
        <v>43101</v>
      </c>
      <c r="B950" s="73">
        <v>62.7</v>
      </c>
      <c r="C950" s="2">
        <v>147671</v>
      </c>
      <c r="D950" s="73">
        <v>4</v>
      </c>
      <c r="F950" s="72">
        <v>31115</v>
      </c>
      <c r="G950" s="2">
        <v>2591000</v>
      </c>
      <c r="H950" s="2">
        <v>385000</v>
      </c>
    </row>
    <row r="951" spans="1:8" x14ac:dyDescent="0.2">
      <c r="A951" s="72">
        <v>43132</v>
      </c>
      <c r="B951" s="73">
        <v>63</v>
      </c>
      <c r="C951" s="2">
        <v>148049</v>
      </c>
      <c r="D951" s="73">
        <v>4.0999999999999996</v>
      </c>
      <c r="F951" s="72">
        <v>31122</v>
      </c>
      <c r="G951" s="2">
        <v>2578000</v>
      </c>
      <c r="H951" s="2">
        <v>386000</v>
      </c>
    </row>
    <row r="952" spans="1:8" x14ac:dyDescent="0.2">
      <c r="A952" s="72">
        <v>43160</v>
      </c>
      <c r="B952" s="73">
        <v>62.9</v>
      </c>
      <c r="C952" s="2">
        <v>148244</v>
      </c>
      <c r="D952" s="73">
        <v>4</v>
      </c>
      <c r="F952" s="72">
        <v>31129</v>
      </c>
      <c r="G952" s="2">
        <v>2556000</v>
      </c>
      <c r="H952" s="2">
        <v>373000</v>
      </c>
    </row>
    <row r="953" spans="1:8" x14ac:dyDescent="0.2">
      <c r="A953" s="72">
        <v>43191</v>
      </c>
      <c r="B953" s="73">
        <v>62.9</v>
      </c>
      <c r="C953" s="2">
        <v>148397</v>
      </c>
      <c r="D953" s="73">
        <v>4</v>
      </c>
      <c r="F953" s="72">
        <v>31136</v>
      </c>
      <c r="G953" s="2">
        <v>2526000</v>
      </c>
      <c r="H953" s="2">
        <v>386000</v>
      </c>
    </row>
    <row r="954" spans="1:8" x14ac:dyDescent="0.2">
      <c r="A954" s="72">
        <v>43221</v>
      </c>
      <c r="B954" s="73">
        <v>62.9</v>
      </c>
      <c r="C954" s="2">
        <v>148667</v>
      </c>
      <c r="D954" s="73">
        <v>3.8</v>
      </c>
      <c r="F954" s="72">
        <v>31143</v>
      </c>
      <c r="G954" s="2">
        <v>2569000</v>
      </c>
      <c r="H954" s="2">
        <v>405000</v>
      </c>
    </row>
    <row r="955" spans="1:8" x14ac:dyDescent="0.2">
      <c r="A955" s="72">
        <v>43252</v>
      </c>
      <c r="B955" s="73">
        <v>63</v>
      </c>
      <c r="C955" s="2">
        <v>148881</v>
      </c>
      <c r="D955" s="73">
        <v>4</v>
      </c>
      <c r="F955" s="72">
        <v>31150</v>
      </c>
      <c r="G955" s="2">
        <v>2600000</v>
      </c>
      <c r="H955" s="2">
        <v>411000</v>
      </c>
    </row>
    <row r="956" spans="1:8" x14ac:dyDescent="0.2">
      <c r="A956" s="72">
        <v>43282</v>
      </c>
      <c r="B956" s="73">
        <v>63</v>
      </c>
      <c r="C956" s="2">
        <v>149030</v>
      </c>
      <c r="D956" s="73">
        <v>3.8</v>
      </c>
      <c r="F956" s="72">
        <v>31157</v>
      </c>
      <c r="G956" s="2">
        <v>2584000</v>
      </c>
      <c r="H956" s="2">
        <v>391000</v>
      </c>
    </row>
    <row r="957" spans="1:8" x14ac:dyDescent="0.2">
      <c r="A957" s="72">
        <v>43313</v>
      </c>
      <c r="B957" s="73">
        <v>62.7</v>
      </c>
      <c r="C957" s="2">
        <v>149259</v>
      </c>
      <c r="D957" s="73">
        <v>3.8</v>
      </c>
      <c r="F957" s="72">
        <v>31164</v>
      </c>
      <c r="G957" s="2">
        <v>2562000</v>
      </c>
      <c r="H957" s="2">
        <v>386000</v>
      </c>
    </row>
    <row r="958" spans="1:8" x14ac:dyDescent="0.2">
      <c r="A958" s="72">
        <v>43344</v>
      </c>
      <c r="B958" s="73">
        <v>62.7</v>
      </c>
      <c r="C958" s="2">
        <v>149364</v>
      </c>
      <c r="D958" s="73">
        <v>3.7</v>
      </c>
      <c r="F958" s="72">
        <v>31171</v>
      </c>
      <c r="G958" s="2">
        <v>2582000</v>
      </c>
      <c r="H958" s="2">
        <v>390000</v>
      </c>
    </row>
    <row r="959" spans="1:8" x14ac:dyDescent="0.2">
      <c r="A959" s="72">
        <v>43374</v>
      </c>
      <c r="B959" s="73">
        <v>62.8</v>
      </c>
      <c r="C959" s="2">
        <v>149576</v>
      </c>
      <c r="D959" s="73">
        <v>3.8</v>
      </c>
      <c r="F959" s="72">
        <v>31178</v>
      </c>
      <c r="G959" s="2">
        <v>2569000</v>
      </c>
      <c r="H959" s="2">
        <v>394000</v>
      </c>
    </row>
    <row r="960" spans="1:8" x14ac:dyDescent="0.2">
      <c r="A960" s="72">
        <v>43405</v>
      </c>
      <c r="B960" s="73">
        <v>62.9</v>
      </c>
      <c r="C960" s="2">
        <v>149668</v>
      </c>
      <c r="D960" s="73">
        <v>3.8</v>
      </c>
      <c r="F960" s="72">
        <v>31185</v>
      </c>
      <c r="G960" s="2">
        <v>2547000</v>
      </c>
      <c r="H960" s="2">
        <v>391000</v>
      </c>
    </row>
    <row r="961" spans="1:8" x14ac:dyDescent="0.2">
      <c r="A961" s="72">
        <v>43435</v>
      </c>
      <c r="B961" s="73">
        <v>63</v>
      </c>
      <c r="C961" s="2">
        <v>149908</v>
      </c>
      <c r="D961" s="73">
        <v>3.9</v>
      </c>
      <c r="F961" s="72">
        <v>31192</v>
      </c>
      <c r="G961" s="2">
        <v>2545000</v>
      </c>
      <c r="H961" s="2">
        <v>396000</v>
      </c>
    </row>
    <row r="962" spans="1:8" x14ac:dyDescent="0.2">
      <c r="A962" s="72">
        <v>43466</v>
      </c>
      <c r="B962" s="73">
        <v>63.1</v>
      </c>
      <c r="C962" s="2">
        <v>150145</v>
      </c>
      <c r="D962" s="73">
        <v>4</v>
      </c>
      <c r="F962" s="72">
        <v>31199</v>
      </c>
      <c r="G962" s="2">
        <v>2591000</v>
      </c>
      <c r="H962" s="2">
        <v>393000</v>
      </c>
    </row>
    <row r="963" spans="1:8" x14ac:dyDescent="0.2">
      <c r="A963" s="72">
        <v>43497</v>
      </c>
      <c r="B963" s="73">
        <v>63.1</v>
      </c>
      <c r="C963" s="2">
        <v>150095</v>
      </c>
      <c r="D963" s="73">
        <v>3.8</v>
      </c>
      <c r="F963" s="72">
        <v>31206</v>
      </c>
      <c r="G963" s="2">
        <v>2564000</v>
      </c>
      <c r="H963" s="2">
        <v>403000</v>
      </c>
    </row>
    <row r="964" spans="1:8" x14ac:dyDescent="0.2">
      <c r="A964" s="72">
        <v>43525</v>
      </c>
      <c r="B964" s="73">
        <v>63.1</v>
      </c>
      <c r="C964" s="2">
        <v>150263</v>
      </c>
      <c r="D964" s="73">
        <v>3.8</v>
      </c>
      <c r="F964" s="72">
        <v>31213</v>
      </c>
      <c r="G964" s="2">
        <v>2549000</v>
      </c>
      <c r="H964" s="2">
        <v>390000</v>
      </c>
    </row>
    <row r="965" spans="1:8" x14ac:dyDescent="0.2">
      <c r="A965" s="72">
        <v>43556</v>
      </c>
      <c r="B965" s="73">
        <v>62.9</v>
      </c>
      <c r="C965" s="2">
        <v>150482</v>
      </c>
      <c r="D965" s="73">
        <v>3.7</v>
      </c>
      <c r="F965" s="72">
        <v>31220</v>
      </c>
      <c r="G965" s="2">
        <v>2550000</v>
      </c>
      <c r="H965" s="2">
        <v>386000</v>
      </c>
    </row>
    <row r="966" spans="1:8" x14ac:dyDescent="0.2">
      <c r="A966" s="72">
        <v>43586</v>
      </c>
      <c r="B966" s="73">
        <v>62.9</v>
      </c>
      <c r="C966" s="2">
        <v>150545</v>
      </c>
      <c r="D966" s="73">
        <v>3.7</v>
      </c>
      <c r="F966" s="72">
        <v>31227</v>
      </c>
      <c r="G966" s="2">
        <v>2505000</v>
      </c>
      <c r="H966" s="2">
        <v>390000</v>
      </c>
    </row>
    <row r="967" spans="1:8" x14ac:dyDescent="0.2">
      <c r="A967" s="72">
        <v>43617</v>
      </c>
      <c r="B967" s="73">
        <v>62.9</v>
      </c>
      <c r="C967" s="2">
        <v>150720</v>
      </c>
      <c r="D967" s="73">
        <v>3.6</v>
      </c>
      <c r="F967" s="72">
        <v>31234</v>
      </c>
      <c r="G967" s="2">
        <v>2609000</v>
      </c>
      <c r="H967" s="2">
        <v>395000</v>
      </c>
    </row>
    <row r="968" spans="1:8" x14ac:dyDescent="0.2">
      <c r="A968" s="72">
        <v>43647</v>
      </c>
      <c r="B968" s="73">
        <v>63.1</v>
      </c>
      <c r="C968" s="2">
        <v>150913</v>
      </c>
      <c r="D968" s="73">
        <v>3.6</v>
      </c>
      <c r="F968" s="72">
        <v>31241</v>
      </c>
      <c r="G968" s="2">
        <v>2519000</v>
      </c>
      <c r="H968" s="2">
        <v>386000</v>
      </c>
    </row>
    <row r="969" spans="1:8" x14ac:dyDescent="0.2">
      <c r="A969" s="72">
        <v>43678</v>
      </c>
      <c r="B969" s="73">
        <v>63.2</v>
      </c>
      <c r="C969" s="2">
        <v>151108</v>
      </c>
      <c r="D969" s="73">
        <v>3.7</v>
      </c>
      <c r="F969" s="72">
        <v>31248</v>
      </c>
      <c r="G969" s="2">
        <v>2520000</v>
      </c>
      <c r="H969" s="2">
        <v>370000</v>
      </c>
    </row>
    <row r="970" spans="1:8" x14ac:dyDescent="0.2">
      <c r="A970" s="72">
        <v>43709</v>
      </c>
      <c r="B970" s="73">
        <v>63.1</v>
      </c>
      <c r="C970" s="2">
        <v>151329</v>
      </c>
      <c r="D970" s="73">
        <v>3.5</v>
      </c>
      <c r="F970" s="72">
        <v>31255</v>
      </c>
      <c r="G970" s="2">
        <v>2522000</v>
      </c>
      <c r="H970" s="2">
        <v>362000</v>
      </c>
    </row>
    <row r="971" spans="1:8" x14ac:dyDescent="0.2">
      <c r="A971" s="72">
        <v>43739</v>
      </c>
      <c r="B971" s="73">
        <v>63.2</v>
      </c>
      <c r="C971" s="2">
        <v>151524</v>
      </c>
      <c r="D971" s="73">
        <v>3.6</v>
      </c>
      <c r="F971" s="72">
        <v>31262</v>
      </c>
      <c r="G971" s="2">
        <v>2518000</v>
      </c>
      <c r="H971" s="2">
        <v>407000</v>
      </c>
    </row>
    <row r="972" spans="1:8" x14ac:dyDescent="0.2">
      <c r="A972" s="72">
        <v>43770</v>
      </c>
      <c r="B972" s="73">
        <v>63.2</v>
      </c>
      <c r="C972" s="2">
        <v>151758</v>
      </c>
      <c r="D972" s="73">
        <v>3.6</v>
      </c>
      <c r="F972" s="72">
        <v>31269</v>
      </c>
      <c r="G972" s="2">
        <v>2565000</v>
      </c>
      <c r="H972" s="2">
        <v>402000</v>
      </c>
    </row>
    <row r="973" spans="1:8" x14ac:dyDescent="0.2">
      <c r="A973" s="72">
        <v>43800</v>
      </c>
      <c r="B973" s="73">
        <v>63.3</v>
      </c>
      <c r="C973" s="2">
        <v>151919</v>
      </c>
      <c r="D973" s="73">
        <v>3.6</v>
      </c>
      <c r="F973" s="72">
        <v>31276</v>
      </c>
      <c r="G973" s="2">
        <v>2574000</v>
      </c>
      <c r="H973" s="2">
        <v>399000</v>
      </c>
    </row>
    <row r="974" spans="1:8" x14ac:dyDescent="0.2">
      <c r="A974" s="72">
        <v>43831</v>
      </c>
      <c r="B974" s="73">
        <v>63.4</v>
      </c>
      <c r="C974" s="2">
        <v>152234</v>
      </c>
      <c r="D974" s="73">
        <v>3.5</v>
      </c>
      <c r="F974" s="72">
        <v>31283</v>
      </c>
      <c r="G974" s="2">
        <v>2561000</v>
      </c>
      <c r="H974" s="2">
        <v>405000</v>
      </c>
    </row>
    <row r="975" spans="1:8" x14ac:dyDescent="0.2">
      <c r="A975" s="72">
        <v>43862</v>
      </c>
      <c r="B975" s="73">
        <v>63.3</v>
      </c>
      <c r="C975" s="2">
        <v>152523</v>
      </c>
      <c r="D975" s="73">
        <v>3.5</v>
      </c>
      <c r="F975" s="72">
        <v>31290</v>
      </c>
      <c r="G975" s="2">
        <v>2595000</v>
      </c>
      <c r="H975" s="2">
        <v>409000</v>
      </c>
    </row>
    <row r="976" spans="1:8" x14ac:dyDescent="0.2">
      <c r="A976" s="72">
        <v>43891</v>
      </c>
      <c r="B976" s="73">
        <v>62.6</v>
      </c>
      <c r="C976" s="2">
        <v>150840</v>
      </c>
      <c r="D976" s="73">
        <v>4.4000000000000004</v>
      </c>
      <c r="F976" s="72">
        <v>31297</v>
      </c>
      <c r="G976" s="2">
        <v>2596000</v>
      </c>
      <c r="H976" s="2">
        <v>426000</v>
      </c>
    </row>
    <row r="977" spans="1:8" x14ac:dyDescent="0.2">
      <c r="A977" s="72">
        <v>43922</v>
      </c>
      <c r="B977" s="73">
        <v>60.2</v>
      </c>
      <c r="C977" s="2">
        <v>130161</v>
      </c>
      <c r="D977" s="73">
        <v>14.8</v>
      </c>
      <c r="F977" s="72">
        <v>31304</v>
      </c>
      <c r="G977" s="2">
        <v>2590000</v>
      </c>
      <c r="H977" s="2">
        <v>408000</v>
      </c>
    </row>
    <row r="978" spans="1:8" x14ac:dyDescent="0.2">
      <c r="A978" s="72">
        <v>43952</v>
      </c>
      <c r="B978" s="73">
        <v>60.8</v>
      </c>
      <c r="C978" s="2">
        <v>132994</v>
      </c>
      <c r="D978" s="73">
        <v>13.3</v>
      </c>
      <c r="F978" s="72">
        <v>31311</v>
      </c>
      <c r="G978" s="2">
        <v>2513000</v>
      </c>
      <c r="H978" s="2">
        <v>401000</v>
      </c>
    </row>
    <row r="979" spans="1:8" x14ac:dyDescent="0.2">
      <c r="A979" s="72">
        <v>43983</v>
      </c>
      <c r="B979" s="73">
        <v>61.4</v>
      </c>
      <c r="C979" s="2">
        <v>137840</v>
      </c>
      <c r="D979" s="73">
        <v>11.1</v>
      </c>
      <c r="F979" s="72">
        <v>31318</v>
      </c>
      <c r="G979" s="2">
        <v>2623000</v>
      </c>
      <c r="H979" s="2">
        <v>399000</v>
      </c>
    </row>
    <row r="980" spans="1:8" x14ac:dyDescent="0.2">
      <c r="A980" s="72">
        <v>44013</v>
      </c>
      <c r="B980" s="73">
        <v>61.5</v>
      </c>
      <c r="C980" s="2">
        <v>139566</v>
      </c>
      <c r="D980" s="73">
        <v>10.199999999999999</v>
      </c>
      <c r="F980" s="72">
        <v>31325</v>
      </c>
      <c r="G980" s="2">
        <v>2657000</v>
      </c>
      <c r="H980" s="2">
        <v>405000</v>
      </c>
    </row>
    <row r="981" spans="1:8" x14ac:dyDescent="0.2">
      <c r="A981" s="72">
        <v>44044</v>
      </c>
      <c r="B981" s="73">
        <v>61.7</v>
      </c>
      <c r="C981" s="2">
        <v>141149</v>
      </c>
      <c r="D981" s="73">
        <v>8.4</v>
      </c>
      <c r="F981" s="72">
        <v>31332</v>
      </c>
      <c r="G981" s="2">
        <v>2569000</v>
      </c>
      <c r="H981" s="2">
        <v>400000</v>
      </c>
    </row>
    <row r="982" spans="1:8" x14ac:dyDescent="0.2">
      <c r="A982" s="72">
        <v>44075</v>
      </c>
      <c r="B982" s="73">
        <v>61.4</v>
      </c>
      <c r="C982" s="2">
        <v>141865</v>
      </c>
      <c r="D982" s="73">
        <v>7.8</v>
      </c>
      <c r="F982" s="72">
        <v>31339</v>
      </c>
      <c r="G982" s="2">
        <v>2644000</v>
      </c>
      <c r="H982" s="2">
        <v>400000</v>
      </c>
    </row>
    <row r="983" spans="1:8" x14ac:dyDescent="0.2">
      <c r="A983" s="72">
        <v>44105</v>
      </c>
      <c r="B983" s="73">
        <v>61.6</v>
      </c>
      <c r="C983" s="2">
        <v>142545</v>
      </c>
      <c r="D983" s="73">
        <v>6.9</v>
      </c>
      <c r="F983" s="72">
        <v>31346</v>
      </c>
      <c r="G983" s="2">
        <v>2657000</v>
      </c>
      <c r="H983" s="2">
        <v>418000</v>
      </c>
    </row>
    <row r="984" spans="1:8" x14ac:dyDescent="0.2">
      <c r="A984" s="72">
        <v>44136</v>
      </c>
      <c r="B984" s="73">
        <v>61.5</v>
      </c>
      <c r="C984" s="2">
        <v>142809</v>
      </c>
      <c r="D984" s="73">
        <v>6.7</v>
      </c>
      <c r="F984" s="72">
        <v>31353</v>
      </c>
      <c r="G984" s="2">
        <v>2673000</v>
      </c>
      <c r="H984" s="2">
        <v>398000</v>
      </c>
    </row>
    <row r="985" spans="1:8" x14ac:dyDescent="0.2">
      <c r="A985" s="72">
        <v>44166</v>
      </c>
      <c r="B985" s="73">
        <v>61.5</v>
      </c>
      <c r="C985" s="2">
        <v>142503</v>
      </c>
      <c r="D985" s="73">
        <v>6.7</v>
      </c>
      <c r="F985" s="72">
        <v>31360</v>
      </c>
      <c r="G985" s="2">
        <v>2612000</v>
      </c>
      <c r="H985" s="2">
        <v>397000</v>
      </c>
    </row>
    <row r="986" spans="1:8" x14ac:dyDescent="0.2">
      <c r="A986" s="72">
        <v>44197</v>
      </c>
      <c r="B986" s="73">
        <v>61.4</v>
      </c>
      <c r="C986" s="2">
        <v>142736</v>
      </c>
      <c r="D986" s="73">
        <v>6.3</v>
      </c>
      <c r="F986" s="72">
        <v>31367</v>
      </c>
      <c r="G986" s="2">
        <v>2618000</v>
      </c>
      <c r="H986" s="2">
        <v>397000</v>
      </c>
    </row>
    <row r="987" spans="1:8" x14ac:dyDescent="0.2">
      <c r="A987" s="72">
        <v>44228</v>
      </c>
      <c r="B987" s="73">
        <v>61.4</v>
      </c>
      <c r="C987" s="2">
        <v>143272</v>
      </c>
      <c r="D987" s="73">
        <v>6.2</v>
      </c>
      <c r="F987" s="72">
        <v>31374</v>
      </c>
      <c r="G987" s="2">
        <v>2585000</v>
      </c>
      <c r="H987" s="2">
        <v>382000</v>
      </c>
    </row>
    <row r="988" spans="1:8" x14ac:dyDescent="0.2">
      <c r="A988" s="72">
        <v>44256</v>
      </c>
      <c r="B988" s="73">
        <v>61.5</v>
      </c>
      <c r="C988" s="2">
        <v>144057</v>
      </c>
      <c r="D988" s="73">
        <v>6</v>
      </c>
      <c r="F988" s="72">
        <v>31381</v>
      </c>
      <c r="G988" s="2">
        <v>2638000</v>
      </c>
      <c r="H988" s="2">
        <v>393000</v>
      </c>
    </row>
    <row r="989" spans="1:8" x14ac:dyDescent="0.2">
      <c r="A989" s="72">
        <v>44287</v>
      </c>
      <c r="B989" s="73">
        <v>61.7</v>
      </c>
      <c r="C989" s="2">
        <v>144326</v>
      </c>
      <c r="D989" s="73">
        <v>6.1</v>
      </c>
      <c r="F989" s="72">
        <v>31388</v>
      </c>
      <c r="G989" s="2">
        <v>2744000</v>
      </c>
      <c r="H989" s="2">
        <v>399000</v>
      </c>
    </row>
    <row r="990" spans="1:8" x14ac:dyDescent="0.2">
      <c r="A990" s="72">
        <v>44317</v>
      </c>
      <c r="B990" s="73">
        <v>61.6</v>
      </c>
      <c r="C990" s="2">
        <v>144940</v>
      </c>
      <c r="D990" s="73">
        <v>5.8</v>
      </c>
      <c r="F990" s="72">
        <v>31395</v>
      </c>
      <c r="G990" s="2">
        <v>2680000</v>
      </c>
      <c r="H990" s="2">
        <v>382000</v>
      </c>
    </row>
    <row r="991" spans="1:8" x14ac:dyDescent="0.2">
      <c r="A991" s="72">
        <v>44348</v>
      </c>
      <c r="B991" s="73">
        <v>61.6</v>
      </c>
      <c r="C991" s="2">
        <v>145902</v>
      </c>
      <c r="D991" s="73">
        <v>5.9</v>
      </c>
      <c r="F991" s="72">
        <v>31402</v>
      </c>
      <c r="G991" s="2">
        <v>2543000</v>
      </c>
      <c r="H991" s="2">
        <v>370000</v>
      </c>
    </row>
    <row r="992" spans="1:8" x14ac:dyDescent="0.2">
      <c r="A992" s="72">
        <v>44378</v>
      </c>
      <c r="B992" s="73">
        <v>61.7</v>
      </c>
      <c r="C992" s="2">
        <v>146955</v>
      </c>
      <c r="D992" s="73">
        <v>5.4</v>
      </c>
      <c r="F992" s="72">
        <v>31409</v>
      </c>
      <c r="G992" s="2">
        <v>2608000</v>
      </c>
      <c r="H992" s="2">
        <v>390000</v>
      </c>
    </row>
    <row r="993" spans="1:8" x14ac:dyDescent="0.2">
      <c r="A993" s="72">
        <v>44409</v>
      </c>
      <c r="B993" s="73">
        <v>61.7</v>
      </c>
      <c r="C993" s="2">
        <v>147190</v>
      </c>
      <c r="D993" s="73">
        <v>5.2</v>
      </c>
      <c r="F993" s="72">
        <v>31416</v>
      </c>
      <c r="G993" s="2">
        <v>2694000</v>
      </c>
      <c r="H993" s="2">
        <v>362000</v>
      </c>
    </row>
    <row r="994" spans="1:8" x14ac:dyDescent="0.2">
      <c r="F994" s="72">
        <v>31423</v>
      </c>
      <c r="G994" s="2">
        <v>2636000</v>
      </c>
      <c r="H994" s="2">
        <v>397000</v>
      </c>
    </row>
    <row r="995" spans="1:8" x14ac:dyDescent="0.2">
      <c r="F995" s="72">
        <v>31430</v>
      </c>
      <c r="G995" s="2">
        <v>2516000</v>
      </c>
      <c r="H995" s="2">
        <v>364000</v>
      </c>
    </row>
    <row r="996" spans="1:8" x14ac:dyDescent="0.2">
      <c r="F996" s="72">
        <v>31437</v>
      </c>
      <c r="G996" s="2">
        <v>2570000</v>
      </c>
      <c r="H996" s="2">
        <v>344000</v>
      </c>
    </row>
    <row r="997" spans="1:8" x14ac:dyDescent="0.2">
      <c r="F997" s="72">
        <v>31444</v>
      </c>
      <c r="G997" s="2">
        <v>2531000</v>
      </c>
      <c r="H997" s="2">
        <v>364000</v>
      </c>
    </row>
    <row r="998" spans="1:8" x14ac:dyDescent="0.2">
      <c r="F998" s="72">
        <v>31451</v>
      </c>
      <c r="G998" s="2">
        <v>2548000</v>
      </c>
      <c r="H998" s="2">
        <v>366000</v>
      </c>
    </row>
    <row r="999" spans="1:8" x14ac:dyDescent="0.2">
      <c r="F999" s="72">
        <v>31458</v>
      </c>
      <c r="G999" s="2">
        <v>2569000</v>
      </c>
      <c r="H999" s="2">
        <v>358000</v>
      </c>
    </row>
    <row r="1000" spans="1:8" x14ac:dyDescent="0.2">
      <c r="F1000" s="72">
        <v>31465</v>
      </c>
      <c r="G1000" s="2">
        <v>2626000</v>
      </c>
      <c r="H1000" s="2">
        <v>390000</v>
      </c>
    </row>
    <row r="1001" spans="1:8" x14ac:dyDescent="0.2">
      <c r="F1001" s="72">
        <v>31472</v>
      </c>
      <c r="G1001" s="2">
        <v>2570000</v>
      </c>
      <c r="H1001" s="2">
        <v>375000</v>
      </c>
    </row>
    <row r="1002" spans="1:8" x14ac:dyDescent="0.2">
      <c r="F1002" s="72">
        <v>31479</v>
      </c>
      <c r="G1002" s="2">
        <v>2603000</v>
      </c>
      <c r="H1002" s="2">
        <v>366000</v>
      </c>
    </row>
    <row r="1003" spans="1:8" x14ac:dyDescent="0.2">
      <c r="F1003" s="72">
        <v>31486</v>
      </c>
      <c r="G1003" s="2">
        <v>2589000</v>
      </c>
      <c r="H1003" s="2">
        <v>382000</v>
      </c>
    </row>
    <row r="1004" spans="1:8" x14ac:dyDescent="0.2">
      <c r="F1004" s="72">
        <v>31493</v>
      </c>
      <c r="G1004" s="2">
        <v>2592000</v>
      </c>
      <c r="H1004" s="2">
        <v>387000</v>
      </c>
    </row>
    <row r="1005" spans="1:8" x14ac:dyDescent="0.2">
      <c r="F1005" s="72">
        <v>31500</v>
      </c>
      <c r="G1005" s="2">
        <v>2614000</v>
      </c>
      <c r="H1005" s="2">
        <v>396000</v>
      </c>
    </row>
    <row r="1006" spans="1:8" x14ac:dyDescent="0.2">
      <c r="F1006" s="72">
        <v>31507</v>
      </c>
      <c r="G1006" s="2">
        <v>2625000</v>
      </c>
      <c r="H1006" s="2">
        <v>381000</v>
      </c>
    </row>
    <row r="1007" spans="1:8" x14ac:dyDescent="0.2">
      <c r="F1007" s="72">
        <v>31514</v>
      </c>
      <c r="G1007" s="2">
        <v>2570000</v>
      </c>
      <c r="H1007" s="2">
        <v>388000</v>
      </c>
    </row>
    <row r="1008" spans="1:8" x14ac:dyDescent="0.2">
      <c r="F1008" s="72">
        <v>31521</v>
      </c>
      <c r="G1008" s="2">
        <v>2613000</v>
      </c>
      <c r="H1008" s="2">
        <v>383000</v>
      </c>
    </row>
    <row r="1009" spans="6:8" x14ac:dyDescent="0.2">
      <c r="F1009" s="72">
        <v>31528</v>
      </c>
      <c r="G1009" s="2">
        <v>2627000</v>
      </c>
      <c r="H1009" s="2">
        <v>391000</v>
      </c>
    </row>
    <row r="1010" spans="6:8" x14ac:dyDescent="0.2">
      <c r="F1010" s="72">
        <v>31535</v>
      </c>
      <c r="G1010" s="2">
        <v>2670000</v>
      </c>
      <c r="H1010" s="2">
        <v>392000</v>
      </c>
    </row>
    <row r="1011" spans="6:8" x14ac:dyDescent="0.2">
      <c r="F1011" s="72">
        <v>31542</v>
      </c>
      <c r="G1011" s="2">
        <v>2670000</v>
      </c>
      <c r="H1011" s="2">
        <v>395000</v>
      </c>
    </row>
    <row r="1012" spans="6:8" x14ac:dyDescent="0.2">
      <c r="F1012" s="72">
        <v>31549</v>
      </c>
      <c r="G1012" s="2">
        <v>2669000</v>
      </c>
      <c r="H1012" s="2">
        <v>384000</v>
      </c>
    </row>
    <row r="1013" spans="6:8" x14ac:dyDescent="0.2">
      <c r="F1013" s="72">
        <v>31556</v>
      </c>
      <c r="G1013" s="2">
        <v>2638000</v>
      </c>
      <c r="H1013" s="2">
        <v>386000</v>
      </c>
    </row>
    <row r="1014" spans="6:8" x14ac:dyDescent="0.2">
      <c r="F1014" s="72">
        <v>31563</v>
      </c>
      <c r="G1014" s="2">
        <v>2708000</v>
      </c>
      <c r="H1014" s="2">
        <v>373000</v>
      </c>
    </row>
    <row r="1015" spans="6:8" x14ac:dyDescent="0.2">
      <c r="F1015" s="72">
        <v>31570</v>
      </c>
      <c r="G1015" s="2">
        <v>2653000</v>
      </c>
      <c r="H1015" s="2">
        <v>375000</v>
      </c>
    </row>
    <row r="1016" spans="6:8" x14ac:dyDescent="0.2">
      <c r="F1016" s="72">
        <v>31577</v>
      </c>
      <c r="G1016" s="2">
        <v>2644000</v>
      </c>
      <c r="H1016" s="2">
        <v>369000</v>
      </c>
    </row>
    <row r="1017" spans="6:8" x14ac:dyDescent="0.2">
      <c r="F1017" s="72">
        <v>31584</v>
      </c>
      <c r="G1017" s="2">
        <v>2637000</v>
      </c>
      <c r="H1017" s="2">
        <v>367000</v>
      </c>
    </row>
    <row r="1018" spans="6:8" x14ac:dyDescent="0.2">
      <c r="F1018" s="72">
        <v>31591</v>
      </c>
      <c r="G1018" s="2">
        <v>2606000</v>
      </c>
      <c r="H1018" s="2">
        <v>371000</v>
      </c>
    </row>
    <row r="1019" spans="6:8" x14ac:dyDescent="0.2">
      <c r="F1019" s="72">
        <v>31598</v>
      </c>
      <c r="G1019" s="2">
        <v>2669000</v>
      </c>
      <c r="H1019" s="2">
        <v>371000</v>
      </c>
    </row>
    <row r="1020" spans="6:8" x14ac:dyDescent="0.2">
      <c r="F1020" s="72">
        <v>31605</v>
      </c>
      <c r="G1020" s="2">
        <v>2552000</v>
      </c>
      <c r="H1020" s="2">
        <v>361000</v>
      </c>
    </row>
    <row r="1021" spans="6:8" x14ac:dyDescent="0.2">
      <c r="F1021" s="72">
        <v>31612</v>
      </c>
      <c r="G1021" s="2">
        <v>2593000</v>
      </c>
      <c r="H1021" s="2">
        <v>354000</v>
      </c>
    </row>
    <row r="1022" spans="6:8" x14ac:dyDescent="0.2">
      <c r="F1022" s="72">
        <v>31619</v>
      </c>
      <c r="G1022" s="2">
        <v>2618000</v>
      </c>
      <c r="H1022" s="2">
        <v>362000</v>
      </c>
    </row>
    <row r="1023" spans="6:8" x14ac:dyDescent="0.2">
      <c r="F1023" s="72">
        <v>31626</v>
      </c>
      <c r="G1023" s="2">
        <v>2583000</v>
      </c>
      <c r="H1023" s="2">
        <v>416000</v>
      </c>
    </row>
    <row r="1024" spans="6:8" x14ac:dyDescent="0.2">
      <c r="F1024" s="72">
        <v>31633</v>
      </c>
      <c r="G1024" s="2">
        <v>2686000</v>
      </c>
      <c r="H1024" s="2">
        <v>416000</v>
      </c>
    </row>
    <row r="1025" spans="6:8" x14ac:dyDescent="0.2">
      <c r="F1025" s="72">
        <v>31640</v>
      </c>
      <c r="G1025" s="2">
        <v>2658000</v>
      </c>
      <c r="H1025" s="2">
        <v>407000</v>
      </c>
    </row>
    <row r="1026" spans="6:8" x14ac:dyDescent="0.2">
      <c r="F1026" s="72">
        <v>31647</v>
      </c>
      <c r="G1026" s="2">
        <v>2687000</v>
      </c>
      <c r="H1026" s="2">
        <v>397000</v>
      </c>
    </row>
    <row r="1027" spans="6:8" x14ac:dyDescent="0.2">
      <c r="F1027" s="72">
        <v>31654</v>
      </c>
      <c r="G1027" s="2">
        <v>2664000</v>
      </c>
      <c r="H1027" s="2">
        <v>401000</v>
      </c>
    </row>
    <row r="1028" spans="6:8" x14ac:dyDescent="0.2">
      <c r="F1028" s="72">
        <v>31661</v>
      </c>
      <c r="G1028" s="2">
        <v>2756000</v>
      </c>
      <c r="H1028" s="2">
        <v>400000</v>
      </c>
    </row>
    <row r="1029" spans="6:8" x14ac:dyDescent="0.2">
      <c r="F1029" s="72">
        <v>31668</v>
      </c>
      <c r="G1029" s="2">
        <v>2671000</v>
      </c>
      <c r="H1029" s="2">
        <v>394000</v>
      </c>
    </row>
    <row r="1030" spans="6:8" x14ac:dyDescent="0.2">
      <c r="F1030" s="72">
        <v>31675</v>
      </c>
      <c r="G1030" s="2">
        <v>2703000</v>
      </c>
      <c r="H1030" s="2">
        <v>399000</v>
      </c>
    </row>
    <row r="1031" spans="6:8" x14ac:dyDescent="0.2">
      <c r="F1031" s="72">
        <v>31682</v>
      </c>
      <c r="G1031" s="2">
        <v>2698000</v>
      </c>
      <c r="H1031" s="2">
        <v>389000</v>
      </c>
    </row>
    <row r="1032" spans="6:8" x14ac:dyDescent="0.2">
      <c r="F1032" s="72">
        <v>31689</v>
      </c>
      <c r="G1032" s="2">
        <v>2780000</v>
      </c>
      <c r="H1032" s="2">
        <v>391000</v>
      </c>
    </row>
    <row r="1033" spans="6:8" x14ac:dyDescent="0.2">
      <c r="F1033" s="72">
        <v>31696</v>
      </c>
      <c r="G1033" s="2">
        <v>2665000</v>
      </c>
      <c r="H1033" s="2">
        <v>387000</v>
      </c>
    </row>
    <row r="1034" spans="6:8" x14ac:dyDescent="0.2">
      <c r="F1034" s="72">
        <v>31703</v>
      </c>
      <c r="G1034" s="2">
        <v>2723000</v>
      </c>
      <c r="H1034" s="2">
        <v>385000</v>
      </c>
    </row>
    <row r="1035" spans="6:8" x14ac:dyDescent="0.2">
      <c r="F1035" s="72">
        <v>31710</v>
      </c>
      <c r="G1035" s="2">
        <v>2707000</v>
      </c>
      <c r="H1035" s="2">
        <v>370000</v>
      </c>
    </row>
    <row r="1036" spans="6:8" x14ac:dyDescent="0.2">
      <c r="F1036" s="72">
        <v>31717</v>
      </c>
      <c r="G1036" s="2">
        <v>2646000</v>
      </c>
      <c r="H1036" s="2">
        <v>364000</v>
      </c>
    </row>
    <row r="1037" spans="6:8" x14ac:dyDescent="0.2">
      <c r="F1037" s="72">
        <v>31724</v>
      </c>
      <c r="G1037" s="2">
        <v>2614000</v>
      </c>
      <c r="H1037" s="2">
        <v>349000</v>
      </c>
    </row>
    <row r="1038" spans="6:8" x14ac:dyDescent="0.2">
      <c r="F1038" s="72">
        <v>31731</v>
      </c>
      <c r="G1038" s="2">
        <v>2653000</v>
      </c>
      <c r="H1038" s="2">
        <v>368000</v>
      </c>
    </row>
    <row r="1039" spans="6:8" x14ac:dyDescent="0.2">
      <c r="F1039" s="72">
        <v>31738</v>
      </c>
      <c r="G1039" s="2">
        <v>2555000</v>
      </c>
      <c r="H1039" s="2">
        <v>369000</v>
      </c>
    </row>
    <row r="1040" spans="6:8" x14ac:dyDescent="0.2">
      <c r="F1040" s="72">
        <v>31745</v>
      </c>
      <c r="G1040" s="2">
        <v>2686000</v>
      </c>
      <c r="H1040" s="2">
        <v>366000</v>
      </c>
    </row>
    <row r="1041" spans="6:8" x14ac:dyDescent="0.2">
      <c r="F1041" s="72">
        <v>31752</v>
      </c>
      <c r="G1041" s="2">
        <v>2634000</v>
      </c>
      <c r="H1041" s="2">
        <v>363000</v>
      </c>
    </row>
    <row r="1042" spans="6:8" x14ac:dyDescent="0.2">
      <c r="F1042" s="72">
        <v>31759</v>
      </c>
      <c r="G1042" s="2">
        <v>2587000</v>
      </c>
      <c r="H1042" s="2">
        <v>375000</v>
      </c>
    </row>
    <row r="1043" spans="6:8" x14ac:dyDescent="0.2">
      <c r="F1043" s="72">
        <v>31766</v>
      </c>
      <c r="G1043" s="2">
        <v>2499000</v>
      </c>
      <c r="H1043" s="2">
        <v>350000</v>
      </c>
    </row>
    <row r="1044" spans="6:8" x14ac:dyDescent="0.2">
      <c r="F1044" s="72">
        <v>31773</v>
      </c>
      <c r="G1044" s="2">
        <v>2565000</v>
      </c>
      <c r="H1044" s="2">
        <v>345000</v>
      </c>
    </row>
    <row r="1045" spans="6:8" x14ac:dyDescent="0.2">
      <c r="F1045" s="72">
        <v>31780</v>
      </c>
      <c r="G1045" s="2">
        <v>2590000</v>
      </c>
      <c r="H1045" s="2">
        <v>323000</v>
      </c>
    </row>
    <row r="1046" spans="6:8" x14ac:dyDescent="0.2">
      <c r="F1046" s="72">
        <v>31787</v>
      </c>
      <c r="G1046" s="2">
        <v>2508000</v>
      </c>
      <c r="H1046" s="2">
        <v>348000</v>
      </c>
    </row>
    <row r="1047" spans="6:8" x14ac:dyDescent="0.2">
      <c r="F1047" s="72">
        <v>31794</v>
      </c>
      <c r="G1047" s="2">
        <v>2443000</v>
      </c>
      <c r="H1047" s="2">
        <v>341000</v>
      </c>
    </row>
    <row r="1048" spans="6:8" x14ac:dyDescent="0.2">
      <c r="F1048" s="72">
        <v>31801</v>
      </c>
      <c r="G1048" s="2">
        <v>2506000</v>
      </c>
      <c r="H1048" s="2">
        <v>346000</v>
      </c>
    </row>
    <row r="1049" spans="6:8" x14ac:dyDescent="0.2">
      <c r="F1049" s="72">
        <v>31808</v>
      </c>
      <c r="G1049" s="2">
        <v>2515000</v>
      </c>
      <c r="H1049" s="2">
        <v>370000</v>
      </c>
    </row>
    <row r="1050" spans="6:8" x14ac:dyDescent="0.2">
      <c r="F1050" s="72">
        <v>31815</v>
      </c>
      <c r="G1050" s="2">
        <v>2496000</v>
      </c>
      <c r="H1050" s="2">
        <v>368000</v>
      </c>
    </row>
    <row r="1051" spans="6:8" x14ac:dyDescent="0.2">
      <c r="F1051" s="72">
        <v>31822</v>
      </c>
      <c r="G1051" s="2">
        <v>2451000</v>
      </c>
      <c r="H1051" s="2">
        <v>338000</v>
      </c>
    </row>
    <row r="1052" spans="6:8" x14ac:dyDescent="0.2">
      <c r="F1052" s="72">
        <v>31829</v>
      </c>
      <c r="G1052" s="2">
        <v>2481000</v>
      </c>
      <c r="H1052" s="2">
        <v>341000</v>
      </c>
    </row>
    <row r="1053" spans="6:8" x14ac:dyDescent="0.2">
      <c r="F1053" s="72">
        <v>31836</v>
      </c>
      <c r="G1053" s="2">
        <v>2460000</v>
      </c>
      <c r="H1053" s="2">
        <v>348000</v>
      </c>
    </row>
    <row r="1054" spans="6:8" x14ac:dyDescent="0.2">
      <c r="F1054" s="72">
        <v>31843</v>
      </c>
      <c r="G1054" s="2">
        <v>2456000</v>
      </c>
      <c r="H1054" s="2">
        <v>337000</v>
      </c>
    </row>
    <row r="1055" spans="6:8" x14ac:dyDescent="0.2">
      <c r="F1055" s="72">
        <v>31850</v>
      </c>
      <c r="G1055" s="2">
        <v>2450000</v>
      </c>
      <c r="H1055" s="2">
        <v>335000</v>
      </c>
    </row>
    <row r="1056" spans="6:8" x14ac:dyDescent="0.2">
      <c r="F1056" s="72">
        <v>31857</v>
      </c>
      <c r="G1056" s="2">
        <v>2401000</v>
      </c>
      <c r="H1056" s="2">
        <v>335000</v>
      </c>
    </row>
    <row r="1057" spans="6:8" x14ac:dyDescent="0.2">
      <c r="F1057" s="72">
        <v>31864</v>
      </c>
      <c r="G1057" s="2">
        <v>2410000</v>
      </c>
      <c r="H1057" s="2">
        <v>326000</v>
      </c>
    </row>
    <row r="1058" spans="6:8" x14ac:dyDescent="0.2">
      <c r="F1058" s="72">
        <v>31871</v>
      </c>
      <c r="G1058" s="2">
        <v>2482000</v>
      </c>
      <c r="H1058" s="2">
        <v>330000</v>
      </c>
    </row>
    <row r="1059" spans="6:8" x14ac:dyDescent="0.2">
      <c r="F1059" s="72">
        <v>31878</v>
      </c>
      <c r="G1059" s="2">
        <v>2366000</v>
      </c>
      <c r="H1059" s="2">
        <v>338000</v>
      </c>
    </row>
    <row r="1060" spans="6:8" x14ac:dyDescent="0.2">
      <c r="F1060" s="72">
        <v>31885</v>
      </c>
      <c r="G1060" s="2">
        <v>2410000</v>
      </c>
      <c r="H1060" s="2">
        <v>349000</v>
      </c>
    </row>
    <row r="1061" spans="6:8" x14ac:dyDescent="0.2">
      <c r="F1061" s="72">
        <v>31892</v>
      </c>
      <c r="G1061" s="2">
        <v>2386000</v>
      </c>
      <c r="H1061" s="2">
        <v>328000</v>
      </c>
    </row>
    <row r="1062" spans="6:8" x14ac:dyDescent="0.2">
      <c r="F1062" s="72">
        <v>31899</v>
      </c>
      <c r="G1062" s="2">
        <v>2302000</v>
      </c>
      <c r="H1062" s="2">
        <v>330000</v>
      </c>
    </row>
    <row r="1063" spans="6:8" x14ac:dyDescent="0.2">
      <c r="F1063" s="72">
        <v>31906</v>
      </c>
      <c r="G1063" s="2">
        <v>2347000</v>
      </c>
      <c r="H1063" s="2">
        <v>315000</v>
      </c>
    </row>
    <row r="1064" spans="6:8" x14ac:dyDescent="0.2">
      <c r="F1064" s="72">
        <v>31913</v>
      </c>
      <c r="G1064" s="2">
        <v>2326000</v>
      </c>
      <c r="H1064" s="2">
        <v>341000</v>
      </c>
    </row>
    <row r="1065" spans="6:8" x14ac:dyDescent="0.2">
      <c r="F1065" s="72">
        <v>31920</v>
      </c>
      <c r="G1065" s="2">
        <v>2275000</v>
      </c>
      <c r="H1065" s="2">
        <v>343000</v>
      </c>
    </row>
    <row r="1066" spans="6:8" x14ac:dyDescent="0.2">
      <c r="F1066" s="72">
        <v>31927</v>
      </c>
      <c r="G1066" s="2">
        <v>2370000</v>
      </c>
      <c r="H1066" s="2">
        <v>326000</v>
      </c>
    </row>
    <row r="1067" spans="6:8" x14ac:dyDescent="0.2">
      <c r="F1067" s="72">
        <v>31934</v>
      </c>
      <c r="G1067" s="2">
        <v>2259000</v>
      </c>
      <c r="H1067" s="2">
        <v>328000</v>
      </c>
    </row>
    <row r="1068" spans="6:8" x14ac:dyDescent="0.2">
      <c r="F1068" s="72">
        <v>31941</v>
      </c>
      <c r="G1068" s="2">
        <v>2278000</v>
      </c>
      <c r="H1068" s="2">
        <v>316000</v>
      </c>
    </row>
    <row r="1069" spans="6:8" x14ac:dyDescent="0.2">
      <c r="F1069" s="72">
        <v>31948</v>
      </c>
      <c r="G1069" s="2">
        <v>2258000</v>
      </c>
      <c r="H1069" s="2">
        <v>319000</v>
      </c>
    </row>
    <row r="1070" spans="6:8" x14ac:dyDescent="0.2">
      <c r="F1070" s="72">
        <v>31955</v>
      </c>
      <c r="G1070" s="2">
        <v>2321000</v>
      </c>
      <c r="H1070" s="2">
        <v>326000</v>
      </c>
    </row>
    <row r="1071" spans="6:8" x14ac:dyDescent="0.2">
      <c r="F1071" s="72">
        <v>31962</v>
      </c>
      <c r="G1071" s="2">
        <v>2173000</v>
      </c>
      <c r="H1071" s="2">
        <v>326000</v>
      </c>
    </row>
    <row r="1072" spans="6:8" x14ac:dyDescent="0.2">
      <c r="F1072" s="72">
        <v>31969</v>
      </c>
      <c r="G1072" s="2">
        <v>2155000</v>
      </c>
      <c r="H1072" s="2">
        <v>317000</v>
      </c>
    </row>
    <row r="1073" spans="6:8" x14ac:dyDescent="0.2">
      <c r="F1073" s="72">
        <v>31976</v>
      </c>
      <c r="G1073" s="2">
        <v>2211000</v>
      </c>
      <c r="H1073" s="2">
        <v>310000</v>
      </c>
    </row>
    <row r="1074" spans="6:8" x14ac:dyDescent="0.2">
      <c r="F1074" s="72">
        <v>31983</v>
      </c>
      <c r="G1074" s="2">
        <v>2247000</v>
      </c>
      <c r="H1074" s="2">
        <v>324000</v>
      </c>
    </row>
    <row r="1075" spans="6:8" x14ac:dyDescent="0.2">
      <c r="F1075" s="72">
        <v>31990</v>
      </c>
      <c r="G1075" s="2">
        <v>2232000</v>
      </c>
      <c r="H1075" s="2">
        <v>348000</v>
      </c>
    </row>
    <row r="1076" spans="6:8" x14ac:dyDescent="0.2">
      <c r="F1076" s="72">
        <v>31997</v>
      </c>
      <c r="G1076" s="2">
        <v>2263000</v>
      </c>
      <c r="H1076" s="2">
        <v>327000</v>
      </c>
    </row>
    <row r="1077" spans="6:8" x14ac:dyDescent="0.2">
      <c r="F1077" s="72">
        <v>32004</v>
      </c>
      <c r="G1077" s="2">
        <v>2194000</v>
      </c>
      <c r="H1077" s="2">
        <v>319000</v>
      </c>
    </row>
    <row r="1078" spans="6:8" x14ac:dyDescent="0.2">
      <c r="F1078" s="72">
        <v>32011</v>
      </c>
      <c r="G1078" s="2">
        <v>2190000</v>
      </c>
      <c r="H1078" s="2">
        <v>312000</v>
      </c>
    </row>
    <row r="1079" spans="6:8" x14ac:dyDescent="0.2">
      <c r="F1079" s="72">
        <v>32018</v>
      </c>
      <c r="G1079" s="2">
        <v>2179000</v>
      </c>
      <c r="H1079" s="2">
        <v>322000</v>
      </c>
    </row>
    <row r="1080" spans="6:8" x14ac:dyDescent="0.2">
      <c r="F1080" s="72">
        <v>32025</v>
      </c>
      <c r="G1080" s="2">
        <v>2125000</v>
      </c>
      <c r="H1080" s="2">
        <v>316000</v>
      </c>
    </row>
    <row r="1081" spans="6:8" x14ac:dyDescent="0.2">
      <c r="F1081" s="72">
        <v>32032</v>
      </c>
      <c r="G1081" s="2">
        <v>2172000</v>
      </c>
      <c r="H1081" s="2">
        <v>297000</v>
      </c>
    </row>
    <row r="1082" spans="6:8" x14ac:dyDescent="0.2">
      <c r="F1082" s="72">
        <v>32039</v>
      </c>
      <c r="G1082" s="2">
        <v>2351000</v>
      </c>
      <c r="H1082" s="2">
        <v>309000</v>
      </c>
    </row>
    <row r="1083" spans="6:8" x14ac:dyDescent="0.2">
      <c r="F1083" s="72">
        <v>32046</v>
      </c>
      <c r="G1083" s="2">
        <v>2139000</v>
      </c>
      <c r="H1083" s="2">
        <v>317000</v>
      </c>
    </row>
    <row r="1084" spans="6:8" x14ac:dyDescent="0.2">
      <c r="F1084" s="72">
        <v>32053</v>
      </c>
      <c r="G1084" s="2">
        <v>2151000</v>
      </c>
      <c r="H1084" s="2">
        <v>301000</v>
      </c>
    </row>
    <row r="1085" spans="6:8" x14ac:dyDescent="0.2">
      <c r="F1085" s="72">
        <v>32060</v>
      </c>
      <c r="G1085" s="2">
        <v>2101000</v>
      </c>
      <c r="H1085" s="2">
        <v>308000</v>
      </c>
    </row>
    <row r="1086" spans="6:8" x14ac:dyDescent="0.2">
      <c r="F1086" s="72">
        <v>32067</v>
      </c>
      <c r="G1086" s="2">
        <v>2074000</v>
      </c>
      <c r="H1086" s="2">
        <v>301000</v>
      </c>
    </row>
    <row r="1087" spans="6:8" x14ac:dyDescent="0.2">
      <c r="F1087" s="72">
        <v>32074</v>
      </c>
      <c r="G1087" s="2">
        <v>1966000</v>
      </c>
      <c r="H1087" s="2">
        <v>301000</v>
      </c>
    </row>
    <row r="1088" spans="6:8" x14ac:dyDescent="0.2">
      <c r="F1088" s="72">
        <v>32081</v>
      </c>
      <c r="G1088" s="2">
        <v>1942000</v>
      </c>
      <c r="H1088" s="2">
        <v>289000</v>
      </c>
    </row>
    <row r="1089" spans="6:8" x14ac:dyDescent="0.2">
      <c r="F1089" s="72">
        <v>32088</v>
      </c>
      <c r="G1089" s="2">
        <v>2054000</v>
      </c>
      <c r="H1089" s="2">
        <v>297000</v>
      </c>
    </row>
    <row r="1090" spans="6:8" x14ac:dyDescent="0.2">
      <c r="F1090" s="72">
        <v>32095</v>
      </c>
      <c r="G1090" s="2">
        <v>2109000</v>
      </c>
      <c r="H1090" s="2">
        <v>307000</v>
      </c>
    </row>
    <row r="1091" spans="6:8" x14ac:dyDescent="0.2">
      <c r="F1091" s="72">
        <v>32102</v>
      </c>
      <c r="G1091" s="2">
        <v>2064000</v>
      </c>
      <c r="H1091" s="2">
        <v>317000</v>
      </c>
    </row>
    <row r="1092" spans="6:8" x14ac:dyDescent="0.2">
      <c r="F1092" s="72">
        <v>32109</v>
      </c>
      <c r="G1092" s="2">
        <v>2102000</v>
      </c>
      <c r="H1092" s="2">
        <v>306000</v>
      </c>
    </row>
    <row r="1093" spans="6:8" x14ac:dyDescent="0.2">
      <c r="F1093" s="72">
        <v>32116</v>
      </c>
      <c r="G1093" s="2">
        <v>2125000</v>
      </c>
      <c r="H1093" s="2">
        <v>319000</v>
      </c>
    </row>
    <row r="1094" spans="6:8" x14ac:dyDescent="0.2">
      <c r="F1094" s="72">
        <v>32123</v>
      </c>
      <c r="G1094" s="2">
        <v>2092000</v>
      </c>
      <c r="H1094" s="2">
        <v>317000</v>
      </c>
    </row>
    <row r="1095" spans="6:8" x14ac:dyDescent="0.2">
      <c r="F1095" s="72">
        <v>32130</v>
      </c>
      <c r="G1095" s="2">
        <v>2105000</v>
      </c>
      <c r="H1095" s="2">
        <v>323000</v>
      </c>
    </row>
    <row r="1096" spans="6:8" x14ac:dyDescent="0.2">
      <c r="F1096" s="72">
        <v>32137</v>
      </c>
      <c r="G1096" s="2">
        <v>2140000</v>
      </c>
      <c r="H1096" s="2">
        <v>316000</v>
      </c>
    </row>
    <row r="1097" spans="6:8" x14ac:dyDescent="0.2">
      <c r="F1097" s="72">
        <v>32144</v>
      </c>
      <c r="G1097" s="2">
        <v>2096000</v>
      </c>
      <c r="H1097" s="2">
        <v>315000</v>
      </c>
    </row>
    <row r="1098" spans="6:8" x14ac:dyDescent="0.2">
      <c r="F1098" s="72">
        <v>32151</v>
      </c>
      <c r="G1098" s="2">
        <v>2231000</v>
      </c>
      <c r="H1098" s="2">
        <v>325000</v>
      </c>
    </row>
    <row r="1099" spans="6:8" x14ac:dyDescent="0.2">
      <c r="F1099" s="72">
        <v>32158</v>
      </c>
      <c r="G1099" s="2">
        <v>2186000</v>
      </c>
      <c r="H1099" s="2">
        <v>361000</v>
      </c>
    </row>
    <row r="1100" spans="6:8" x14ac:dyDescent="0.2">
      <c r="F1100" s="72">
        <v>32165</v>
      </c>
      <c r="G1100" s="2">
        <v>2214000</v>
      </c>
      <c r="H1100" s="2">
        <v>335000</v>
      </c>
    </row>
    <row r="1101" spans="6:8" x14ac:dyDescent="0.2">
      <c r="F1101" s="72">
        <v>32172</v>
      </c>
      <c r="G1101" s="2">
        <v>2213000</v>
      </c>
      <c r="H1101" s="2">
        <v>342000</v>
      </c>
    </row>
    <row r="1102" spans="6:8" x14ac:dyDescent="0.2">
      <c r="F1102" s="72">
        <v>32179</v>
      </c>
      <c r="G1102" s="2">
        <v>2180000</v>
      </c>
      <c r="H1102" s="2">
        <v>318000</v>
      </c>
    </row>
    <row r="1103" spans="6:8" x14ac:dyDescent="0.2">
      <c r="F1103" s="72">
        <v>32186</v>
      </c>
      <c r="G1103" s="2">
        <v>2184000</v>
      </c>
      <c r="H1103" s="2">
        <v>311000</v>
      </c>
    </row>
    <row r="1104" spans="6:8" x14ac:dyDescent="0.2">
      <c r="F1104" s="72">
        <v>32193</v>
      </c>
      <c r="G1104" s="2">
        <v>2091000</v>
      </c>
      <c r="H1104" s="2">
        <v>327000</v>
      </c>
    </row>
    <row r="1105" spans="6:8" x14ac:dyDescent="0.2">
      <c r="F1105" s="72">
        <v>32200</v>
      </c>
      <c r="G1105" s="2">
        <v>2111000</v>
      </c>
      <c r="H1105" s="2">
        <v>319000</v>
      </c>
    </row>
    <row r="1106" spans="6:8" x14ac:dyDescent="0.2">
      <c r="F1106" s="72">
        <v>32207</v>
      </c>
      <c r="G1106" s="2">
        <v>2147000</v>
      </c>
      <c r="H1106" s="2">
        <v>307000</v>
      </c>
    </row>
    <row r="1107" spans="6:8" x14ac:dyDescent="0.2">
      <c r="F1107" s="72">
        <v>32214</v>
      </c>
      <c r="G1107" s="2">
        <v>2112000</v>
      </c>
      <c r="H1107" s="2">
        <v>304000</v>
      </c>
    </row>
    <row r="1108" spans="6:8" x14ac:dyDescent="0.2">
      <c r="F1108" s="72">
        <v>32221</v>
      </c>
      <c r="G1108" s="2">
        <v>2112000</v>
      </c>
      <c r="H1108" s="2">
        <v>307000</v>
      </c>
    </row>
    <row r="1109" spans="6:8" x14ac:dyDescent="0.2">
      <c r="F1109" s="72">
        <v>32228</v>
      </c>
      <c r="G1109" s="2">
        <v>2077000</v>
      </c>
      <c r="H1109" s="2">
        <v>304000</v>
      </c>
    </row>
    <row r="1110" spans="6:8" x14ac:dyDescent="0.2">
      <c r="F1110" s="72">
        <v>32235</v>
      </c>
      <c r="G1110" s="2">
        <v>2086000</v>
      </c>
      <c r="H1110" s="2">
        <v>309000</v>
      </c>
    </row>
    <row r="1111" spans="6:8" x14ac:dyDescent="0.2">
      <c r="F1111" s="72">
        <v>32242</v>
      </c>
      <c r="G1111" s="2">
        <v>2104000</v>
      </c>
      <c r="H1111" s="2">
        <v>313000</v>
      </c>
    </row>
    <row r="1112" spans="6:8" x14ac:dyDescent="0.2">
      <c r="F1112" s="72">
        <v>32249</v>
      </c>
      <c r="G1112" s="2">
        <v>2072000</v>
      </c>
      <c r="H1112" s="2">
        <v>314000</v>
      </c>
    </row>
    <row r="1113" spans="6:8" x14ac:dyDescent="0.2">
      <c r="F1113" s="72">
        <v>32256</v>
      </c>
      <c r="G1113" s="2">
        <v>2067000</v>
      </c>
      <c r="H1113" s="2">
        <v>312000</v>
      </c>
    </row>
    <row r="1114" spans="6:8" x14ac:dyDescent="0.2">
      <c r="F1114" s="72">
        <v>32263</v>
      </c>
      <c r="G1114" s="2">
        <v>2077000</v>
      </c>
      <c r="H1114" s="2">
        <v>313000</v>
      </c>
    </row>
    <row r="1115" spans="6:8" x14ac:dyDescent="0.2">
      <c r="F1115" s="72">
        <v>32270</v>
      </c>
      <c r="G1115" s="2">
        <v>2059000</v>
      </c>
      <c r="H1115" s="2">
        <v>309000</v>
      </c>
    </row>
    <row r="1116" spans="6:8" x14ac:dyDescent="0.2">
      <c r="F1116" s="72">
        <v>32277</v>
      </c>
      <c r="G1116" s="2">
        <v>2068000</v>
      </c>
      <c r="H1116" s="2">
        <v>314000</v>
      </c>
    </row>
    <row r="1117" spans="6:8" x14ac:dyDescent="0.2">
      <c r="F1117" s="72">
        <v>32284</v>
      </c>
      <c r="G1117" s="2">
        <v>2099000</v>
      </c>
      <c r="H1117" s="2">
        <v>319000</v>
      </c>
    </row>
    <row r="1118" spans="6:8" x14ac:dyDescent="0.2">
      <c r="F1118" s="72">
        <v>32291</v>
      </c>
      <c r="G1118" s="2">
        <v>2045000</v>
      </c>
      <c r="H1118" s="2">
        <v>313000</v>
      </c>
    </row>
    <row r="1119" spans="6:8" x14ac:dyDescent="0.2">
      <c r="F1119" s="72">
        <v>32298</v>
      </c>
      <c r="G1119" s="2">
        <v>2040000</v>
      </c>
      <c r="H1119" s="2">
        <v>310000</v>
      </c>
    </row>
    <row r="1120" spans="6:8" x14ac:dyDescent="0.2">
      <c r="F1120" s="72">
        <v>32305</v>
      </c>
      <c r="G1120" s="2">
        <v>2068000</v>
      </c>
      <c r="H1120" s="2">
        <v>305000</v>
      </c>
    </row>
    <row r="1121" spans="6:8" x14ac:dyDescent="0.2">
      <c r="F1121" s="72">
        <v>32312</v>
      </c>
      <c r="G1121" s="2">
        <v>2034000</v>
      </c>
      <c r="H1121" s="2">
        <v>311000</v>
      </c>
    </row>
    <row r="1122" spans="6:8" x14ac:dyDescent="0.2">
      <c r="F1122" s="72">
        <v>32319</v>
      </c>
      <c r="G1122" s="2">
        <v>2030000</v>
      </c>
      <c r="H1122" s="2">
        <v>307000</v>
      </c>
    </row>
    <row r="1123" spans="6:8" x14ac:dyDescent="0.2">
      <c r="F1123" s="72">
        <v>32326</v>
      </c>
      <c r="G1123" s="2">
        <v>2035000</v>
      </c>
      <c r="H1123" s="2">
        <v>305000</v>
      </c>
    </row>
    <row r="1124" spans="6:8" x14ac:dyDescent="0.2">
      <c r="F1124" s="72">
        <v>32333</v>
      </c>
      <c r="G1124" s="2">
        <v>2027000</v>
      </c>
      <c r="H1124" s="2">
        <v>303000</v>
      </c>
    </row>
    <row r="1125" spans="6:8" x14ac:dyDescent="0.2">
      <c r="F1125" s="72">
        <v>32340</v>
      </c>
      <c r="G1125" s="2">
        <v>2073000</v>
      </c>
      <c r="H1125" s="2">
        <v>315000</v>
      </c>
    </row>
    <row r="1126" spans="6:8" x14ac:dyDescent="0.2">
      <c r="F1126" s="72">
        <v>32347</v>
      </c>
      <c r="G1126" s="2">
        <v>2083000</v>
      </c>
      <c r="H1126" s="2">
        <v>354000</v>
      </c>
    </row>
    <row r="1127" spans="6:8" x14ac:dyDescent="0.2">
      <c r="F1127" s="72">
        <v>32354</v>
      </c>
      <c r="G1127" s="2">
        <v>2108000</v>
      </c>
      <c r="H1127" s="2">
        <v>331000</v>
      </c>
    </row>
    <row r="1128" spans="6:8" x14ac:dyDescent="0.2">
      <c r="F1128" s="72">
        <v>32361</v>
      </c>
      <c r="G1128" s="2">
        <v>2101000</v>
      </c>
      <c r="H1128" s="2">
        <v>316000</v>
      </c>
    </row>
    <row r="1129" spans="6:8" x14ac:dyDescent="0.2">
      <c r="F1129" s="72">
        <v>32368</v>
      </c>
      <c r="G1129" s="2">
        <v>2070000</v>
      </c>
      <c r="H1129" s="2">
        <v>312000</v>
      </c>
    </row>
    <row r="1130" spans="6:8" x14ac:dyDescent="0.2">
      <c r="F1130" s="72">
        <v>32375</v>
      </c>
      <c r="G1130" s="2">
        <v>2099000</v>
      </c>
      <c r="H1130" s="2">
        <v>316000</v>
      </c>
    </row>
    <row r="1131" spans="6:8" x14ac:dyDescent="0.2">
      <c r="F1131" s="72">
        <v>32382</v>
      </c>
      <c r="G1131" s="2">
        <v>2082000</v>
      </c>
      <c r="H1131" s="2">
        <v>315000</v>
      </c>
    </row>
    <row r="1132" spans="6:8" x14ac:dyDescent="0.2">
      <c r="F1132" s="72">
        <v>32389</v>
      </c>
      <c r="G1132" s="2">
        <v>2091000</v>
      </c>
      <c r="H1132" s="2">
        <v>306000</v>
      </c>
    </row>
    <row r="1133" spans="6:8" x14ac:dyDescent="0.2">
      <c r="F1133" s="72">
        <v>32396</v>
      </c>
      <c r="G1133" s="2">
        <v>2053000</v>
      </c>
      <c r="H1133" s="2">
        <v>305000</v>
      </c>
    </row>
    <row r="1134" spans="6:8" x14ac:dyDescent="0.2">
      <c r="F1134" s="72">
        <v>32403</v>
      </c>
      <c r="G1134" s="2">
        <v>2106000</v>
      </c>
      <c r="H1134" s="2">
        <v>306000</v>
      </c>
    </row>
    <row r="1135" spans="6:8" x14ac:dyDescent="0.2">
      <c r="F1135" s="72">
        <v>32410</v>
      </c>
      <c r="G1135" s="2">
        <v>2053000</v>
      </c>
      <c r="H1135" s="2">
        <v>301000</v>
      </c>
    </row>
    <row r="1136" spans="6:8" x14ac:dyDescent="0.2">
      <c r="F1136" s="72">
        <v>32417</v>
      </c>
      <c r="G1136" s="2">
        <v>2041000</v>
      </c>
      <c r="H1136" s="2">
        <v>292000</v>
      </c>
    </row>
    <row r="1137" spans="6:8" x14ac:dyDescent="0.2">
      <c r="F1137" s="72">
        <v>32424</v>
      </c>
      <c r="G1137" s="2">
        <v>2017000</v>
      </c>
      <c r="H1137" s="2">
        <v>292000</v>
      </c>
    </row>
    <row r="1138" spans="6:8" x14ac:dyDescent="0.2">
      <c r="F1138" s="72">
        <v>32431</v>
      </c>
      <c r="G1138" s="2">
        <v>1994000</v>
      </c>
      <c r="H1138" s="2">
        <v>293000</v>
      </c>
    </row>
    <row r="1139" spans="6:8" x14ac:dyDescent="0.2">
      <c r="F1139" s="72">
        <v>32438</v>
      </c>
      <c r="G1139" s="2">
        <v>2011000</v>
      </c>
      <c r="H1139" s="2">
        <v>286000</v>
      </c>
    </row>
    <row r="1140" spans="6:8" x14ac:dyDescent="0.2">
      <c r="F1140" s="72">
        <v>32445</v>
      </c>
      <c r="G1140" s="2">
        <v>2015000</v>
      </c>
      <c r="H1140" s="2">
        <v>294000</v>
      </c>
    </row>
    <row r="1141" spans="6:8" x14ac:dyDescent="0.2">
      <c r="F1141" s="72">
        <v>32452</v>
      </c>
      <c r="G1141" s="2">
        <v>1898000</v>
      </c>
      <c r="H1141" s="2">
        <v>285000</v>
      </c>
    </row>
    <row r="1142" spans="6:8" x14ac:dyDescent="0.2">
      <c r="F1142" s="72">
        <v>32459</v>
      </c>
      <c r="G1142" s="2">
        <v>2011000</v>
      </c>
      <c r="H1142" s="2">
        <v>284000</v>
      </c>
    </row>
    <row r="1143" spans="6:8" x14ac:dyDescent="0.2">
      <c r="F1143" s="72">
        <v>32466</v>
      </c>
      <c r="G1143" s="2">
        <v>1981000</v>
      </c>
      <c r="H1143" s="2">
        <v>294000</v>
      </c>
    </row>
    <row r="1144" spans="6:8" x14ac:dyDescent="0.2">
      <c r="F1144" s="72">
        <v>32473</v>
      </c>
      <c r="G1144" s="2">
        <v>2023000</v>
      </c>
      <c r="H1144" s="2">
        <v>299000</v>
      </c>
    </row>
    <row r="1145" spans="6:8" x14ac:dyDescent="0.2">
      <c r="F1145" s="72">
        <v>32480</v>
      </c>
      <c r="G1145" s="2">
        <v>2006000</v>
      </c>
      <c r="H1145" s="2">
        <v>298000</v>
      </c>
    </row>
    <row r="1146" spans="6:8" x14ac:dyDescent="0.2">
      <c r="F1146" s="72">
        <v>32487</v>
      </c>
      <c r="G1146" s="2">
        <v>2013000</v>
      </c>
      <c r="H1146" s="2">
        <v>285000</v>
      </c>
    </row>
    <row r="1147" spans="6:8" x14ac:dyDescent="0.2">
      <c r="F1147" s="72">
        <v>32494</v>
      </c>
      <c r="G1147" s="2">
        <v>2054000</v>
      </c>
      <c r="H1147" s="2">
        <v>293000</v>
      </c>
    </row>
    <row r="1148" spans="6:8" x14ac:dyDescent="0.2">
      <c r="F1148" s="72">
        <v>32501</v>
      </c>
      <c r="G1148" s="2">
        <v>2061000</v>
      </c>
      <c r="H1148" s="2">
        <v>286000</v>
      </c>
    </row>
    <row r="1149" spans="6:8" x14ac:dyDescent="0.2">
      <c r="F1149" s="72">
        <v>32508</v>
      </c>
      <c r="G1149" s="2">
        <v>2092000</v>
      </c>
      <c r="H1149" s="2">
        <v>304000</v>
      </c>
    </row>
    <row r="1150" spans="6:8" x14ac:dyDescent="0.2">
      <c r="F1150" s="72">
        <v>32515</v>
      </c>
      <c r="G1150" s="2">
        <v>2056000</v>
      </c>
      <c r="H1150" s="2">
        <v>299000</v>
      </c>
    </row>
    <row r="1151" spans="6:8" x14ac:dyDescent="0.2">
      <c r="F1151" s="72">
        <v>32522</v>
      </c>
      <c r="G1151" s="2">
        <v>2069000</v>
      </c>
      <c r="H1151" s="2">
        <v>283000</v>
      </c>
    </row>
    <row r="1152" spans="6:8" x14ac:dyDescent="0.2">
      <c r="F1152" s="72">
        <v>32529</v>
      </c>
      <c r="G1152" s="2">
        <v>2048000</v>
      </c>
      <c r="H1152" s="2">
        <v>282000</v>
      </c>
    </row>
    <row r="1153" spans="6:8" x14ac:dyDescent="0.2">
      <c r="F1153" s="72">
        <v>32536</v>
      </c>
      <c r="G1153" s="2">
        <v>2071000</v>
      </c>
      <c r="H1153" s="2">
        <v>295000</v>
      </c>
    </row>
    <row r="1154" spans="6:8" x14ac:dyDescent="0.2">
      <c r="F1154" s="72">
        <v>32543</v>
      </c>
      <c r="G1154" s="2">
        <v>2074000</v>
      </c>
      <c r="H1154" s="2">
        <v>288000</v>
      </c>
    </row>
    <row r="1155" spans="6:8" x14ac:dyDescent="0.2">
      <c r="F1155" s="72">
        <v>32550</v>
      </c>
      <c r="G1155" s="2">
        <v>2103000</v>
      </c>
      <c r="H1155" s="2">
        <v>322000</v>
      </c>
    </row>
    <row r="1156" spans="6:8" x14ac:dyDescent="0.2">
      <c r="F1156" s="72">
        <v>32557</v>
      </c>
      <c r="G1156" s="2">
        <v>2111000</v>
      </c>
      <c r="H1156" s="2">
        <v>305000</v>
      </c>
    </row>
    <row r="1157" spans="6:8" x14ac:dyDescent="0.2">
      <c r="F1157" s="72">
        <v>32564</v>
      </c>
      <c r="G1157" s="2">
        <v>2167000</v>
      </c>
      <c r="H1157" s="2">
        <v>300000</v>
      </c>
    </row>
    <row r="1158" spans="6:8" x14ac:dyDescent="0.2">
      <c r="F1158" s="72">
        <v>32571</v>
      </c>
      <c r="G1158" s="2">
        <v>2110000</v>
      </c>
      <c r="H1158" s="2">
        <v>325000</v>
      </c>
    </row>
    <row r="1159" spans="6:8" x14ac:dyDescent="0.2">
      <c r="F1159" s="72">
        <v>32578</v>
      </c>
      <c r="G1159" s="2">
        <v>2163000</v>
      </c>
      <c r="H1159" s="2">
        <v>325000</v>
      </c>
    </row>
    <row r="1160" spans="6:8" x14ac:dyDescent="0.2">
      <c r="F1160" s="72">
        <v>32585</v>
      </c>
      <c r="G1160" s="2">
        <v>2108000</v>
      </c>
      <c r="H1160" s="2">
        <v>319000</v>
      </c>
    </row>
    <row r="1161" spans="6:8" x14ac:dyDescent="0.2">
      <c r="F1161" s="72">
        <v>32592</v>
      </c>
      <c r="G1161" s="2">
        <v>2145000</v>
      </c>
      <c r="H1161" s="2">
        <v>319000</v>
      </c>
    </row>
    <row r="1162" spans="6:8" x14ac:dyDescent="0.2">
      <c r="F1162" s="72">
        <v>32599</v>
      </c>
      <c r="G1162" s="2">
        <v>2117000</v>
      </c>
      <c r="H1162" s="2">
        <v>323000</v>
      </c>
    </row>
    <row r="1163" spans="6:8" x14ac:dyDescent="0.2">
      <c r="F1163" s="72">
        <v>32606</v>
      </c>
      <c r="G1163" s="2">
        <v>2117000</v>
      </c>
      <c r="H1163" s="2">
        <v>314000</v>
      </c>
    </row>
    <row r="1164" spans="6:8" x14ac:dyDescent="0.2">
      <c r="F1164" s="72">
        <v>32613</v>
      </c>
      <c r="G1164" s="2">
        <v>2092000</v>
      </c>
      <c r="H1164" s="2">
        <v>307000</v>
      </c>
    </row>
    <row r="1165" spans="6:8" x14ac:dyDescent="0.2">
      <c r="F1165" s="72">
        <v>32620</v>
      </c>
      <c r="G1165" s="2">
        <v>2104000</v>
      </c>
      <c r="H1165" s="2">
        <v>304000</v>
      </c>
    </row>
    <row r="1166" spans="6:8" x14ac:dyDescent="0.2">
      <c r="F1166" s="72">
        <v>32627</v>
      </c>
      <c r="G1166" s="2">
        <v>2064000</v>
      </c>
      <c r="H1166" s="2">
        <v>311000</v>
      </c>
    </row>
    <row r="1167" spans="6:8" x14ac:dyDescent="0.2">
      <c r="F1167" s="72">
        <v>32634</v>
      </c>
      <c r="G1167" s="2">
        <v>2089000</v>
      </c>
      <c r="H1167" s="2">
        <v>320000</v>
      </c>
    </row>
    <row r="1168" spans="6:8" x14ac:dyDescent="0.2">
      <c r="F1168" s="72">
        <v>32641</v>
      </c>
      <c r="G1168" s="2">
        <v>2144000</v>
      </c>
      <c r="H1168" s="2">
        <v>332000</v>
      </c>
    </row>
    <row r="1169" spans="6:8" x14ac:dyDescent="0.2">
      <c r="F1169" s="72">
        <v>32648</v>
      </c>
      <c r="G1169" s="2">
        <v>2085000</v>
      </c>
      <c r="H1169" s="2">
        <v>321000</v>
      </c>
    </row>
    <row r="1170" spans="6:8" x14ac:dyDescent="0.2">
      <c r="F1170" s="72">
        <v>32655</v>
      </c>
      <c r="G1170" s="2">
        <v>2056000</v>
      </c>
      <c r="H1170" s="2">
        <v>325000</v>
      </c>
    </row>
    <row r="1171" spans="6:8" x14ac:dyDescent="0.2">
      <c r="F1171" s="72">
        <v>32662</v>
      </c>
      <c r="G1171" s="2">
        <v>2117000</v>
      </c>
      <c r="H1171" s="2">
        <v>325000</v>
      </c>
    </row>
    <row r="1172" spans="6:8" x14ac:dyDescent="0.2">
      <c r="F1172" s="72">
        <v>32669</v>
      </c>
      <c r="G1172" s="2">
        <v>2110000</v>
      </c>
      <c r="H1172" s="2">
        <v>332000</v>
      </c>
    </row>
    <row r="1173" spans="6:8" x14ac:dyDescent="0.2">
      <c r="F1173" s="72">
        <v>32676</v>
      </c>
      <c r="G1173" s="2">
        <v>2113000</v>
      </c>
      <c r="H1173" s="2">
        <v>337000</v>
      </c>
    </row>
    <row r="1174" spans="6:8" x14ac:dyDescent="0.2">
      <c r="F1174" s="72">
        <v>32683</v>
      </c>
      <c r="G1174" s="2">
        <v>2151000</v>
      </c>
      <c r="H1174" s="2">
        <v>338000</v>
      </c>
    </row>
    <row r="1175" spans="6:8" x14ac:dyDescent="0.2">
      <c r="F1175" s="72">
        <v>32690</v>
      </c>
      <c r="G1175" s="2">
        <v>2133000</v>
      </c>
      <c r="H1175" s="2">
        <v>349000</v>
      </c>
    </row>
    <row r="1176" spans="6:8" x14ac:dyDescent="0.2">
      <c r="F1176" s="72">
        <v>32697</v>
      </c>
      <c r="G1176" s="2">
        <v>2207000</v>
      </c>
      <c r="H1176" s="2">
        <v>341000</v>
      </c>
    </row>
    <row r="1177" spans="6:8" x14ac:dyDescent="0.2">
      <c r="F1177" s="72">
        <v>32704</v>
      </c>
      <c r="G1177" s="2">
        <v>2217000</v>
      </c>
      <c r="H1177" s="2">
        <v>349000</v>
      </c>
    </row>
    <row r="1178" spans="6:8" x14ac:dyDescent="0.2">
      <c r="F1178" s="72">
        <v>32711</v>
      </c>
      <c r="G1178" s="2">
        <v>2159000</v>
      </c>
      <c r="H1178" s="2">
        <v>332000</v>
      </c>
    </row>
    <row r="1179" spans="6:8" x14ac:dyDescent="0.2">
      <c r="F1179" s="72">
        <v>32718</v>
      </c>
      <c r="G1179" s="2">
        <v>2181000</v>
      </c>
      <c r="H1179" s="2">
        <v>337000</v>
      </c>
    </row>
    <row r="1180" spans="6:8" x14ac:dyDescent="0.2">
      <c r="F1180" s="72">
        <v>32725</v>
      </c>
      <c r="G1180" s="2">
        <v>2236000</v>
      </c>
      <c r="H1180" s="2">
        <v>338000</v>
      </c>
    </row>
    <row r="1181" spans="6:8" x14ac:dyDescent="0.2">
      <c r="F1181" s="72">
        <v>32732</v>
      </c>
      <c r="G1181" s="2">
        <v>2214000</v>
      </c>
      <c r="H1181" s="2">
        <v>341000</v>
      </c>
    </row>
    <row r="1182" spans="6:8" x14ac:dyDescent="0.2">
      <c r="F1182" s="72">
        <v>32739</v>
      </c>
      <c r="G1182" s="2">
        <v>2195000</v>
      </c>
      <c r="H1182" s="2">
        <v>327000</v>
      </c>
    </row>
    <row r="1183" spans="6:8" x14ac:dyDescent="0.2">
      <c r="F1183" s="72">
        <v>32746</v>
      </c>
      <c r="G1183" s="2">
        <v>2184000</v>
      </c>
      <c r="H1183" s="2">
        <v>332000</v>
      </c>
    </row>
    <row r="1184" spans="6:8" x14ac:dyDescent="0.2">
      <c r="F1184" s="72">
        <v>32753</v>
      </c>
      <c r="G1184" s="2">
        <v>2199000</v>
      </c>
      <c r="H1184" s="2">
        <v>329000</v>
      </c>
    </row>
    <row r="1185" spans="6:8" x14ac:dyDescent="0.2">
      <c r="F1185" s="72">
        <v>32760</v>
      </c>
      <c r="G1185" s="2">
        <v>2207000</v>
      </c>
      <c r="H1185" s="2">
        <v>336000</v>
      </c>
    </row>
    <row r="1186" spans="6:8" x14ac:dyDescent="0.2">
      <c r="F1186" s="72">
        <v>32767</v>
      </c>
      <c r="G1186" s="2">
        <v>2169000</v>
      </c>
      <c r="H1186" s="2">
        <v>334000</v>
      </c>
    </row>
    <row r="1187" spans="6:8" x14ac:dyDescent="0.2">
      <c r="F1187" s="72">
        <v>32774</v>
      </c>
      <c r="G1187" s="2">
        <v>2249000</v>
      </c>
      <c r="H1187" s="2">
        <v>334000</v>
      </c>
    </row>
    <row r="1188" spans="6:8" x14ac:dyDescent="0.2">
      <c r="F1188" s="72">
        <v>32781</v>
      </c>
      <c r="G1188" s="2">
        <v>2220000</v>
      </c>
      <c r="H1188" s="2">
        <v>347000</v>
      </c>
    </row>
    <row r="1189" spans="6:8" x14ac:dyDescent="0.2">
      <c r="F1189" s="72">
        <v>32788</v>
      </c>
      <c r="G1189" s="2">
        <v>2279000</v>
      </c>
      <c r="H1189" s="2">
        <v>407000</v>
      </c>
    </row>
    <row r="1190" spans="6:8" x14ac:dyDescent="0.2">
      <c r="F1190" s="72">
        <v>32795</v>
      </c>
      <c r="G1190" s="2">
        <v>2293000</v>
      </c>
      <c r="H1190" s="2">
        <v>345000</v>
      </c>
    </row>
    <row r="1191" spans="6:8" x14ac:dyDescent="0.2">
      <c r="F1191" s="72">
        <v>32802</v>
      </c>
      <c r="G1191" s="2">
        <v>2295000</v>
      </c>
      <c r="H1191" s="2">
        <v>347000</v>
      </c>
    </row>
    <row r="1192" spans="6:8" x14ac:dyDescent="0.2">
      <c r="F1192" s="72">
        <v>32809</v>
      </c>
      <c r="G1192" s="2">
        <v>2257000</v>
      </c>
      <c r="H1192" s="2">
        <v>354000</v>
      </c>
    </row>
    <row r="1193" spans="6:8" x14ac:dyDescent="0.2">
      <c r="F1193" s="72">
        <v>32816</v>
      </c>
      <c r="G1193" s="2">
        <v>2280000</v>
      </c>
      <c r="H1193" s="2">
        <v>333000</v>
      </c>
    </row>
    <row r="1194" spans="6:8" x14ac:dyDescent="0.2">
      <c r="F1194" s="72">
        <v>32823</v>
      </c>
      <c r="G1194" s="2">
        <v>2271000</v>
      </c>
      <c r="H1194" s="2">
        <v>336000</v>
      </c>
    </row>
    <row r="1195" spans="6:8" x14ac:dyDescent="0.2">
      <c r="F1195" s="72">
        <v>32830</v>
      </c>
      <c r="G1195" s="2">
        <v>2289000</v>
      </c>
      <c r="H1195" s="2">
        <v>336000</v>
      </c>
    </row>
    <row r="1196" spans="6:8" x14ac:dyDescent="0.2">
      <c r="F1196" s="72">
        <v>32837</v>
      </c>
      <c r="G1196" s="2">
        <v>2300000</v>
      </c>
      <c r="H1196" s="2">
        <v>342000</v>
      </c>
    </row>
    <row r="1197" spans="6:8" x14ac:dyDescent="0.2">
      <c r="F1197" s="72">
        <v>32844</v>
      </c>
      <c r="G1197" s="2">
        <v>2271000</v>
      </c>
      <c r="H1197" s="2">
        <v>344000</v>
      </c>
    </row>
    <row r="1198" spans="6:8" x14ac:dyDescent="0.2">
      <c r="F1198" s="72">
        <v>32851</v>
      </c>
      <c r="G1198" s="2">
        <v>2265000</v>
      </c>
      <c r="H1198" s="2">
        <v>338000</v>
      </c>
    </row>
    <row r="1199" spans="6:8" x14ac:dyDescent="0.2">
      <c r="F1199" s="72">
        <v>32858</v>
      </c>
      <c r="G1199" s="2">
        <v>2295000</v>
      </c>
      <c r="H1199" s="2">
        <v>355000</v>
      </c>
    </row>
    <row r="1200" spans="6:8" x14ac:dyDescent="0.2">
      <c r="F1200" s="72">
        <v>32865</v>
      </c>
      <c r="G1200" s="2">
        <v>2292000</v>
      </c>
      <c r="H1200" s="2">
        <v>381000</v>
      </c>
    </row>
    <row r="1201" spans="6:8" x14ac:dyDescent="0.2">
      <c r="F1201" s="72">
        <v>32872</v>
      </c>
      <c r="G1201" s="2">
        <v>2302000</v>
      </c>
      <c r="H1201" s="2">
        <v>358000</v>
      </c>
    </row>
    <row r="1202" spans="6:8" x14ac:dyDescent="0.2">
      <c r="F1202" s="72">
        <v>32879</v>
      </c>
      <c r="G1202" s="2">
        <v>2347000</v>
      </c>
      <c r="H1202" s="2">
        <v>355000</v>
      </c>
    </row>
    <row r="1203" spans="6:8" x14ac:dyDescent="0.2">
      <c r="F1203" s="72">
        <v>32886</v>
      </c>
      <c r="G1203" s="2">
        <v>2349000</v>
      </c>
      <c r="H1203" s="2">
        <v>369000</v>
      </c>
    </row>
    <row r="1204" spans="6:8" x14ac:dyDescent="0.2">
      <c r="F1204" s="72">
        <v>32893</v>
      </c>
      <c r="G1204" s="2">
        <v>2407000</v>
      </c>
      <c r="H1204" s="2">
        <v>375000</v>
      </c>
    </row>
    <row r="1205" spans="6:8" x14ac:dyDescent="0.2">
      <c r="F1205" s="72">
        <v>32900</v>
      </c>
      <c r="G1205" s="2">
        <v>2316000</v>
      </c>
      <c r="H1205" s="2">
        <v>345000</v>
      </c>
    </row>
    <row r="1206" spans="6:8" x14ac:dyDescent="0.2">
      <c r="F1206" s="72">
        <v>32907</v>
      </c>
      <c r="G1206" s="2">
        <v>2364000</v>
      </c>
      <c r="H1206" s="2">
        <v>368000</v>
      </c>
    </row>
    <row r="1207" spans="6:8" x14ac:dyDescent="0.2">
      <c r="F1207" s="72">
        <v>32914</v>
      </c>
      <c r="G1207" s="2">
        <v>2323000</v>
      </c>
      <c r="H1207" s="2">
        <v>367000</v>
      </c>
    </row>
    <row r="1208" spans="6:8" x14ac:dyDescent="0.2">
      <c r="F1208" s="72">
        <v>32921</v>
      </c>
      <c r="G1208" s="2">
        <v>2382000</v>
      </c>
      <c r="H1208" s="2">
        <v>348000</v>
      </c>
    </row>
    <row r="1209" spans="6:8" x14ac:dyDescent="0.2">
      <c r="F1209" s="72">
        <v>32928</v>
      </c>
      <c r="G1209" s="2">
        <v>2347000</v>
      </c>
      <c r="H1209" s="2">
        <v>350000</v>
      </c>
    </row>
    <row r="1210" spans="6:8" x14ac:dyDescent="0.2">
      <c r="F1210" s="72">
        <v>32935</v>
      </c>
      <c r="G1210" s="2">
        <v>2385000</v>
      </c>
      <c r="H1210" s="2">
        <v>351000</v>
      </c>
    </row>
    <row r="1211" spans="6:8" x14ac:dyDescent="0.2">
      <c r="F1211" s="72">
        <v>32942</v>
      </c>
      <c r="G1211" s="2">
        <v>2341000</v>
      </c>
      <c r="H1211" s="2">
        <v>349000</v>
      </c>
    </row>
    <row r="1212" spans="6:8" x14ac:dyDescent="0.2">
      <c r="F1212" s="72">
        <v>32949</v>
      </c>
      <c r="G1212" s="2">
        <v>2384000</v>
      </c>
      <c r="H1212" s="2">
        <v>349000</v>
      </c>
    </row>
    <row r="1213" spans="6:8" x14ac:dyDescent="0.2">
      <c r="F1213" s="72">
        <v>32956</v>
      </c>
      <c r="G1213" s="2">
        <v>2344000</v>
      </c>
      <c r="H1213" s="2">
        <v>331000</v>
      </c>
    </row>
    <row r="1214" spans="6:8" x14ac:dyDescent="0.2">
      <c r="F1214" s="72">
        <v>32963</v>
      </c>
      <c r="G1214" s="2">
        <v>2365000</v>
      </c>
      <c r="H1214" s="2">
        <v>346000</v>
      </c>
    </row>
    <row r="1215" spans="6:8" x14ac:dyDescent="0.2">
      <c r="F1215" s="72">
        <v>32970</v>
      </c>
      <c r="G1215" s="2">
        <v>2323000</v>
      </c>
      <c r="H1215" s="2">
        <v>367000</v>
      </c>
    </row>
    <row r="1216" spans="6:8" x14ac:dyDescent="0.2">
      <c r="F1216" s="72">
        <v>32977</v>
      </c>
      <c r="G1216" s="2">
        <v>2410000</v>
      </c>
      <c r="H1216" s="2">
        <v>357000</v>
      </c>
    </row>
    <row r="1217" spans="6:8" x14ac:dyDescent="0.2">
      <c r="F1217" s="72">
        <v>32984</v>
      </c>
      <c r="G1217" s="2">
        <v>2385000</v>
      </c>
      <c r="H1217" s="2">
        <v>360000</v>
      </c>
    </row>
    <row r="1218" spans="6:8" x14ac:dyDescent="0.2">
      <c r="F1218" s="72">
        <v>32991</v>
      </c>
      <c r="G1218" s="2">
        <v>2403000</v>
      </c>
      <c r="H1218" s="2">
        <v>363000</v>
      </c>
    </row>
    <row r="1219" spans="6:8" x14ac:dyDescent="0.2">
      <c r="F1219" s="72">
        <v>32998</v>
      </c>
      <c r="G1219" s="2">
        <v>2374000</v>
      </c>
      <c r="H1219" s="2">
        <v>354000</v>
      </c>
    </row>
    <row r="1220" spans="6:8" x14ac:dyDescent="0.2">
      <c r="F1220" s="72">
        <v>33005</v>
      </c>
      <c r="G1220" s="2">
        <v>2374000</v>
      </c>
      <c r="H1220" s="2">
        <v>355000</v>
      </c>
    </row>
    <row r="1221" spans="6:8" x14ac:dyDescent="0.2">
      <c r="F1221" s="72">
        <v>33012</v>
      </c>
      <c r="G1221" s="2">
        <v>2381000</v>
      </c>
      <c r="H1221" s="2">
        <v>353000</v>
      </c>
    </row>
    <row r="1222" spans="6:8" x14ac:dyDescent="0.2">
      <c r="F1222" s="72">
        <v>33019</v>
      </c>
      <c r="G1222" s="2">
        <v>2431000</v>
      </c>
      <c r="H1222" s="2">
        <v>359000</v>
      </c>
    </row>
    <row r="1223" spans="6:8" x14ac:dyDescent="0.2">
      <c r="F1223" s="72">
        <v>33026</v>
      </c>
      <c r="G1223" s="2">
        <v>2406000</v>
      </c>
      <c r="H1223" s="2">
        <v>368000</v>
      </c>
    </row>
    <row r="1224" spans="6:8" x14ac:dyDescent="0.2">
      <c r="F1224" s="72">
        <v>33033</v>
      </c>
      <c r="G1224" s="2">
        <v>2438000</v>
      </c>
      <c r="H1224" s="2">
        <v>359000</v>
      </c>
    </row>
    <row r="1225" spans="6:8" x14ac:dyDescent="0.2">
      <c r="F1225" s="72">
        <v>33040</v>
      </c>
      <c r="G1225" s="2">
        <v>2402000</v>
      </c>
      <c r="H1225" s="2">
        <v>359000</v>
      </c>
    </row>
    <row r="1226" spans="6:8" x14ac:dyDescent="0.2">
      <c r="F1226" s="72">
        <v>33047</v>
      </c>
      <c r="G1226" s="2">
        <v>2431000</v>
      </c>
      <c r="H1226" s="2">
        <v>362000</v>
      </c>
    </row>
    <row r="1227" spans="6:8" x14ac:dyDescent="0.2">
      <c r="F1227" s="72">
        <v>33054</v>
      </c>
      <c r="G1227" s="2">
        <v>2442000</v>
      </c>
      <c r="H1227" s="2">
        <v>364000</v>
      </c>
    </row>
    <row r="1228" spans="6:8" x14ac:dyDescent="0.2">
      <c r="F1228" s="72">
        <v>33061</v>
      </c>
      <c r="G1228" s="2">
        <v>2487000</v>
      </c>
      <c r="H1228" s="2">
        <v>362000</v>
      </c>
    </row>
    <row r="1229" spans="6:8" x14ac:dyDescent="0.2">
      <c r="F1229" s="72">
        <v>33068</v>
      </c>
      <c r="G1229" s="2">
        <v>2498000</v>
      </c>
      <c r="H1229" s="2">
        <v>367000</v>
      </c>
    </row>
    <row r="1230" spans="6:8" x14ac:dyDescent="0.2">
      <c r="F1230" s="72">
        <v>33075</v>
      </c>
      <c r="G1230" s="2">
        <v>2441000</v>
      </c>
      <c r="H1230" s="2">
        <v>370000</v>
      </c>
    </row>
    <row r="1231" spans="6:8" x14ac:dyDescent="0.2">
      <c r="F1231" s="72">
        <v>33082</v>
      </c>
      <c r="G1231" s="2">
        <v>2461000</v>
      </c>
      <c r="H1231" s="2">
        <v>369000</v>
      </c>
    </row>
    <row r="1232" spans="6:8" x14ac:dyDescent="0.2">
      <c r="F1232" s="72">
        <v>33089</v>
      </c>
      <c r="G1232" s="2">
        <v>2460000</v>
      </c>
      <c r="H1232" s="2">
        <v>369000</v>
      </c>
    </row>
    <row r="1233" spans="6:8" x14ac:dyDescent="0.2">
      <c r="F1233" s="72">
        <v>33096</v>
      </c>
      <c r="G1233" s="2">
        <v>2500000</v>
      </c>
      <c r="H1233" s="2">
        <v>381000</v>
      </c>
    </row>
    <row r="1234" spans="6:8" x14ac:dyDescent="0.2">
      <c r="F1234" s="72">
        <v>33103</v>
      </c>
      <c r="G1234" s="2">
        <v>2537000</v>
      </c>
      <c r="H1234" s="2">
        <v>393000</v>
      </c>
    </row>
    <row r="1235" spans="6:8" x14ac:dyDescent="0.2">
      <c r="F1235" s="72">
        <v>33110</v>
      </c>
      <c r="G1235" s="2">
        <v>2540000</v>
      </c>
      <c r="H1235" s="2">
        <v>394000</v>
      </c>
    </row>
    <row r="1236" spans="6:8" x14ac:dyDescent="0.2">
      <c r="F1236" s="72">
        <v>33117</v>
      </c>
      <c r="G1236" s="2">
        <v>2579000</v>
      </c>
      <c r="H1236" s="2">
        <v>392000</v>
      </c>
    </row>
    <row r="1237" spans="6:8" x14ac:dyDescent="0.2">
      <c r="F1237" s="72">
        <v>33124</v>
      </c>
      <c r="G1237" s="2">
        <v>2585000</v>
      </c>
      <c r="H1237" s="2">
        <v>390000</v>
      </c>
    </row>
    <row r="1238" spans="6:8" x14ac:dyDescent="0.2">
      <c r="F1238" s="72">
        <v>33131</v>
      </c>
      <c r="G1238" s="2">
        <v>2591000</v>
      </c>
      <c r="H1238" s="2">
        <v>395000</v>
      </c>
    </row>
    <row r="1239" spans="6:8" x14ac:dyDescent="0.2">
      <c r="F1239" s="72">
        <v>33138</v>
      </c>
      <c r="G1239" s="2">
        <v>2578000</v>
      </c>
      <c r="H1239" s="2">
        <v>389000</v>
      </c>
    </row>
    <row r="1240" spans="6:8" x14ac:dyDescent="0.2">
      <c r="F1240" s="72">
        <v>33145</v>
      </c>
      <c r="G1240" s="2">
        <v>2644000</v>
      </c>
      <c r="H1240" s="2">
        <v>404000</v>
      </c>
    </row>
    <row r="1241" spans="6:8" x14ac:dyDescent="0.2">
      <c r="F1241" s="72">
        <v>33152</v>
      </c>
      <c r="G1241" s="2">
        <v>2621000</v>
      </c>
      <c r="H1241" s="2">
        <v>404000</v>
      </c>
    </row>
    <row r="1242" spans="6:8" x14ac:dyDescent="0.2">
      <c r="F1242" s="72">
        <v>33159</v>
      </c>
      <c r="G1242" s="2">
        <v>2753000</v>
      </c>
      <c r="H1242" s="2">
        <v>422000</v>
      </c>
    </row>
    <row r="1243" spans="6:8" x14ac:dyDescent="0.2">
      <c r="F1243" s="72">
        <v>33166</v>
      </c>
      <c r="G1243" s="2">
        <v>2722000</v>
      </c>
      <c r="H1243" s="2">
        <v>435000</v>
      </c>
    </row>
    <row r="1244" spans="6:8" x14ac:dyDescent="0.2">
      <c r="F1244" s="72">
        <v>33173</v>
      </c>
      <c r="G1244" s="2">
        <v>2787000</v>
      </c>
      <c r="H1244" s="2">
        <v>440000</v>
      </c>
    </row>
    <row r="1245" spans="6:8" x14ac:dyDescent="0.2">
      <c r="F1245" s="72">
        <v>33180</v>
      </c>
      <c r="G1245" s="2">
        <v>2813000</v>
      </c>
      <c r="H1245" s="2">
        <v>430000</v>
      </c>
    </row>
    <row r="1246" spans="6:8" x14ac:dyDescent="0.2">
      <c r="F1246" s="72">
        <v>33187</v>
      </c>
      <c r="G1246" s="2">
        <v>2789000</v>
      </c>
      <c r="H1246" s="2">
        <v>448000</v>
      </c>
    </row>
    <row r="1247" spans="6:8" x14ac:dyDescent="0.2">
      <c r="F1247" s="72">
        <v>33194</v>
      </c>
      <c r="G1247" s="2">
        <v>2996000</v>
      </c>
      <c r="H1247" s="2">
        <v>447000</v>
      </c>
    </row>
    <row r="1248" spans="6:8" x14ac:dyDescent="0.2">
      <c r="F1248" s="72">
        <v>33201</v>
      </c>
      <c r="G1248" s="2">
        <v>2955000</v>
      </c>
      <c r="H1248" s="2">
        <v>462000</v>
      </c>
    </row>
    <row r="1249" spans="6:8" x14ac:dyDescent="0.2">
      <c r="F1249" s="72">
        <v>33208</v>
      </c>
      <c r="G1249" s="2">
        <v>2918000</v>
      </c>
      <c r="H1249" s="2">
        <v>451000</v>
      </c>
    </row>
    <row r="1250" spans="6:8" x14ac:dyDescent="0.2">
      <c r="F1250" s="72">
        <v>33215</v>
      </c>
      <c r="G1250" s="2">
        <v>3000000</v>
      </c>
      <c r="H1250" s="2">
        <v>449000</v>
      </c>
    </row>
    <row r="1251" spans="6:8" x14ac:dyDescent="0.2">
      <c r="F1251" s="72">
        <v>33222</v>
      </c>
      <c r="G1251" s="2">
        <v>2984000</v>
      </c>
      <c r="H1251" s="2">
        <v>447000</v>
      </c>
    </row>
    <row r="1252" spans="6:8" x14ac:dyDescent="0.2">
      <c r="F1252" s="72">
        <v>33229</v>
      </c>
      <c r="G1252" s="2">
        <v>3001000</v>
      </c>
      <c r="H1252" s="2">
        <v>474000</v>
      </c>
    </row>
    <row r="1253" spans="6:8" x14ac:dyDescent="0.2">
      <c r="F1253" s="72">
        <v>33236</v>
      </c>
      <c r="G1253" s="2">
        <v>2938000</v>
      </c>
      <c r="H1253" s="2">
        <v>454000</v>
      </c>
    </row>
    <row r="1254" spans="6:8" x14ac:dyDescent="0.2">
      <c r="F1254" s="72">
        <v>33243</v>
      </c>
      <c r="G1254" s="2">
        <v>3062000</v>
      </c>
      <c r="H1254" s="2">
        <v>415000</v>
      </c>
    </row>
    <row r="1255" spans="6:8" x14ac:dyDescent="0.2">
      <c r="F1255" s="72">
        <v>33250</v>
      </c>
      <c r="G1255" s="2">
        <v>3111000</v>
      </c>
      <c r="H1255" s="2">
        <v>437000</v>
      </c>
    </row>
    <row r="1256" spans="6:8" x14ac:dyDescent="0.2">
      <c r="F1256" s="72">
        <v>33257</v>
      </c>
      <c r="G1256" s="2">
        <v>3017000</v>
      </c>
      <c r="H1256" s="2">
        <v>445000</v>
      </c>
    </row>
    <row r="1257" spans="6:8" x14ac:dyDescent="0.2">
      <c r="F1257" s="72">
        <v>33264</v>
      </c>
      <c r="G1257" s="2">
        <v>3162000</v>
      </c>
      <c r="H1257" s="2">
        <v>462000</v>
      </c>
    </row>
    <row r="1258" spans="6:8" x14ac:dyDescent="0.2">
      <c r="F1258" s="72">
        <v>33271</v>
      </c>
      <c r="G1258" s="2">
        <v>3228000</v>
      </c>
      <c r="H1258" s="2">
        <v>483000</v>
      </c>
    </row>
    <row r="1259" spans="6:8" x14ac:dyDescent="0.2">
      <c r="F1259" s="72">
        <v>33278</v>
      </c>
      <c r="G1259" s="2">
        <v>3226000</v>
      </c>
      <c r="H1259" s="2">
        <v>480000</v>
      </c>
    </row>
    <row r="1260" spans="6:8" x14ac:dyDescent="0.2">
      <c r="F1260" s="72">
        <v>33285</v>
      </c>
      <c r="G1260" s="2">
        <v>3293000</v>
      </c>
      <c r="H1260" s="2">
        <v>474000</v>
      </c>
    </row>
    <row r="1261" spans="6:8" x14ac:dyDescent="0.2">
      <c r="F1261" s="72">
        <v>33292</v>
      </c>
      <c r="G1261" s="2">
        <v>3304000</v>
      </c>
      <c r="H1261" s="2">
        <v>499000</v>
      </c>
    </row>
    <row r="1262" spans="6:8" x14ac:dyDescent="0.2">
      <c r="F1262" s="72">
        <v>33299</v>
      </c>
      <c r="G1262" s="2">
        <v>3357000</v>
      </c>
      <c r="H1262" s="2">
        <v>488000</v>
      </c>
    </row>
    <row r="1263" spans="6:8" x14ac:dyDescent="0.2">
      <c r="F1263" s="72">
        <v>33306</v>
      </c>
      <c r="G1263" s="2">
        <v>3384000</v>
      </c>
      <c r="H1263" s="2">
        <v>499000</v>
      </c>
    </row>
    <row r="1264" spans="6:8" x14ac:dyDescent="0.2">
      <c r="F1264" s="72">
        <v>33313</v>
      </c>
      <c r="G1264" s="2">
        <v>3448000</v>
      </c>
      <c r="H1264" s="2">
        <v>498000</v>
      </c>
    </row>
    <row r="1265" spans="6:8" x14ac:dyDescent="0.2">
      <c r="F1265" s="72">
        <v>33320</v>
      </c>
      <c r="G1265" s="2">
        <v>3404000</v>
      </c>
      <c r="H1265" s="2">
        <v>509000</v>
      </c>
    </row>
    <row r="1266" spans="6:8" x14ac:dyDescent="0.2">
      <c r="F1266" s="72">
        <v>33327</v>
      </c>
      <c r="G1266" s="2">
        <v>3502000</v>
      </c>
      <c r="H1266" s="2">
        <v>499000</v>
      </c>
    </row>
    <row r="1267" spans="6:8" x14ac:dyDescent="0.2">
      <c r="F1267" s="72">
        <v>33334</v>
      </c>
      <c r="G1267" s="2">
        <v>3493000</v>
      </c>
      <c r="H1267" s="2">
        <v>452000</v>
      </c>
    </row>
    <row r="1268" spans="6:8" x14ac:dyDescent="0.2">
      <c r="F1268" s="72">
        <v>33341</v>
      </c>
      <c r="G1268" s="2">
        <v>3464000</v>
      </c>
      <c r="H1268" s="2">
        <v>477000</v>
      </c>
    </row>
    <row r="1269" spans="6:8" x14ac:dyDescent="0.2">
      <c r="F1269" s="72">
        <v>33348</v>
      </c>
      <c r="G1269" s="2">
        <v>3502000</v>
      </c>
      <c r="H1269" s="2">
        <v>478000</v>
      </c>
    </row>
    <row r="1270" spans="6:8" x14ac:dyDescent="0.2">
      <c r="F1270" s="72">
        <v>33355</v>
      </c>
      <c r="G1270" s="2">
        <v>3474000</v>
      </c>
      <c r="H1270" s="2">
        <v>462000</v>
      </c>
    </row>
    <row r="1271" spans="6:8" x14ac:dyDescent="0.2">
      <c r="F1271" s="72">
        <v>33362</v>
      </c>
      <c r="G1271" s="2">
        <v>3524000</v>
      </c>
      <c r="H1271" s="2">
        <v>451000</v>
      </c>
    </row>
    <row r="1272" spans="6:8" x14ac:dyDescent="0.2">
      <c r="F1272" s="72">
        <v>33369</v>
      </c>
      <c r="G1272" s="2">
        <v>3492000</v>
      </c>
      <c r="H1272" s="2">
        <v>446000</v>
      </c>
    </row>
    <row r="1273" spans="6:8" x14ac:dyDescent="0.2">
      <c r="F1273" s="72">
        <v>33376</v>
      </c>
      <c r="G1273" s="2">
        <v>3459000</v>
      </c>
      <c r="H1273" s="2">
        <v>448000</v>
      </c>
    </row>
    <row r="1274" spans="6:8" x14ac:dyDescent="0.2">
      <c r="F1274" s="72">
        <v>33383</v>
      </c>
      <c r="G1274" s="2">
        <v>3472000</v>
      </c>
      <c r="H1274" s="2">
        <v>443000</v>
      </c>
    </row>
    <row r="1275" spans="6:8" x14ac:dyDescent="0.2">
      <c r="F1275" s="72">
        <v>33390</v>
      </c>
      <c r="G1275" s="2">
        <v>3522000</v>
      </c>
      <c r="H1275" s="2">
        <v>432000</v>
      </c>
    </row>
    <row r="1276" spans="6:8" x14ac:dyDescent="0.2">
      <c r="F1276" s="72">
        <v>33397</v>
      </c>
      <c r="G1276" s="2">
        <v>3439000</v>
      </c>
      <c r="H1276" s="2">
        <v>441000</v>
      </c>
    </row>
    <row r="1277" spans="6:8" x14ac:dyDescent="0.2">
      <c r="F1277" s="72">
        <v>33404</v>
      </c>
      <c r="G1277" s="2">
        <v>3428000</v>
      </c>
      <c r="H1277" s="2">
        <v>429000</v>
      </c>
    </row>
    <row r="1278" spans="6:8" x14ac:dyDescent="0.2">
      <c r="F1278" s="72">
        <v>33411</v>
      </c>
      <c r="G1278" s="2">
        <v>3389000</v>
      </c>
      <c r="H1278" s="2">
        <v>423000</v>
      </c>
    </row>
    <row r="1279" spans="6:8" x14ac:dyDescent="0.2">
      <c r="F1279" s="72">
        <v>33418</v>
      </c>
      <c r="G1279" s="2">
        <v>3356000</v>
      </c>
      <c r="H1279" s="2">
        <v>418000</v>
      </c>
    </row>
    <row r="1280" spans="6:8" x14ac:dyDescent="0.2">
      <c r="F1280" s="72">
        <v>33425</v>
      </c>
      <c r="G1280" s="2">
        <v>3393000</v>
      </c>
      <c r="H1280" s="2">
        <v>422000</v>
      </c>
    </row>
    <row r="1281" spans="6:8" x14ac:dyDescent="0.2">
      <c r="F1281" s="72">
        <v>33432</v>
      </c>
      <c r="G1281" s="2">
        <v>3255000</v>
      </c>
      <c r="H1281" s="2">
        <v>420000</v>
      </c>
    </row>
    <row r="1282" spans="6:8" x14ac:dyDescent="0.2">
      <c r="F1282" s="72">
        <v>33439</v>
      </c>
      <c r="G1282" s="2">
        <v>3276000</v>
      </c>
      <c r="H1282" s="2">
        <v>408000</v>
      </c>
    </row>
    <row r="1283" spans="6:8" x14ac:dyDescent="0.2">
      <c r="F1283" s="72">
        <v>33446</v>
      </c>
      <c r="G1283" s="2">
        <v>3306000</v>
      </c>
      <c r="H1283" s="2">
        <v>423000</v>
      </c>
    </row>
    <row r="1284" spans="6:8" x14ac:dyDescent="0.2">
      <c r="F1284" s="72">
        <v>33453</v>
      </c>
      <c r="G1284" s="2">
        <v>3307000</v>
      </c>
      <c r="H1284" s="2">
        <v>438000</v>
      </c>
    </row>
    <row r="1285" spans="6:8" x14ac:dyDescent="0.2">
      <c r="F1285" s="72">
        <v>33460</v>
      </c>
      <c r="G1285" s="2">
        <v>3314000</v>
      </c>
      <c r="H1285" s="2">
        <v>437000</v>
      </c>
    </row>
    <row r="1286" spans="6:8" x14ac:dyDescent="0.2">
      <c r="F1286" s="72">
        <v>33467</v>
      </c>
      <c r="G1286" s="2">
        <v>3282000</v>
      </c>
      <c r="H1286" s="2">
        <v>433000</v>
      </c>
    </row>
    <row r="1287" spans="6:8" x14ac:dyDescent="0.2">
      <c r="F1287" s="72">
        <v>33474</v>
      </c>
      <c r="G1287" s="2">
        <v>3277000</v>
      </c>
      <c r="H1287" s="2">
        <v>425000</v>
      </c>
    </row>
    <row r="1288" spans="6:8" x14ac:dyDescent="0.2">
      <c r="F1288" s="72">
        <v>33481</v>
      </c>
      <c r="G1288" s="2">
        <v>3279000</v>
      </c>
      <c r="H1288" s="2">
        <v>425000</v>
      </c>
    </row>
    <row r="1289" spans="6:8" x14ac:dyDescent="0.2">
      <c r="F1289" s="72">
        <v>33488</v>
      </c>
      <c r="G1289" s="2">
        <v>3326000</v>
      </c>
      <c r="H1289" s="2">
        <v>424000</v>
      </c>
    </row>
    <row r="1290" spans="6:8" x14ac:dyDescent="0.2">
      <c r="F1290" s="72">
        <v>33495</v>
      </c>
      <c r="G1290" s="2">
        <v>3275000</v>
      </c>
      <c r="H1290" s="2">
        <v>418000</v>
      </c>
    </row>
    <row r="1291" spans="6:8" x14ac:dyDescent="0.2">
      <c r="F1291" s="72">
        <v>33502</v>
      </c>
      <c r="G1291" s="2">
        <v>3294000</v>
      </c>
      <c r="H1291" s="2">
        <v>419000</v>
      </c>
    </row>
    <row r="1292" spans="6:8" x14ac:dyDescent="0.2">
      <c r="F1292" s="72">
        <v>33509</v>
      </c>
      <c r="G1292" s="2">
        <v>3290000</v>
      </c>
      <c r="H1292" s="2">
        <v>437000</v>
      </c>
    </row>
    <row r="1293" spans="6:8" x14ac:dyDescent="0.2">
      <c r="F1293" s="72">
        <v>33516</v>
      </c>
      <c r="G1293" s="2">
        <v>3388000</v>
      </c>
      <c r="H1293" s="2">
        <v>424000</v>
      </c>
    </row>
    <row r="1294" spans="6:8" x14ac:dyDescent="0.2">
      <c r="F1294" s="72">
        <v>33523</v>
      </c>
      <c r="G1294" s="2">
        <v>3237000</v>
      </c>
      <c r="H1294" s="2">
        <v>425000</v>
      </c>
    </row>
    <row r="1295" spans="6:8" x14ac:dyDescent="0.2">
      <c r="F1295" s="72">
        <v>33530</v>
      </c>
      <c r="G1295" s="2">
        <v>3320000</v>
      </c>
      <c r="H1295" s="2">
        <v>419000</v>
      </c>
    </row>
    <row r="1296" spans="6:8" x14ac:dyDescent="0.2">
      <c r="F1296" s="72">
        <v>33537</v>
      </c>
      <c r="G1296" s="2">
        <v>3299000</v>
      </c>
      <c r="H1296" s="2">
        <v>423000</v>
      </c>
    </row>
    <row r="1297" spans="6:8" x14ac:dyDescent="0.2">
      <c r="F1297" s="72">
        <v>33544</v>
      </c>
      <c r="G1297" s="2">
        <v>3336000</v>
      </c>
      <c r="H1297" s="2">
        <v>447000</v>
      </c>
    </row>
    <row r="1298" spans="6:8" x14ac:dyDescent="0.2">
      <c r="F1298" s="72">
        <v>33551</v>
      </c>
      <c r="G1298" s="2">
        <v>3328000</v>
      </c>
      <c r="H1298" s="2">
        <v>453000</v>
      </c>
    </row>
    <row r="1299" spans="6:8" x14ac:dyDescent="0.2">
      <c r="F1299" s="72">
        <v>33558</v>
      </c>
      <c r="G1299" s="2">
        <v>3315000</v>
      </c>
      <c r="H1299" s="2">
        <v>439000</v>
      </c>
    </row>
    <row r="1300" spans="6:8" x14ac:dyDescent="0.2">
      <c r="F1300" s="72">
        <v>33565</v>
      </c>
      <c r="G1300" s="2">
        <v>3226000</v>
      </c>
      <c r="H1300" s="2">
        <v>444000</v>
      </c>
    </row>
    <row r="1301" spans="6:8" x14ac:dyDescent="0.2">
      <c r="F1301" s="72">
        <v>33572</v>
      </c>
      <c r="G1301" s="2">
        <v>3348000</v>
      </c>
      <c r="H1301" s="2">
        <v>444000</v>
      </c>
    </row>
    <row r="1302" spans="6:8" x14ac:dyDescent="0.2">
      <c r="F1302" s="72">
        <v>33579</v>
      </c>
      <c r="G1302" s="2">
        <v>3388000</v>
      </c>
      <c r="H1302" s="2">
        <v>475000</v>
      </c>
    </row>
    <row r="1303" spans="6:8" x14ac:dyDescent="0.2">
      <c r="F1303" s="72">
        <v>33586</v>
      </c>
      <c r="G1303" s="2">
        <v>3405000</v>
      </c>
      <c r="H1303" s="2">
        <v>475000</v>
      </c>
    </row>
    <row r="1304" spans="6:8" x14ac:dyDescent="0.2">
      <c r="F1304" s="72">
        <v>33593</v>
      </c>
      <c r="G1304" s="2">
        <v>3264000</v>
      </c>
      <c r="H1304" s="2">
        <v>436000</v>
      </c>
    </row>
    <row r="1305" spans="6:8" x14ac:dyDescent="0.2">
      <c r="F1305" s="72">
        <v>33600</v>
      </c>
      <c r="G1305" s="2">
        <v>3340000</v>
      </c>
      <c r="H1305" s="2">
        <v>441000</v>
      </c>
    </row>
    <row r="1306" spans="6:8" x14ac:dyDescent="0.2">
      <c r="F1306" s="72">
        <v>33607</v>
      </c>
      <c r="G1306" s="2">
        <v>3410000</v>
      </c>
      <c r="H1306" s="2">
        <v>432000</v>
      </c>
    </row>
    <row r="1307" spans="6:8" x14ac:dyDescent="0.2">
      <c r="F1307" s="72">
        <v>33614</v>
      </c>
      <c r="G1307" s="2">
        <v>3342000</v>
      </c>
      <c r="H1307" s="2">
        <v>440000</v>
      </c>
    </row>
    <row r="1308" spans="6:8" x14ac:dyDescent="0.2">
      <c r="F1308" s="72">
        <v>33621</v>
      </c>
      <c r="G1308" s="2">
        <v>3297000</v>
      </c>
      <c r="H1308" s="2">
        <v>443000</v>
      </c>
    </row>
    <row r="1309" spans="6:8" x14ac:dyDescent="0.2">
      <c r="F1309" s="72">
        <v>33628</v>
      </c>
      <c r="G1309" s="2">
        <v>3364000</v>
      </c>
      <c r="H1309" s="2">
        <v>441000</v>
      </c>
    </row>
    <row r="1310" spans="6:8" x14ac:dyDescent="0.2">
      <c r="F1310" s="72">
        <v>33635</v>
      </c>
      <c r="G1310" s="2">
        <v>3301000</v>
      </c>
      <c r="H1310" s="2">
        <v>440000</v>
      </c>
    </row>
    <row r="1311" spans="6:8" x14ac:dyDescent="0.2">
      <c r="F1311" s="72">
        <v>33642</v>
      </c>
      <c r="G1311" s="2">
        <v>3320000</v>
      </c>
      <c r="H1311" s="2">
        <v>445000</v>
      </c>
    </row>
    <row r="1312" spans="6:8" x14ac:dyDescent="0.2">
      <c r="F1312" s="72">
        <v>33649</v>
      </c>
      <c r="G1312" s="2">
        <v>3260000</v>
      </c>
      <c r="H1312" s="2">
        <v>446000</v>
      </c>
    </row>
    <row r="1313" spans="6:8" x14ac:dyDescent="0.2">
      <c r="F1313" s="72">
        <v>33656</v>
      </c>
      <c r="G1313" s="2">
        <v>3412000</v>
      </c>
      <c r="H1313" s="2">
        <v>436000</v>
      </c>
    </row>
    <row r="1314" spans="6:8" x14ac:dyDescent="0.2">
      <c r="F1314" s="72">
        <v>33663</v>
      </c>
      <c r="G1314" s="2">
        <v>3280000</v>
      </c>
      <c r="H1314" s="2">
        <v>444000</v>
      </c>
    </row>
    <row r="1315" spans="6:8" x14ac:dyDescent="0.2">
      <c r="F1315" s="72">
        <v>33670</v>
      </c>
      <c r="G1315" s="2">
        <v>3288000</v>
      </c>
      <c r="H1315" s="2">
        <v>421000</v>
      </c>
    </row>
    <row r="1316" spans="6:8" x14ac:dyDescent="0.2">
      <c r="F1316" s="72">
        <v>33677</v>
      </c>
      <c r="G1316" s="2">
        <v>3280000</v>
      </c>
      <c r="H1316" s="2">
        <v>437000</v>
      </c>
    </row>
    <row r="1317" spans="6:8" x14ac:dyDescent="0.2">
      <c r="F1317" s="72">
        <v>33684</v>
      </c>
      <c r="G1317" s="2">
        <v>3344000</v>
      </c>
      <c r="H1317" s="2">
        <v>440000</v>
      </c>
    </row>
    <row r="1318" spans="6:8" x14ac:dyDescent="0.2">
      <c r="F1318" s="72">
        <v>33691</v>
      </c>
      <c r="G1318" s="2">
        <v>3336000</v>
      </c>
      <c r="H1318" s="2">
        <v>420000</v>
      </c>
    </row>
    <row r="1319" spans="6:8" x14ac:dyDescent="0.2">
      <c r="F1319" s="72">
        <v>33698</v>
      </c>
      <c r="G1319" s="2">
        <v>3383000</v>
      </c>
      <c r="H1319" s="2">
        <v>412000</v>
      </c>
    </row>
    <row r="1320" spans="6:8" x14ac:dyDescent="0.2">
      <c r="F1320" s="72">
        <v>33705</v>
      </c>
      <c r="G1320" s="2">
        <v>3288000</v>
      </c>
      <c r="H1320" s="2">
        <v>413000</v>
      </c>
    </row>
    <row r="1321" spans="6:8" x14ac:dyDescent="0.2">
      <c r="F1321" s="72">
        <v>33712</v>
      </c>
      <c r="G1321" s="2">
        <v>3339000</v>
      </c>
      <c r="H1321" s="2">
        <v>424000</v>
      </c>
    </row>
    <row r="1322" spans="6:8" x14ac:dyDescent="0.2">
      <c r="F1322" s="72">
        <v>33719</v>
      </c>
      <c r="G1322" s="2">
        <v>3365000</v>
      </c>
      <c r="H1322" s="2">
        <v>424000</v>
      </c>
    </row>
    <row r="1323" spans="6:8" x14ac:dyDescent="0.2">
      <c r="F1323" s="72">
        <v>33726</v>
      </c>
      <c r="G1323" s="2">
        <v>3397000</v>
      </c>
      <c r="H1323" s="2">
        <v>431000</v>
      </c>
    </row>
    <row r="1324" spans="6:8" x14ac:dyDescent="0.2">
      <c r="F1324" s="72">
        <v>33733</v>
      </c>
      <c r="G1324" s="2">
        <v>3354000</v>
      </c>
      <c r="H1324" s="2">
        <v>417000</v>
      </c>
    </row>
    <row r="1325" spans="6:8" x14ac:dyDescent="0.2">
      <c r="F1325" s="72">
        <v>33740</v>
      </c>
      <c r="G1325" s="2">
        <v>3296000</v>
      </c>
      <c r="H1325" s="2">
        <v>414000</v>
      </c>
    </row>
    <row r="1326" spans="6:8" x14ac:dyDescent="0.2">
      <c r="F1326" s="72">
        <v>33747</v>
      </c>
      <c r="G1326" s="2">
        <v>3285000</v>
      </c>
      <c r="H1326" s="2">
        <v>414000</v>
      </c>
    </row>
    <row r="1327" spans="6:8" x14ac:dyDescent="0.2">
      <c r="F1327" s="72">
        <v>33754</v>
      </c>
      <c r="G1327" s="2">
        <v>3392000</v>
      </c>
      <c r="H1327" s="2">
        <v>411000</v>
      </c>
    </row>
    <row r="1328" spans="6:8" x14ac:dyDescent="0.2">
      <c r="F1328" s="72">
        <v>33761</v>
      </c>
      <c r="G1328" s="2">
        <v>3265000</v>
      </c>
      <c r="H1328" s="2">
        <v>416000</v>
      </c>
    </row>
    <row r="1329" spans="6:8" x14ac:dyDescent="0.2">
      <c r="F1329" s="72">
        <v>33768</v>
      </c>
      <c r="G1329" s="2">
        <v>3270000</v>
      </c>
      <c r="H1329" s="2">
        <v>420000</v>
      </c>
    </row>
    <row r="1330" spans="6:8" x14ac:dyDescent="0.2">
      <c r="F1330" s="72">
        <v>33775</v>
      </c>
      <c r="G1330" s="2">
        <v>3284000</v>
      </c>
      <c r="H1330" s="2">
        <v>419000</v>
      </c>
    </row>
    <row r="1331" spans="6:8" x14ac:dyDescent="0.2">
      <c r="F1331" s="72">
        <v>33782</v>
      </c>
      <c r="G1331" s="2">
        <v>3340000</v>
      </c>
      <c r="H1331" s="2">
        <v>420000</v>
      </c>
    </row>
    <row r="1332" spans="6:8" x14ac:dyDescent="0.2">
      <c r="F1332" s="72">
        <v>33789</v>
      </c>
      <c r="G1332" s="2">
        <v>3212000</v>
      </c>
      <c r="H1332" s="2">
        <v>407000</v>
      </c>
    </row>
    <row r="1333" spans="6:8" x14ac:dyDescent="0.2">
      <c r="F1333" s="72">
        <v>33796</v>
      </c>
      <c r="G1333" s="2">
        <v>3103000</v>
      </c>
      <c r="H1333" s="2">
        <v>408000</v>
      </c>
    </row>
    <row r="1334" spans="6:8" x14ac:dyDescent="0.2">
      <c r="F1334" s="72">
        <v>33803</v>
      </c>
      <c r="G1334" s="2">
        <v>3238000</v>
      </c>
      <c r="H1334" s="2">
        <v>392000</v>
      </c>
    </row>
    <row r="1335" spans="6:8" x14ac:dyDescent="0.2">
      <c r="F1335" s="72">
        <v>33810</v>
      </c>
      <c r="G1335" s="2">
        <v>3318000</v>
      </c>
      <c r="H1335" s="2">
        <v>564000</v>
      </c>
    </row>
    <row r="1336" spans="6:8" x14ac:dyDescent="0.2">
      <c r="F1336" s="72">
        <v>33817</v>
      </c>
      <c r="G1336" s="2">
        <v>3467000</v>
      </c>
      <c r="H1336" s="2">
        <v>423000</v>
      </c>
    </row>
    <row r="1337" spans="6:8" x14ac:dyDescent="0.2">
      <c r="F1337" s="72">
        <v>33824</v>
      </c>
      <c r="G1337" s="2">
        <v>3211000</v>
      </c>
      <c r="H1337" s="2">
        <v>406000</v>
      </c>
    </row>
    <row r="1338" spans="6:8" x14ac:dyDescent="0.2">
      <c r="F1338" s="72">
        <v>33831</v>
      </c>
      <c r="G1338" s="2">
        <v>3210000</v>
      </c>
      <c r="H1338" s="2">
        <v>401000</v>
      </c>
    </row>
    <row r="1339" spans="6:8" x14ac:dyDescent="0.2">
      <c r="F1339" s="72">
        <v>33838</v>
      </c>
      <c r="G1339" s="2">
        <v>3188000</v>
      </c>
      <c r="H1339" s="2">
        <v>398000</v>
      </c>
    </row>
    <row r="1340" spans="6:8" x14ac:dyDescent="0.2">
      <c r="F1340" s="72">
        <v>33845</v>
      </c>
      <c r="G1340" s="2">
        <v>3175000</v>
      </c>
      <c r="H1340" s="2">
        <v>408000</v>
      </c>
    </row>
    <row r="1341" spans="6:8" x14ac:dyDescent="0.2">
      <c r="F1341" s="72">
        <v>33852</v>
      </c>
      <c r="G1341" s="2">
        <v>3167000</v>
      </c>
      <c r="H1341" s="2">
        <v>416000</v>
      </c>
    </row>
    <row r="1342" spans="6:8" x14ac:dyDescent="0.2">
      <c r="F1342" s="72">
        <v>33859</v>
      </c>
      <c r="G1342" s="2">
        <v>3261000</v>
      </c>
      <c r="H1342" s="2">
        <v>416000</v>
      </c>
    </row>
    <row r="1343" spans="6:8" x14ac:dyDescent="0.2">
      <c r="F1343" s="72">
        <v>33866</v>
      </c>
      <c r="G1343" s="2">
        <v>3195000</v>
      </c>
      <c r="H1343" s="2">
        <v>427000</v>
      </c>
    </row>
    <row r="1344" spans="6:8" x14ac:dyDescent="0.2">
      <c r="F1344" s="72">
        <v>33873</v>
      </c>
      <c r="G1344" s="2">
        <v>3194000</v>
      </c>
      <c r="H1344" s="2">
        <v>409000</v>
      </c>
    </row>
    <row r="1345" spans="6:8" x14ac:dyDescent="0.2">
      <c r="F1345" s="72">
        <v>33880</v>
      </c>
      <c r="G1345" s="2">
        <v>3121000</v>
      </c>
      <c r="H1345" s="2">
        <v>398000</v>
      </c>
    </row>
    <row r="1346" spans="6:8" x14ac:dyDescent="0.2">
      <c r="F1346" s="72">
        <v>33887</v>
      </c>
      <c r="G1346" s="2">
        <v>3072000</v>
      </c>
      <c r="H1346" s="2">
        <v>374000</v>
      </c>
    </row>
    <row r="1347" spans="6:8" x14ac:dyDescent="0.2">
      <c r="F1347" s="72">
        <v>33894</v>
      </c>
      <c r="G1347" s="2">
        <v>3083000</v>
      </c>
      <c r="H1347" s="2">
        <v>385000</v>
      </c>
    </row>
    <row r="1348" spans="6:8" x14ac:dyDescent="0.2">
      <c r="F1348" s="72">
        <v>33901</v>
      </c>
      <c r="G1348" s="2">
        <v>3063000</v>
      </c>
      <c r="H1348" s="2">
        <v>367000</v>
      </c>
    </row>
    <row r="1349" spans="6:8" x14ac:dyDescent="0.2">
      <c r="F1349" s="72">
        <v>33908</v>
      </c>
      <c r="G1349" s="2">
        <v>2973000</v>
      </c>
      <c r="H1349" s="2">
        <v>365000</v>
      </c>
    </row>
    <row r="1350" spans="6:8" x14ac:dyDescent="0.2">
      <c r="F1350" s="72">
        <v>33915</v>
      </c>
      <c r="G1350" s="2">
        <v>3017000</v>
      </c>
      <c r="H1350" s="2">
        <v>374000</v>
      </c>
    </row>
    <row r="1351" spans="6:8" x14ac:dyDescent="0.2">
      <c r="F1351" s="72">
        <v>33922</v>
      </c>
      <c r="G1351" s="2">
        <v>2962000</v>
      </c>
      <c r="H1351" s="2">
        <v>377000</v>
      </c>
    </row>
    <row r="1352" spans="6:8" x14ac:dyDescent="0.2">
      <c r="F1352" s="72">
        <v>33929</v>
      </c>
      <c r="G1352" s="2">
        <v>2906000</v>
      </c>
      <c r="H1352" s="2">
        <v>357000</v>
      </c>
    </row>
    <row r="1353" spans="6:8" x14ac:dyDescent="0.2">
      <c r="F1353" s="72">
        <v>33936</v>
      </c>
      <c r="G1353" s="2">
        <v>2911000</v>
      </c>
      <c r="H1353" s="2">
        <v>341000</v>
      </c>
    </row>
    <row r="1354" spans="6:8" x14ac:dyDescent="0.2">
      <c r="F1354" s="72">
        <v>33943</v>
      </c>
      <c r="G1354" s="2">
        <v>2918000</v>
      </c>
      <c r="H1354" s="2">
        <v>350000</v>
      </c>
    </row>
    <row r="1355" spans="6:8" x14ac:dyDescent="0.2">
      <c r="F1355" s="72">
        <v>33950</v>
      </c>
      <c r="G1355" s="2">
        <v>2807000</v>
      </c>
      <c r="H1355" s="2">
        <v>359000</v>
      </c>
    </row>
    <row r="1356" spans="6:8" x14ac:dyDescent="0.2">
      <c r="F1356" s="72">
        <v>33957</v>
      </c>
      <c r="G1356" s="2">
        <v>2770000</v>
      </c>
      <c r="H1356" s="2">
        <v>334000</v>
      </c>
    </row>
    <row r="1357" spans="6:8" x14ac:dyDescent="0.2">
      <c r="F1357" s="72">
        <v>33964</v>
      </c>
      <c r="G1357" s="2">
        <v>2800000</v>
      </c>
      <c r="H1357" s="2">
        <v>313000</v>
      </c>
    </row>
    <row r="1358" spans="6:8" x14ac:dyDescent="0.2">
      <c r="F1358" s="72">
        <v>33971</v>
      </c>
      <c r="G1358" s="2">
        <v>2729000</v>
      </c>
      <c r="H1358" s="2">
        <v>341000</v>
      </c>
    </row>
    <row r="1359" spans="6:8" x14ac:dyDescent="0.2">
      <c r="F1359" s="72">
        <v>33978</v>
      </c>
      <c r="G1359" s="2">
        <v>2697000</v>
      </c>
      <c r="H1359" s="2">
        <v>354000</v>
      </c>
    </row>
    <row r="1360" spans="6:8" x14ac:dyDescent="0.2">
      <c r="F1360" s="72">
        <v>33985</v>
      </c>
      <c r="G1360" s="2">
        <v>2749000</v>
      </c>
      <c r="H1360" s="2">
        <v>352000</v>
      </c>
    </row>
    <row r="1361" spans="6:8" x14ac:dyDescent="0.2">
      <c r="F1361" s="72">
        <v>33992</v>
      </c>
      <c r="G1361" s="2">
        <v>2727000</v>
      </c>
      <c r="H1361" s="2">
        <v>341000</v>
      </c>
    </row>
    <row r="1362" spans="6:8" x14ac:dyDescent="0.2">
      <c r="F1362" s="72">
        <v>33999</v>
      </c>
      <c r="G1362" s="2">
        <v>2663000</v>
      </c>
      <c r="H1362" s="2">
        <v>340000</v>
      </c>
    </row>
    <row r="1363" spans="6:8" x14ac:dyDescent="0.2">
      <c r="F1363" s="72">
        <v>34006</v>
      </c>
      <c r="G1363" s="2">
        <v>2645000</v>
      </c>
      <c r="H1363" s="2">
        <v>319000</v>
      </c>
    </row>
    <row r="1364" spans="6:8" x14ac:dyDescent="0.2">
      <c r="F1364" s="72">
        <v>34013</v>
      </c>
      <c r="G1364" s="2">
        <v>2628000</v>
      </c>
      <c r="H1364" s="2">
        <v>321000</v>
      </c>
    </row>
    <row r="1365" spans="6:8" x14ac:dyDescent="0.2">
      <c r="F1365" s="72">
        <v>34020</v>
      </c>
      <c r="G1365" s="2">
        <v>2646000</v>
      </c>
      <c r="H1365" s="2">
        <v>351000</v>
      </c>
    </row>
    <row r="1366" spans="6:8" x14ac:dyDescent="0.2">
      <c r="F1366" s="72">
        <v>34027</v>
      </c>
      <c r="G1366" s="2">
        <v>2645000</v>
      </c>
      <c r="H1366" s="2">
        <v>362000</v>
      </c>
    </row>
    <row r="1367" spans="6:8" x14ac:dyDescent="0.2">
      <c r="F1367" s="72">
        <v>34034</v>
      </c>
      <c r="G1367" s="2">
        <v>2683000</v>
      </c>
      <c r="H1367" s="2">
        <v>354000</v>
      </c>
    </row>
    <row r="1368" spans="6:8" x14ac:dyDescent="0.2">
      <c r="F1368" s="72">
        <v>34041</v>
      </c>
      <c r="G1368" s="2">
        <v>2618000</v>
      </c>
      <c r="H1368" s="2">
        <v>346000</v>
      </c>
    </row>
    <row r="1369" spans="6:8" x14ac:dyDescent="0.2">
      <c r="F1369" s="72">
        <v>34048</v>
      </c>
      <c r="G1369" s="2">
        <v>2724000</v>
      </c>
      <c r="H1369" s="2">
        <v>338000</v>
      </c>
    </row>
    <row r="1370" spans="6:8" x14ac:dyDescent="0.2">
      <c r="F1370" s="72">
        <v>34055</v>
      </c>
      <c r="G1370" s="2">
        <v>2725000</v>
      </c>
      <c r="H1370" s="2">
        <v>366000</v>
      </c>
    </row>
    <row r="1371" spans="6:8" x14ac:dyDescent="0.2">
      <c r="F1371" s="72">
        <v>34062</v>
      </c>
      <c r="G1371" s="2">
        <v>2729000</v>
      </c>
      <c r="H1371" s="2">
        <v>365000</v>
      </c>
    </row>
    <row r="1372" spans="6:8" x14ac:dyDescent="0.2">
      <c r="F1372" s="72">
        <v>34069</v>
      </c>
      <c r="G1372" s="2">
        <v>2781000</v>
      </c>
      <c r="H1372" s="2">
        <v>353000</v>
      </c>
    </row>
    <row r="1373" spans="6:8" x14ac:dyDescent="0.2">
      <c r="F1373" s="72">
        <v>34076</v>
      </c>
      <c r="G1373" s="2">
        <v>2800000</v>
      </c>
      <c r="H1373" s="2">
        <v>351000</v>
      </c>
    </row>
    <row r="1374" spans="6:8" x14ac:dyDescent="0.2">
      <c r="F1374" s="72">
        <v>34083</v>
      </c>
      <c r="G1374" s="2">
        <v>2792000</v>
      </c>
      <c r="H1374" s="2">
        <v>350000</v>
      </c>
    </row>
    <row r="1375" spans="6:8" x14ac:dyDescent="0.2">
      <c r="F1375" s="72">
        <v>34090</v>
      </c>
      <c r="G1375" s="2">
        <v>2747000</v>
      </c>
      <c r="H1375" s="2">
        <v>343000</v>
      </c>
    </row>
    <row r="1376" spans="6:8" x14ac:dyDescent="0.2">
      <c r="F1376" s="72">
        <v>34097</v>
      </c>
      <c r="G1376" s="2">
        <v>2820000</v>
      </c>
      <c r="H1376" s="2">
        <v>339000</v>
      </c>
    </row>
    <row r="1377" spans="6:8" x14ac:dyDescent="0.2">
      <c r="F1377" s="72">
        <v>34104</v>
      </c>
      <c r="G1377" s="2">
        <v>2772000</v>
      </c>
      <c r="H1377" s="2">
        <v>345000</v>
      </c>
    </row>
    <row r="1378" spans="6:8" x14ac:dyDescent="0.2">
      <c r="F1378" s="72">
        <v>34111</v>
      </c>
      <c r="G1378" s="2">
        <v>2816000</v>
      </c>
      <c r="H1378" s="2">
        <v>342000</v>
      </c>
    </row>
    <row r="1379" spans="6:8" x14ac:dyDescent="0.2">
      <c r="F1379" s="72">
        <v>34118</v>
      </c>
      <c r="G1379" s="2">
        <v>2737000</v>
      </c>
      <c r="H1379" s="2">
        <v>349000</v>
      </c>
    </row>
    <row r="1380" spans="6:8" x14ac:dyDescent="0.2">
      <c r="F1380" s="72">
        <v>34125</v>
      </c>
      <c r="G1380" s="2">
        <v>2808000</v>
      </c>
      <c r="H1380" s="2">
        <v>343000</v>
      </c>
    </row>
    <row r="1381" spans="6:8" x14ac:dyDescent="0.2">
      <c r="F1381" s="72">
        <v>34132</v>
      </c>
      <c r="G1381" s="2">
        <v>2836000</v>
      </c>
      <c r="H1381" s="2">
        <v>343000</v>
      </c>
    </row>
    <row r="1382" spans="6:8" x14ac:dyDescent="0.2">
      <c r="F1382" s="72">
        <v>34139</v>
      </c>
      <c r="G1382" s="2">
        <v>2857000</v>
      </c>
      <c r="H1382" s="2">
        <v>345000</v>
      </c>
    </row>
    <row r="1383" spans="6:8" x14ac:dyDescent="0.2">
      <c r="F1383" s="72">
        <v>34146</v>
      </c>
      <c r="G1383" s="2">
        <v>2747000</v>
      </c>
      <c r="H1383" s="2">
        <v>340000</v>
      </c>
    </row>
    <row r="1384" spans="6:8" x14ac:dyDescent="0.2">
      <c r="F1384" s="72">
        <v>34153</v>
      </c>
      <c r="G1384" s="2">
        <v>2724000</v>
      </c>
      <c r="H1384" s="2">
        <v>334000</v>
      </c>
    </row>
    <row r="1385" spans="6:8" x14ac:dyDescent="0.2">
      <c r="F1385" s="72">
        <v>34160</v>
      </c>
      <c r="G1385" s="2">
        <v>2778000</v>
      </c>
      <c r="H1385" s="2">
        <v>314000</v>
      </c>
    </row>
    <row r="1386" spans="6:8" x14ac:dyDescent="0.2">
      <c r="F1386" s="72">
        <v>34167</v>
      </c>
      <c r="G1386" s="2">
        <v>2766000</v>
      </c>
      <c r="H1386" s="2">
        <v>335000</v>
      </c>
    </row>
    <row r="1387" spans="6:8" x14ac:dyDescent="0.2">
      <c r="F1387" s="72">
        <v>34174</v>
      </c>
      <c r="G1387" s="2">
        <v>2803000</v>
      </c>
      <c r="H1387" s="2">
        <v>415000</v>
      </c>
    </row>
    <row r="1388" spans="6:8" x14ac:dyDescent="0.2">
      <c r="F1388" s="72">
        <v>34181</v>
      </c>
      <c r="G1388" s="2">
        <v>2843000</v>
      </c>
      <c r="H1388" s="2">
        <v>356000</v>
      </c>
    </row>
    <row r="1389" spans="6:8" x14ac:dyDescent="0.2">
      <c r="F1389" s="72">
        <v>34188</v>
      </c>
      <c r="G1389" s="2">
        <v>2813000</v>
      </c>
      <c r="H1389" s="2">
        <v>346000</v>
      </c>
    </row>
    <row r="1390" spans="6:8" x14ac:dyDescent="0.2">
      <c r="F1390" s="72">
        <v>34195</v>
      </c>
      <c r="G1390" s="2">
        <v>2791000</v>
      </c>
      <c r="H1390" s="2">
        <v>339000</v>
      </c>
    </row>
    <row r="1391" spans="6:8" x14ac:dyDescent="0.2">
      <c r="F1391" s="72">
        <v>34202</v>
      </c>
      <c r="G1391" s="2">
        <v>2821000</v>
      </c>
      <c r="H1391" s="2">
        <v>342000</v>
      </c>
    </row>
    <row r="1392" spans="6:8" x14ac:dyDescent="0.2">
      <c r="F1392" s="72">
        <v>34209</v>
      </c>
      <c r="G1392" s="2">
        <v>2788000</v>
      </c>
      <c r="H1392" s="2">
        <v>337000</v>
      </c>
    </row>
    <row r="1393" spans="6:8" x14ac:dyDescent="0.2">
      <c r="F1393" s="72">
        <v>34216</v>
      </c>
      <c r="G1393" s="2">
        <v>2768000</v>
      </c>
      <c r="H1393" s="2">
        <v>334000</v>
      </c>
    </row>
    <row r="1394" spans="6:8" x14ac:dyDescent="0.2">
      <c r="F1394" s="72">
        <v>34223</v>
      </c>
      <c r="G1394" s="2">
        <v>2844000</v>
      </c>
      <c r="H1394" s="2">
        <v>333000</v>
      </c>
    </row>
    <row r="1395" spans="6:8" x14ac:dyDescent="0.2">
      <c r="F1395" s="72">
        <v>34230</v>
      </c>
      <c r="G1395" s="2">
        <v>2856000</v>
      </c>
      <c r="H1395" s="2">
        <v>346000</v>
      </c>
    </row>
    <row r="1396" spans="6:8" x14ac:dyDescent="0.2">
      <c r="F1396" s="72">
        <v>34237</v>
      </c>
      <c r="G1396" s="2">
        <v>2836000</v>
      </c>
      <c r="H1396" s="2">
        <v>343000</v>
      </c>
    </row>
    <row r="1397" spans="6:8" x14ac:dyDescent="0.2">
      <c r="F1397" s="72">
        <v>34244</v>
      </c>
      <c r="G1397" s="2">
        <v>2810000</v>
      </c>
      <c r="H1397" s="2">
        <v>333000</v>
      </c>
    </row>
    <row r="1398" spans="6:8" x14ac:dyDescent="0.2">
      <c r="F1398" s="72">
        <v>34251</v>
      </c>
      <c r="G1398" s="2">
        <v>2799000</v>
      </c>
      <c r="H1398" s="2">
        <v>355000</v>
      </c>
    </row>
    <row r="1399" spans="6:8" x14ac:dyDescent="0.2">
      <c r="F1399" s="72">
        <v>34258</v>
      </c>
      <c r="G1399" s="2">
        <v>2833000</v>
      </c>
      <c r="H1399" s="2">
        <v>359000</v>
      </c>
    </row>
    <row r="1400" spans="6:8" x14ac:dyDescent="0.2">
      <c r="F1400" s="72">
        <v>34265</v>
      </c>
      <c r="G1400" s="2">
        <v>2882000</v>
      </c>
      <c r="H1400" s="2">
        <v>354000</v>
      </c>
    </row>
    <row r="1401" spans="6:8" x14ac:dyDescent="0.2">
      <c r="F1401" s="72">
        <v>34272</v>
      </c>
      <c r="G1401" s="2">
        <v>2801000</v>
      </c>
      <c r="H1401" s="2">
        <v>348000</v>
      </c>
    </row>
    <row r="1402" spans="6:8" x14ac:dyDescent="0.2">
      <c r="F1402" s="72">
        <v>34279</v>
      </c>
      <c r="G1402" s="2">
        <v>2833000</v>
      </c>
      <c r="H1402" s="2">
        <v>350000</v>
      </c>
    </row>
    <row r="1403" spans="6:8" x14ac:dyDescent="0.2">
      <c r="F1403" s="72">
        <v>34286</v>
      </c>
      <c r="G1403" s="2">
        <v>2785000</v>
      </c>
      <c r="H1403" s="2">
        <v>341000</v>
      </c>
    </row>
    <row r="1404" spans="6:8" x14ac:dyDescent="0.2">
      <c r="F1404" s="72">
        <v>34293</v>
      </c>
      <c r="G1404" s="2">
        <v>2801000</v>
      </c>
      <c r="H1404" s="2">
        <v>336000</v>
      </c>
    </row>
    <row r="1405" spans="6:8" x14ac:dyDescent="0.2">
      <c r="F1405" s="72">
        <v>34300</v>
      </c>
      <c r="G1405" s="2">
        <v>2784000</v>
      </c>
      <c r="H1405" s="2">
        <v>337000</v>
      </c>
    </row>
    <row r="1406" spans="6:8" x14ac:dyDescent="0.2">
      <c r="F1406" s="72">
        <v>34307</v>
      </c>
      <c r="G1406" s="2">
        <v>2802000</v>
      </c>
      <c r="H1406" s="2">
        <v>337000</v>
      </c>
    </row>
    <row r="1407" spans="6:8" x14ac:dyDescent="0.2">
      <c r="F1407" s="72">
        <v>34314</v>
      </c>
      <c r="G1407" s="2">
        <v>2747000</v>
      </c>
      <c r="H1407" s="2">
        <v>334000</v>
      </c>
    </row>
    <row r="1408" spans="6:8" x14ac:dyDescent="0.2">
      <c r="F1408" s="72">
        <v>34321</v>
      </c>
      <c r="G1408" s="2">
        <v>2780000</v>
      </c>
      <c r="H1408" s="2">
        <v>331000</v>
      </c>
    </row>
    <row r="1409" spans="6:8" x14ac:dyDescent="0.2">
      <c r="F1409" s="72">
        <v>34328</v>
      </c>
      <c r="G1409" s="2">
        <v>2720000</v>
      </c>
      <c r="H1409" s="2">
        <v>290000</v>
      </c>
    </row>
    <row r="1410" spans="6:8" x14ac:dyDescent="0.2">
      <c r="F1410" s="72">
        <v>34335</v>
      </c>
      <c r="G1410" s="2">
        <v>2633000</v>
      </c>
      <c r="H1410" s="2">
        <v>341000</v>
      </c>
    </row>
    <row r="1411" spans="6:8" x14ac:dyDescent="0.2">
      <c r="F1411" s="72">
        <v>34342</v>
      </c>
      <c r="G1411" s="2">
        <v>2705000</v>
      </c>
      <c r="H1411" s="2">
        <v>343000</v>
      </c>
    </row>
    <row r="1412" spans="6:8" x14ac:dyDescent="0.2">
      <c r="F1412" s="72">
        <v>34349</v>
      </c>
      <c r="G1412" s="2">
        <v>2634000</v>
      </c>
      <c r="H1412" s="2">
        <v>355000</v>
      </c>
    </row>
    <row r="1413" spans="6:8" x14ac:dyDescent="0.2">
      <c r="F1413" s="72">
        <v>34356</v>
      </c>
      <c r="G1413" s="2">
        <v>2814000</v>
      </c>
      <c r="H1413" s="2">
        <v>351000</v>
      </c>
    </row>
    <row r="1414" spans="6:8" x14ac:dyDescent="0.2">
      <c r="F1414" s="72">
        <v>34363</v>
      </c>
      <c r="G1414" s="2">
        <v>2762000</v>
      </c>
      <c r="H1414" s="2">
        <v>406000</v>
      </c>
    </row>
    <row r="1415" spans="6:8" x14ac:dyDescent="0.2">
      <c r="F1415" s="72">
        <v>34370</v>
      </c>
      <c r="G1415" s="2">
        <v>2764000</v>
      </c>
      <c r="H1415" s="2">
        <v>361000</v>
      </c>
    </row>
    <row r="1416" spans="6:8" x14ac:dyDescent="0.2">
      <c r="F1416" s="72">
        <v>34377</v>
      </c>
      <c r="G1416" s="2">
        <v>2861000</v>
      </c>
      <c r="H1416" s="2">
        <v>354000</v>
      </c>
    </row>
    <row r="1417" spans="6:8" x14ac:dyDescent="0.2">
      <c r="F1417" s="72">
        <v>34384</v>
      </c>
      <c r="G1417" s="2">
        <v>2748000</v>
      </c>
      <c r="H1417" s="2">
        <v>352000</v>
      </c>
    </row>
    <row r="1418" spans="6:8" x14ac:dyDescent="0.2">
      <c r="F1418" s="72">
        <v>34391</v>
      </c>
      <c r="G1418" s="2">
        <v>2797000</v>
      </c>
      <c r="H1418" s="2">
        <v>327000</v>
      </c>
    </row>
    <row r="1419" spans="6:8" x14ac:dyDescent="0.2">
      <c r="F1419" s="72">
        <v>34398</v>
      </c>
      <c r="G1419" s="2">
        <v>2779000</v>
      </c>
      <c r="H1419" s="2">
        <v>348000</v>
      </c>
    </row>
    <row r="1420" spans="6:8" x14ac:dyDescent="0.2">
      <c r="F1420" s="72">
        <v>34405</v>
      </c>
      <c r="G1420" s="2">
        <v>2783000</v>
      </c>
      <c r="H1420" s="2">
        <v>341000</v>
      </c>
    </row>
    <row r="1421" spans="6:8" x14ac:dyDescent="0.2">
      <c r="F1421" s="72">
        <v>34412</v>
      </c>
      <c r="G1421" s="2">
        <v>2746000</v>
      </c>
      <c r="H1421" s="2">
        <v>332000</v>
      </c>
    </row>
    <row r="1422" spans="6:8" x14ac:dyDescent="0.2">
      <c r="F1422" s="72">
        <v>34419</v>
      </c>
      <c r="G1422" s="2">
        <v>2710000</v>
      </c>
      <c r="H1422" s="2">
        <v>322000</v>
      </c>
    </row>
    <row r="1423" spans="6:8" x14ac:dyDescent="0.2">
      <c r="F1423" s="72">
        <v>34426</v>
      </c>
      <c r="G1423" s="2">
        <v>2730000</v>
      </c>
      <c r="H1423" s="2">
        <v>342000</v>
      </c>
    </row>
    <row r="1424" spans="6:8" x14ac:dyDescent="0.2">
      <c r="F1424" s="72">
        <v>34433</v>
      </c>
      <c r="G1424" s="2">
        <v>2773000</v>
      </c>
      <c r="H1424" s="2">
        <v>349000</v>
      </c>
    </row>
    <row r="1425" spans="6:8" x14ac:dyDescent="0.2">
      <c r="F1425" s="72">
        <v>34440</v>
      </c>
      <c r="G1425" s="2">
        <v>2716000</v>
      </c>
      <c r="H1425" s="2">
        <v>354000</v>
      </c>
    </row>
    <row r="1426" spans="6:8" x14ac:dyDescent="0.2">
      <c r="F1426" s="72">
        <v>34447</v>
      </c>
      <c r="G1426" s="2">
        <v>2695000</v>
      </c>
      <c r="H1426" s="2">
        <v>331000</v>
      </c>
    </row>
    <row r="1427" spans="6:8" x14ac:dyDescent="0.2">
      <c r="F1427" s="72">
        <v>34454</v>
      </c>
      <c r="G1427" s="2">
        <v>2769000</v>
      </c>
      <c r="H1427" s="2">
        <v>344000</v>
      </c>
    </row>
    <row r="1428" spans="6:8" x14ac:dyDescent="0.2">
      <c r="F1428" s="72">
        <v>34461</v>
      </c>
      <c r="G1428" s="2">
        <v>2726000</v>
      </c>
      <c r="H1428" s="2">
        <v>371000</v>
      </c>
    </row>
    <row r="1429" spans="6:8" x14ac:dyDescent="0.2">
      <c r="F1429" s="72">
        <v>34468</v>
      </c>
      <c r="G1429" s="2">
        <v>2792000</v>
      </c>
      <c r="H1429" s="2">
        <v>360000</v>
      </c>
    </row>
    <row r="1430" spans="6:8" x14ac:dyDescent="0.2">
      <c r="F1430" s="72">
        <v>34475</v>
      </c>
      <c r="G1430" s="2">
        <v>2766000</v>
      </c>
      <c r="H1430" s="2">
        <v>357000</v>
      </c>
    </row>
    <row r="1431" spans="6:8" x14ac:dyDescent="0.2">
      <c r="F1431" s="72">
        <v>34482</v>
      </c>
      <c r="G1431" s="2">
        <v>2727000</v>
      </c>
      <c r="H1431" s="2">
        <v>348000</v>
      </c>
    </row>
    <row r="1432" spans="6:8" x14ac:dyDescent="0.2">
      <c r="F1432" s="72">
        <v>34489</v>
      </c>
      <c r="G1432" s="2">
        <v>2740000</v>
      </c>
      <c r="H1432" s="2">
        <v>345000</v>
      </c>
    </row>
    <row r="1433" spans="6:8" x14ac:dyDescent="0.2">
      <c r="F1433" s="72">
        <v>34496</v>
      </c>
      <c r="G1433" s="2">
        <v>2755000</v>
      </c>
      <c r="H1433" s="2">
        <v>338000</v>
      </c>
    </row>
    <row r="1434" spans="6:8" x14ac:dyDescent="0.2">
      <c r="F1434" s="72">
        <v>34503</v>
      </c>
      <c r="G1434" s="2">
        <v>2698000</v>
      </c>
      <c r="H1434" s="2">
        <v>336000</v>
      </c>
    </row>
    <row r="1435" spans="6:8" x14ac:dyDescent="0.2">
      <c r="F1435" s="72">
        <v>34510</v>
      </c>
      <c r="G1435" s="2">
        <v>2687000</v>
      </c>
      <c r="H1435" s="2">
        <v>341000</v>
      </c>
    </row>
    <row r="1436" spans="6:8" x14ac:dyDescent="0.2">
      <c r="F1436" s="72">
        <v>34517</v>
      </c>
      <c r="G1436" s="2">
        <v>2672000</v>
      </c>
      <c r="H1436" s="2">
        <v>334000</v>
      </c>
    </row>
    <row r="1437" spans="6:8" x14ac:dyDescent="0.2">
      <c r="F1437" s="72">
        <v>34524</v>
      </c>
      <c r="G1437" s="2">
        <v>2670000</v>
      </c>
      <c r="H1437" s="2">
        <v>341000</v>
      </c>
    </row>
    <row r="1438" spans="6:8" x14ac:dyDescent="0.2">
      <c r="F1438" s="72">
        <v>34531</v>
      </c>
      <c r="G1438" s="2">
        <v>2680000</v>
      </c>
      <c r="H1438" s="2">
        <v>359000</v>
      </c>
    </row>
    <row r="1439" spans="6:8" x14ac:dyDescent="0.2">
      <c r="F1439" s="72">
        <v>34538</v>
      </c>
      <c r="G1439" s="2">
        <v>2650000</v>
      </c>
      <c r="H1439" s="2">
        <v>345000</v>
      </c>
    </row>
    <row r="1440" spans="6:8" x14ac:dyDescent="0.2">
      <c r="F1440" s="72">
        <v>34545</v>
      </c>
      <c r="G1440" s="2">
        <v>2626000</v>
      </c>
      <c r="H1440" s="2">
        <v>332000</v>
      </c>
    </row>
    <row r="1441" spans="6:8" x14ac:dyDescent="0.2">
      <c r="F1441" s="72">
        <v>34552</v>
      </c>
      <c r="G1441" s="2">
        <v>2644000</v>
      </c>
      <c r="H1441" s="2">
        <v>338000</v>
      </c>
    </row>
    <row r="1442" spans="6:8" x14ac:dyDescent="0.2">
      <c r="F1442" s="72">
        <v>34559</v>
      </c>
      <c r="G1442" s="2">
        <v>2639000</v>
      </c>
      <c r="H1442" s="2">
        <v>335000</v>
      </c>
    </row>
    <row r="1443" spans="6:8" x14ac:dyDescent="0.2">
      <c r="F1443" s="72">
        <v>34566</v>
      </c>
      <c r="G1443" s="2">
        <v>2659000</v>
      </c>
      <c r="H1443" s="2">
        <v>331000</v>
      </c>
    </row>
    <row r="1444" spans="6:8" x14ac:dyDescent="0.2">
      <c r="F1444" s="72">
        <v>34573</v>
      </c>
      <c r="G1444" s="2">
        <v>2648000</v>
      </c>
      <c r="H1444" s="2">
        <v>341000</v>
      </c>
    </row>
    <row r="1445" spans="6:8" x14ac:dyDescent="0.2">
      <c r="F1445" s="72">
        <v>34580</v>
      </c>
      <c r="G1445" s="2">
        <v>2645000</v>
      </c>
      <c r="H1445" s="2">
        <v>339000</v>
      </c>
    </row>
    <row r="1446" spans="6:8" x14ac:dyDescent="0.2">
      <c r="F1446" s="72">
        <v>34587</v>
      </c>
      <c r="G1446" s="2">
        <v>2633000</v>
      </c>
      <c r="H1446" s="2">
        <v>331000</v>
      </c>
    </row>
    <row r="1447" spans="6:8" x14ac:dyDescent="0.2">
      <c r="F1447" s="72">
        <v>34594</v>
      </c>
      <c r="G1447" s="2">
        <v>2638000</v>
      </c>
      <c r="H1447" s="2">
        <v>326000</v>
      </c>
    </row>
    <row r="1448" spans="6:8" x14ac:dyDescent="0.2">
      <c r="F1448" s="72">
        <v>34601</v>
      </c>
      <c r="G1448" s="2">
        <v>2601000</v>
      </c>
      <c r="H1448" s="2">
        <v>325000</v>
      </c>
    </row>
    <row r="1449" spans="6:8" x14ac:dyDescent="0.2">
      <c r="F1449" s="72">
        <v>34608</v>
      </c>
      <c r="G1449" s="2">
        <v>2597000</v>
      </c>
      <c r="H1449" s="2">
        <v>330000</v>
      </c>
    </row>
    <row r="1450" spans="6:8" x14ac:dyDescent="0.2">
      <c r="F1450" s="72">
        <v>34615</v>
      </c>
      <c r="G1450" s="2">
        <v>2561000</v>
      </c>
      <c r="H1450" s="2">
        <v>341000</v>
      </c>
    </row>
    <row r="1451" spans="6:8" x14ac:dyDescent="0.2">
      <c r="F1451" s="72">
        <v>34622</v>
      </c>
      <c r="G1451" s="2">
        <v>2620000</v>
      </c>
      <c r="H1451" s="2">
        <v>335000</v>
      </c>
    </row>
    <row r="1452" spans="6:8" x14ac:dyDescent="0.2">
      <c r="F1452" s="72">
        <v>34629</v>
      </c>
      <c r="G1452" s="2">
        <v>2556000</v>
      </c>
      <c r="H1452" s="2">
        <v>330000</v>
      </c>
    </row>
    <row r="1453" spans="6:8" x14ac:dyDescent="0.2">
      <c r="F1453" s="72">
        <v>34636</v>
      </c>
      <c r="G1453" s="2">
        <v>2536000</v>
      </c>
      <c r="H1453" s="2">
        <v>331000</v>
      </c>
    </row>
    <row r="1454" spans="6:8" x14ac:dyDescent="0.2">
      <c r="F1454" s="72">
        <v>34643</v>
      </c>
      <c r="G1454" s="2">
        <v>2538000</v>
      </c>
      <c r="H1454" s="2">
        <v>328000</v>
      </c>
    </row>
    <row r="1455" spans="6:8" x14ac:dyDescent="0.2">
      <c r="F1455" s="72">
        <v>34650</v>
      </c>
      <c r="G1455" s="2">
        <v>2528000</v>
      </c>
      <c r="H1455" s="2">
        <v>329000</v>
      </c>
    </row>
    <row r="1456" spans="6:8" x14ac:dyDescent="0.2">
      <c r="F1456" s="72">
        <v>34657</v>
      </c>
      <c r="G1456" s="2">
        <v>2533000</v>
      </c>
      <c r="H1456" s="2">
        <v>326000</v>
      </c>
    </row>
    <row r="1457" spans="6:8" x14ac:dyDescent="0.2">
      <c r="F1457" s="72">
        <v>34664</v>
      </c>
      <c r="G1457" s="2">
        <v>2530000</v>
      </c>
      <c r="H1457" s="2">
        <v>329000</v>
      </c>
    </row>
    <row r="1458" spans="6:8" x14ac:dyDescent="0.2">
      <c r="F1458" s="72">
        <v>34671</v>
      </c>
      <c r="G1458" s="2">
        <v>2513000</v>
      </c>
      <c r="H1458" s="2">
        <v>324000</v>
      </c>
    </row>
    <row r="1459" spans="6:8" x14ac:dyDescent="0.2">
      <c r="F1459" s="72">
        <v>34678</v>
      </c>
      <c r="G1459" s="2">
        <v>2508000</v>
      </c>
      <c r="H1459" s="2">
        <v>329000</v>
      </c>
    </row>
    <row r="1460" spans="6:8" x14ac:dyDescent="0.2">
      <c r="F1460" s="72">
        <v>34685</v>
      </c>
      <c r="G1460" s="2">
        <v>2557000</v>
      </c>
      <c r="H1460" s="2">
        <v>330000</v>
      </c>
    </row>
    <row r="1461" spans="6:8" x14ac:dyDescent="0.2">
      <c r="F1461" s="72">
        <v>34692</v>
      </c>
      <c r="G1461" s="2">
        <v>2567000</v>
      </c>
      <c r="H1461" s="2">
        <v>314000</v>
      </c>
    </row>
    <row r="1462" spans="6:8" x14ac:dyDescent="0.2">
      <c r="F1462" s="72">
        <v>34699</v>
      </c>
      <c r="G1462" s="2">
        <v>2499000</v>
      </c>
      <c r="H1462" s="2">
        <v>319000</v>
      </c>
    </row>
    <row r="1463" spans="6:8" x14ac:dyDescent="0.2">
      <c r="F1463" s="72">
        <v>34706</v>
      </c>
      <c r="G1463" s="2">
        <v>2486000</v>
      </c>
      <c r="H1463" s="2">
        <v>338000</v>
      </c>
    </row>
    <row r="1464" spans="6:8" x14ac:dyDescent="0.2">
      <c r="F1464" s="72">
        <v>34713</v>
      </c>
      <c r="G1464" s="2">
        <v>2559000</v>
      </c>
      <c r="H1464" s="2">
        <v>347000</v>
      </c>
    </row>
    <row r="1465" spans="6:8" x14ac:dyDescent="0.2">
      <c r="F1465" s="72">
        <v>34720</v>
      </c>
      <c r="G1465" s="2">
        <v>2473000</v>
      </c>
      <c r="H1465" s="2">
        <v>325000</v>
      </c>
    </row>
    <row r="1466" spans="6:8" x14ac:dyDescent="0.2">
      <c r="F1466" s="72">
        <v>34727</v>
      </c>
      <c r="G1466" s="2">
        <v>2532000</v>
      </c>
      <c r="H1466" s="2">
        <v>324000</v>
      </c>
    </row>
    <row r="1467" spans="6:8" x14ac:dyDescent="0.2">
      <c r="F1467" s="72">
        <v>34734</v>
      </c>
      <c r="G1467" s="2">
        <v>2501000</v>
      </c>
      <c r="H1467" s="2">
        <v>324000</v>
      </c>
    </row>
    <row r="1468" spans="6:8" x14ac:dyDescent="0.2">
      <c r="F1468" s="72">
        <v>34741</v>
      </c>
      <c r="G1468" s="2">
        <v>2515000</v>
      </c>
      <c r="H1468" s="2">
        <v>348000</v>
      </c>
    </row>
    <row r="1469" spans="6:8" x14ac:dyDescent="0.2">
      <c r="F1469" s="72">
        <v>34748</v>
      </c>
      <c r="G1469" s="2">
        <v>2541000</v>
      </c>
      <c r="H1469" s="2">
        <v>343000</v>
      </c>
    </row>
    <row r="1470" spans="6:8" x14ac:dyDescent="0.2">
      <c r="F1470" s="72">
        <v>34755</v>
      </c>
      <c r="G1470" s="2">
        <v>2533000</v>
      </c>
      <c r="H1470" s="2">
        <v>336000</v>
      </c>
    </row>
    <row r="1471" spans="6:8" x14ac:dyDescent="0.2">
      <c r="F1471" s="72">
        <v>34762</v>
      </c>
      <c r="G1471" s="2">
        <v>2518000</v>
      </c>
      <c r="H1471" s="2">
        <v>339000</v>
      </c>
    </row>
    <row r="1472" spans="6:8" x14ac:dyDescent="0.2">
      <c r="F1472" s="72">
        <v>34769</v>
      </c>
      <c r="G1472" s="2">
        <v>2564000</v>
      </c>
      <c r="H1472" s="2">
        <v>347000</v>
      </c>
    </row>
    <row r="1473" spans="6:8" x14ac:dyDescent="0.2">
      <c r="F1473" s="72">
        <v>34776</v>
      </c>
      <c r="G1473" s="2">
        <v>2513000</v>
      </c>
      <c r="H1473" s="2">
        <v>343000</v>
      </c>
    </row>
    <row r="1474" spans="6:8" x14ac:dyDescent="0.2">
      <c r="F1474" s="72">
        <v>34783</v>
      </c>
      <c r="G1474" s="2">
        <v>2530000</v>
      </c>
      <c r="H1474" s="2">
        <v>332000</v>
      </c>
    </row>
    <row r="1475" spans="6:8" x14ac:dyDescent="0.2">
      <c r="F1475" s="72">
        <v>34790</v>
      </c>
      <c r="G1475" s="2">
        <v>2484000</v>
      </c>
      <c r="H1475" s="2">
        <v>335000</v>
      </c>
    </row>
    <row r="1476" spans="6:8" x14ac:dyDescent="0.2">
      <c r="F1476" s="72">
        <v>34797</v>
      </c>
      <c r="G1476" s="2">
        <v>2500000</v>
      </c>
      <c r="H1476" s="2">
        <v>347000</v>
      </c>
    </row>
    <row r="1477" spans="6:8" x14ac:dyDescent="0.2">
      <c r="F1477" s="72">
        <v>34804</v>
      </c>
      <c r="G1477" s="2">
        <v>2505000</v>
      </c>
      <c r="H1477" s="2">
        <v>355000</v>
      </c>
    </row>
    <row r="1478" spans="6:8" x14ac:dyDescent="0.2">
      <c r="F1478" s="72">
        <v>34811</v>
      </c>
      <c r="G1478" s="2">
        <v>2569000</v>
      </c>
      <c r="H1478" s="2">
        <v>349000</v>
      </c>
    </row>
    <row r="1479" spans="6:8" x14ac:dyDescent="0.2">
      <c r="F1479" s="72">
        <v>34818</v>
      </c>
      <c r="G1479" s="2">
        <v>2539000</v>
      </c>
      <c r="H1479" s="2">
        <v>365000</v>
      </c>
    </row>
    <row r="1480" spans="6:8" x14ac:dyDescent="0.2">
      <c r="F1480" s="72">
        <v>34825</v>
      </c>
      <c r="G1480" s="2">
        <v>2535000</v>
      </c>
      <c r="H1480" s="2">
        <v>364000</v>
      </c>
    </row>
    <row r="1481" spans="6:8" x14ac:dyDescent="0.2">
      <c r="F1481" s="72">
        <v>34832</v>
      </c>
      <c r="G1481" s="2">
        <v>2567000</v>
      </c>
      <c r="H1481" s="2">
        <v>366000</v>
      </c>
    </row>
    <row r="1482" spans="6:8" x14ac:dyDescent="0.2">
      <c r="F1482" s="72">
        <v>34839</v>
      </c>
      <c r="G1482" s="2">
        <v>2616000</v>
      </c>
      <c r="H1482" s="2">
        <v>377000</v>
      </c>
    </row>
    <row r="1483" spans="6:8" x14ac:dyDescent="0.2">
      <c r="F1483" s="72">
        <v>34846</v>
      </c>
      <c r="G1483" s="2">
        <v>2574000</v>
      </c>
      <c r="H1483" s="2">
        <v>374000</v>
      </c>
    </row>
    <row r="1484" spans="6:8" x14ac:dyDescent="0.2">
      <c r="F1484" s="72">
        <v>34853</v>
      </c>
      <c r="G1484" s="2">
        <v>2608000</v>
      </c>
      <c r="H1484" s="2">
        <v>362000</v>
      </c>
    </row>
    <row r="1485" spans="6:8" x14ac:dyDescent="0.2">
      <c r="F1485" s="72">
        <v>34860</v>
      </c>
      <c r="G1485" s="2">
        <v>2614000</v>
      </c>
      <c r="H1485" s="2">
        <v>367000</v>
      </c>
    </row>
    <row r="1486" spans="6:8" x14ac:dyDescent="0.2">
      <c r="F1486" s="72">
        <v>34867</v>
      </c>
      <c r="G1486" s="2">
        <v>2603000</v>
      </c>
      <c r="H1486" s="2">
        <v>378000</v>
      </c>
    </row>
    <row r="1487" spans="6:8" x14ac:dyDescent="0.2">
      <c r="F1487" s="72">
        <v>34874</v>
      </c>
      <c r="G1487" s="2">
        <v>2602000</v>
      </c>
      <c r="H1487" s="2">
        <v>358000</v>
      </c>
    </row>
    <row r="1488" spans="6:8" x14ac:dyDescent="0.2">
      <c r="F1488" s="72">
        <v>34881</v>
      </c>
      <c r="G1488" s="2">
        <v>2596000</v>
      </c>
      <c r="H1488" s="2">
        <v>355000</v>
      </c>
    </row>
    <row r="1489" spans="6:8" x14ac:dyDescent="0.2">
      <c r="F1489" s="72">
        <v>34888</v>
      </c>
      <c r="G1489" s="2">
        <v>2651000</v>
      </c>
      <c r="H1489" s="2">
        <v>372000</v>
      </c>
    </row>
    <row r="1490" spans="6:8" x14ac:dyDescent="0.2">
      <c r="F1490" s="72">
        <v>34895</v>
      </c>
      <c r="G1490" s="2">
        <v>2677000</v>
      </c>
      <c r="H1490" s="2">
        <v>389000</v>
      </c>
    </row>
    <row r="1491" spans="6:8" x14ac:dyDescent="0.2">
      <c r="F1491" s="72">
        <v>34902</v>
      </c>
      <c r="G1491" s="2">
        <v>2605000</v>
      </c>
      <c r="H1491" s="2">
        <v>390000</v>
      </c>
    </row>
    <row r="1492" spans="6:8" x14ac:dyDescent="0.2">
      <c r="F1492" s="72">
        <v>34909</v>
      </c>
      <c r="G1492" s="2">
        <v>2585000</v>
      </c>
      <c r="H1492" s="2">
        <v>351000</v>
      </c>
    </row>
    <row r="1493" spans="6:8" x14ac:dyDescent="0.2">
      <c r="F1493" s="72">
        <v>34916</v>
      </c>
      <c r="G1493" s="2">
        <v>2592000</v>
      </c>
      <c r="H1493" s="2">
        <v>351000</v>
      </c>
    </row>
    <row r="1494" spans="6:8" x14ac:dyDescent="0.2">
      <c r="F1494" s="72">
        <v>34923</v>
      </c>
      <c r="G1494" s="2">
        <v>2612000</v>
      </c>
      <c r="H1494" s="2">
        <v>353000</v>
      </c>
    </row>
    <row r="1495" spans="6:8" x14ac:dyDescent="0.2">
      <c r="F1495" s="72">
        <v>34930</v>
      </c>
      <c r="G1495" s="2">
        <v>2615000</v>
      </c>
      <c r="H1495" s="2">
        <v>362000</v>
      </c>
    </row>
    <row r="1496" spans="6:8" x14ac:dyDescent="0.2">
      <c r="F1496" s="72">
        <v>34937</v>
      </c>
      <c r="G1496" s="2">
        <v>2610000</v>
      </c>
      <c r="H1496" s="2">
        <v>359000</v>
      </c>
    </row>
    <row r="1497" spans="6:8" x14ac:dyDescent="0.2">
      <c r="F1497" s="72">
        <v>34944</v>
      </c>
      <c r="G1497" s="2">
        <v>2613000</v>
      </c>
      <c r="H1497" s="2">
        <v>355000</v>
      </c>
    </row>
    <row r="1498" spans="6:8" x14ac:dyDescent="0.2">
      <c r="F1498" s="72">
        <v>34951</v>
      </c>
      <c r="G1498" s="2">
        <v>2636000</v>
      </c>
      <c r="H1498" s="2">
        <v>371000</v>
      </c>
    </row>
    <row r="1499" spans="6:8" x14ac:dyDescent="0.2">
      <c r="F1499" s="72">
        <v>34958</v>
      </c>
      <c r="G1499" s="2">
        <v>2650000</v>
      </c>
      <c r="H1499" s="2">
        <v>376000</v>
      </c>
    </row>
    <row r="1500" spans="6:8" x14ac:dyDescent="0.2">
      <c r="F1500" s="72">
        <v>34965</v>
      </c>
      <c r="G1500" s="2">
        <v>2626000</v>
      </c>
      <c r="H1500" s="2">
        <v>353000</v>
      </c>
    </row>
    <row r="1501" spans="6:8" x14ac:dyDescent="0.2">
      <c r="F1501" s="72">
        <v>34972</v>
      </c>
      <c r="G1501" s="2">
        <v>2609000</v>
      </c>
      <c r="H1501" s="2">
        <v>355000</v>
      </c>
    </row>
    <row r="1502" spans="6:8" x14ac:dyDescent="0.2">
      <c r="F1502" s="72">
        <v>34979</v>
      </c>
      <c r="G1502" s="2">
        <v>2651000</v>
      </c>
      <c r="H1502" s="2">
        <v>374000</v>
      </c>
    </row>
    <row r="1503" spans="6:8" x14ac:dyDescent="0.2">
      <c r="F1503" s="72">
        <v>34986</v>
      </c>
      <c r="G1503" s="2">
        <v>2688000</v>
      </c>
      <c r="H1503" s="2">
        <v>369000</v>
      </c>
    </row>
    <row r="1504" spans="6:8" x14ac:dyDescent="0.2">
      <c r="F1504" s="72">
        <v>34993</v>
      </c>
      <c r="G1504" s="2">
        <v>2640000</v>
      </c>
      <c r="H1504" s="2">
        <v>366000</v>
      </c>
    </row>
    <row r="1505" spans="6:8" x14ac:dyDescent="0.2">
      <c r="F1505" s="72">
        <v>35000</v>
      </c>
      <c r="G1505" s="2">
        <v>2674000</v>
      </c>
      <c r="H1505" s="2">
        <v>377000</v>
      </c>
    </row>
    <row r="1506" spans="6:8" x14ac:dyDescent="0.2">
      <c r="F1506" s="72">
        <v>35007</v>
      </c>
      <c r="G1506" s="2">
        <v>2649000</v>
      </c>
      <c r="H1506" s="2">
        <v>380000</v>
      </c>
    </row>
    <row r="1507" spans="6:8" x14ac:dyDescent="0.2">
      <c r="F1507" s="72">
        <v>35014</v>
      </c>
      <c r="G1507" s="2">
        <v>2674000</v>
      </c>
      <c r="H1507" s="2">
        <v>370000</v>
      </c>
    </row>
    <row r="1508" spans="6:8" x14ac:dyDescent="0.2">
      <c r="F1508" s="72">
        <v>35021</v>
      </c>
      <c r="G1508" s="2">
        <v>2653000</v>
      </c>
      <c r="H1508" s="2">
        <v>379000</v>
      </c>
    </row>
    <row r="1509" spans="6:8" x14ac:dyDescent="0.2">
      <c r="F1509" s="72">
        <v>35028</v>
      </c>
      <c r="G1509" s="2">
        <v>2712000</v>
      </c>
      <c r="H1509" s="2">
        <v>379000</v>
      </c>
    </row>
    <row r="1510" spans="6:8" x14ac:dyDescent="0.2">
      <c r="F1510" s="72">
        <v>35035</v>
      </c>
      <c r="G1510" s="2">
        <v>2623000</v>
      </c>
      <c r="H1510" s="2">
        <v>373000</v>
      </c>
    </row>
    <row r="1511" spans="6:8" x14ac:dyDescent="0.2">
      <c r="F1511" s="72">
        <v>35042</v>
      </c>
      <c r="G1511" s="2">
        <v>2629000</v>
      </c>
      <c r="H1511" s="2">
        <v>346000</v>
      </c>
    </row>
    <row r="1512" spans="6:8" x14ac:dyDescent="0.2">
      <c r="F1512" s="72">
        <v>35049</v>
      </c>
      <c r="G1512" s="2">
        <v>2631000</v>
      </c>
      <c r="H1512" s="2">
        <v>373000</v>
      </c>
    </row>
    <row r="1513" spans="6:8" x14ac:dyDescent="0.2">
      <c r="F1513" s="72">
        <v>35056</v>
      </c>
      <c r="G1513" s="2">
        <v>2622000</v>
      </c>
      <c r="H1513" s="2">
        <v>374000</v>
      </c>
    </row>
    <row r="1514" spans="6:8" x14ac:dyDescent="0.2">
      <c r="F1514" s="72">
        <v>35063</v>
      </c>
      <c r="G1514" s="2">
        <v>2558000</v>
      </c>
      <c r="H1514" s="2">
        <v>359000</v>
      </c>
    </row>
    <row r="1515" spans="6:8" x14ac:dyDescent="0.2">
      <c r="F1515" s="72">
        <v>35070</v>
      </c>
      <c r="G1515" s="2">
        <v>2549000</v>
      </c>
      <c r="H1515" s="2">
        <v>361000</v>
      </c>
    </row>
    <row r="1516" spans="6:8" x14ac:dyDescent="0.2">
      <c r="F1516" s="72">
        <v>35077</v>
      </c>
      <c r="G1516" s="2">
        <v>2702000</v>
      </c>
      <c r="H1516" s="2">
        <v>333000</v>
      </c>
    </row>
    <row r="1517" spans="6:8" x14ac:dyDescent="0.2">
      <c r="F1517" s="72">
        <v>35084</v>
      </c>
      <c r="G1517" s="2">
        <v>2707000</v>
      </c>
      <c r="H1517" s="2">
        <v>415000</v>
      </c>
    </row>
    <row r="1518" spans="6:8" x14ac:dyDescent="0.2">
      <c r="F1518" s="72">
        <v>35091</v>
      </c>
      <c r="G1518" s="2">
        <v>2637000</v>
      </c>
      <c r="H1518" s="2">
        <v>387000</v>
      </c>
    </row>
    <row r="1519" spans="6:8" x14ac:dyDescent="0.2">
      <c r="F1519" s="72">
        <v>35098</v>
      </c>
      <c r="G1519" s="2">
        <v>2750000</v>
      </c>
      <c r="H1519" s="2">
        <v>374000</v>
      </c>
    </row>
    <row r="1520" spans="6:8" x14ac:dyDescent="0.2">
      <c r="F1520" s="72">
        <v>35105</v>
      </c>
      <c r="G1520" s="2">
        <v>2672000</v>
      </c>
      <c r="H1520" s="2">
        <v>387000</v>
      </c>
    </row>
    <row r="1521" spans="6:8" x14ac:dyDescent="0.2">
      <c r="F1521" s="72">
        <v>35112</v>
      </c>
      <c r="G1521" s="2">
        <v>2694000</v>
      </c>
      <c r="H1521" s="2">
        <v>383000</v>
      </c>
    </row>
    <row r="1522" spans="6:8" x14ac:dyDescent="0.2">
      <c r="F1522" s="72">
        <v>35119</v>
      </c>
      <c r="G1522" s="2">
        <v>2655000</v>
      </c>
      <c r="H1522" s="2">
        <v>365000</v>
      </c>
    </row>
    <row r="1523" spans="6:8" x14ac:dyDescent="0.2">
      <c r="F1523" s="72">
        <v>35126</v>
      </c>
      <c r="G1523" s="2">
        <v>2688000</v>
      </c>
      <c r="H1523" s="2">
        <v>368000</v>
      </c>
    </row>
    <row r="1524" spans="6:8" x14ac:dyDescent="0.2">
      <c r="F1524" s="72">
        <v>35133</v>
      </c>
      <c r="G1524" s="2">
        <v>2647000</v>
      </c>
      <c r="H1524" s="2">
        <v>361000</v>
      </c>
    </row>
    <row r="1525" spans="6:8" x14ac:dyDescent="0.2">
      <c r="F1525" s="72">
        <v>35140</v>
      </c>
      <c r="G1525" s="2">
        <v>2677000</v>
      </c>
      <c r="H1525" s="2">
        <v>384000</v>
      </c>
    </row>
    <row r="1526" spans="6:8" x14ac:dyDescent="0.2">
      <c r="F1526" s="72">
        <v>35147</v>
      </c>
      <c r="G1526" s="2">
        <v>2738000</v>
      </c>
      <c r="H1526" s="2">
        <v>426000</v>
      </c>
    </row>
    <row r="1527" spans="6:8" x14ac:dyDescent="0.2">
      <c r="F1527" s="72">
        <v>35154</v>
      </c>
      <c r="G1527" s="2">
        <v>2675000</v>
      </c>
      <c r="H1527" s="2">
        <v>393000</v>
      </c>
    </row>
    <row r="1528" spans="6:8" x14ac:dyDescent="0.2">
      <c r="F1528" s="72">
        <v>35161</v>
      </c>
      <c r="G1528" s="2">
        <v>2648000</v>
      </c>
      <c r="H1528" s="2">
        <v>369000</v>
      </c>
    </row>
    <row r="1529" spans="6:8" x14ac:dyDescent="0.2">
      <c r="F1529" s="72">
        <v>35168</v>
      </c>
      <c r="G1529" s="2">
        <v>2657000</v>
      </c>
      <c r="H1529" s="2">
        <v>357000</v>
      </c>
    </row>
    <row r="1530" spans="6:8" x14ac:dyDescent="0.2">
      <c r="F1530" s="72">
        <v>35175</v>
      </c>
      <c r="G1530" s="2">
        <v>2620000</v>
      </c>
      <c r="H1530" s="2">
        <v>368000</v>
      </c>
    </row>
    <row r="1531" spans="6:8" x14ac:dyDescent="0.2">
      <c r="F1531" s="72">
        <v>35182</v>
      </c>
      <c r="G1531" s="2">
        <v>2609000</v>
      </c>
      <c r="H1531" s="2">
        <v>343000</v>
      </c>
    </row>
    <row r="1532" spans="6:8" x14ac:dyDescent="0.2">
      <c r="F1532" s="72">
        <v>35189</v>
      </c>
      <c r="G1532" s="2">
        <v>2602000</v>
      </c>
      <c r="H1532" s="2">
        <v>338000</v>
      </c>
    </row>
    <row r="1533" spans="6:8" x14ac:dyDescent="0.2">
      <c r="F1533" s="72">
        <v>35196</v>
      </c>
      <c r="G1533" s="2">
        <v>2586000</v>
      </c>
      <c r="H1533" s="2">
        <v>352000</v>
      </c>
    </row>
    <row r="1534" spans="6:8" x14ac:dyDescent="0.2">
      <c r="F1534" s="72">
        <v>35203</v>
      </c>
      <c r="G1534" s="2">
        <v>2584000</v>
      </c>
      <c r="H1534" s="2">
        <v>345000</v>
      </c>
    </row>
    <row r="1535" spans="6:8" x14ac:dyDescent="0.2">
      <c r="F1535" s="72">
        <v>35210</v>
      </c>
      <c r="G1535" s="2">
        <v>2590000</v>
      </c>
      <c r="H1535" s="2">
        <v>343000</v>
      </c>
    </row>
    <row r="1536" spans="6:8" x14ac:dyDescent="0.2">
      <c r="F1536" s="72">
        <v>35217</v>
      </c>
      <c r="G1536" s="2">
        <v>2553000</v>
      </c>
      <c r="H1536" s="2">
        <v>340000</v>
      </c>
    </row>
    <row r="1537" spans="6:8" x14ac:dyDescent="0.2">
      <c r="F1537" s="72">
        <v>35224</v>
      </c>
      <c r="G1537" s="2">
        <v>2521000</v>
      </c>
      <c r="H1537" s="2">
        <v>351000</v>
      </c>
    </row>
    <row r="1538" spans="6:8" x14ac:dyDescent="0.2">
      <c r="F1538" s="72">
        <v>35231</v>
      </c>
      <c r="G1538" s="2">
        <v>2560000</v>
      </c>
      <c r="H1538" s="2">
        <v>342000</v>
      </c>
    </row>
    <row r="1539" spans="6:8" x14ac:dyDescent="0.2">
      <c r="F1539" s="72">
        <v>35238</v>
      </c>
      <c r="G1539" s="2">
        <v>2550000</v>
      </c>
      <c r="H1539" s="2">
        <v>341000</v>
      </c>
    </row>
    <row r="1540" spans="6:8" x14ac:dyDescent="0.2">
      <c r="F1540" s="72">
        <v>35245</v>
      </c>
      <c r="G1540" s="2">
        <v>2556000</v>
      </c>
      <c r="H1540" s="2">
        <v>337000</v>
      </c>
    </row>
    <row r="1541" spans="6:8" x14ac:dyDescent="0.2">
      <c r="F1541" s="72">
        <v>35252</v>
      </c>
      <c r="G1541" s="2">
        <v>2501000</v>
      </c>
      <c r="H1541" s="2">
        <v>342000</v>
      </c>
    </row>
    <row r="1542" spans="6:8" x14ac:dyDescent="0.2">
      <c r="F1542" s="72">
        <v>35259</v>
      </c>
      <c r="G1542" s="2">
        <v>2495000</v>
      </c>
      <c r="H1542" s="2">
        <v>347000</v>
      </c>
    </row>
    <row r="1543" spans="6:8" x14ac:dyDescent="0.2">
      <c r="F1543" s="72">
        <v>35266</v>
      </c>
      <c r="G1543" s="2">
        <v>2492000</v>
      </c>
      <c r="H1543" s="2">
        <v>332000</v>
      </c>
    </row>
    <row r="1544" spans="6:8" x14ac:dyDescent="0.2">
      <c r="F1544" s="72">
        <v>35273</v>
      </c>
      <c r="G1544" s="2">
        <v>2472000</v>
      </c>
      <c r="H1544" s="2">
        <v>327000</v>
      </c>
    </row>
    <row r="1545" spans="6:8" x14ac:dyDescent="0.2">
      <c r="F1545" s="72">
        <v>35280</v>
      </c>
      <c r="G1545" s="2">
        <v>2476000</v>
      </c>
      <c r="H1545" s="2">
        <v>326000</v>
      </c>
    </row>
    <row r="1546" spans="6:8" x14ac:dyDescent="0.2">
      <c r="F1546" s="72">
        <v>35287</v>
      </c>
      <c r="G1546" s="2">
        <v>2492000</v>
      </c>
      <c r="H1546" s="2">
        <v>331000</v>
      </c>
    </row>
    <row r="1547" spans="6:8" x14ac:dyDescent="0.2">
      <c r="F1547" s="72">
        <v>35294</v>
      </c>
      <c r="G1547" s="2">
        <v>2495000</v>
      </c>
      <c r="H1547" s="2">
        <v>336000</v>
      </c>
    </row>
    <row r="1548" spans="6:8" x14ac:dyDescent="0.2">
      <c r="F1548" s="72">
        <v>35301</v>
      </c>
      <c r="G1548" s="2">
        <v>2493000</v>
      </c>
      <c r="H1548" s="2">
        <v>337000</v>
      </c>
    </row>
    <row r="1549" spans="6:8" x14ac:dyDescent="0.2">
      <c r="F1549" s="72">
        <v>35308</v>
      </c>
      <c r="G1549" s="2">
        <v>2516000</v>
      </c>
      <c r="H1549" s="2">
        <v>329000</v>
      </c>
    </row>
    <row r="1550" spans="6:8" x14ac:dyDescent="0.2">
      <c r="F1550" s="72">
        <v>35315</v>
      </c>
      <c r="G1550" s="2">
        <v>2443000</v>
      </c>
      <c r="H1550" s="2">
        <v>333000</v>
      </c>
    </row>
    <row r="1551" spans="6:8" x14ac:dyDescent="0.2">
      <c r="F1551" s="72">
        <v>35322</v>
      </c>
      <c r="G1551" s="2">
        <v>2486000</v>
      </c>
      <c r="H1551" s="2">
        <v>338000</v>
      </c>
    </row>
    <row r="1552" spans="6:8" x14ac:dyDescent="0.2">
      <c r="F1552" s="72">
        <v>35329</v>
      </c>
      <c r="G1552" s="2">
        <v>2484000</v>
      </c>
      <c r="H1552" s="2">
        <v>352000</v>
      </c>
    </row>
    <row r="1553" spans="6:8" x14ac:dyDescent="0.2">
      <c r="F1553" s="72">
        <v>35336</v>
      </c>
      <c r="G1553" s="2">
        <v>2479000</v>
      </c>
      <c r="H1553" s="2">
        <v>348000</v>
      </c>
    </row>
    <row r="1554" spans="6:8" x14ac:dyDescent="0.2">
      <c r="F1554" s="72">
        <v>35343</v>
      </c>
      <c r="G1554" s="2">
        <v>2496000</v>
      </c>
      <c r="H1554" s="2">
        <v>335000</v>
      </c>
    </row>
    <row r="1555" spans="6:8" x14ac:dyDescent="0.2">
      <c r="F1555" s="72">
        <v>35350</v>
      </c>
      <c r="G1555" s="2">
        <v>2422000</v>
      </c>
      <c r="H1555" s="2">
        <v>334000</v>
      </c>
    </row>
    <row r="1556" spans="6:8" x14ac:dyDescent="0.2">
      <c r="F1556" s="72">
        <v>35357</v>
      </c>
      <c r="G1556" s="2">
        <v>2449000</v>
      </c>
      <c r="H1556" s="2">
        <v>335000</v>
      </c>
    </row>
    <row r="1557" spans="6:8" x14ac:dyDescent="0.2">
      <c r="F1557" s="72">
        <v>35364</v>
      </c>
      <c r="G1557" s="2">
        <v>2474000</v>
      </c>
      <c r="H1557" s="2">
        <v>352000</v>
      </c>
    </row>
    <row r="1558" spans="6:8" x14ac:dyDescent="0.2">
      <c r="F1558" s="72">
        <v>35371</v>
      </c>
      <c r="G1558" s="2">
        <v>2452000</v>
      </c>
      <c r="H1558" s="2">
        <v>334000</v>
      </c>
    </row>
    <row r="1559" spans="6:8" x14ac:dyDescent="0.2">
      <c r="F1559" s="72">
        <v>35378</v>
      </c>
      <c r="G1559" s="2">
        <v>2475000</v>
      </c>
      <c r="H1559" s="2">
        <v>327000</v>
      </c>
    </row>
    <row r="1560" spans="6:8" x14ac:dyDescent="0.2">
      <c r="F1560" s="72">
        <v>35385</v>
      </c>
      <c r="G1560" s="2">
        <v>2406000</v>
      </c>
      <c r="H1560" s="2">
        <v>342000</v>
      </c>
    </row>
    <row r="1561" spans="6:8" x14ac:dyDescent="0.2">
      <c r="F1561" s="72">
        <v>35392</v>
      </c>
      <c r="G1561" s="2">
        <v>2350000</v>
      </c>
      <c r="H1561" s="2">
        <v>347000</v>
      </c>
    </row>
    <row r="1562" spans="6:8" x14ac:dyDescent="0.2">
      <c r="F1562" s="72">
        <v>35399</v>
      </c>
      <c r="G1562" s="2">
        <v>2460000</v>
      </c>
      <c r="H1562" s="2">
        <v>332000</v>
      </c>
    </row>
    <row r="1563" spans="6:8" x14ac:dyDescent="0.2">
      <c r="F1563" s="72">
        <v>35406</v>
      </c>
      <c r="G1563" s="2">
        <v>2484000</v>
      </c>
      <c r="H1563" s="2">
        <v>355000</v>
      </c>
    </row>
    <row r="1564" spans="6:8" x14ac:dyDescent="0.2">
      <c r="F1564" s="72">
        <v>35413</v>
      </c>
      <c r="G1564" s="2">
        <v>2464000</v>
      </c>
      <c r="H1564" s="2">
        <v>352000</v>
      </c>
    </row>
    <row r="1565" spans="6:8" x14ac:dyDescent="0.2">
      <c r="F1565" s="72">
        <v>35420</v>
      </c>
      <c r="G1565" s="2">
        <v>2506000</v>
      </c>
      <c r="H1565" s="2">
        <v>350000</v>
      </c>
    </row>
    <row r="1566" spans="6:8" x14ac:dyDescent="0.2">
      <c r="F1566" s="72">
        <v>35427</v>
      </c>
      <c r="G1566" s="2">
        <v>2497000</v>
      </c>
      <c r="H1566" s="2">
        <v>357000</v>
      </c>
    </row>
    <row r="1567" spans="6:8" x14ac:dyDescent="0.2">
      <c r="F1567" s="72">
        <v>35434</v>
      </c>
      <c r="G1567" s="2">
        <v>2552000</v>
      </c>
      <c r="H1567" s="2">
        <v>347000</v>
      </c>
    </row>
    <row r="1568" spans="6:8" x14ac:dyDescent="0.2">
      <c r="F1568" s="72">
        <v>35441</v>
      </c>
      <c r="G1568" s="2">
        <v>2473000</v>
      </c>
      <c r="H1568" s="2">
        <v>324000</v>
      </c>
    </row>
    <row r="1569" spans="6:8" x14ac:dyDescent="0.2">
      <c r="F1569" s="72">
        <v>35448</v>
      </c>
      <c r="G1569" s="2">
        <v>2434000</v>
      </c>
      <c r="H1569" s="2">
        <v>345000</v>
      </c>
    </row>
    <row r="1570" spans="6:8" x14ac:dyDescent="0.2">
      <c r="F1570" s="72">
        <v>35455</v>
      </c>
      <c r="G1570" s="2">
        <v>2492000</v>
      </c>
      <c r="H1570" s="2">
        <v>340000</v>
      </c>
    </row>
    <row r="1571" spans="6:8" x14ac:dyDescent="0.2">
      <c r="F1571" s="72">
        <v>35462</v>
      </c>
      <c r="G1571" s="2">
        <v>2403000</v>
      </c>
      <c r="H1571" s="2">
        <v>333000</v>
      </c>
    </row>
    <row r="1572" spans="6:8" x14ac:dyDescent="0.2">
      <c r="F1572" s="72">
        <v>35469</v>
      </c>
      <c r="G1572" s="2">
        <v>2436000</v>
      </c>
      <c r="H1572" s="2">
        <v>315000</v>
      </c>
    </row>
    <row r="1573" spans="6:8" x14ac:dyDescent="0.2">
      <c r="F1573" s="72">
        <v>35476</v>
      </c>
      <c r="G1573" s="2">
        <v>2407000</v>
      </c>
      <c r="H1573" s="2">
        <v>313000</v>
      </c>
    </row>
    <row r="1574" spans="6:8" x14ac:dyDescent="0.2">
      <c r="F1574" s="72">
        <v>35483</v>
      </c>
      <c r="G1574" s="2">
        <v>2414000</v>
      </c>
      <c r="H1574" s="2">
        <v>322000</v>
      </c>
    </row>
    <row r="1575" spans="6:8" x14ac:dyDescent="0.2">
      <c r="F1575" s="72">
        <v>35490</v>
      </c>
      <c r="G1575" s="2">
        <v>2370000</v>
      </c>
      <c r="H1575" s="2">
        <v>321000</v>
      </c>
    </row>
    <row r="1576" spans="6:8" x14ac:dyDescent="0.2">
      <c r="F1576" s="72">
        <v>35497</v>
      </c>
      <c r="G1576" s="2">
        <v>2371000</v>
      </c>
      <c r="H1576" s="2">
        <v>317000</v>
      </c>
    </row>
    <row r="1577" spans="6:8" x14ac:dyDescent="0.2">
      <c r="F1577" s="72">
        <v>35504</v>
      </c>
      <c r="G1577" s="2">
        <v>2344000</v>
      </c>
      <c r="H1577" s="2">
        <v>319000</v>
      </c>
    </row>
    <row r="1578" spans="6:8" x14ac:dyDescent="0.2">
      <c r="F1578" s="72">
        <v>35511</v>
      </c>
      <c r="G1578" s="2">
        <v>2322000</v>
      </c>
      <c r="H1578" s="2">
        <v>315000</v>
      </c>
    </row>
    <row r="1579" spans="6:8" x14ac:dyDescent="0.2">
      <c r="F1579" s="72">
        <v>35518</v>
      </c>
      <c r="G1579" s="2">
        <v>2331000</v>
      </c>
      <c r="H1579" s="2">
        <v>325000</v>
      </c>
    </row>
    <row r="1580" spans="6:8" x14ac:dyDescent="0.2">
      <c r="F1580" s="72">
        <v>35525</v>
      </c>
      <c r="G1580" s="2">
        <v>2359000</v>
      </c>
      <c r="H1580" s="2">
        <v>325000</v>
      </c>
    </row>
    <row r="1581" spans="6:8" x14ac:dyDescent="0.2">
      <c r="F1581" s="72">
        <v>35532</v>
      </c>
      <c r="G1581" s="2">
        <v>2307000</v>
      </c>
      <c r="H1581" s="2">
        <v>330000</v>
      </c>
    </row>
    <row r="1582" spans="6:8" x14ac:dyDescent="0.2">
      <c r="F1582" s="72">
        <v>35539</v>
      </c>
      <c r="G1582" s="2">
        <v>2304000</v>
      </c>
      <c r="H1582" s="2">
        <v>316000</v>
      </c>
    </row>
    <row r="1583" spans="6:8" x14ac:dyDescent="0.2">
      <c r="F1583" s="72">
        <v>35546</v>
      </c>
      <c r="G1583" s="2">
        <v>2327000</v>
      </c>
      <c r="H1583" s="2">
        <v>337000</v>
      </c>
    </row>
    <row r="1584" spans="6:8" x14ac:dyDescent="0.2">
      <c r="F1584" s="72">
        <v>35553</v>
      </c>
      <c r="G1584" s="2">
        <v>2339000</v>
      </c>
      <c r="H1584" s="2">
        <v>342000</v>
      </c>
    </row>
    <row r="1585" spans="6:8" x14ac:dyDescent="0.2">
      <c r="F1585" s="72">
        <v>35560</v>
      </c>
      <c r="G1585" s="2">
        <v>2318000</v>
      </c>
      <c r="H1585" s="2">
        <v>318000</v>
      </c>
    </row>
    <row r="1586" spans="6:8" x14ac:dyDescent="0.2">
      <c r="F1586" s="72">
        <v>35567</v>
      </c>
      <c r="G1586" s="2">
        <v>2276000</v>
      </c>
      <c r="H1586" s="2">
        <v>322000</v>
      </c>
    </row>
    <row r="1587" spans="6:8" x14ac:dyDescent="0.2">
      <c r="F1587" s="72">
        <v>35574</v>
      </c>
      <c r="G1587" s="2">
        <v>2274000</v>
      </c>
      <c r="H1587" s="2">
        <v>316000</v>
      </c>
    </row>
    <row r="1588" spans="6:8" x14ac:dyDescent="0.2">
      <c r="F1588" s="72">
        <v>35581</v>
      </c>
      <c r="G1588" s="2">
        <v>2307000</v>
      </c>
      <c r="H1588" s="2">
        <v>321000</v>
      </c>
    </row>
    <row r="1589" spans="6:8" x14ac:dyDescent="0.2">
      <c r="F1589" s="72">
        <v>35588</v>
      </c>
      <c r="G1589" s="2">
        <v>2276000</v>
      </c>
      <c r="H1589" s="2">
        <v>329000</v>
      </c>
    </row>
    <row r="1590" spans="6:8" x14ac:dyDescent="0.2">
      <c r="F1590" s="72">
        <v>35595</v>
      </c>
      <c r="G1590" s="2">
        <v>2265000</v>
      </c>
      <c r="H1590" s="2">
        <v>335000</v>
      </c>
    </row>
    <row r="1591" spans="6:8" x14ac:dyDescent="0.2">
      <c r="F1591" s="72">
        <v>35602</v>
      </c>
      <c r="G1591" s="2">
        <v>2303000</v>
      </c>
      <c r="H1591" s="2">
        <v>316000</v>
      </c>
    </row>
    <row r="1592" spans="6:8" x14ac:dyDescent="0.2">
      <c r="F1592" s="72">
        <v>35609</v>
      </c>
      <c r="G1592" s="2">
        <v>2338000</v>
      </c>
      <c r="H1592" s="2">
        <v>322000</v>
      </c>
    </row>
    <row r="1593" spans="6:8" x14ac:dyDescent="0.2">
      <c r="F1593" s="72">
        <v>35616</v>
      </c>
      <c r="G1593" s="2">
        <v>2289000</v>
      </c>
      <c r="H1593" s="2">
        <v>346000</v>
      </c>
    </row>
    <row r="1594" spans="6:8" x14ac:dyDescent="0.2">
      <c r="F1594" s="72">
        <v>35623</v>
      </c>
      <c r="G1594" s="2">
        <v>2262000</v>
      </c>
      <c r="H1594" s="2">
        <v>328000</v>
      </c>
    </row>
    <row r="1595" spans="6:8" x14ac:dyDescent="0.2">
      <c r="F1595" s="72">
        <v>35630</v>
      </c>
      <c r="G1595" s="2">
        <v>2268000</v>
      </c>
      <c r="H1595" s="2">
        <v>301000</v>
      </c>
    </row>
    <row r="1596" spans="6:8" x14ac:dyDescent="0.2">
      <c r="F1596" s="72">
        <v>35637</v>
      </c>
      <c r="G1596" s="2">
        <v>2259000</v>
      </c>
      <c r="H1596" s="2">
        <v>306000</v>
      </c>
    </row>
    <row r="1597" spans="6:8" x14ac:dyDescent="0.2">
      <c r="F1597" s="72">
        <v>35644</v>
      </c>
      <c r="G1597" s="2">
        <v>2235000</v>
      </c>
      <c r="H1597" s="2">
        <v>320000</v>
      </c>
    </row>
    <row r="1598" spans="6:8" x14ac:dyDescent="0.2">
      <c r="F1598" s="72">
        <v>35651</v>
      </c>
      <c r="G1598" s="2">
        <v>2270000</v>
      </c>
      <c r="H1598" s="2">
        <v>329000</v>
      </c>
    </row>
    <row r="1599" spans="6:8" x14ac:dyDescent="0.2">
      <c r="F1599" s="72">
        <v>35658</v>
      </c>
      <c r="G1599" s="2">
        <v>2290000</v>
      </c>
      <c r="H1599" s="2">
        <v>343000</v>
      </c>
    </row>
    <row r="1600" spans="6:8" x14ac:dyDescent="0.2">
      <c r="F1600" s="72">
        <v>35665</v>
      </c>
      <c r="G1600" s="2">
        <v>2283000</v>
      </c>
      <c r="H1600" s="2">
        <v>327000</v>
      </c>
    </row>
    <row r="1601" spans="6:8" x14ac:dyDescent="0.2">
      <c r="F1601" s="72">
        <v>35672</v>
      </c>
      <c r="G1601" s="2">
        <v>2284000</v>
      </c>
      <c r="H1601" s="2">
        <v>332000</v>
      </c>
    </row>
    <row r="1602" spans="6:8" x14ac:dyDescent="0.2">
      <c r="F1602" s="72">
        <v>35679</v>
      </c>
      <c r="G1602" s="2">
        <v>2265000</v>
      </c>
      <c r="H1602" s="2">
        <v>313000</v>
      </c>
    </row>
    <row r="1603" spans="6:8" x14ac:dyDescent="0.2">
      <c r="F1603" s="72">
        <v>35686</v>
      </c>
      <c r="G1603" s="2">
        <v>2200000</v>
      </c>
      <c r="H1603" s="2">
        <v>314000</v>
      </c>
    </row>
    <row r="1604" spans="6:8" x14ac:dyDescent="0.2">
      <c r="F1604" s="72">
        <v>35693</v>
      </c>
      <c r="G1604" s="2">
        <v>2241000</v>
      </c>
      <c r="H1604" s="2">
        <v>317000</v>
      </c>
    </row>
    <row r="1605" spans="6:8" x14ac:dyDescent="0.2">
      <c r="F1605" s="72">
        <v>35700</v>
      </c>
      <c r="G1605" s="2">
        <v>2233000</v>
      </c>
      <c r="H1605" s="2">
        <v>317000</v>
      </c>
    </row>
    <row r="1606" spans="6:8" x14ac:dyDescent="0.2">
      <c r="F1606" s="72">
        <v>35707</v>
      </c>
      <c r="G1606" s="2">
        <v>2239000</v>
      </c>
      <c r="H1606" s="2">
        <v>311000</v>
      </c>
    </row>
    <row r="1607" spans="6:8" x14ac:dyDescent="0.2">
      <c r="F1607" s="72">
        <v>35714</v>
      </c>
      <c r="G1607" s="2">
        <v>2213000</v>
      </c>
      <c r="H1607" s="2">
        <v>305000</v>
      </c>
    </row>
    <row r="1608" spans="6:8" x14ac:dyDescent="0.2">
      <c r="F1608" s="72">
        <v>35721</v>
      </c>
      <c r="G1608" s="2">
        <v>2182000</v>
      </c>
      <c r="H1608" s="2">
        <v>318000</v>
      </c>
    </row>
    <row r="1609" spans="6:8" x14ac:dyDescent="0.2">
      <c r="F1609" s="72">
        <v>35728</v>
      </c>
      <c r="G1609" s="2">
        <v>2228000</v>
      </c>
      <c r="H1609" s="2">
        <v>306000</v>
      </c>
    </row>
    <row r="1610" spans="6:8" x14ac:dyDescent="0.2">
      <c r="F1610" s="72">
        <v>35735</v>
      </c>
      <c r="G1610" s="2">
        <v>2201000</v>
      </c>
      <c r="H1610" s="2">
        <v>313000</v>
      </c>
    </row>
    <row r="1611" spans="6:8" x14ac:dyDescent="0.2">
      <c r="F1611" s="72">
        <v>35742</v>
      </c>
      <c r="G1611" s="2">
        <v>2207000</v>
      </c>
      <c r="H1611" s="2">
        <v>308000</v>
      </c>
    </row>
    <row r="1612" spans="6:8" x14ac:dyDescent="0.2">
      <c r="F1612" s="72">
        <v>35749</v>
      </c>
      <c r="G1612" s="2">
        <v>2209000</v>
      </c>
      <c r="H1612" s="2">
        <v>325000</v>
      </c>
    </row>
    <row r="1613" spans="6:8" x14ac:dyDescent="0.2">
      <c r="F1613" s="72">
        <v>35756</v>
      </c>
      <c r="G1613" s="2">
        <v>2216000</v>
      </c>
      <c r="H1613" s="2">
        <v>309000</v>
      </c>
    </row>
    <row r="1614" spans="6:8" x14ac:dyDescent="0.2">
      <c r="F1614" s="72">
        <v>35763</v>
      </c>
      <c r="G1614" s="2">
        <v>2242000</v>
      </c>
      <c r="H1614" s="2">
        <v>318000</v>
      </c>
    </row>
    <row r="1615" spans="6:8" x14ac:dyDescent="0.2">
      <c r="F1615" s="72">
        <v>35770</v>
      </c>
      <c r="G1615" s="2">
        <v>2230000</v>
      </c>
      <c r="H1615" s="2">
        <v>317000</v>
      </c>
    </row>
    <row r="1616" spans="6:8" x14ac:dyDescent="0.2">
      <c r="F1616" s="72">
        <v>35777</v>
      </c>
      <c r="G1616" s="2">
        <v>2231000</v>
      </c>
      <c r="H1616" s="2">
        <v>323000</v>
      </c>
    </row>
    <row r="1617" spans="6:8" x14ac:dyDescent="0.2">
      <c r="F1617" s="72">
        <v>35784</v>
      </c>
      <c r="G1617" s="2">
        <v>2189000</v>
      </c>
      <c r="H1617" s="2">
        <v>310000</v>
      </c>
    </row>
    <row r="1618" spans="6:8" x14ac:dyDescent="0.2">
      <c r="F1618" s="72">
        <v>35791</v>
      </c>
      <c r="G1618" s="2">
        <v>2291000</v>
      </c>
      <c r="H1618" s="2">
        <v>303000</v>
      </c>
    </row>
    <row r="1619" spans="6:8" x14ac:dyDescent="0.2">
      <c r="F1619" s="72">
        <v>35798</v>
      </c>
      <c r="G1619" s="2">
        <v>2369000</v>
      </c>
      <c r="H1619" s="2">
        <v>312000</v>
      </c>
    </row>
    <row r="1620" spans="6:8" x14ac:dyDescent="0.2">
      <c r="F1620" s="72">
        <v>35805</v>
      </c>
      <c r="G1620" s="2">
        <v>2291000</v>
      </c>
      <c r="H1620" s="2">
        <v>331000</v>
      </c>
    </row>
    <row r="1621" spans="6:8" x14ac:dyDescent="0.2">
      <c r="F1621" s="72">
        <v>35812</v>
      </c>
      <c r="G1621" s="2">
        <v>2241000</v>
      </c>
      <c r="H1621" s="2">
        <v>341000</v>
      </c>
    </row>
    <row r="1622" spans="6:8" x14ac:dyDescent="0.2">
      <c r="F1622" s="72">
        <v>35819</v>
      </c>
      <c r="G1622" s="2">
        <v>2275000</v>
      </c>
      <c r="H1622" s="2">
        <v>307000</v>
      </c>
    </row>
    <row r="1623" spans="6:8" x14ac:dyDescent="0.2">
      <c r="F1623" s="72">
        <v>35826</v>
      </c>
      <c r="G1623" s="2">
        <v>2200000</v>
      </c>
      <c r="H1623" s="2">
        <v>315000</v>
      </c>
    </row>
    <row r="1624" spans="6:8" x14ac:dyDescent="0.2">
      <c r="F1624" s="72">
        <v>35833</v>
      </c>
      <c r="G1624" s="2">
        <v>2253000</v>
      </c>
      <c r="H1624" s="2">
        <v>311000</v>
      </c>
    </row>
    <row r="1625" spans="6:8" x14ac:dyDescent="0.2">
      <c r="F1625" s="72">
        <v>35840</v>
      </c>
      <c r="G1625" s="2">
        <v>2227000</v>
      </c>
      <c r="H1625" s="2">
        <v>321000</v>
      </c>
    </row>
    <row r="1626" spans="6:8" x14ac:dyDescent="0.2">
      <c r="F1626" s="72">
        <v>35847</v>
      </c>
      <c r="G1626" s="2">
        <v>2208000</v>
      </c>
      <c r="H1626" s="2">
        <v>327000</v>
      </c>
    </row>
    <row r="1627" spans="6:8" x14ac:dyDescent="0.2">
      <c r="F1627" s="72">
        <v>35854</v>
      </c>
      <c r="G1627" s="2">
        <v>2209000</v>
      </c>
      <c r="H1627" s="2">
        <v>317000</v>
      </c>
    </row>
    <row r="1628" spans="6:8" x14ac:dyDescent="0.2">
      <c r="F1628" s="72">
        <v>35861</v>
      </c>
      <c r="G1628" s="2">
        <v>2208000</v>
      </c>
      <c r="H1628" s="2">
        <v>308000</v>
      </c>
    </row>
    <row r="1629" spans="6:8" x14ac:dyDescent="0.2">
      <c r="F1629" s="72">
        <v>35868</v>
      </c>
      <c r="G1629" s="2">
        <v>2237000</v>
      </c>
      <c r="H1629" s="2">
        <v>319000</v>
      </c>
    </row>
    <row r="1630" spans="6:8" x14ac:dyDescent="0.2">
      <c r="F1630" s="72">
        <v>35875</v>
      </c>
      <c r="G1630" s="2">
        <v>2227000</v>
      </c>
      <c r="H1630" s="2">
        <v>321000</v>
      </c>
    </row>
    <row r="1631" spans="6:8" x14ac:dyDescent="0.2">
      <c r="F1631" s="72">
        <v>35882</v>
      </c>
      <c r="G1631" s="2">
        <v>2215000</v>
      </c>
      <c r="H1631" s="2">
        <v>312000</v>
      </c>
    </row>
    <row r="1632" spans="6:8" x14ac:dyDescent="0.2">
      <c r="F1632" s="72">
        <v>35889</v>
      </c>
      <c r="G1632" s="2">
        <v>2166000</v>
      </c>
      <c r="H1632" s="2">
        <v>312000</v>
      </c>
    </row>
    <row r="1633" spans="6:8" x14ac:dyDescent="0.2">
      <c r="F1633" s="72">
        <v>35896</v>
      </c>
      <c r="G1633" s="2">
        <v>2202000</v>
      </c>
      <c r="H1633" s="2">
        <v>304000</v>
      </c>
    </row>
    <row r="1634" spans="6:8" x14ac:dyDescent="0.2">
      <c r="F1634" s="72">
        <v>35903</v>
      </c>
      <c r="G1634" s="2">
        <v>2210000</v>
      </c>
      <c r="H1634" s="2">
        <v>317000</v>
      </c>
    </row>
    <row r="1635" spans="6:8" x14ac:dyDescent="0.2">
      <c r="F1635" s="72">
        <v>35910</v>
      </c>
      <c r="G1635" s="2">
        <v>2152000</v>
      </c>
      <c r="H1635" s="2">
        <v>311000</v>
      </c>
    </row>
    <row r="1636" spans="6:8" x14ac:dyDescent="0.2">
      <c r="F1636" s="72">
        <v>35917</v>
      </c>
      <c r="G1636" s="2">
        <v>2135000</v>
      </c>
      <c r="H1636" s="2">
        <v>304000</v>
      </c>
    </row>
    <row r="1637" spans="6:8" x14ac:dyDescent="0.2">
      <c r="F1637" s="72">
        <v>35924</v>
      </c>
      <c r="G1637" s="2">
        <v>2140000</v>
      </c>
      <c r="H1637" s="2">
        <v>306000</v>
      </c>
    </row>
    <row r="1638" spans="6:8" x14ac:dyDescent="0.2">
      <c r="F1638" s="72">
        <v>35931</v>
      </c>
      <c r="G1638" s="2">
        <v>2118000</v>
      </c>
      <c r="H1638" s="2">
        <v>315000</v>
      </c>
    </row>
    <row r="1639" spans="6:8" x14ac:dyDescent="0.2">
      <c r="F1639" s="72">
        <v>35938</v>
      </c>
      <c r="G1639" s="2">
        <v>2134000</v>
      </c>
      <c r="H1639" s="2">
        <v>309000</v>
      </c>
    </row>
    <row r="1640" spans="6:8" x14ac:dyDescent="0.2">
      <c r="F1640" s="72">
        <v>35945</v>
      </c>
      <c r="G1640" s="2">
        <v>2146000</v>
      </c>
      <c r="H1640" s="2">
        <v>322000</v>
      </c>
    </row>
    <row r="1641" spans="6:8" x14ac:dyDescent="0.2">
      <c r="F1641" s="72">
        <v>35952</v>
      </c>
      <c r="G1641" s="2">
        <v>2122000</v>
      </c>
      <c r="H1641" s="2">
        <v>306000</v>
      </c>
    </row>
    <row r="1642" spans="6:8" x14ac:dyDescent="0.2">
      <c r="F1642" s="72">
        <v>35959</v>
      </c>
      <c r="G1642" s="2">
        <v>2159000</v>
      </c>
      <c r="H1642" s="2">
        <v>321000</v>
      </c>
    </row>
    <row r="1643" spans="6:8" x14ac:dyDescent="0.2">
      <c r="F1643" s="72">
        <v>35966</v>
      </c>
      <c r="G1643" s="2">
        <v>2188000</v>
      </c>
      <c r="H1643" s="2">
        <v>349000</v>
      </c>
    </row>
    <row r="1644" spans="6:8" x14ac:dyDescent="0.2">
      <c r="F1644" s="72">
        <v>35973</v>
      </c>
      <c r="G1644" s="2">
        <v>2388000</v>
      </c>
      <c r="H1644" s="2">
        <v>376000</v>
      </c>
    </row>
    <row r="1645" spans="6:8" x14ac:dyDescent="0.2">
      <c r="F1645" s="72">
        <v>35980</v>
      </c>
      <c r="G1645" s="2">
        <v>2290000</v>
      </c>
      <c r="H1645" s="2">
        <v>362000</v>
      </c>
    </row>
    <row r="1646" spans="6:8" x14ac:dyDescent="0.2">
      <c r="F1646" s="72">
        <v>35987</v>
      </c>
      <c r="G1646" s="2">
        <v>2323000</v>
      </c>
      <c r="H1646" s="2">
        <v>320000</v>
      </c>
    </row>
    <row r="1647" spans="6:8" x14ac:dyDescent="0.2">
      <c r="F1647" s="72">
        <v>35994</v>
      </c>
      <c r="G1647" s="2">
        <v>2339000</v>
      </c>
      <c r="H1647" s="2">
        <v>315000</v>
      </c>
    </row>
    <row r="1648" spans="6:8" x14ac:dyDescent="0.2">
      <c r="F1648" s="72">
        <v>36001</v>
      </c>
      <c r="G1648" s="2">
        <v>2383000</v>
      </c>
      <c r="H1648" s="2">
        <v>335000</v>
      </c>
    </row>
    <row r="1649" spans="6:8" x14ac:dyDescent="0.2">
      <c r="F1649" s="72">
        <v>36008</v>
      </c>
      <c r="G1649" s="2">
        <v>2336000</v>
      </c>
      <c r="H1649" s="2">
        <v>327000</v>
      </c>
    </row>
    <row r="1650" spans="6:8" x14ac:dyDescent="0.2">
      <c r="F1650" s="72">
        <v>36015</v>
      </c>
      <c r="G1650" s="2">
        <v>2258000</v>
      </c>
      <c r="H1650" s="2">
        <v>316000</v>
      </c>
    </row>
    <row r="1651" spans="6:8" x14ac:dyDescent="0.2">
      <c r="F1651" s="72">
        <v>36022</v>
      </c>
      <c r="G1651" s="2">
        <v>2210000</v>
      </c>
      <c r="H1651" s="2">
        <v>308000</v>
      </c>
    </row>
    <row r="1652" spans="6:8" x14ac:dyDescent="0.2">
      <c r="F1652" s="72">
        <v>36029</v>
      </c>
      <c r="G1652" s="2">
        <v>2202000</v>
      </c>
      <c r="H1652" s="2">
        <v>302000</v>
      </c>
    </row>
    <row r="1653" spans="6:8" x14ac:dyDescent="0.2">
      <c r="F1653" s="72">
        <v>36036</v>
      </c>
      <c r="G1653" s="2">
        <v>2182000</v>
      </c>
      <c r="H1653" s="2">
        <v>310000</v>
      </c>
    </row>
    <row r="1654" spans="6:8" x14ac:dyDescent="0.2">
      <c r="F1654" s="72">
        <v>36043</v>
      </c>
      <c r="G1654" s="2">
        <v>2160000</v>
      </c>
      <c r="H1654" s="2">
        <v>313000</v>
      </c>
    </row>
    <row r="1655" spans="6:8" x14ac:dyDescent="0.2">
      <c r="F1655" s="72">
        <v>36050</v>
      </c>
      <c r="G1655" s="2">
        <v>2190000</v>
      </c>
      <c r="H1655" s="2">
        <v>304000</v>
      </c>
    </row>
    <row r="1656" spans="6:8" x14ac:dyDescent="0.2">
      <c r="F1656" s="72">
        <v>36057</v>
      </c>
      <c r="G1656" s="2">
        <v>2114000</v>
      </c>
      <c r="H1656" s="2">
        <v>305000</v>
      </c>
    </row>
    <row r="1657" spans="6:8" x14ac:dyDescent="0.2">
      <c r="F1657" s="72">
        <v>36064</v>
      </c>
      <c r="G1657" s="2">
        <v>2148000</v>
      </c>
      <c r="H1657" s="2">
        <v>294000</v>
      </c>
    </row>
    <row r="1658" spans="6:8" x14ac:dyDescent="0.2">
      <c r="F1658" s="72">
        <v>36071</v>
      </c>
      <c r="G1658" s="2">
        <v>2156000</v>
      </c>
      <c r="H1658" s="2">
        <v>302000</v>
      </c>
    </row>
    <row r="1659" spans="6:8" x14ac:dyDescent="0.2">
      <c r="F1659" s="72">
        <v>36078</v>
      </c>
      <c r="G1659" s="2">
        <v>2167000</v>
      </c>
      <c r="H1659" s="2">
        <v>316000</v>
      </c>
    </row>
    <row r="1660" spans="6:8" x14ac:dyDescent="0.2">
      <c r="F1660" s="72">
        <v>36085</v>
      </c>
      <c r="G1660" s="2">
        <v>2168000</v>
      </c>
      <c r="H1660" s="2">
        <v>318000</v>
      </c>
    </row>
    <row r="1661" spans="6:8" x14ac:dyDescent="0.2">
      <c r="F1661" s="72">
        <v>36092</v>
      </c>
      <c r="G1661" s="2">
        <v>2169000</v>
      </c>
      <c r="H1661" s="2">
        <v>309000</v>
      </c>
    </row>
    <row r="1662" spans="6:8" x14ac:dyDescent="0.2">
      <c r="F1662" s="72">
        <v>36099</v>
      </c>
      <c r="G1662" s="2">
        <v>2162000</v>
      </c>
      <c r="H1662" s="2">
        <v>308000</v>
      </c>
    </row>
    <row r="1663" spans="6:8" x14ac:dyDescent="0.2">
      <c r="F1663" s="72">
        <v>36106</v>
      </c>
      <c r="G1663" s="2">
        <v>2195000</v>
      </c>
      <c r="H1663" s="2">
        <v>316000</v>
      </c>
    </row>
    <row r="1664" spans="6:8" x14ac:dyDescent="0.2">
      <c r="F1664" s="72">
        <v>36113</v>
      </c>
      <c r="G1664" s="2">
        <v>2177000</v>
      </c>
      <c r="H1664" s="2">
        <v>334000</v>
      </c>
    </row>
    <row r="1665" spans="6:8" x14ac:dyDescent="0.2">
      <c r="F1665" s="72">
        <v>36120</v>
      </c>
      <c r="G1665" s="2">
        <v>2207000</v>
      </c>
      <c r="H1665" s="2">
        <v>304000</v>
      </c>
    </row>
    <row r="1666" spans="6:8" x14ac:dyDescent="0.2">
      <c r="F1666" s="72">
        <v>36127</v>
      </c>
      <c r="G1666" s="2">
        <v>2236000</v>
      </c>
      <c r="H1666" s="2">
        <v>310000</v>
      </c>
    </row>
    <row r="1667" spans="6:8" x14ac:dyDescent="0.2">
      <c r="F1667" s="72">
        <v>36134</v>
      </c>
      <c r="G1667" s="2">
        <v>2239000</v>
      </c>
      <c r="H1667" s="2">
        <v>326000</v>
      </c>
    </row>
    <row r="1668" spans="6:8" x14ac:dyDescent="0.2">
      <c r="F1668" s="72">
        <v>36141</v>
      </c>
      <c r="G1668" s="2">
        <v>2205000</v>
      </c>
      <c r="H1668" s="2">
        <v>305000</v>
      </c>
    </row>
    <row r="1669" spans="6:8" x14ac:dyDescent="0.2">
      <c r="F1669" s="72">
        <v>36148</v>
      </c>
      <c r="G1669" s="2">
        <v>2171000</v>
      </c>
      <c r="H1669" s="2">
        <v>297000</v>
      </c>
    </row>
    <row r="1670" spans="6:8" x14ac:dyDescent="0.2">
      <c r="F1670" s="72">
        <v>36155</v>
      </c>
      <c r="G1670" s="2">
        <v>2266000</v>
      </c>
      <c r="H1670" s="2">
        <v>336000</v>
      </c>
    </row>
    <row r="1671" spans="6:8" x14ac:dyDescent="0.2">
      <c r="F1671" s="72">
        <v>36162</v>
      </c>
      <c r="G1671" s="2">
        <v>2303000</v>
      </c>
      <c r="H1671" s="2">
        <v>331000</v>
      </c>
    </row>
    <row r="1672" spans="6:8" x14ac:dyDescent="0.2">
      <c r="F1672" s="72">
        <v>36169</v>
      </c>
      <c r="G1672" s="2">
        <v>2289000</v>
      </c>
      <c r="H1672" s="2">
        <v>345000</v>
      </c>
    </row>
    <row r="1673" spans="6:8" x14ac:dyDescent="0.2">
      <c r="F1673" s="72">
        <v>36176</v>
      </c>
      <c r="G1673" s="2">
        <v>2316000</v>
      </c>
      <c r="H1673" s="2">
        <v>339000</v>
      </c>
    </row>
    <row r="1674" spans="6:8" x14ac:dyDescent="0.2">
      <c r="F1674" s="72">
        <v>36183</v>
      </c>
      <c r="G1674" s="2">
        <v>2269000</v>
      </c>
      <c r="H1674" s="2">
        <v>311000</v>
      </c>
    </row>
    <row r="1675" spans="6:8" x14ac:dyDescent="0.2">
      <c r="F1675" s="72">
        <v>36190</v>
      </c>
      <c r="G1675" s="2">
        <v>2259000</v>
      </c>
      <c r="H1675" s="2">
        <v>305000</v>
      </c>
    </row>
    <row r="1676" spans="6:8" x14ac:dyDescent="0.2">
      <c r="F1676" s="72">
        <v>36197</v>
      </c>
      <c r="G1676" s="2">
        <v>2253000</v>
      </c>
      <c r="H1676" s="2">
        <v>291000</v>
      </c>
    </row>
    <row r="1677" spans="6:8" x14ac:dyDescent="0.2">
      <c r="F1677" s="72">
        <v>36204</v>
      </c>
      <c r="G1677" s="2">
        <v>2253000</v>
      </c>
      <c r="H1677" s="2">
        <v>312000</v>
      </c>
    </row>
    <row r="1678" spans="6:8" x14ac:dyDescent="0.2">
      <c r="F1678" s="72">
        <v>36211</v>
      </c>
      <c r="G1678" s="2">
        <v>2237000</v>
      </c>
      <c r="H1678" s="2">
        <v>302000</v>
      </c>
    </row>
    <row r="1679" spans="6:8" x14ac:dyDescent="0.2">
      <c r="F1679" s="72">
        <v>36218</v>
      </c>
      <c r="G1679" s="2">
        <v>2219000</v>
      </c>
      <c r="H1679" s="2">
        <v>301000</v>
      </c>
    </row>
    <row r="1680" spans="6:8" x14ac:dyDescent="0.2">
      <c r="F1680" s="72">
        <v>36225</v>
      </c>
      <c r="G1680" s="2">
        <v>2238000</v>
      </c>
      <c r="H1680" s="2">
        <v>300000</v>
      </c>
    </row>
    <row r="1681" spans="6:8" x14ac:dyDescent="0.2">
      <c r="F1681" s="72">
        <v>36232</v>
      </c>
      <c r="G1681" s="2">
        <v>2232000</v>
      </c>
      <c r="H1681" s="2">
        <v>308000</v>
      </c>
    </row>
    <row r="1682" spans="6:8" x14ac:dyDescent="0.2">
      <c r="F1682" s="72">
        <v>36239</v>
      </c>
      <c r="G1682" s="2">
        <v>2247000</v>
      </c>
      <c r="H1682" s="2">
        <v>305000</v>
      </c>
    </row>
    <row r="1683" spans="6:8" x14ac:dyDescent="0.2">
      <c r="F1683" s="72">
        <v>36246</v>
      </c>
      <c r="G1683" s="2">
        <v>2191000</v>
      </c>
      <c r="H1683" s="2">
        <v>298000</v>
      </c>
    </row>
    <row r="1684" spans="6:8" x14ac:dyDescent="0.2">
      <c r="F1684" s="72">
        <v>36253</v>
      </c>
      <c r="G1684" s="2">
        <v>2280000</v>
      </c>
      <c r="H1684" s="2">
        <v>310000</v>
      </c>
    </row>
    <row r="1685" spans="6:8" x14ac:dyDescent="0.2">
      <c r="F1685" s="72">
        <v>36260</v>
      </c>
      <c r="G1685" s="2">
        <v>2247000</v>
      </c>
      <c r="H1685" s="2">
        <v>319000</v>
      </c>
    </row>
    <row r="1686" spans="6:8" x14ac:dyDescent="0.2">
      <c r="F1686" s="72">
        <v>36267</v>
      </c>
      <c r="G1686" s="2">
        <v>2230000</v>
      </c>
      <c r="H1686" s="2">
        <v>314000</v>
      </c>
    </row>
    <row r="1687" spans="6:8" x14ac:dyDescent="0.2">
      <c r="F1687" s="72">
        <v>36274</v>
      </c>
      <c r="G1687" s="2">
        <v>2193000</v>
      </c>
      <c r="H1687" s="2">
        <v>291000</v>
      </c>
    </row>
    <row r="1688" spans="6:8" x14ac:dyDescent="0.2">
      <c r="F1688" s="72">
        <v>36281</v>
      </c>
      <c r="G1688" s="2">
        <v>2226000</v>
      </c>
      <c r="H1688" s="2">
        <v>296000</v>
      </c>
    </row>
    <row r="1689" spans="6:8" x14ac:dyDescent="0.2">
      <c r="F1689" s="72">
        <v>36288</v>
      </c>
      <c r="G1689" s="2">
        <v>2200000</v>
      </c>
      <c r="H1689" s="2">
        <v>310000</v>
      </c>
    </row>
    <row r="1690" spans="6:8" x14ac:dyDescent="0.2">
      <c r="F1690" s="72">
        <v>36295</v>
      </c>
      <c r="G1690" s="2">
        <v>2232000</v>
      </c>
      <c r="H1690" s="2">
        <v>301000</v>
      </c>
    </row>
    <row r="1691" spans="6:8" x14ac:dyDescent="0.2">
      <c r="F1691" s="72">
        <v>36302</v>
      </c>
      <c r="G1691" s="2">
        <v>2223000</v>
      </c>
      <c r="H1691" s="2">
        <v>298000</v>
      </c>
    </row>
    <row r="1692" spans="6:8" x14ac:dyDescent="0.2">
      <c r="F1692" s="72">
        <v>36309</v>
      </c>
      <c r="G1692" s="2">
        <v>2191000</v>
      </c>
      <c r="H1692" s="2">
        <v>303000</v>
      </c>
    </row>
    <row r="1693" spans="6:8" x14ac:dyDescent="0.2">
      <c r="F1693" s="72">
        <v>36316</v>
      </c>
      <c r="G1693" s="2">
        <v>2194000</v>
      </c>
      <c r="H1693" s="2">
        <v>303000</v>
      </c>
    </row>
    <row r="1694" spans="6:8" x14ac:dyDescent="0.2">
      <c r="F1694" s="72">
        <v>36323</v>
      </c>
      <c r="G1694" s="2">
        <v>2215000</v>
      </c>
      <c r="H1694" s="2">
        <v>290000</v>
      </c>
    </row>
    <row r="1695" spans="6:8" x14ac:dyDescent="0.2">
      <c r="F1695" s="72">
        <v>36330</v>
      </c>
      <c r="G1695" s="2">
        <v>2183000</v>
      </c>
      <c r="H1695" s="2">
        <v>292000</v>
      </c>
    </row>
    <row r="1696" spans="6:8" x14ac:dyDescent="0.2">
      <c r="F1696" s="72">
        <v>36337</v>
      </c>
      <c r="G1696" s="2">
        <v>2177000</v>
      </c>
      <c r="H1696" s="2">
        <v>291000</v>
      </c>
    </row>
    <row r="1697" spans="6:8" x14ac:dyDescent="0.2">
      <c r="F1697" s="72">
        <v>36344</v>
      </c>
      <c r="G1697" s="2">
        <v>2202000</v>
      </c>
      <c r="H1697" s="2">
        <v>287000</v>
      </c>
    </row>
    <row r="1698" spans="6:8" x14ac:dyDescent="0.2">
      <c r="F1698" s="72">
        <v>36351</v>
      </c>
      <c r="G1698" s="2">
        <v>2171000</v>
      </c>
      <c r="H1698" s="2">
        <v>288000</v>
      </c>
    </row>
    <row r="1699" spans="6:8" x14ac:dyDescent="0.2">
      <c r="F1699" s="72">
        <v>36358</v>
      </c>
      <c r="G1699" s="2">
        <v>2226000</v>
      </c>
      <c r="H1699" s="2">
        <v>309000</v>
      </c>
    </row>
    <row r="1700" spans="6:8" x14ac:dyDescent="0.2">
      <c r="F1700" s="72">
        <v>36365</v>
      </c>
      <c r="G1700" s="2">
        <v>2203000</v>
      </c>
      <c r="H1700" s="2">
        <v>306000</v>
      </c>
    </row>
    <row r="1701" spans="6:8" x14ac:dyDescent="0.2">
      <c r="F1701" s="72">
        <v>36372</v>
      </c>
      <c r="G1701" s="2">
        <v>2164000</v>
      </c>
      <c r="H1701" s="2">
        <v>300000</v>
      </c>
    </row>
    <row r="1702" spans="6:8" x14ac:dyDescent="0.2">
      <c r="F1702" s="72">
        <v>36379</v>
      </c>
      <c r="G1702" s="2">
        <v>2192000</v>
      </c>
      <c r="H1702" s="2">
        <v>295000</v>
      </c>
    </row>
    <row r="1703" spans="6:8" x14ac:dyDescent="0.2">
      <c r="F1703" s="72">
        <v>36386</v>
      </c>
      <c r="G1703" s="2">
        <v>2176000</v>
      </c>
      <c r="H1703" s="2">
        <v>292000</v>
      </c>
    </row>
    <row r="1704" spans="6:8" x14ac:dyDescent="0.2">
      <c r="F1704" s="72">
        <v>36393</v>
      </c>
      <c r="G1704" s="2">
        <v>2185000</v>
      </c>
      <c r="H1704" s="2">
        <v>286000</v>
      </c>
    </row>
    <row r="1705" spans="6:8" x14ac:dyDescent="0.2">
      <c r="F1705" s="72">
        <v>36400</v>
      </c>
      <c r="G1705" s="2">
        <v>2168000</v>
      </c>
      <c r="H1705" s="2">
        <v>290000</v>
      </c>
    </row>
    <row r="1706" spans="6:8" x14ac:dyDescent="0.2">
      <c r="F1706" s="72">
        <v>36407</v>
      </c>
      <c r="G1706" s="2">
        <v>2157000</v>
      </c>
      <c r="H1706" s="2">
        <v>290000</v>
      </c>
    </row>
    <row r="1707" spans="6:8" x14ac:dyDescent="0.2">
      <c r="F1707" s="72">
        <v>36414</v>
      </c>
      <c r="G1707" s="2">
        <v>2163000</v>
      </c>
      <c r="H1707" s="2">
        <v>281000</v>
      </c>
    </row>
    <row r="1708" spans="6:8" x14ac:dyDescent="0.2">
      <c r="F1708" s="72">
        <v>36421</v>
      </c>
      <c r="G1708" s="2">
        <v>2170000</v>
      </c>
      <c r="H1708" s="2">
        <v>281000</v>
      </c>
    </row>
    <row r="1709" spans="6:8" x14ac:dyDescent="0.2">
      <c r="F1709" s="72">
        <v>36428</v>
      </c>
      <c r="G1709" s="2">
        <v>2158000</v>
      </c>
      <c r="H1709" s="2">
        <v>306000</v>
      </c>
    </row>
    <row r="1710" spans="6:8" x14ac:dyDescent="0.2">
      <c r="F1710" s="72">
        <v>36435</v>
      </c>
      <c r="G1710" s="2">
        <v>2139000</v>
      </c>
      <c r="H1710" s="2">
        <v>309000</v>
      </c>
    </row>
    <row r="1711" spans="6:8" x14ac:dyDescent="0.2">
      <c r="F1711" s="72">
        <v>36442</v>
      </c>
      <c r="G1711" s="2">
        <v>2105000</v>
      </c>
      <c r="H1711" s="2">
        <v>291000</v>
      </c>
    </row>
    <row r="1712" spans="6:8" x14ac:dyDescent="0.2">
      <c r="F1712" s="72">
        <v>36449</v>
      </c>
      <c r="G1712" s="2">
        <v>2102000</v>
      </c>
      <c r="H1712" s="2">
        <v>287000</v>
      </c>
    </row>
    <row r="1713" spans="6:8" x14ac:dyDescent="0.2">
      <c r="F1713" s="72">
        <v>36456</v>
      </c>
      <c r="G1713" s="2">
        <v>2086000</v>
      </c>
      <c r="H1713" s="2">
        <v>280000</v>
      </c>
    </row>
    <row r="1714" spans="6:8" x14ac:dyDescent="0.2">
      <c r="F1714" s="72">
        <v>36463</v>
      </c>
      <c r="G1714" s="2">
        <v>2082000</v>
      </c>
      <c r="H1714" s="2">
        <v>285000</v>
      </c>
    </row>
    <row r="1715" spans="6:8" x14ac:dyDescent="0.2">
      <c r="F1715" s="72">
        <v>36470</v>
      </c>
      <c r="G1715" s="2">
        <v>2099000</v>
      </c>
      <c r="H1715" s="2">
        <v>282000</v>
      </c>
    </row>
    <row r="1716" spans="6:8" x14ac:dyDescent="0.2">
      <c r="F1716" s="72">
        <v>36477</v>
      </c>
      <c r="G1716" s="2">
        <v>2035000</v>
      </c>
      <c r="H1716" s="2">
        <v>281000</v>
      </c>
    </row>
    <row r="1717" spans="6:8" x14ac:dyDescent="0.2">
      <c r="F1717" s="72">
        <v>36484</v>
      </c>
      <c r="G1717" s="2">
        <v>2111000</v>
      </c>
      <c r="H1717" s="2">
        <v>276000</v>
      </c>
    </row>
    <row r="1718" spans="6:8" x14ac:dyDescent="0.2">
      <c r="F1718" s="72">
        <v>36491</v>
      </c>
      <c r="G1718" s="2">
        <v>2098000</v>
      </c>
      <c r="H1718" s="2">
        <v>288000</v>
      </c>
    </row>
    <row r="1719" spans="6:8" x14ac:dyDescent="0.2">
      <c r="F1719" s="72">
        <v>36498</v>
      </c>
      <c r="G1719" s="2">
        <v>2094000</v>
      </c>
      <c r="H1719" s="2">
        <v>287000</v>
      </c>
    </row>
    <row r="1720" spans="6:8" x14ac:dyDescent="0.2">
      <c r="F1720" s="72">
        <v>36505</v>
      </c>
      <c r="G1720" s="2">
        <v>2070000</v>
      </c>
      <c r="H1720" s="2">
        <v>272000</v>
      </c>
    </row>
    <row r="1721" spans="6:8" x14ac:dyDescent="0.2">
      <c r="F1721" s="72">
        <v>36512</v>
      </c>
      <c r="G1721" s="2">
        <v>2123000</v>
      </c>
      <c r="H1721" s="2">
        <v>287000</v>
      </c>
    </row>
    <row r="1722" spans="6:8" x14ac:dyDescent="0.2">
      <c r="F1722" s="72">
        <v>36519</v>
      </c>
      <c r="G1722" s="2">
        <v>2102000</v>
      </c>
      <c r="H1722" s="2">
        <v>268000</v>
      </c>
    </row>
    <row r="1723" spans="6:8" x14ac:dyDescent="0.2">
      <c r="F1723" s="72">
        <v>36526</v>
      </c>
      <c r="G1723" s="2">
        <v>2102000</v>
      </c>
      <c r="H1723" s="2">
        <v>286000</v>
      </c>
    </row>
    <row r="1724" spans="6:8" x14ac:dyDescent="0.2">
      <c r="F1724" s="72">
        <v>36533</v>
      </c>
      <c r="G1724" s="2">
        <v>2107000</v>
      </c>
      <c r="H1724" s="2">
        <v>298000</v>
      </c>
    </row>
    <row r="1725" spans="6:8" x14ac:dyDescent="0.2">
      <c r="F1725" s="72">
        <v>36540</v>
      </c>
      <c r="G1725" s="2">
        <v>2115000</v>
      </c>
      <c r="H1725" s="2">
        <v>289000</v>
      </c>
    </row>
    <row r="1726" spans="6:8" x14ac:dyDescent="0.2">
      <c r="F1726" s="72">
        <v>36547</v>
      </c>
      <c r="G1726" s="2">
        <v>2061000</v>
      </c>
      <c r="H1726" s="2">
        <v>284000</v>
      </c>
    </row>
    <row r="1727" spans="6:8" x14ac:dyDescent="0.2">
      <c r="F1727" s="72">
        <v>36554</v>
      </c>
      <c r="G1727" s="2">
        <v>2164000</v>
      </c>
      <c r="H1727" s="2">
        <v>285000</v>
      </c>
    </row>
    <row r="1728" spans="6:8" x14ac:dyDescent="0.2">
      <c r="F1728" s="72">
        <v>36561</v>
      </c>
      <c r="G1728" s="2">
        <v>2160000</v>
      </c>
      <c r="H1728" s="2">
        <v>312000</v>
      </c>
    </row>
    <row r="1729" spans="6:8" x14ac:dyDescent="0.2">
      <c r="F1729" s="72">
        <v>36568</v>
      </c>
      <c r="G1729" s="2">
        <v>2141000</v>
      </c>
      <c r="H1729" s="2">
        <v>300000</v>
      </c>
    </row>
    <row r="1730" spans="6:8" x14ac:dyDescent="0.2">
      <c r="F1730" s="72">
        <v>36575</v>
      </c>
      <c r="G1730" s="2">
        <v>2132000</v>
      </c>
      <c r="H1730" s="2">
        <v>283000</v>
      </c>
    </row>
    <row r="1731" spans="6:8" x14ac:dyDescent="0.2">
      <c r="F1731" s="72">
        <v>36582</v>
      </c>
      <c r="G1731" s="2">
        <v>2157000</v>
      </c>
      <c r="H1731" s="2">
        <v>280000</v>
      </c>
    </row>
    <row r="1732" spans="6:8" x14ac:dyDescent="0.2">
      <c r="F1732" s="72">
        <v>36589</v>
      </c>
      <c r="G1732" s="2">
        <v>2098000</v>
      </c>
      <c r="H1732" s="2">
        <v>286000</v>
      </c>
    </row>
    <row r="1733" spans="6:8" x14ac:dyDescent="0.2">
      <c r="F1733" s="72">
        <v>36596</v>
      </c>
      <c r="G1733" s="2">
        <v>2099000</v>
      </c>
      <c r="H1733" s="2">
        <v>270000</v>
      </c>
    </row>
    <row r="1734" spans="6:8" x14ac:dyDescent="0.2">
      <c r="F1734" s="72">
        <v>36603</v>
      </c>
      <c r="G1734" s="2">
        <v>2051000</v>
      </c>
      <c r="H1734" s="2">
        <v>271000</v>
      </c>
    </row>
    <row r="1735" spans="6:8" x14ac:dyDescent="0.2">
      <c r="F1735" s="72">
        <v>36610</v>
      </c>
      <c r="G1735" s="2">
        <v>2068000</v>
      </c>
      <c r="H1735" s="2">
        <v>272000</v>
      </c>
    </row>
    <row r="1736" spans="6:8" x14ac:dyDescent="0.2">
      <c r="F1736" s="72">
        <v>36617</v>
      </c>
      <c r="G1736" s="2">
        <v>2026000</v>
      </c>
      <c r="H1736" s="2">
        <v>266000</v>
      </c>
    </row>
    <row r="1737" spans="6:8" x14ac:dyDescent="0.2">
      <c r="F1737" s="72">
        <v>36624</v>
      </c>
      <c r="G1737" s="2">
        <v>2027000</v>
      </c>
      <c r="H1737" s="2">
        <v>268000</v>
      </c>
    </row>
    <row r="1738" spans="6:8" x14ac:dyDescent="0.2">
      <c r="F1738" s="72">
        <v>36631</v>
      </c>
      <c r="G1738" s="2">
        <v>1962000</v>
      </c>
      <c r="H1738" s="2">
        <v>259000</v>
      </c>
    </row>
    <row r="1739" spans="6:8" x14ac:dyDescent="0.2">
      <c r="F1739" s="72">
        <v>36638</v>
      </c>
      <c r="G1739" s="2">
        <v>2035000</v>
      </c>
      <c r="H1739" s="2">
        <v>274000</v>
      </c>
    </row>
    <row r="1740" spans="6:8" x14ac:dyDescent="0.2">
      <c r="F1740" s="72">
        <v>36645</v>
      </c>
      <c r="G1740" s="2">
        <v>2027000</v>
      </c>
      <c r="H1740" s="2">
        <v>291000</v>
      </c>
    </row>
    <row r="1741" spans="6:8" x14ac:dyDescent="0.2">
      <c r="F1741" s="72">
        <v>36652</v>
      </c>
      <c r="G1741" s="2">
        <v>1991000</v>
      </c>
      <c r="H1741" s="2">
        <v>293000</v>
      </c>
    </row>
    <row r="1742" spans="6:8" x14ac:dyDescent="0.2">
      <c r="F1742" s="72">
        <v>36659</v>
      </c>
      <c r="G1742" s="2">
        <v>1982000</v>
      </c>
      <c r="H1742" s="2">
        <v>276000</v>
      </c>
    </row>
    <row r="1743" spans="6:8" x14ac:dyDescent="0.2">
      <c r="F1743" s="72">
        <v>36666</v>
      </c>
      <c r="G1743" s="2">
        <v>1998000</v>
      </c>
      <c r="H1743" s="2">
        <v>280000</v>
      </c>
    </row>
    <row r="1744" spans="6:8" x14ac:dyDescent="0.2">
      <c r="F1744" s="72">
        <v>36673</v>
      </c>
      <c r="G1744" s="2">
        <v>1987000</v>
      </c>
      <c r="H1744" s="2">
        <v>280000</v>
      </c>
    </row>
    <row r="1745" spans="6:8" x14ac:dyDescent="0.2">
      <c r="F1745" s="72">
        <v>36680</v>
      </c>
      <c r="G1745" s="2">
        <v>2019000</v>
      </c>
      <c r="H1745" s="2">
        <v>290000</v>
      </c>
    </row>
    <row r="1746" spans="6:8" x14ac:dyDescent="0.2">
      <c r="F1746" s="72">
        <v>36687</v>
      </c>
      <c r="G1746" s="2">
        <v>2020000</v>
      </c>
      <c r="H1746" s="2">
        <v>284000</v>
      </c>
    </row>
    <row r="1747" spans="6:8" x14ac:dyDescent="0.2">
      <c r="F1747" s="72">
        <v>36694</v>
      </c>
      <c r="G1747" s="2">
        <v>2041000</v>
      </c>
      <c r="H1747" s="2">
        <v>294000</v>
      </c>
    </row>
    <row r="1748" spans="6:8" x14ac:dyDescent="0.2">
      <c r="F1748" s="72">
        <v>36701</v>
      </c>
      <c r="G1748" s="2">
        <v>2033000</v>
      </c>
      <c r="H1748" s="2">
        <v>296000</v>
      </c>
    </row>
    <row r="1749" spans="6:8" x14ac:dyDescent="0.2">
      <c r="F1749" s="72">
        <v>36708</v>
      </c>
      <c r="G1749" s="2">
        <v>2052000</v>
      </c>
      <c r="H1749" s="2">
        <v>281000</v>
      </c>
    </row>
    <row r="1750" spans="6:8" x14ac:dyDescent="0.2">
      <c r="F1750" s="72">
        <v>36715</v>
      </c>
      <c r="G1750" s="2">
        <v>2099000</v>
      </c>
      <c r="H1750" s="2">
        <v>293000</v>
      </c>
    </row>
    <row r="1751" spans="6:8" x14ac:dyDescent="0.2">
      <c r="F1751" s="72">
        <v>36722</v>
      </c>
      <c r="G1751" s="2">
        <v>2122000</v>
      </c>
      <c r="H1751" s="2">
        <v>303000</v>
      </c>
    </row>
    <row r="1752" spans="6:8" x14ac:dyDescent="0.2">
      <c r="F1752" s="72">
        <v>36729</v>
      </c>
      <c r="G1752" s="2">
        <v>2070000</v>
      </c>
      <c r="H1752" s="2">
        <v>300000</v>
      </c>
    </row>
    <row r="1753" spans="6:8" x14ac:dyDescent="0.2">
      <c r="F1753" s="72">
        <v>36736</v>
      </c>
      <c r="G1753" s="2">
        <v>2085000</v>
      </c>
      <c r="H1753" s="2">
        <v>298000</v>
      </c>
    </row>
    <row r="1754" spans="6:8" x14ac:dyDescent="0.2">
      <c r="F1754" s="72">
        <v>36743</v>
      </c>
      <c r="G1754" s="2">
        <v>2096000</v>
      </c>
      <c r="H1754" s="2">
        <v>306000</v>
      </c>
    </row>
    <row r="1755" spans="6:8" x14ac:dyDescent="0.2">
      <c r="F1755" s="72">
        <v>36750</v>
      </c>
      <c r="G1755" s="2">
        <v>2109000</v>
      </c>
      <c r="H1755" s="2">
        <v>315000</v>
      </c>
    </row>
    <row r="1756" spans="6:8" x14ac:dyDescent="0.2">
      <c r="F1756" s="72">
        <v>36757</v>
      </c>
      <c r="G1756" s="2">
        <v>2145000</v>
      </c>
      <c r="H1756" s="2">
        <v>318000</v>
      </c>
    </row>
    <row r="1757" spans="6:8" x14ac:dyDescent="0.2">
      <c r="F1757" s="72">
        <v>36764</v>
      </c>
      <c r="G1757" s="2">
        <v>2119000</v>
      </c>
      <c r="H1757" s="2">
        <v>312000</v>
      </c>
    </row>
    <row r="1758" spans="6:8" x14ac:dyDescent="0.2">
      <c r="F1758" s="72">
        <v>36771</v>
      </c>
      <c r="G1758" s="2">
        <v>2169000</v>
      </c>
      <c r="H1758" s="2">
        <v>301000</v>
      </c>
    </row>
    <row r="1759" spans="6:8" x14ac:dyDescent="0.2">
      <c r="F1759" s="72">
        <v>36778</v>
      </c>
      <c r="G1759" s="2">
        <v>2139000</v>
      </c>
      <c r="H1759" s="2">
        <v>309000</v>
      </c>
    </row>
    <row r="1760" spans="6:8" x14ac:dyDescent="0.2">
      <c r="F1760" s="72">
        <v>36785</v>
      </c>
      <c r="G1760" s="2">
        <v>2115000</v>
      </c>
      <c r="H1760" s="2">
        <v>311000</v>
      </c>
    </row>
    <row r="1761" spans="6:8" x14ac:dyDescent="0.2">
      <c r="F1761" s="72">
        <v>36792</v>
      </c>
      <c r="G1761" s="2">
        <v>2098000</v>
      </c>
      <c r="H1761" s="2">
        <v>288000</v>
      </c>
    </row>
    <row r="1762" spans="6:8" x14ac:dyDescent="0.2">
      <c r="F1762" s="72">
        <v>36799</v>
      </c>
      <c r="G1762" s="2">
        <v>2077000</v>
      </c>
      <c r="H1762" s="2">
        <v>292000</v>
      </c>
    </row>
    <row r="1763" spans="6:8" x14ac:dyDescent="0.2">
      <c r="F1763" s="72">
        <v>36806</v>
      </c>
      <c r="G1763" s="2">
        <v>2133000</v>
      </c>
      <c r="H1763" s="2">
        <v>309000</v>
      </c>
    </row>
    <row r="1764" spans="6:8" x14ac:dyDescent="0.2">
      <c r="F1764" s="72">
        <v>36813</v>
      </c>
      <c r="G1764" s="2">
        <v>2124000</v>
      </c>
      <c r="H1764" s="2">
        <v>299000</v>
      </c>
    </row>
    <row r="1765" spans="6:8" x14ac:dyDescent="0.2">
      <c r="F1765" s="72">
        <v>36820</v>
      </c>
      <c r="G1765" s="2">
        <v>2082000</v>
      </c>
      <c r="H1765" s="2">
        <v>295000</v>
      </c>
    </row>
    <row r="1766" spans="6:8" x14ac:dyDescent="0.2">
      <c r="F1766" s="72">
        <v>36827</v>
      </c>
      <c r="G1766" s="2">
        <v>2126000</v>
      </c>
      <c r="H1766" s="2">
        <v>301000</v>
      </c>
    </row>
    <row r="1767" spans="6:8" x14ac:dyDescent="0.2">
      <c r="F1767" s="72">
        <v>36834</v>
      </c>
      <c r="G1767" s="2">
        <v>2110000</v>
      </c>
      <c r="H1767" s="2">
        <v>331000</v>
      </c>
    </row>
    <row r="1768" spans="6:8" x14ac:dyDescent="0.2">
      <c r="F1768" s="72">
        <v>36841</v>
      </c>
      <c r="G1768" s="2">
        <v>2161000</v>
      </c>
      <c r="H1768" s="2">
        <v>318000</v>
      </c>
    </row>
    <row r="1769" spans="6:8" x14ac:dyDescent="0.2">
      <c r="F1769" s="72">
        <v>36848</v>
      </c>
      <c r="G1769" s="2">
        <v>2279000</v>
      </c>
      <c r="H1769" s="2">
        <v>332000</v>
      </c>
    </row>
    <row r="1770" spans="6:8" x14ac:dyDescent="0.2">
      <c r="F1770" s="72">
        <v>36855</v>
      </c>
      <c r="G1770" s="2">
        <v>2295000</v>
      </c>
      <c r="H1770" s="2">
        <v>356000</v>
      </c>
    </row>
    <row r="1771" spans="6:8" x14ac:dyDescent="0.2">
      <c r="F1771" s="72">
        <v>36862</v>
      </c>
      <c r="G1771" s="2">
        <v>2229000</v>
      </c>
      <c r="H1771" s="2">
        <v>338000</v>
      </c>
    </row>
    <row r="1772" spans="6:8" x14ac:dyDescent="0.2">
      <c r="F1772" s="72">
        <v>36869</v>
      </c>
      <c r="G1772" s="2">
        <v>2263000</v>
      </c>
      <c r="H1772" s="2">
        <v>321000</v>
      </c>
    </row>
    <row r="1773" spans="6:8" x14ac:dyDescent="0.2">
      <c r="F1773" s="72">
        <v>36876</v>
      </c>
      <c r="G1773" s="2">
        <v>2322000</v>
      </c>
      <c r="H1773" s="2">
        <v>354000</v>
      </c>
    </row>
    <row r="1774" spans="6:8" x14ac:dyDescent="0.2">
      <c r="F1774" s="72">
        <v>36883</v>
      </c>
      <c r="G1774" s="2">
        <v>2340000</v>
      </c>
      <c r="H1774" s="2">
        <v>364000</v>
      </c>
    </row>
    <row r="1775" spans="6:8" x14ac:dyDescent="0.2">
      <c r="F1775" s="72">
        <v>36890</v>
      </c>
      <c r="G1775" s="2">
        <v>2378000</v>
      </c>
      <c r="H1775" s="2">
        <v>353000</v>
      </c>
    </row>
    <row r="1776" spans="6:8" x14ac:dyDescent="0.2">
      <c r="F1776" s="72">
        <v>36897</v>
      </c>
      <c r="G1776" s="2">
        <v>2357000</v>
      </c>
      <c r="H1776" s="2">
        <v>337000</v>
      </c>
    </row>
    <row r="1777" spans="6:8" x14ac:dyDescent="0.2">
      <c r="F1777" s="72">
        <v>36904</v>
      </c>
      <c r="G1777" s="2">
        <v>2367000</v>
      </c>
      <c r="H1777" s="2">
        <v>318000</v>
      </c>
    </row>
    <row r="1778" spans="6:8" x14ac:dyDescent="0.2">
      <c r="F1778" s="72">
        <v>36911</v>
      </c>
      <c r="G1778" s="2">
        <v>2419000</v>
      </c>
      <c r="H1778" s="2">
        <v>343000</v>
      </c>
    </row>
    <row r="1779" spans="6:8" x14ac:dyDescent="0.2">
      <c r="F1779" s="72">
        <v>36918</v>
      </c>
      <c r="G1779" s="2">
        <v>2440000</v>
      </c>
      <c r="H1779" s="2">
        <v>362000</v>
      </c>
    </row>
    <row r="1780" spans="6:8" x14ac:dyDescent="0.2">
      <c r="F1780" s="72">
        <v>36925</v>
      </c>
      <c r="G1780" s="2">
        <v>2489000</v>
      </c>
      <c r="H1780" s="2">
        <v>376000</v>
      </c>
    </row>
    <row r="1781" spans="6:8" x14ac:dyDescent="0.2">
      <c r="F1781" s="72">
        <v>36932</v>
      </c>
      <c r="G1781" s="2">
        <v>2435000</v>
      </c>
      <c r="H1781" s="2">
        <v>365000</v>
      </c>
    </row>
    <row r="1782" spans="6:8" x14ac:dyDescent="0.2">
      <c r="F1782" s="72">
        <v>36939</v>
      </c>
      <c r="G1782" s="2">
        <v>2516000</v>
      </c>
      <c r="H1782" s="2">
        <v>358000</v>
      </c>
    </row>
    <row r="1783" spans="6:8" x14ac:dyDescent="0.2">
      <c r="F1783" s="72">
        <v>36946</v>
      </c>
      <c r="G1783" s="2">
        <v>2506000</v>
      </c>
      <c r="H1783" s="2">
        <v>386000</v>
      </c>
    </row>
    <row r="1784" spans="6:8" x14ac:dyDescent="0.2">
      <c r="F1784" s="72">
        <v>36953</v>
      </c>
      <c r="G1784" s="2">
        <v>2558000</v>
      </c>
      <c r="H1784" s="2">
        <v>384000</v>
      </c>
    </row>
    <row r="1785" spans="6:8" x14ac:dyDescent="0.2">
      <c r="F1785" s="72">
        <v>36960</v>
      </c>
      <c r="G1785" s="2">
        <v>2557000</v>
      </c>
      <c r="H1785" s="2">
        <v>393000</v>
      </c>
    </row>
    <row r="1786" spans="6:8" x14ac:dyDescent="0.2">
      <c r="F1786" s="72">
        <v>36967</v>
      </c>
      <c r="G1786" s="2">
        <v>2605000</v>
      </c>
      <c r="H1786" s="2">
        <v>393000</v>
      </c>
    </row>
    <row r="1787" spans="6:8" x14ac:dyDescent="0.2">
      <c r="F1787" s="72">
        <v>36974</v>
      </c>
      <c r="G1787" s="2">
        <v>2587000</v>
      </c>
      <c r="H1787" s="2">
        <v>378000</v>
      </c>
    </row>
    <row r="1788" spans="6:8" x14ac:dyDescent="0.2">
      <c r="F1788" s="72">
        <v>36981</v>
      </c>
      <c r="G1788" s="2">
        <v>2620000</v>
      </c>
      <c r="H1788" s="2">
        <v>388000</v>
      </c>
    </row>
    <row r="1789" spans="6:8" x14ac:dyDescent="0.2">
      <c r="F1789" s="72">
        <v>36988</v>
      </c>
      <c r="G1789" s="2">
        <v>2582000</v>
      </c>
      <c r="H1789" s="2">
        <v>398000</v>
      </c>
    </row>
    <row r="1790" spans="6:8" x14ac:dyDescent="0.2">
      <c r="F1790" s="72">
        <v>36995</v>
      </c>
      <c r="G1790" s="2">
        <v>2742000</v>
      </c>
      <c r="H1790" s="2">
        <v>383000</v>
      </c>
    </row>
    <row r="1791" spans="6:8" x14ac:dyDescent="0.2">
      <c r="F1791" s="72">
        <v>37002</v>
      </c>
      <c r="G1791" s="2">
        <v>2737000</v>
      </c>
      <c r="H1791" s="2">
        <v>400000</v>
      </c>
    </row>
    <row r="1792" spans="6:8" x14ac:dyDescent="0.2">
      <c r="F1792" s="72">
        <v>37009</v>
      </c>
      <c r="G1792" s="2">
        <v>2728000</v>
      </c>
      <c r="H1792" s="2">
        <v>406000</v>
      </c>
    </row>
    <row r="1793" spans="6:8" x14ac:dyDescent="0.2">
      <c r="F1793" s="72">
        <v>37016</v>
      </c>
      <c r="G1793" s="2">
        <v>2732000</v>
      </c>
      <c r="H1793" s="2">
        <v>381000</v>
      </c>
    </row>
    <row r="1794" spans="6:8" x14ac:dyDescent="0.2">
      <c r="F1794" s="72">
        <v>37023</v>
      </c>
      <c r="G1794" s="2">
        <v>2800000</v>
      </c>
      <c r="H1794" s="2">
        <v>390000</v>
      </c>
    </row>
    <row r="1795" spans="6:8" x14ac:dyDescent="0.2">
      <c r="F1795" s="72">
        <v>37030</v>
      </c>
      <c r="G1795" s="2">
        <v>2819000</v>
      </c>
      <c r="H1795" s="2">
        <v>402000</v>
      </c>
    </row>
    <row r="1796" spans="6:8" x14ac:dyDescent="0.2">
      <c r="F1796" s="72">
        <v>37037</v>
      </c>
      <c r="G1796" s="2">
        <v>2926000</v>
      </c>
      <c r="H1796" s="2">
        <v>405000</v>
      </c>
    </row>
    <row r="1797" spans="6:8" x14ac:dyDescent="0.2">
      <c r="F1797" s="72">
        <v>37044</v>
      </c>
      <c r="G1797" s="2">
        <v>2919000</v>
      </c>
      <c r="H1797" s="2">
        <v>406000</v>
      </c>
    </row>
    <row r="1798" spans="6:8" x14ac:dyDescent="0.2">
      <c r="F1798" s="72">
        <v>37051</v>
      </c>
      <c r="G1798" s="2">
        <v>2948000</v>
      </c>
      <c r="H1798" s="2">
        <v>411000</v>
      </c>
    </row>
    <row r="1799" spans="6:8" x14ac:dyDescent="0.2">
      <c r="F1799" s="72">
        <v>37058</v>
      </c>
      <c r="G1799" s="2">
        <v>2939000</v>
      </c>
      <c r="H1799" s="2">
        <v>394000</v>
      </c>
    </row>
    <row r="1800" spans="6:8" x14ac:dyDescent="0.2">
      <c r="F1800" s="72">
        <v>37065</v>
      </c>
      <c r="G1800" s="2">
        <v>2972000</v>
      </c>
      <c r="H1800" s="2">
        <v>381000</v>
      </c>
    </row>
    <row r="1801" spans="6:8" x14ac:dyDescent="0.2">
      <c r="F1801" s="72">
        <v>37072</v>
      </c>
      <c r="G1801" s="2">
        <v>2959000</v>
      </c>
      <c r="H1801" s="2">
        <v>394000</v>
      </c>
    </row>
    <row r="1802" spans="6:8" x14ac:dyDescent="0.2">
      <c r="F1802" s="72">
        <v>37079</v>
      </c>
      <c r="G1802" s="2">
        <v>3063000</v>
      </c>
      <c r="H1802" s="2">
        <v>401000</v>
      </c>
    </row>
    <row r="1803" spans="6:8" x14ac:dyDescent="0.2">
      <c r="F1803" s="72">
        <v>37086</v>
      </c>
      <c r="G1803" s="2">
        <v>3029000</v>
      </c>
      <c r="H1803" s="2">
        <v>405000</v>
      </c>
    </row>
    <row r="1804" spans="6:8" x14ac:dyDescent="0.2">
      <c r="F1804" s="72">
        <v>37093</v>
      </c>
      <c r="G1804" s="2">
        <v>2975000</v>
      </c>
      <c r="H1804" s="2">
        <v>398000</v>
      </c>
    </row>
    <row r="1805" spans="6:8" x14ac:dyDescent="0.2">
      <c r="F1805" s="72">
        <v>37100</v>
      </c>
      <c r="G1805" s="2">
        <v>3056000</v>
      </c>
      <c r="H1805" s="2">
        <v>388000</v>
      </c>
    </row>
    <row r="1806" spans="6:8" x14ac:dyDescent="0.2">
      <c r="F1806" s="72">
        <v>37107</v>
      </c>
      <c r="G1806" s="2">
        <v>3079000</v>
      </c>
      <c r="H1806" s="2">
        <v>401000</v>
      </c>
    </row>
    <row r="1807" spans="6:8" x14ac:dyDescent="0.2">
      <c r="F1807" s="72">
        <v>37114</v>
      </c>
      <c r="G1807" s="2">
        <v>3125000</v>
      </c>
      <c r="H1807" s="2">
        <v>394000</v>
      </c>
    </row>
    <row r="1808" spans="6:8" x14ac:dyDescent="0.2">
      <c r="F1808" s="72">
        <v>37121</v>
      </c>
      <c r="G1808" s="2">
        <v>3113000</v>
      </c>
      <c r="H1808" s="2">
        <v>402000</v>
      </c>
    </row>
    <row r="1809" spans="6:8" x14ac:dyDescent="0.2">
      <c r="F1809" s="72">
        <v>37128</v>
      </c>
      <c r="G1809" s="2">
        <v>3163000</v>
      </c>
      <c r="H1809" s="2">
        <v>395000</v>
      </c>
    </row>
    <row r="1810" spans="6:8" x14ac:dyDescent="0.2">
      <c r="F1810" s="72">
        <v>37135</v>
      </c>
      <c r="G1810" s="2">
        <v>3213000</v>
      </c>
      <c r="H1810" s="2">
        <v>402000</v>
      </c>
    </row>
    <row r="1811" spans="6:8" x14ac:dyDescent="0.2">
      <c r="F1811" s="72">
        <v>37142</v>
      </c>
      <c r="G1811" s="2">
        <v>3197000</v>
      </c>
      <c r="H1811" s="2">
        <v>408000</v>
      </c>
    </row>
    <row r="1812" spans="6:8" x14ac:dyDescent="0.2">
      <c r="F1812" s="72">
        <v>37149</v>
      </c>
      <c r="G1812" s="2">
        <v>3214000</v>
      </c>
      <c r="H1812" s="2">
        <v>395000</v>
      </c>
    </row>
    <row r="1813" spans="6:8" x14ac:dyDescent="0.2">
      <c r="F1813" s="72">
        <v>37156</v>
      </c>
      <c r="G1813" s="2">
        <v>3302000</v>
      </c>
      <c r="H1813" s="2">
        <v>453000</v>
      </c>
    </row>
    <row r="1814" spans="6:8" x14ac:dyDescent="0.2">
      <c r="F1814" s="72">
        <v>37163</v>
      </c>
      <c r="G1814" s="2">
        <v>3385000</v>
      </c>
      <c r="H1814" s="2">
        <v>517000</v>
      </c>
    </row>
    <row r="1815" spans="6:8" x14ac:dyDescent="0.2">
      <c r="F1815" s="72">
        <v>37170</v>
      </c>
      <c r="G1815" s="2">
        <v>3432000</v>
      </c>
      <c r="H1815" s="2">
        <v>476000</v>
      </c>
    </row>
    <row r="1816" spans="6:8" x14ac:dyDescent="0.2">
      <c r="F1816" s="72">
        <v>37177</v>
      </c>
      <c r="G1816" s="2">
        <v>3521000</v>
      </c>
      <c r="H1816" s="2">
        <v>482000</v>
      </c>
    </row>
    <row r="1817" spans="6:8" x14ac:dyDescent="0.2">
      <c r="F1817" s="72">
        <v>37184</v>
      </c>
      <c r="G1817" s="2">
        <v>3557000</v>
      </c>
      <c r="H1817" s="2">
        <v>482000</v>
      </c>
    </row>
    <row r="1818" spans="6:8" x14ac:dyDescent="0.2">
      <c r="F1818" s="72">
        <v>37191</v>
      </c>
      <c r="G1818" s="2">
        <v>3600000</v>
      </c>
      <c r="H1818" s="2">
        <v>483000</v>
      </c>
    </row>
    <row r="1819" spans="6:8" x14ac:dyDescent="0.2">
      <c r="F1819" s="72">
        <v>37198</v>
      </c>
      <c r="G1819" s="2">
        <v>3616000</v>
      </c>
      <c r="H1819" s="2">
        <v>440000</v>
      </c>
    </row>
    <row r="1820" spans="6:8" x14ac:dyDescent="0.2">
      <c r="F1820" s="72">
        <v>37205</v>
      </c>
      <c r="G1820" s="2">
        <v>3627000</v>
      </c>
      <c r="H1820" s="2">
        <v>428000</v>
      </c>
    </row>
    <row r="1821" spans="6:8" x14ac:dyDescent="0.2">
      <c r="F1821" s="72">
        <v>37212</v>
      </c>
      <c r="G1821" s="2">
        <v>3790000</v>
      </c>
      <c r="H1821" s="2">
        <v>431000</v>
      </c>
    </row>
    <row r="1822" spans="6:8" x14ac:dyDescent="0.2">
      <c r="F1822" s="72">
        <v>37219</v>
      </c>
      <c r="G1822" s="2">
        <v>3593000</v>
      </c>
      <c r="H1822" s="2">
        <v>491000</v>
      </c>
    </row>
    <row r="1823" spans="6:8" x14ac:dyDescent="0.2">
      <c r="F1823" s="72">
        <v>37226</v>
      </c>
      <c r="G1823" s="2">
        <v>3619000</v>
      </c>
      <c r="H1823" s="2">
        <v>465000</v>
      </c>
    </row>
    <row r="1824" spans="6:8" x14ac:dyDescent="0.2">
      <c r="F1824" s="72">
        <v>37233</v>
      </c>
      <c r="G1824" s="2">
        <v>3626000</v>
      </c>
      <c r="H1824" s="2">
        <v>393000</v>
      </c>
    </row>
    <row r="1825" spans="6:8" x14ac:dyDescent="0.2">
      <c r="F1825" s="72">
        <v>37240</v>
      </c>
      <c r="G1825" s="2">
        <v>3637000</v>
      </c>
      <c r="H1825" s="2">
        <v>389000</v>
      </c>
    </row>
    <row r="1826" spans="6:8" x14ac:dyDescent="0.2">
      <c r="F1826" s="72">
        <v>37247</v>
      </c>
      <c r="G1826" s="2">
        <v>3591000</v>
      </c>
      <c r="H1826" s="2">
        <v>416000</v>
      </c>
    </row>
    <row r="1827" spans="6:8" x14ac:dyDescent="0.2">
      <c r="F1827" s="72">
        <v>37254</v>
      </c>
      <c r="G1827" s="2">
        <v>3474000</v>
      </c>
      <c r="H1827" s="2">
        <v>421000</v>
      </c>
    </row>
    <row r="1828" spans="6:8" x14ac:dyDescent="0.2">
      <c r="F1828" s="72">
        <v>37261</v>
      </c>
      <c r="G1828" s="2">
        <v>3587000</v>
      </c>
      <c r="H1828" s="2">
        <v>397000</v>
      </c>
    </row>
    <row r="1829" spans="6:8" x14ac:dyDescent="0.2">
      <c r="F1829" s="72">
        <v>37268</v>
      </c>
      <c r="G1829" s="2">
        <v>3500000</v>
      </c>
      <c r="H1829" s="2">
        <v>418000</v>
      </c>
    </row>
    <row r="1830" spans="6:8" x14ac:dyDescent="0.2">
      <c r="F1830" s="72">
        <v>37275</v>
      </c>
      <c r="G1830" s="2">
        <v>3557000</v>
      </c>
      <c r="H1830" s="2">
        <v>405000</v>
      </c>
    </row>
    <row r="1831" spans="6:8" x14ac:dyDescent="0.2">
      <c r="F1831" s="72">
        <v>37282</v>
      </c>
      <c r="G1831" s="2">
        <v>3558000</v>
      </c>
      <c r="H1831" s="2">
        <v>414000</v>
      </c>
    </row>
    <row r="1832" spans="6:8" x14ac:dyDescent="0.2">
      <c r="F1832" s="72">
        <v>37289</v>
      </c>
      <c r="G1832" s="2">
        <v>3537000</v>
      </c>
      <c r="H1832" s="2">
        <v>404000</v>
      </c>
    </row>
    <row r="1833" spans="6:8" x14ac:dyDescent="0.2">
      <c r="F1833" s="72">
        <v>37296</v>
      </c>
      <c r="G1833" s="2">
        <v>3562000</v>
      </c>
      <c r="H1833" s="2">
        <v>397000</v>
      </c>
    </row>
    <row r="1834" spans="6:8" x14ac:dyDescent="0.2">
      <c r="F1834" s="72">
        <v>37303</v>
      </c>
      <c r="G1834" s="2">
        <v>3580000</v>
      </c>
      <c r="H1834" s="2">
        <v>397000</v>
      </c>
    </row>
    <row r="1835" spans="6:8" x14ac:dyDescent="0.2">
      <c r="F1835" s="72">
        <v>37310</v>
      </c>
      <c r="G1835" s="2">
        <v>3538000</v>
      </c>
      <c r="H1835" s="2">
        <v>398000</v>
      </c>
    </row>
    <row r="1836" spans="6:8" x14ac:dyDescent="0.2">
      <c r="F1836" s="72">
        <v>37317</v>
      </c>
      <c r="G1836" s="2">
        <v>3567000</v>
      </c>
      <c r="H1836" s="2">
        <v>392000</v>
      </c>
    </row>
    <row r="1837" spans="6:8" x14ac:dyDescent="0.2">
      <c r="F1837" s="72">
        <v>37324</v>
      </c>
      <c r="G1837" s="2">
        <v>3567000</v>
      </c>
      <c r="H1837" s="2">
        <v>399000</v>
      </c>
    </row>
    <row r="1838" spans="6:8" x14ac:dyDescent="0.2">
      <c r="F1838" s="72">
        <v>37331</v>
      </c>
      <c r="G1838" s="2">
        <v>3598000</v>
      </c>
      <c r="H1838" s="2">
        <v>392000</v>
      </c>
    </row>
    <row r="1839" spans="6:8" x14ac:dyDescent="0.2">
      <c r="F1839" s="72">
        <v>37338</v>
      </c>
      <c r="G1839" s="2">
        <v>3599000</v>
      </c>
      <c r="H1839" s="2">
        <v>415000</v>
      </c>
    </row>
    <row r="1840" spans="6:8" x14ac:dyDescent="0.2">
      <c r="F1840" s="72">
        <v>37345</v>
      </c>
      <c r="G1840" s="2">
        <v>3723000</v>
      </c>
      <c r="H1840" s="2">
        <v>479000</v>
      </c>
    </row>
    <row r="1841" spans="6:8" x14ac:dyDescent="0.2">
      <c r="F1841" s="72">
        <v>37352</v>
      </c>
      <c r="G1841" s="2">
        <v>3732000</v>
      </c>
      <c r="H1841" s="2">
        <v>445000</v>
      </c>
    </row>
    <row r="1842" spans="6:8" x14ac:dyDescent="0.2">
      <c r="F1842" s="72">
        <v>37359</v>
      </c>
      <c r="G1842" s="2">
        <v>3650000</v>
      </c>
      <c r="H1842" s="2">
        <v>442000</v>
      </c>
    </row>
    <row r="1843" spans="6:8" x14ac:dyDescent="0.2">
      <c r="F1843" s="72">
        <v>37366</v>
      </c>
      <c r="G1843" s="2">
        <v>3675000</v>
      </c>
      <c r="H1843" s="2">
        <v>416000</v>
      </c>
    </row>
    <row r="1844" spans="6:8" x14ac:dyDescent="0.2">
      <c r="F1844" s="72">
        <v>37373</v>
      </c>
      <c r="G1844" s="2">
        <v>3700000</v>
      </c>
      <c r="H1844" s="2">
        <v>414000</v>
      </c>
    </row>
    <row r="1845" spans="6:8" x14ac:dyDescent="0.2">
      <c r="F1845" s="72">
        <v>37380</v>
      </c>
      <c r="G1845" s="2">
        <v>3712000</v>
      </c>
      <c r="H1845" s="2">
        <v>409000</v>
      </c>
    </row>
    <row r="1846" spans="6:8" x14ac:dyDescent="0.2">
      <c r="F1846" s="72">
        <v>37387</v>
      </c>
      <c r="G1846" s="2">
        <v>3729000</v>
      </c>
      <c r="H1846" s="2">
        <v>413000</v>
      </c>
    </row>
    <row r="1847" spans="6:8" x14ac:dyDescent="0.2">
      <c r="F1847" s="72">
        <v>37394</v>
      </c>
      <c r="G1847" s="2">
        <v>3695000</v>
      </c>
      <c r="H1847" s="2">
        <v>411000</v>
      </c>
    </row>
    <row r="1848" spans="6:8" x14ac:dyDescent="0.2">
      <c r="F1848" s="72">
        <v>37401</v>
      </c>
      <c r="G1848" s="2">
        <v>3712000</v>
      </c>
      <c r="H1848" s="2">
        <v>403000</v>
      </c>
    </row>
    <row r="1849" spans="6:8" x14ac:dyDescent="0.2">
      <c r="F1849" s="72">
        <v>37408</v>
      </c>
      <c r="G1849" s="2">
        <v>3664000</v>
      </c>
      <c r="H1849" s="2">
        <v>378000</v>
      </c>
    </row>
    <row r="1850" spans="6:8" x14ac:dyDescent="0.2">
      <c r="F1850" s="72">
        <v>37415</v>
      </c>
      <c r="G1850" s="2">
        <v>3681000</v>
      </c>
      <c r="H1850" s="2">
        <v>388000</v>
      </c>
    </row>
    <row r="1851" spans="6:8" x14ac:dyDescent="0.2">
      <c r="F1851" s="72">
        <v>37422</v>
      </c>
      <c r="G1851" s="2">
        <v>3604000</v>
      </c>
      <c r="H1851" s="2">
        <v>396000</v>
      </c>
    </row>
    <row r="1852" spans="6:8" x14ac:dyDescent="0.2">
      <c r="F1852" s="72">
        <v>37429</v>
      </c>
      <c r="G1852" s="2">
        <v>3639000</v>
      </c>
      <c r="H1852" s="2">
        <v>388000</v>
      </c>
    </row>
    <row r="1853" spans="6:8" x14ac:dyDescent="0.2">
      <c r="F1853" s="72">
        <v>37436</v>
      </c>
      <c r="G1853" s="2">
        <v>3588000</v>
      </c>
      <c r="H1853" s="2">
        <v>386000</v>
      </c>
    </row>
    <row r="1854" spans="6:8" x14ac:dyDescent="0.2">
      <c r="F1854" s="72">
        <v>37443</v>
      </c>
      <c r="G1854" s="2">
        <v>3554000</v>
      </c>
      <c r="H1854" s="2">
        <v>391000</v>
      </c>
    </row>
    <row r="1855" spans="6:8" x14ac:dyDescent="0.2">
      <c r="F1855" s="72">
        <v>37450</v>
      </c>
      <c r="G1855" s="2">
        <v>3495000</v>
      </c>
      <c r="H1855" s="2">
        <v>384000</v>
      </c>
    </row>
    <row r="1856" spans="6:8" x14ac:dyDescent="0.2">
      <c r="F1856" s="72">
        <v>37457</v>
      </c>
      <c r="G1856" s="2">
        <v>3473000</v>
      </c>
      <c r="H1856" s="2">
        <v>379000</v>
      </c>
    </row>
    <row r="1857" spans="6:8" x14ac:dyDescent="0.2">
      <c r="F1857" s="72">
        <v>37464</v>
      </c>
      <c r="G1857" s="2">
        <v>3495000</v>
      </c>
      <c r="H1857" s="2">
        <v>390000</v>
      </c>
    </row>
    <row r="1858" spans="6:8" x14ac:dyDescent="0.2">
      <c r="F1858" s="72">
        <v>37471</v>
      </c>
      <c r="G1858" s="2">
        <v>3498000</v>
      </c>
      <c r="H1858" s="2">
        <v>388000</v>
      </c>
    </row>
    <row r="1859" spans="6:8" x14ac:dyDescent="0.2">
      <c r="F1859" s="72">
        <v>37478</v>
      </c>
      <c r="G1859" s="2">
        <v>3485000</v>
      </c>
      <c r="H1859" s="2">
        <v>389000</v>
      </c>
    </row>
    <row r="1860" spans="6:8" x14ac:dyDescent="0.2">
      <c r="F1860" s="72">
        <v>37485</v>
      </c>
      <c r="G1860" s="2">
        <v>3531000</v>
      </c>
      <c r="H1860" s="2">
        <v>399000</v>
      </c>
    </row>
    <row r="1861" spans="6:8" x14ac:dyDescent="0.2">
      <c r="F1861" s="72">
        <v>37492</v>
      </c>
      <c r="G1861" s="2">
        <v>3521000</v>
      </c>
      <c r="H1861" s="2">
        <v>398000</v>
      </c>
    </row>
    <row r="1862" spans="6:8" x14ac:dyDescent="0.2">
      <c r="F1862" s="72">
        <v>37499</v>
      </c>
      <c r="G1862" s="2">
        <v>3549000</v>
      </c>
      <c r="H1862" s="2">
        <v>394000</v>
      </c>
    </row>
    <row r="1863" spans="6:8" x14ac:dyDescent="0.2">
      <c r="F1863" s="72">
        <v>37506</v>
      </c>
      <c r="G1863" s="2">
        <v>3532000</v>
      </c>
      <c r="H1863" s="2">
        <v>416000</v>
      </c>
    </row>
    <row r="1864" spans="6:8" x14ac:dyDescent="0.2">
      <c r="F1864" s="72">
        <v>37513</v>
      </c>
      <c r="G1864" s="2">
        <v>3554000</v>
      </c>
      <c r="H1864" s="2">
        <v>412000</v>
      </c>
    </row>
    <row r="1865" spans="6:8" x14ac:dyDescent="0.2">
      <c r="F1865" s="72">
        <v>37520</v>
      </c>
      <c r="G1865" s="2">
        <v>3579000</v>
      </c>
      <c r="H1865" s="2">
        <v>401000</v>
      </c>
    </row>
    <row r="1866" spans="6:8" x14ac:dyDescent="0.2">
      <c r="F1866" s="72">
        <v>37527</v>
      </c>
      <c r="G1866" s="2">
        <v>3555000</v>
      </c>
      <c r="H1866" s="2">
        <v>409000</v>
      </c>
    </row>
    <row r="1867" spans="6:8" x14ac:dyDescent="0.2">
      <c r="F1867" s="72">
        <v>37534</v>
      </c>
      <c r="G1867" s="2">
        <v>3619000</v>
      </c>
      <c r="H1867" s="2">
        <v>404000</v>
      </c>
    </row>
    <row r="1868" spans="6:8" x14ac:dyDescent="0.2">
      <c r="F1868" s="72">
        <v>37541</v>
      </c>
      <c r="G1868" s="2">
        <v>3529000</v>
      </c>
      <c r="H1868" s="2">
        <v>405000</v>
      </c>
    </row>
    <row r="1869" spans="6:8" x14ac:dyDescent="0.2">
      <c r="F1869" s="72">
        <v>37548</v>
      </c>
      <c r="G1869" s="2">
        <v>3518000</v>
      </c>
      <c r="H1869" s="2">
        <v>412000</v>
      </c>
    </row>
    <row r="1870" spans="6:8" x14ac:dyDescent="0.2">
      <c r="F1870" s="72">
        <v>37555</v>
      </c>
      <c r="G1870" s="2">
        <v>3557000</v>
      </c>
      <c r="H1870" s="2">
        <v>409000</v>
      </c>
    </row>
    <row r="1871" spans="6:8" x14ac:dyDescent="0.2">
      <c r="F1871" s="72">
        <v>37562</v>
      </c>
      <c r="G1871" s="2">
        <v>3557000</v>
      </c>
      <c r="H1871" s="2">
        <v>405000</v>
      </c>
    </row>
    <row r="1872" spans="6:8" x14ac:dyDescent="0.2">
      <c r="F1872" s="72">
        <v>37569</v>
      </c>
      <c r="G1872" s="2">
        <v>3539000</v>
      </c>
      <c r="H1872" s="2">
        <v>400000</v>
      </c>
    </row>
    <row r="1873" spans="6:8" x14ac:dyDescent="0.2">
      <c r="F1873" s="72">
        <v>37576</v>
      </c>
      <c r="G1873" s="2">
        <v>3438000</v>
      </c>
      <c r="H1873" s="2">
        <v>389000</v>
      </c>
    </row>
    <row r="1874" spans="6:8" x14ac:dyDescent="0.2">
      <c r="F1874" s="72">
        <v>37583</v>
      </c>
      <c r="G1874" s="2">
        <v>3474000</v>
      </c>
      <c r="H1874" s="2">
        <v>390000</v>
      </c>
    </row>
    <row r="1875" spans="6:8" x14ac:dyDescent="0.2">
      <c r="F1875" s="72">
        <v>37590</v>
      </c>
      <c r="G1875" s="2">
        <v>3404000</v>
      </c>
      <c r="H1875" s="2">
        <v>377000</v>
      </c>
    </row>
    <row r="1876" spans="6:8" x14ac:dyDescent="0.2">
      <c r="F1876" s="72">
        <v>37597</v>
      </c>
      <c r="G1876" s="2">
        <v>3537000</v>
      </c>
      <c r="H1876" s="2">
        <v>425000</v>
      </c>
    </row>
    <row r="1877" spans="6:8" x14ac:dyDescent="0.2">
      <c r="F1877" s="72">
        <v>37604</v>
      </c>
      <c r="G1877" s="2">
        <v>3497000</v>
      </c>
      <c r="H1877" s="2">
        <v>429000</v>
      </c>
    </row>
    <row r="1878" spans="6:8" x14ac:dyDescent="0.2">
      <c r="F1878" s="72">
        <v>37611</v>
      </c>
      <c r="G1878" s="2">
        <v>3435000</v>
      </c>
      <c r="H1878" s="2">
        <v>394000</v>
      </c>
    </row>
    <row r="1879" spans="6:8" x14ac:dyDescent="0.2">
      <c r="F1879" s="72">
        <v>37618</v>
      </c>
      <c r="G1879" s="2">
        <v>3462000</v>
      </c>
      <c r="H1879" s="2">
        <v>409000</v>
      </c>
    </row>
    <row r="1880" spans="6:8" x14ac:dyDescent="0.2">
      <c r="F1880" s="72">
        <v>37625</v>
      </c>
      <c r="G1880" s="2">
        <v>3438000</v>
      </c>
      <c r="H1880" s="2">
        <v>393000</v>
      </c>
    </row>
    <row r="1881" spans="6:8" x14ac:dyDescent="0.2">
      <c r="F1881" s="72">
        <v>37632</v>
      </c>
      <c r="G1881" s="2">
        <v>3388000</v>
      </c>
      <c r="H1881" s="2">
        <v>378000</v>
      </c>
    </row>
    <row r="1882" spans="6:8" x14ac:dyDescent="0.2">
      <c r="F1882" s="72">
        <v>37639</v>
      </c>
      <c r="G1882" s="2">
        <v>3357000</v>
      </c>
      <c r="H1882" s="2">
        <v>402000</v>
      </c>
    </row>
    <row r="1883" spans="6:8" x14ac:dyDescent="0.2">
      <c r="F1883" s="72">
        <v>37646</v>
      </c>
      <c r="G1883" s="2">
        <v>3475000</v>
      </c>
      <c r="H1883" s="2">
        <v>407000</v>
      </c>
    </row>
    <row r="1884" spans="6:8" x14ac:dyDescent="0.2">
      <c r="F1884" s="72">
        <v>37653</v>
      </c>
      <c r="G1884" s="2">
        <v>3368000</v>
      </c>
      <c r="H1884" s="2">
        <v>413000</v>
      </c>
    </row>
    <row r="1885" spans="6:8" x14ac:dyDescent="0.2">
      <c r="F1885" s="72">
        <v>37660</v>
      </c>
      <c r="G1885" s="2">
        <v>3457000</v>
      </c>
      <c r="H1885" s="2">
        <v>390000</v>
      </c>
    </row>
    <row r="1886" spans="6:8" x14ac:dyDescent="0.2">
      <c r="F1886" s="72">
        <v>37667</v>
      </c>
      <c r="G1886" s="2">
        <v>3423000</v>
      </c>
      <c r="H1886" s="2">
        <v>420000</v>
      </c>
    </row>
    <row r="1887" spans="6:8" x14ac:dyDescent="0.2">
      <c r="F1887" s="72">
        <v>37674</v>
      </c>
      <c r="G1887" s="2">
        <v>3500000</v>
      </c>
      <c r="H1887" s="2">
        <v>421000</v>
      </c>
    </row>
    <row r="1888" spans="6:8" x14ac:dyDescent="0.2">
      <c r="F1888" s="72">
        <v>37681</v>
      </c>
      <c r="G1888" s="2">
        <v>3496000</v>
      </c>
      <c r="H1888" s="2">
        <v>436000</v>
      </c>
    </row>
    <row r="1889" spans="6:8" x14ac:dyDescent="0.2">
      <c r="F1889" s="72">
        <v>37688</v>
      </c>
      <c r="G1889" s="2">
        <v>3559000</v>
      </c>
      <c r="H1889" s="2">
        <v>424000</v>
      </c>
    </row>
    <row r="1890" spans="6:8" x14ac:dyDescent="0.2">
      <c r="F1890" s="72">
        <v>37695</v>
      </c>
      <c r="G1890" s="2">
        <v>3528000</v>
      </c>
      <c r="H1890" s="2">
        <v>430000</v>
      </c>
    </row>
    <row r="1891" spans="6:8" x14ac:dyDescent="0.2">
      <c r="F1891" s="72">
        <v>37702</v>
      </c>
      <c r="G1891" s="2">
        <v>3585000</v>
      </c>
      <c r="H1891" s="2">
        <v>411000</v>
      </c>
    </row>
    <row r="1892" spans="6:8" x14ac:dyDescent="0.2">
      <c r="F1892" s="72">
        <v>37709</v>
      </c>
      <c r="G1892" s="2">
        <v>3536000</v>
      </c>
      <c r="H1892" s="2">
        <v>436000</v>
      </c>
    </row>
    <row r="1893" spans="6:8" x14ac:dyDescent="0.2">
      <c r="F1893" s="72">
        <v>37716</v>
      </c>
      <c r="G1893" s="2">
        <v>3583000</v>
      </c>
      <c r="H1893" s="2">
        <v>417000</v>
      </c>
    </row>
    <row r="1894" spans="6:8" x14ac:dyDescent="0.2">
      <c r="F1894" s="72">
        <v>37723</v>
      </c>
      <c r="G1894" s="2">
        <v>3586000</v>
      </c>
      <c r="H1894" s="2">
        <v>434000</v>
      </c>
    </row>
    <row r="1895" spans="6:8" x14ac:dyDescent="0.2">
      <c r="F1895" s="72">
        <v>37730</v>
      </c>
      <c r="G1895" s="2">
        <v>3674000</v>
      </c>
      <c r="H1895" s="2">
        <v>450000</v>
      </c>
    </row>
    <row r="1896" spans="6:8" x14ac:dyDescent="0.2">
      <c r="F1896" s="72">
        <v>37737</v>
      </c>
      <c r="G1896" s="2">
        <v>3676000</v>
      </c>
      <c r="H1896" s="2">
        <v>444000</v>
      </c>
    </row>
    <row r="1897" spans="6:8" x14ac:dyDescent="0.2">
      <c r="F1897" s="72">
        <v>37744</v>
      </c>
      <c r="G1897" s="2">
        <v>3730000</v>
      </c>
      <c r="H1897" s="2">
        <v>428000</v>
      </c>
    </row>
    <row r="1898" spans="6:8" x14ac:dyDescent="0.2">
      <c r="F1898" s="72">
        <v>37751</v>
      </c>
      <c r="G1898" s="2">
        <v>3704000</v>
      </c>
      <c r="H1898" s="2">
        <v>417000</v>
      </c>
    </row>
    <row r="1899" spans="6:8" x14ac:dyDescent="0.2">
      <c r="F1899" s="72">
        <v>37758</v>
      </c>
      <c r="G1899" s="2">
        <v>3716000</v>
      </c>
      <c r="H1899" s="2">
        <v>425000</v>
      </c>
    </row>
    <row r="1900" spans="6:8" x14ac:dyDescent="0.2">
      <c r="F1900" s="72">
        <v>37765</v>
      </c>
      <c r="G1900" s="2">
        <v>3672000</v>
      </c>
      <c r="H1900" s="2">
        <v>419000</v>
      </c>
    </row>
    <row r="1901" spans="6:8" x14ac:dyDescent="0.2">
      <c r="F1901" s="72">
        <v>37772</v>
      </c>
      <c r="G1901" s="2">
        <v>3774000</v>
      </c>
      <c r="H1901" s="2">
        <v>431000</v>
      </c>
    </row>
    <row r="1902" spans="6:8" x14ac:dyDescent="0.2">
      <c r="F1902" s="72">
        <v>37779</v>
      </c>
      <c r="G1902" s="2">
        <v>3682000</v>
      </c>
      <c r="H1902" s="2">
        <v>429000</v>
      </c>
    </row>
    <row r="1903" spans="6:8" x14ac:dyDescent="0.2">
      <c r="F1903" s="72">
        <v>37786</v>
      </c>
      <c r="G1903" s="2">
        <v>3695000</v>
      </c>
      <c r="H1903" s="2">
        <v>421000</v>
      </c>
    </row>
    <row r="1904" spans="6:8" x14ac:dyDescent="0.2">
      <c r="F1904" s="72">
        <v>37793</v>
      </c>
      <c r="G1904" s="2">
        <v>3692000</v>
      </c>
      <c r="H1904" s="2">
        <v>408000</v>
      </c>
    </row>
    <row r="1905" spans="6:8" x14ac:dyDescent="0.2">
      <c r="F1905" s="72">
        <v>37800</v>
      </c>
      <c r="G1905" s="2">
        <v>3737000</v>
      </c>
      <c r="H1905" s="2">
        <v>429000</v>
      </c>
    </row>
    <row r="1906" spans="6:8" x14ac:dyDescent="0.2">
      <c r="F1906" s="72">
        <v>37807</v>
      </c>
      <c r="G1906" s="2">
        <v>3627000</v>
      </c>
      <c r="H1906" s="2">
        <v>433000</v>
      </c>
    </row>
    <row r="1907" spans="6:8" x14ac:dyDescent="0.2">
      <c r="F1907" s="72">
        <v>37814</v>
      </c>
      <c r="G1907" s="2">
        <v>3599000</v>
      </c>
      <c r="H1907" s="2">
        <v>412000</v>
      </c>
    </row>
    <row r="1908" spans="6:8" x14ac:dyDescent="0.2">
      <c r="F1908" s="72">
        <v>37821</v>
      </c>
      <c r="G1908" s="2">
        <v>3592000</v>
      </c>
      <c r="H1908" s="2">
        <v>403000</v>
      </c>
    </row>
    <row r="1909" spans="6:8" x14ac:dyDescent="0.2">
      <c r="F1909" s="72">
        <v>37828</v>
      </c>
      <c r="G1909" s="2">
        <v>3647000</v>
      </c>
      <c r="H1909" s="2">
        <v>398000</v>
      </c>
    </row>
    <row r="1910" spans="6:8" x14ac:dyDescent="0.2">
      <c r="F1910" s="72">
        <v>37835</v>
      </c>
      <c r="G1910" s="2">
        <v>3601000</v>
      </c>
      <c r="H1910" s="2">
        <v>401000</v>
      </c>
    </row>
    <row r="1911" spans="6:8" x14ac:dyDescent="0.2">
      <c r="F1911" s="72">
        <v>37842</v>
      </c>
      <c r="G1911" s="2">
        <v>3596000</v>
      </c>
      <c r="H1911" s="2">
        <v>404000</v>
      </c>
    </row>
    <row r="1912" spans="6:8" x14ac:dyDescent="0.2">
      <c r="F1912" s="72">
        <v>37849</v>
      </c>
      <c r="G1912" s="2">
        <v>3603000</v>
      </c>
      <c r="H1912" s="2">
        <v>398000</v>
      </c>
    </row>
    <row r="1913" spans="6:8" x14ac:dyDescent="0.2">
      <c r="F1913" s="72">
        <v>37856</v>
      </c>
      <c r="G1913" s="2">
        <v>3574000</v>
      </c>
      <c r="H1913" s="2">
        <v>391000</v>
      </c>
    </row>
    <row r="1914" spans="6:8" x14ac:dyDescent="0.2">
      <c r="F1914" s="72">
        <v>37863</v>
      </c>
      <c r="G1914" s="2">
        <v>3608000</v>
      </c>
      <c r="H1914" s="2">
        <v>407000</v>
      </c>
    </row>
    <row r="1915" spans="6:8" x14ac:dyDescent="0.2">
      <c r="F1915" s="72">
        <v>37870</v>
      </c>
      <c r="G1915" s="2">
        <v>3598000</v>
      </c>
      <c r="H1915" s="2">
        <v>422000</v>
      </c>
    </row>
    <row r="1916" spans="6:8" x14ac:dyDescent="0.2">
      <c r="F1916" s="72">
        <v>37877</v>
      </c>
      <c r="G1916" s="2">
        <v>3559000</v>
      </c>
      <c r="H1916" s="2">
        <v>394000</v>
      </c>
    </row>
    <row r="1917" spans="6:8" x14ac:dyDescent="0.2">
      <c r="F1917" s="72">
        <v>37884</v>
      </c>
      <c r="G1917" s="2">
        <v>3588000</v>
      </c>
      <c r="H1917" s="2">
        <v>379000</v>
      </c>
    </row>
    <row r="1918" spans="6:8" x14ac:dyDescent="0.2">
      <c r="F1918" s="72">
        <v>37891</v>
      </c>
      <c r="G1918" s="2">
        <v>3558000</v>
      </c>
      <c r="H1918" s="2">
        <v>387000</v>
      </c>
    </row>
    <row r="1919" spans="6:8" x14ac:dyDescent="0.2">
      <c r="F1919" s="72">
        <v>37898</v>
      </c>
      <c r="G1919" s="2">
        <v>3570000</v>
      </c>
      <c r="H1919" s="2">
        <v>386000</v>
      </c>
    </row>
    <row r="1920" spans="6:8" x14ac:dyDescent="0.2">
      <c r="F1920" s="72">
        <v>37905</v>
      </c>
      <c r="G1920" s="2">
        <v>3468000</v>
      </c>
      <c r="H1920" s="2">
        <v>376000</v>
      </c>
    </row>
    <row r="1921" spans="6:8" x14ac:dyDescent="0.2">
      <c r="F1921" s="72">
        <v>37912</v>
      </c>
      <c r="G1921" s="2">
        <v>3466000</v>
      </c>
      <c r="H1921" s="2">
        <v>387000</v>
      </c>
    </row>
    <row r="1922" spans="6:8" x14ac:dyDescent="0.2">
      <c r="F1922" s="72">
        <v>37919</v>
      </c>
      <c r="G1922" s="2">
        <v>3441000</v>
      </c>
      <c r="H1922" s="2">
        <v>379000</v>
      </c>
    </row>
    <row r="1923" spans="6:8" x14ac:dyDescent="0.2">
      <c r="F1923" s="72">
        <v>37926</v>
      </c>
      <c r="G1923" s="2">
        <v>3427000</v>
      </c>
      <c r="H1923" s="2">
        <v>363000</v>
      </c>
    </row>
    <row r="1924" spans="6:8" x14ac:dyDescent="0.2">
      <c r="F1924" s="72">
        <v>37933</v>
      </c>
      <c r="G1924" s="2">
        <v>3441000</v>
      </c>
      <c r="H1924" s="2">
        <v>371000</v>
      </c>
    </row>
    <row r="1925" spans="6:8" x14ac:dyDescent="0.2">
      <c r="F1925" s="72">
        <v>37940</v>
      </c>
      <c r="G1925" s="2">
        <v>3331000</v>
      </c>
      <c r="H1925" s="2">
        <v>370000</v>
      </c>
    </row>
    <row r="1926" spans="6:8" x14ac:dyDescent="0.2">
      <c r="F1926" s="72">
        <v>37947</v>
      </c>
      <c r="G1926" s="2">
        <v>3337000</v>
      </c>
      <c r="H1926" s="2">
        <v>354000</v>
      </c>
    </row>
    <row r="1927" spans="6:8" x14ac:dyDescent="0.2">
      <c r="F1927" s="72">
        <v>37954</v>
      </c>
      <c r="G1927" s="2">
        <v>3331000</v>
      </c>
      <c r="H1927" s="2">
        <v>357000</v>
      </c>
    </row>
    <row r="1928" spans="6:8" x14ac:dyDescent="0.2">
      <c r="F1928" s="72">
        <v>37961</v>
      </c>
      <c r="G1928" s="2">
        <v>3318000</v>
      </c>
      <c r="H1928" s="2">
        <v>367000</v>
      </c>
    </row>
    <row r="1929" spans="6:8" x14ac:dyDescent="0.2">
      <c r="F1929" s="72">
        <v>37968</v>
      </c>
      <c r="G1929" s="2">
        <v>3251000</v>
      </c>
      <c r="H1929" s="2">
        <v>363000</v>
      </c>
    </row>
    <row r="1930" spans="6:8" x14ac:dyDescent="0.2">
      <c r="F1930" s="72">
        <v>37975</v>
      </c>
      <c r="G1930" s="2">
        <v>3254000</v>
      </c>
      <c r="H1930" s="2">
        <v>354000</v>
      </c>
    </row>
    <row r="1931" spans="6:8" x14ac:dyDescent="0.2">
      <c r="F1931" s="72">
        <v>37982</v>
      </c>
      <c r="G1931" s="2">
        <v>3258000</v>
      </c>
      <c r="H1931" s="2">
        <v>349000</v>
      </c>
    </row>
    <row r="1932" spans="6:8" x14ac:dyDescent="0.2">
      <c r="F1932" s="72">
        <v>37989</v>
      </c>
      <c r="G1932" s="2">
        <v>3188000</v>
      </c>
      <c r="H1932" s="2">
        <v>356000</v>
      </c>
    </row>
    <row r="1933" spans="6:8" x14ac:dyDescent="0.2">
      <c r="F1933" s="72">
        <v>37996</v>
      </c>
      <c r="G1933" s="2">
        <v>3154000</v>
      </c>
      <c r="H1933" s="2">
        <v>354000</v>
      </c>
    </row>
    <row r="1934" spans="6:8" x14ac:dyDescent="0.2">
      <c r="F1934" s="72">
        <v>38003</v>
      </c>
      <c r="G1934" s="2">
        <v>3139000</v>
      </c>
      <c r="H1934" s="2">
        <v>362000</v>
      </c>
    </row>
    <row r="1935" spans="6:8" x14ac:dyDescent="0.2">
      <c r="F1935" s="72">
        <v>38010</v>
      </c>
      <c r="G1935" s="2">
        <v>3142000</v>
      </c>
      <c r="H1935" s="2">
        <v>353000</v>
      </c>
    </row>
    <row r="1936" spans="6:8" x14ac:dyDescent="0.2">
      <c r="F1936" s="72">
        <v>38017</v>
      </c>
      <c r="G1936" s="2">
        <v>3118000</v>
      </c>
      <c r="H1936" s="2">
        <v>376000</v>
      </c>
    </row>
    <row r="1937" spans="6:8" x14ac:dyDescent="0.2">
      <c r="F1937" s="72">
        <v>38024</v>
      </c>
      <c r="G1937" s="2">
        <v>3179000</v>
      </c>
      <c r="H1937" s="2">
        <v>380000</v>
      </c>
    </row>
    <row r="1938" spans="6:8" x14ac:dyDescent="0.2">
      <c r="F1938" s="72">
        <v>38031</v>
      </c>
      <c r="G1938" s="2">
        <v>3131000</v>
      </c>
      <c r="H1938" s="2">
        <v>356000</v>
      </c>
    </row>
    <row r="1939" spans="6:8" x14ac:dyDescent="0.2">
      <c r="F1939" s="72">
        <v>38038</v>
      </c>
      <c r="G1939" s="2">
        <v>3092000</v>
      </c>
      <c r="H1939" s="2">
        <v>359000</v>
      </c>
    </row>
    <row r="1940" spans="6:8" x14ac:dyDescent="0.2">
      <c r="F1940" s="72">
        <v>38045</v>
      </c>
      <c r="G1940" s="2">
        <v>3057000</v>
      </c>
      <c r="H1940" s="2">
        <v>348000</v>
      </c>
    </row>
    <row r="1941" spans="6:8" x14ac:dyDescent="0.2">
      <c r="F1941" s="72">
        <v>38052</v>
      </c>
      <c r="G1941" s="2">
        <v>3072000</v>
      </c>
      <c r="H1941" s="2">
        <v>344000</v>
      </c>
    </row>
    <row r="1942" spans="6:8" x14ac:dyDescent="0.2">
      <c r="F1942" s="72">
        <v>38059</v>
      </c>
      <c r="G1942" s="2">
        <v>3040000</v>
      </c>
      <c r="H1942" s="2">
        <v>338000</v>
      </c>
    </row>
    <row r="1943" spans="6:8" x14ac:dyDescent="0.2">
      <c r="F1943" s="72">
        <v>38066</v>
      </c>
      <c r="G1943" s="2">
        <v>3066000</v>
      </c>
      <c r="H1943" s="2">
        <v>346000</v>
      </c>
    </row>
    <row r="1944" spans="6:8" x14ac:dyDescent="0.2">
      <c r="F1944" s="72">
        <v>38073</v>
      </c>
      <c r="G1944" s="2">
        <v>3007000</v>
      </c>
      <c r="H1944" s="2">
        <v>340000</v>
      </c>
    </row>
    <row r="1945" spans="6:8" x14ac:dyDescent="0.2">
      <c r="F1945" s="72">
        <v>38080</v>
      </c>
      <c r="G1945" s="2">
        <v>2990000</v>
      </c>
      <c r="H1945" s="2">
        <v>335000</v>
      </c>
    </row>
    <row r="1946" spans="6:8" x14ac:dyDescent="0.2">
      <c r="F1946" s="72">
        <v>38087</v>
      </c>
      <c r="G1946" s="2">
        <v>3022000</v>
      </c>
      <c r="H1946" s="2">
        <v>355000</v>
      </c>
    </row>
    <row r="1947" spans="6:8" x14ac:dyDescent="0.2">
      <c r="F1947" s="72">
        <v>38094</v>
      </c>
      <c r="G1947" s="2">
        <v>3031000</v>
      </c>
      <c r="H1947" s="2">
        <v>364000</v>
      </c>
    </row>
    <row r="1948" spans="6:8" x14ac:dyDescent="0.2">
      <c r="F1948" s="72">
        <v>38101</v>
      </c>
      <c r="G1948" s="2">
        <v>2960000</v>
      </c>
      <c r="H1948" s="2">
        <v>339000</v>
      </c>
    </row>
    <row r="1949" spans="6:8" x14ac:dyDescent="0.2">
      <c r="F1949" s="72">
        <v>38108</v>
      </c>
      <c r="G1949" s="2">
        <v>2998000</v>
      </c>
      <c r="H1949" s="2">
        <v>324000</v>
      </c>
    </row>
    <row r="1950" spans="6:8" x14ac:dyDescent="0.2">
      <c r="F1950" s="72">
        <v>38115</v>
      </c>
      <c r="G1950" s="2">
        <v>2978000</v>
      </c>
      <c r="H1950" s="2">
        <v>329000</v>
      </c>
    </row>
    <row r="1951" spans="6:8" x14ac:dyDescent="0.2">
      <c r="F1951" s="72">
        <v>38122</v>
      </c>
      <c r="G1951" s="2">
        <v>2976000</v>
      </c>
      <c r="H1951" s="2">
        <v>349000</v>
      </c>
    </row>
    <row r="1952" spans="6:8" x14ac:dyDescent="0.2">
      <c r="F1952" s="72">
        <v>38129</v>
      </c>
      <c r="G1952" s="2">
        <v>3010000</v>
      </c>
      <c r="H1952" s="2">
        <v>342000</v>
      </c>
    </row>
    <row r="1953" spans="6:8" x14ac:dyDescent="0.2">
      <c r="F1953" s="72">
        <v>38136</v>
      </c>
      <c r="G1953" s="2">
        <v>2916000</v>
      </c>
      <c r="H1953" s="2">
        <v>337000</v>
      </c>
    </row>
    <row r="1954" spans="6:8" x14ac:dyDescent="0.2">
      <c r="F1954" s="72">
        <v>38143</v>
      </c>
      <c r="G1954" s="2">
        <v>2923000</v>
      </c>
      <c r="H1954" s="2">
        <v>355000</v>
      </c>
    </row>
    <row r="1955" spans="6:8" x14ac:dyDescent="0.2">
      <c r="F1955" s="72">
        <v>38150</v>
      </c>
      <c r="G1955" s="2">
        <v>2990000</v>
      </c>
      <c r="H1955" s="2">
        <v>339000</v>
      </c>
    </row>
    <row r="1956" spans="6:8" x14ac:dyDescent="0.2">
      <c r="F1956" s="72">
        <v>38157</v>
      </c>
      <c r="G1956" s="2">
        <v>2973000</v>
      </c>
      <c r="H1956" s="2">
        <v>354000</v>
      </c>
    </row>
    <row r="1957" spans="6:8" x14ac:dyDescent="0.2">
      <c r="F1957" s="72">
        <v>38164</v>
      </c>
      <c r="G1957" s="2">
        <v>2917000</v>
      </c>
      <c r="H1957" s="2">
        <v>348000</v>
      </c>
    </row>
    <row r="1958" spans="6:8" x14ac:dyDescent="0.2">
      <c r="F1958" s="72">
        <v>38171</v>
      </c>
      <c r="G1958" s="2">
        <v>2948000</v>
      </c>
      <c r="H1958" s="2">
        <v>326000</v>
      </c>
    </row>
    <row r="1959" spans="6:8" x14ac:dyDescent="0.2">
      <c r="F1959" s="72">
        <v>38178</v>
      </c>
      <c r="G1959" s="2">
        <v>2852000</v>
      </c>
      <c r="H1959" s="2">
        <v>345000</v>
      </c>
    </row>
    <row r="1960" spans="6:8" x14ac:dyDescent="0.2">
      <c r="F1960" s="72">
        <v>38185</v>
      </c>
      <c r="G1960" s="2">
        <v>2956000</v>
      </c>
      <c r="H1960" s="2">
        <v>355000</v>
      </c>
    </row>
    <row r="1961" spans="6:8" x14ac:dyDescent="0.2">
      <c r="F1961" s="72">
        <v>38192</v>
      </c>
      <c r="G1961" s="2">
        <v>2935000</v>
      </c>
      <c r="H1961" s="2">
        <v>348000</v>
      </c>
    </row>
    <row r="1962" spans="6:8" x14ac:dyDescent="0.2">
      <c r="F1962" s="72">
        <v>38199</v>
      </c>
      <c r="G1962" s="2">
        <v>2894000</v>
      </c>
      <c r="H1962" s="2">
        <v>341000</v>
      </c>
    </row>
    <row r="1963" spans="6:8" x14ac:dyDescent="0.2">
      <c r="F1963" s="72">
        <v>38206</v>
      </c>
      <c r="G1963" s="2">
        <v>2920000</v>
      </c>
      <c r="H1963" s="2">
        <v>336000</v>
      </c>
    </row>
    <row r="1964" spans="6:8" x14ac:dyDescent="0.2">
      <c r="F1964" s="72">
        <v>38213</v>
      </c>
      <c r="G1964" s="2">
        <v>2889000</v>
      </c>
      <c r="H1964" s="2">
        <v>332000</v>
      </c>
    </row>
    <row r="1965" spans="6:8" x14ac:dyDescent="0.2">
      <c r="F1965" s="72">
        <v>38220</v>
      </c>
      <c r="G1965" s="2">
        <v>2877000</v>
      </c>
      <c r="H1965" s="2">
        <v>343000</v>
      </c>
    </row>
    <row r="1966" spans="6:8" x14ac:dyDescent="0.2">
      <c r="F1966" s="72">
        <v>38227</v>
      </c>
      <c r="G1966" s="2">
        <v>2880000</v>
      </c>
      <c r="H1966" s="2">
        <v>352000</v>
      </c>
    </row>
    <row r="1967" spans="6:8" x14ac:dyDescent="0.2">
      <c r="F1967" s="72">
        <v>38234</v>
      </c>
      <c r="G1967" s="2">
        <v>2872000</v>
      </c>
      <c r="H1967" s="2">
        <v>326000</v>
      </c>
    </row>
    <row r="1968" spans="6:8" x14ac:dyDescent="0.2">
      <c r="F1968" s="72">
        <v>38241</v>
      </c>
      <c r="G1968" s="2">
        <v>2875000</v>
      </c>
      <c r="H1968" s="2">
        <v>331000</v>
      </c>
    </row>
    <row r="1969" spans="6:8" x14ac:dyDescent="0.2">
      <c r="F1969" s="72">
        <v>38248</v>
      </c>
      <c r="G1969" s="2">
        <v>2865000</v>
      </c>
      <c r="H1969" s="2">
        <v>341000</v>
      </c>
    </row>
    <row r="1970" spans="6:8" x14ac:dyDescent="0.2">
      <c r="F1970" s="72">
        <v>38255</v>
      </c>
      <c r="G1970" s="2">
        <v>2839000</v>
      </c>
      <c r="H1970" s="2">
        <v>351000</v>
      </c>
    </row>
    <row r="1971" spans="6:8" x14ac:dyDescent="0.2">
      <c r="F1971" s="72">
        <v>38262</v>
      </c>
      <c r="G1971" s="2">
        <v>2799000</v>
      </c>
      <c r="H1971" s="2">
        <v>335000</v>
      </c>
    </row>
    <row r="1972" spans="6:8" x14ac:dyDescent="0.2">
      <c r="F1972" s="72">
        <v>38269</v>
      </c>
      <c r="G1972" s="2">
        <v>2773000</v>
      </c>
      <c r="H1972" s="2">
        <v>338000</v>
      </c>
    </row>
    <row r="1973" spans="6:8" x14ac:dyDescent="0.2">
      <c r="F1973" s="72">
        <v>38276</v>
      </c>
      <c r="G1973" s="2">
        <v>2781000</v>
      </c>
      <c r="H1973" s="2">
        <v>327000</v>
      </c>
    </row>
    <row r="1974" spans="6:8" x14ac:dyDescent="0.2">
      <c r="F1974" s="72">
        <v>38283</v>
      </c>
      <c r="G1974" s="2">
        <v>2774000</v>
      </c>
      <c r="H1974" s="2">
        <v>338000</v>
      </c>
    </row>
    <row r="1975" spans="6:8" x14ac:dyDescent="0.2">
      <c r="F1975" s="72">
        <v>38290</v>
      </c>
      <c r="G1975" s="2">
        <v>2763000</v>
      </c>
      <c r="H1975" s="2">
        <v>332000</v>
      </c>
    </row>
    <row r="1976" spans="6:8" x14ac:dyDescent="0.2">
      <c r="F1976" s="72">
        <v>38297</v>
      </c>
      <c r="G1976" s="2">
        <v>2765000</v>
      </c>
      <c r="H1976" s="2">
        <v>330000</v>
      </c>
    </row>
    <row r="1977" spans="6:8" x14ac:dyDescent="0.2">
      <c r="F1977" s="72">
        <v>38304</v>
      </c>
      <c r="G1977" s="2">
        <v>2707000</v>
      </c>
      <c r="H1977" s="2">
        <v>337000</v>
      </c>
    </row>
    <row r="1978" spans="6:8" x14ac:dyDescent="0.2">
      <c r="F1978" s="72">
        <v>38311</v>
      </c>
      <c r="G1978" s="2">
        <v>2705000</v>
      </c>
      <c r="H1978" s="2">
        <v>313000</v>
      </c>
    </row>
    <row r="1979" spans="6:8" x14ac:dyDescent="0.2">
      <c r="F1979" s="72">
        <v>38318</v>
      </c>
      <c r="G1979" s="2">
        <v>2761000</v>
      </c>
      <c r="H1979" s="2">
        <v>335000</v>
      </c>
    </row>
    <row r="1980" spans="6:8" x14ac:dyDescent="0.2">
      <c r="F1980" s="72">
        <v>38325</v>
      </c>
      <c r="G1980" s="2">
        <v>2725000</v>
      </c>
      <c r="H1980" s="2">
        <v>343000</v>
      </c>
    </row>
    <row r="1981" spans="6:8" x14ac:dyDescent="0.2">
      <c r="F1981" s="72">
        <v>38332</v>
      </c>
      <c r="G1981" s="2">
        <v>2692000</v>
      </c>
      <c r="H1981" s="2">
        <v>316000</v>
      </c>
    </row>
    <row r="1982" spans="6:8" x14ac:dyDescent="0.2">
      <c r="F1982" s="72">
        <v>38339</v>
      </c>
      <c r="G1982" s="2">
        <v>2688000</v>
      </c>
      <c r="H1982" s="2">
        <v>322000</v>
      </c>
    </row>
    <row r="1983" spans="6:8" x14ac:dyDescent="0.2">
      <c r="F1983" s="72">
        <v>38346</v>
      </c>
      <c r="G1983" s="2">
        <v>2771000</v>
      </c>
      <c r="H1983" s="2">
        <v>320000</v>
      </c>
    </row>
    <row r="1984" spans="6:8" x14ac:dyDescent="0.2">
      <c r="F1984" s="72">
        <v>38353</v>
      </c>
      <c r="G1984" s="2">
        <v>2672000</v>
      </c>
      <c r="H1984" s="2">
        <v>356000</v>
      </c>
    </row>
    <row r="1985" spans="6:8" x14ac:dyDescent="0.2">
      <c r="F1985" s="72">
        <v>38360</v>
      </c>
      <c r="G1985" s="2">
        <v>2720000</v>
      </c>
      <c r="H1985" s="2">
        <v>369000</v>
      </c>
    </row>
    <row r="1986" spans="6:8" x14ac:dyDescent="0.2">
      <c r="F1986" s="72">
        <v>38367</v>
      </c>
      <c r="G1986" s="2">
        <v>2790000</v>
      </c>
      <c r="H1986" s="2">
        <v>332000</v>
      </c>
    </row>
    <row r="1987" spans="6:8" x14ac:dyDescent="0.2">
      <c r="F1987" s="72">
        <v>38374</v>
      </c>
      <c r="G1987" s="2">
        <v>2706000</v>
      </c>
      <c r="H1987" s="2">
        <v>329000</v>
      </c>
    </row>
    <row r="1988" spans="6:8" x14ac:dyDescent="0.2">
      <c r="F1988" s="72">
        <v>38381</v>
      </c>
      <c r="G1988" s="2">
        <v>2731000</v>
      </c>
      <c r="H1988" s="2">
        <v>331000</v>
      </c>
    </row>
    <row r="1989" spans="6:8" x14ac:dyDescent="0.2">
      <c r="F1989" s="72">
        <v>38388</v>
      </c>
      <c r="G1989" s="2">
        <v>2710000</v>
      </c>
      <c r="H1989" s="2">
        <v>307000</v>
      </c>
    </row>
    <row r="1990" spans="6:8" x14ac:dyDescent="0.2">
      <c r="F1990" s="72">
        <v>38395</v>
      </c>
      <c r="G1990" s="2">
        <v>2666000</v>
      </c>
      <c r="H1990" s="2">
        <v>308000</v>
      </c>
    </row>
    <row r="1991" spans="6:8" x14ac:dyDescent="0.2">
      <c r="F1991" s="72">
        <v>38402</v>
      </c>
      <c r="G1991" s="2">
        <v>2667000</v>
      </c>
      <c r="H1991" s="2">
        <v>318000</v>
      </c>
    </row>
    <row r="1992" spans="6:8" x14ac:dyDescent="0.2">
      <c r="F1992" s="72">
        <v>38409</v>
      </c>
      <c r="G1992" s="2">
        <v>2703000</v>
      </c>
      <c r="H1992" s="2">
        <v>314000</v>
      </c>
    </row>
    <row r="1993" spans="6:8" x14ac:dyDescent="0.2">
      <c r="F1993" s="72">
        <v>38416</v>
      </c>
      <c r="G1993" s="2">
        <v>2658000</v>
      </c>
      <c r="H1993" s="2">
        <v>333000</v>
      </c>
    </row>
    <row r="1994" spans="6:8" x14ac:dyDescent="0.2">
      <c r="F1994" s="72">
        <v>38423</v>
      </c>
      <c r="G1994" s="2">
        <v>2681000</v>
      </c>
      <c r="H1994" s="2">
        <v>324000</v>
      </c>
    </row>
    <row r="1995" spans="6:8" x14ac:dyDescent="0.2">
      <c r="F1995" s="72">
        <v>38430</v>
      </c>
      <c r="G1995" s="2">
        <v>2616000</v>
      </c>
      <c r="H1995" s="2">
        <v>329000</v>
      </c>
    </row>
    <row r="1996" spans="6:8" x14ac:dyDescent="0.2">
      <c r="F1996" s="72">
        <v>38437</v>
      </c>
      <c r="G1996" s="2">
        <v>2683000</v>
      </c>
      <c r="H1996" s="2">
        <v>342000</v>
      </c>
    </row>
    <row r="1997" spans="6:8" x14ac:dyDescent="0.2">
      <c r="F1997" s="72">
        <v>38444</v>
      </c>
      <c r="G1997" s="2">
        <v>2653000</v>
      </c>
      <c r="H1997" s="2">
        <v>335000</v>
      </c>
    </row>
    <row r="1998" spans="6:8" x14ac:dyDescent="0.2">
      <c r="F1998" s="72">
        <v>38451</v>
      </c>
      <c r="G1998" s="2">
        <v>2626000</v>
      </c>
      <c r="H1998" s="2">
        <v>323000</v>
      </c>
    </row>
    <row r="1999" spans="6:8" x14ac:dyDescent="0.2">
      <c r="F1999" s="72">
        <v>38458</v>
      </c>
      <c r="G1999" s="2">
        <v>2559000</v>
      </c>
      <c r="H1999" s="2">
        <v>307000</v>
      </c>
    </row>
    <row r="2000" spans="6:8" x14ac:dyDescent="0.2">
      <c r="F2000" s="72">
        <v>38465</v>
      </c>
      <c r="G2000" s="2">
        <v>2588000</v>
      </c>
      <c r="H2000" s="2">
        <v>317000</v>
      </c>
    </row>
    <row r="2001" spans="6:8" x14ac:dyDescent="0.2">
      <c r="F2001" s="72">
        <v>38472</v>
      </c>
      <c r="G2001" s="2">
        <v>2596000</v>
      </c>
      <c r="H2001" s="2">
        <v>334000</v>
      </c>
    </row>
    <row r="2002" spans="6:8" x14ac:dyDescent="0.2">
      <c r="F2002" s="72">
        <v>38479</v>
      </c>
      <c r="G2002" s="2">
        <v>2605000</v>
      </c>
      <c r="H2002" s="2">
        <v>327000</v>
      </c>
    </row>
    <row r="2003" spans="6:8" x14ac:dyDescent="0.2">
      <c r="F2003" s="72">
        <v>38486</v>
      </c>
      <c r="G2003" s="2">
        <v>2568000</v>
      </c>
      <c r="H2003" s="2">
        <v>321000</v>
      </c>
    </row>
    <row r="2004" spans="6:8" x14ac:dyDescent="0.2">
      <c r="F2004" s="72">
        <v>38493</v>
      </c>
      <c r="G2004" s="2">
        <v>2595000</v>
      </c>
      <c r="H2004" s="2">
        <v>320000</v>
      </c>
    </row>
    <row r="2005" spans="6:8" x14ac:dyDescent="0.2">
      <c r="F2005" s="72">
        <v>38500</v>
      </c>
      <c r="G2005" s="2">
        <v>2577000</v>
      </c>
      <c r="H2005" s="2">
        <v>340000</v>
      </c>
    </row>
    <row r="2006" spans="6:8" x14ac:dyDescent="0.2">
      <c r="F2006" s="72">
        <v>38507</v>
      </c>
      <c r="G2006" s="2">
        <v>2630000</v>
      </c>
      <c r="H2006" s="2">
        <v>338000</v>
      </c>
    </row>
    <row r="2007" spans="6:8" x14ac:dyDescent="0.2">
      <c r="F2007" s="72">
        <v>38514</v>
      </c>
      <c r="G2007" s="2">
        <v>2599000</v>
      </c>
      <c r="H2007" s="2">
        <v>333000</v>
      </c>
    </row>
    <row r="2008" spans="6:8" x14ac:dyDescent="0.2">
      <c r="F2008" s="72">
        <v>38521</v>
      </c>
      <c r="G2008" s="2">
        <v>2602000</v>
      </c>
      <c r="H2008" s="2">
        <v>321000</v>
      </c>
    </row>
    <row r="2009" spans="6:8" x14ac:dyDescent="0.2">
      <c r="F2009" s="72">
        <v>38528</v>
      </c>
      <c r="G2009" s="2">
        <v>2569000</v>
      </c>
      <c r="H2009" s="2">
        <v>311000</v>
      </c>
    </row>
    <row r="2010" spans="6:8" x14ac:dyDescent="0.2">
      <c r="F2010" s="72">
        <v>38535</v>
      </c>
      <c r="G2010" s="2">
        <v>2612000</v>
      </c>
      <c r="H2010" s="2">
        <v>327000</v>
      </c>
    </row>
    <row r="2011" spans="6:8" x14ac:dyDescent="0.2">
      <c r="F2011" s="72">
        <v>38542</v>
      </c>
      <c r="G2011" s="2">
        <v>2583000</v>
      </c>
      <c r="H2011" s="2">
        <v>338000</v>
      </c>
    </row>
    <row r="2012" spans="6:8" x14ac:dyDescent="0.2">
      <c r="F2012" s="72">
        <v>38549</v>
      </c>
      <c r="G2012" s="2">
        <v>2619000</v>
      </c>
      <c r="H2012" s="2">
        <v>323000</v>
      </c>
    </row>
    <row r="2013" spans="6:8" x14ac:dyDescent="0.2">
      <c r="F2013" s="72">
        <v>38556</v>
      </c>
      <c r="G2013" s="2">
        <v>2592000</v>
      </c>
      <c r="H2013" s="2">
        <v>318000</v>
      </c>
    </row>
    <row r="2014" spans="6:8" x14ac:dyDescent="0.2">
      <c r="F2014" s="72">
        <v>38563</v>
      </c>
      <c r="G2014" s="2">
        <v>2570000</v>
      </c>
      <c r="H2014" s="2">
        <v>316000</v>
      </c>
    </row>
    <row r="2015" spans="6:8" x14ac:dyDescent="0.2">
      <c r="F2015" s="72">
        <v>38570</v>
      </c>
      <c r="G2015" s="2">
        <v>2584000</v>
      </c>
      <c r="H2015" s="2">
        <v>311000</v>
      </c>
    </row>
    <row r="2016" spans="6:8" x14ac:dyDescent="0.2">
      <c r="F2016" s="72">
        <v>38577</v>
      </c>
      <c r="G2016" s="2">
        <v>2573000</v>
      </c>
      <c r="H2016" s="2">
        <v>319000</v>
      </c>
    </row>
    <row r="2017" spans="6:8" x14ac:dyDescent="0.2">
      <c r="F2017" s="72">
        <v>38584</v>
      </c>
      <c r="G2017" s="2">
        <v>2598000</v>
      </c>
      <c r="H2017" s="2">
        <v>315000</v>
      </c>
    </row>
    <row r="2018" spans="6:8" x14ac:dyDescent="0.2">
      <c r="F2018" s="72">
        <v>38591</v>
      </c>
      <c r="G2018" s="2">
        <v>2568000</v>
      </c>
      <c r="H2018" s="2">
        <v>318000</v>
      </c>
    </row>
    <row r="2019" spans="6:8" x14ac:dyDescent="0.2">
      <c r="F2019" s="72">
        <v>38598</v>
      </c>
      <c r="G2019" s="2">
        <v>2575000</v>
      </c>
      <c r="H2019" s="2">
        <v>326000</v>
      </c>
    </row>
    <row r="2020" spans="6:8" x14ac:dyDescent="0.2">
      <c r="F2020" s="72">
        <v>38605</v>
      </c>
      <c r="G2020" s="2">
        <v>2651000</v>
      </c>
      <c r="H2020" s="2">
        <v>422000</v>
      </c>
    </row>
    <row r="2021" spans="6:8" x14ac:dyDescent="0.2">
      <c r="F2021" s="72">
        <v>38612</v>
      </c>
      <c r="G2021" s="2">
        <v>2787000</v>
      </c>
      <c r="H2021" s="2">
        <v>424000</v>
      </c>
    </row>
    <row r="2022" spans="6:8" x14ac:dyDescent="0.2">
      <c r="F2022" s="72">
        <v>38619</v>
      </c>
      <c r="G2022" s="2">
        <v>2853000</v>
      </c>
      <c r="H2022" s="2">
        <v>359000</v>
      </c>
    </row>
    <row r="2023" spans="6:8" x14ac:dyDescent="0.2">
      <c r="F2023" s="72">
        <v>38626</v>
      </c>
      <c r="G2023" s="2">
        <v>2841000</v>
      </c>
      <c r="H2023" s="2">
        <v>384000</v>
      </c>
    </row>
    <row r="2024" spans="6:8" x14ac:dyDescent="0.2">
      <c r="F2024" s="72">
        <v>38633</v>
      </c>
      <c r="G2024" s="2">
        <v>2831000</v>
      </c>
      <c r="H2024" s="2">
        <v>383000</v>
      </c>
    </row>
    <row r="2025" spans="6:8" x14ac:dyDescent="0.2">
      <c r="F2025" s="72">
        <v>38640</v>
      </c>
      <c r="G2025" s="2">
        <v>2821000</v>
      </c>
      <c r="H2025" s="2">
        <v>348000</v>
      </c>
    </row>
    <row r="2026" spans="6:8" x14ac:dyDescent="0.2">
      <c r="F2026" s="72">
        <v>38647</v>
      </c>
      <c r="G2026" s="2">
        <v>2772000</v>
      </c>
      <c r="H2026" s="2">
        <v>324000</v>
      </c>
    </row>
    <row r="2027" spans="6:8" x14ac:dyDescent="0.2">
      <c r="F2027" s="72">
        <v>38654</v>
      </c>
      <c r="G2027" s="2">
        <v>2752000</v>
      </c>
      <c r="H2027" s="2">
        <v>322000</v>
      </c>
    </row>
    <row r="2028" spans="6:8" x14ac:dyDescent="0.2">
      <c r="F2028" s="72">
        <v>38661</v>
      </c>
      <c r="G2028" s="2">
        <v>2746000</v>
      </c>
      <c r="H2028" s="2">
        <v>325000</v>
      </c>
    </row>
    <row r="2029" spans="6:8" x14ac:dyDescent="0.2">
      <c r="F2029" s="72">
        <v>38668</v>
      </c>
      <c r="G2029" s="2">
        <v>2760000</v>
      </c>
      <c r="H2029" s="2">
        <v>309000</v>
      </c>
    </row>
    <row r="2030" spans="6:8" x14ac:dyDescent="0.2">
      <c r="F2030" s="72">
        <v>38675</v>
      </c>
      <c r="G2030" s="2">
        <v>2712000</v>
      </c>
      <c r="H2030" s="2">
        <v>324000</v>
      </c>
    </row>
    <row r="2031" spans="6:8" x14ac:dyDescent="0.2">
      <c r="F2031" s="72">
        <v>38682</v>
      </c>
      <c r="G2031" s="2">
        <v>2587000</v>
      </c>
      <c r="H2031" s="2">
        <v>311000</v>
      </c>
    </row>
    <row r="2032" spans="6:8" x14ac:dyDescent="0.2">
      <c r="F2032" s="72">
        <v>38689</v>
      </c>
      <c r="G2032" s="2">
        <v>2589000</v>
      </c>
      <c r="H2032" s="2">
        <v>321000</v>
      </c>
    </row>
    <row r="2033" spans="6:8" x14ac:dyDescent="0.2">
      <c r="F2033" s="72">
        <v>38696</v>
      </c>
      <c r="G2033" s="2">
        <v>2620000</v>
      </c>
      <c r="H2033" s="2">
        <v>327000</v>
      </c>
    </row>
    <row r="2034" spans="6:8" x14ac:dyDescent="0.2">
      <c r="F2034" s="72">
        <v>38703</v>
      </c>
      <c r="G2034" s="2">
        <v>2660000</v>
      </c>
      <c r="H2034" s="2">
        <v>312000</v>
      </c>
    </row>
    <row r="2035" spans="6:8" x14ac:dyDescent="0.2">
      <c r="F2035" s="72">
        <v>38710</v>
      </c>
      <c r="G2035" s="2">
        <v>2668000</v>
      </c>
      <c r="H2035" s="2">
        <v>320000</v>
      </c>
    </row>
    <row r="2036" spans="6:8" x14ac:dyDescent="0.2">
      <c r="F2036" s="72">
        <v>38717</v>
      </c>
      <c r="G2036" s="2">
        <v>2660000</v>
      </c>
      <c r="H2036" s="2">
        <v>302000</v>
      </c>
    </row>
    <row r="2037" spans="6:8" x14ac:dyDescent="0.2">
      <c r="F2037" s="72">
        <v>38724</v>
      </c>
      <c r="G2037" s="2">
        <v>2561000</v>
      </c>
      <c r="H2037" s="2">
        <v>326000</v>
      </c>
    </row>
    <row r="2038" spans="6:8" x14ac:dyDescent="0.2">
      <c r="F2038" s="72">
        <v>38731</v>
      </c>
      <c r="G2038" s="2">
        <v>2586000</v>
      </c>
      <c r="H2038" s="2">
        <v>285000</v>
      </c>
    </row>
    <row r="2039" spans="6:8" x14ac:dyDescent="0.2">
      <c r="F2039" s="72">
        <v>38738</v>
      </c>
      <c r="G2039" s="2">
        <v>2516000</v>
      </c>
      <c r="H2039" s="2">
        <v>290000</v>
      </c>
    </row>
    <row r="2040" spans="6:8" x14ac:dyDescent="0.2">
      <c r="F2040" s="72">
        <v>38745</v>
      </c>
      <c r="G2040" s="2">
        <v>2565000</v>
      </c>
      <c r="H2040" s="2">
        <v>282000</v>
      </c>
    </row>
    <row r="2041" spans="6:8" x14ac:dyDescent="0.2">
      <c r="F2041" s="72">
        <v>38752</v>
      </c>
      <c r="G2041" s="2">
        <v>2520000</v>
      </c>
      <c r="H2041" s="2">
        <v>289000</v>
      </c>
    </row>
    <row r="2042" spans="6:8" x14ac:dyDescent="0.2">
      <c r="F2042" s="72">
        <v>38759</v>
      </c>
      <c r="G2042" s="2">
        <v>2517000</v>
      </c>
      <c r="H2042" s="2">
        <v>298000</v>
      </c>
    </row>
    <row r="2043" spans="6:8" x14ac:dyDescent="0.2">
      <c r="F2043" s="72">
        <v>38766</v>
      </c>
      <c r="G2043" s="2">
        <v>2488000</v>
      </c>
      <c r="H2043" s="2">
        <v>283000</v>
      </c>
    </row>
    <row r="2044" spans="6:8" x14ac:dyDescent="0.2">
      <c r="F2044" s="72">
        <v>38773</v>
      </c>
      <c r="G2044" s="2">
        <v>2504000</v>
      </c>
      <c r="H2044" s="2">
        <v>293000</v>
      </c>
    </row>
    <row r="2045" spans="6:8" x14ac:dyDescent="0.2">
      <c r="F2045" s="72">
        <v>38780</v>
      </c>
      <c r="G2045" s="2">
        <v>2453000</v>
      </c>
      <c r="H2045" s="2">
        <v>302000</v>
      </c>
    </row>
    <row r="2046" spans="6:8" x14ac:dyDescent="0.2">
      <c r="F2046" s="72">
        <v>38787</v>
      </c>
      <c r="G2046" s="2">
        <v>2474000</v>
      </c>
      <c r="H2046" s="2">
        <v>307000</v>
      </c>
    </row>
    <row r="2047" spans="6:8" x14ac:dyDescent="0.2">
      <c r="F2047" s="72">
        <v>38794</v>
      </c>
      <c r="G2047" s="2">
        <v>2456000</v>
      </c>
      <c r="H2047" s="2">
        <v>303000</v>
      </c>
    </row>
    <row r="2048" spans="6:8" x14ac:dyDescent="0.2">
      <c r="F2048" s="72">
        <v>38801</v>
      </c>
      <c r="G2048" s="2">
        <v>2439000</v>
      </c>
      <c r="H2048" s="2">
        <v>295000</v>
      </c>
    </row>
    <row r="2049" spans="6:8" x14ac:dyDescent="0.2">
      <c r="F2049" s="72">
        <v>38808</v>
      </c>
      <c r="G2049" s="2">
        <v>2405000</v>
      </c>
      <c r="H2049" s="2">
        <v>291000</v>
      </c>
    </row>
    <row r="2050" spans="6:8" x14ac:dyDescent="0.2">
      <c r="F2050" s="72">
        <v>38815</v>
      </c>
      <c r="G2050" s="2">
        <v>2411000</v>
      </c>
      <c r="H2050" s="2">
        <v>299000</v>
      </c>
    </row>
    <row r="2051" spans="6:8" x14ac:dyDescent="0.2">
      <c r="F2051" s="72">
        <v>38822</v>
      </c>
      <c r="G2051" s="2">
        <v>2408000</v>
      </c>
      <c r="H2051" s="2">
        <v>299000</v>
      </c>
    </row>
    <row r="2052" spans="6:8" x14ac:dyDescent="0.2">
      <c r="F2052" s="72">
        <v>38829</v>
      </c>
      <c r="G2052" s="2">
        <v>2424000</v>
      </c>
      <c r="H2052" s="2">
        <v>308000</v>
      </c>
    </row>
    <row r="2053" spans="6:8" x14ac:dyDescent="0.2">
      <c r="F2053" s="72">
        <v>38836</v>
      </c>
      <c r="G2053" s="2">
        <v>2357000</v>
      </c>
      <c r="H2053" s="2">
        <v>321000</v>
      </c>
    </row>
    <row r="2054" spans="6:8" x14ac:dyDescent="0.2">
      <c r="F2054" s="72">
        <v>38843</v>
      </c>
      <c r="G2054" s="2">
        <v>2372000</v>
      </c>
      <c r="H2054" s="2">
        <v>347000</v>
      </c>
    </row>
    <row r="2055" spans="6:8" x14ac:dyDescent="0.2">
      <c r="F2055" s="72">
        <v>38850</v>
      </c>
      <c r="G2055" s="2">
        <v>2383000</v>
      </c>
      <c r="H2055" s="2">
        <v>335000</v>
      </c>
    </row>
    <row r="2056" spans="6:8" x14ac:dyDescent="0.2">
      <c r="F2056" s="72">
        <v>38857</v>
      </c>
      <c r="G2056" s="2">
        <v>2399000</v>
      </c>
      <c r="H2056" s="2">
        <v>319000</v>
      </c>
    </row>
    <row r="2057" spans="6:8" x14ac:dyDescent="0.2">
      <c r="F2057" s="72">
        <v>38864</v>
      </c>
      <c r="G2057" s="2">
        <v>2381000</v>
      </c>
      <c r="H2057" s="2">
        <v>330000</v>
      </c>
    </row>
    <row r="2058" spans="6:8" x14ac:dyDescent="0.2">
      <c r="F2058" s="72">
        <v>38871</v>
      </c>
      <c r="G2058" s="2">
        <v>2408000</v>
      </c>
      <c r="H2058" s="2">
        <v>307000</v>
      </c>
    </row>
    <row r="2059" spans="6:8" x14ac:dyDescent="0.2">
      <c r="F2059" s="72">
        <v>38878</v>
      </c>
      <c r="G2059" s="2">
        <v>2412000</v>
      </c>
      <c r="H2059" s="2">
        <v>298000</v>
      </c>
    </row>
    <row r="2060" spans="6:8" x14ac:dyDescent="0.2">
      <c r="F2060" s="72">
        <v>38885</v>
      </c>
      <c r="G2060" s="2">
        <v>2395000</v>
      </c>
      <c r="H2060" s="2">
        <v>308000</v>
      </c>
    </row>
    <row r="2061" spans="6:8" x14ac:dyDescent="0.2">
      <c r="F2061" s="72">
        <v>38892</v>
      </c>
      <c r="G2061" s="2">
        <v>2419000</v>
      </c>
      <c r="H2061" s="2">
        <v>309000</v>
      </c>
    </row>
    <row r="2062" spans="6:8" x14ac:dyDescent="0.2">
      <c r="F2062" s="72">
        <v>38899</v>
      </c>
      <c r="G2062" s="2">
        <v>2399000</v>
      </c>
      <c r="H2062" s="2">
        <v>316000</v>
      </c>
    </row>
    <row r="2063" spans="6:8" x14ac:dyDescent="0.2">
      <c r="F2063" s="72">
        <v>38906</v>
      </c>
      <c r="G2063" s="2">
        <v>2491000</v>
      </c>
      <c r="H2063" s="2">
        <v>343000</v>
      </c>
    </row>
    <row r="2064" spans="6:8" x14ac:dyDescent="0.2">
      <c r="F2064" s="72">
        <v>38913</v>
      </c>
      <c r="G2064" s="2">
        <v>2475000</v>
      </c>
      <c r="H2064" s="2">
        <v>318000</v>
      </c>
    </row>
    <row r="2065" spans="6:8" x14ac:dyDescent="0.2">
      <c r="F2065" s="72">
        <v>38920</v>
      </c>
      <c r="G2065" s="2">
        <v>2422000</v>
      </c>
      <c r="H2065" s="2">
        <v>306000</v>
      </c>
    </row>
    <row r="2066" spans="6:8" x14ac:dyDescent="0.2">
      <c r="F2066" s="72">
        <v>38927</v>
      </c>
      <c r="G2066" s="2">
        <v>2460000</v>
      </c>
      <c r="H2066" s="2">
        <v>311000</v>
      </c>
    </row>
    <row r="2067" spans="6:8" x14ac:dyDescent="0.2">
      <c r="F2067" s="72">
        <v>38934</v>
      </c>
      <c r="G2067" s="2">
        <v>2477000</v>
      </c>
      <c r="H2067" s="2">
        <v>318000</v>
      </c>
    </row>
    <row r="2068" spans="6:8" x14ac:dyDescent="0.2">
      <c r="F2068" s="72">
        <v>38941</v>
      </c>
      <c r="G2068" s="2">
        <v>2467000</v>
      </c>
      <c r="H2068" s="2">
        <v>310000</v>
      </c>
    </row>
    <row r="2069" spans="6:8" x14ac:dyDescent="0.2">
      <c r="F2069" s="72">
        <v>38948</v>
      </c>
      <c r="G2069" s="2">
        <v>2464000</v>
      </c>
      <c r="H2069" s="2">
        <v>315000</v>
      </c>
    </row>
    <row r="2070" spans="6:8" x14ac:dyDescent="0.2">
      <c r="F2070" s="72">
        <v>38955</v>
      </c>
      <c r="G2070" s="2">
        <v>2457000</v>
      </c>
      <c r="H2070" s="2">
        <v>314000</v>
      </c>
    </row>
    <row r="2071" spans="6:8" x14ac:dyDescent="0.2">
      <c r="F2071" s="72">
        <v>38962</v>
      </c>
      <c r="G2071" s="2">
        <v>2467000</v>
      </c>
      <c r="H2071" s="2">
        <v>315000</v>
      </c>
    </row>
    <row r="2072" spans="6:8" x14ac:dyDescent="0.2">
      <c r="F2072" s="72">
        <v>38969</v>
      </c>
      <c r="G2072" s="2">
        <v>2449000</v>
      </c>
      <c r="H2072" s="2">
        <v>314000</v>
      </c>
    </row>
    <row r="2073" spans="6:8" x14ac:dyDescent="0.2">
      <c r="F2073" s="72">
        <v>38976</v>
      </c>
      <c r="G2073" s="2">
        <v>2438000</v>
      </c>
      <c r="H2073" s="2">
        <v>324000</v>
      </c>
    </row>
    <row r="2074" spans="6:8" x14ac:dyDescent="0.2">
      <c r="F2074" s="72">
        <v>38983</v>
      </c>
      <c r="G2074" s="2">
        <v>2440000</v>
      </c>
      <c r="H2074" s="2">
        <v>319000</v>
      </c>
    </row>
    <row r="2075" spans="6:8" x14ac:dyDescent="0.2">
      <c r="F2075" s="72">
        <v>38990</v>
      </c>
      <c r="G2075" s="2">
        <v>2437000</v>
      </c>
      <c r="H2075" s="2">
        <v>309000</v>
      </c>
    </row>
    <row r="2076" spans="6:8" x14ac:dyDescent="0.2">
      <c r="F2076" s="72">
        <v>38997</v>
      </c>
      <c r="G2076" s="2">
        <v>2449000</v>
      </c>
      <c r="H2076" s="2">
        <v>316000</v>
      </c>
    </row>
    <row r="2077" spans="6:8" x14ac:dyDescent="0.2">
      <c r="F2077" s="72">
        <v>39004</v>
      </c>
      <c r="G2077" s="2">
        <v>2459000</v>
      </c>
      <c r="H2077" s="2">
        <v>305000</v>
      </c>
    </row>
    <row r="2078" spans="6:8" x14ac:dyDescent="0.2">
      <c r="F2078" s="72">
        <v>39011</v>
      </c>
      <c r="G2078" s="2">
        <v>2428000</v>
      </c>
      <c r="H2078" s="2">
        <v>313000</v>
      </c>
    </row>
    <row r="2079" spans="6:8" x14ac:dyDescent="0.2">
      <c r="F2079" s="72">
        <v>39018</v>
      </c>
      <c r="G2079" s="2">
        <v>2449000</v>
      </c>
      <c r="H2079" s="2">
        <v>328000</v>
      </c>
    </row>
    <row r="2080" spans="6:8" x14ac:dyDescent="0.2">
      <c r="F2080" s="72">
        <v>39025</v>
      </c>
      <c r="G2080" s="2">
        <v>2414000</v>
      </c>
      <c r="H2080" s="2">
        <v>319000</v>
      </c>
    </row>
    <row r="2081" spans="6:8" x14ac:dyDescent="0.2">
      <c r="F2081" s="72">
        <v>39032</v>
      </c>
      <c r="G2081" s="2">
        <v>2467000</v>
      </c>
      <c r="H2081" s="2">
        <v>311000</v>
      </c>
    </row>
    <row r="2082" spans="6:8" x14ac:dyDescent="0.2">
      <c r="F2082" s="72">
        <v>39039</v>
      </c>
      <c r="G2082" s="2">
        <v>2506000</v>
      </c>
      <c r="H2082" s="2">
        <v>326000</v>
      </c>
    </row>
    <row r="2083" spans="6:8" x14ac:dyDescent="0.2">
      <c r="F2083" s="72">
        <v>39046</v>
      </c>
      <c r="G2083" s="2">
        <v>2517000</v>
      </c>
      <c r="H2083" s="2">
        <v>349000</v>
      </c>
    </row>
    <row r="2084" spans="6:8" x14ac:dyDescent="0.2">
      <c r="F2084" s="72">
        <v>39053</v>
      </c>
      <c r="G2084" s="2">
        <v>2472000</v>
      </c>
      <c r="H2084" s="2">
        <v>327000</v>
      </c>
    </row>
    <row r="2085" spans="6:8" x14ac:dyDescent="0.2">
      <c r="F2085" s="72">
        <v>39060</v>
      </c>
      <c r="G2085" s="2">
        <v>2517000</v>
      </c>
      <c r="H2085" s="2">
        <v>311000</v>
      </c>
    </row>
    <row r="2086" spans="6:8" x14ac:dyDescent="0.2">
      <c r="F2086" s="72">
        <v>39067</v>
      </c>
      <c r="G2086" s="2">
        <v>2513000</v>
      </c>
      <c r="H2086" s="2">
        <v>318000</v>
      </c>
    </row>
    <row r="2087" spans="6:8" x14ac:dyDescent="0.2">
      <c r="F2087" s="72">
        <v>39074</v>
      </c>
      <c r="G2087" s="2">
        <v>2449000</v>
      </c>
      <c r="H2087" s="2">
        <v>323000</v>
      </c>
    </row>
    <row r="2088" spans="6:8" x14ac:dyDescent="0.2">
      <c r="F2088" s="72">
        <v>39081</v>
      </c>
      <c r="G2088" s="2">
        <v>2455000</v>
      </c>
      <c r="H2088" s="2">
        <v>341000</v>
      </c>
    </row>
    <row r="2089" spans="6:8" x14ac:dyDescent="0.2">
      <c r="F2089" s="72">
        <v>39088</v>
      </c>
      <c r="G2089" s="2">
        <v>2518000</v>
      </c>
      <c r="H2089" s="2">
        <v>330000</v>
      </c>
    </row>
    <row r="2090" spans="6:8" x14ac:dyDescent="0.2">
      <c r="F2090" s="72">
        <v>39095</v>
      </c>
      <c r="G2090" s="2">
        <v>2507000</v>
      </c>
      <c r="H2090" s="2">
        <v>296000</v>
      </c>
    </row>
    <row r="2091" spans="6:8" x14ac:dyDescent="0.2">
      <c r="F2091" s="72">
        <v>39102</v>
      </c>
      <c r="G2091" s="2">
        <v>2552000</v>
      </c>
      <c r="H2091" s="2">
        <v>335000</v>
      </c>
    </row>
    <row r="2092" spans="6:8" x14ac:dyDescent="0.2">
      <c r="F2092" s="72">
        <v>39109</v>
      </c>
      <c r="G2092" s="2">
        <v>2520000</v>
      </c>
      <c r="H2092" s="2">
        <v>308000</v>
      </c>
    </row>
    <row r="2093" spans="6:8" x14ac:dyDescent="0.2">
      <c r="F2093" s="72">
        <v>39116</v>
      </c>
      <c r="G2093" s="2">
        <v>2575000</v>
      </c>
      <c r="H2093" s="2">
        <v>310000</v>
      </c>
    </row>
    <row r="2094" spans="6:8" x14ac:dyDescent="0.2">
      <c r="F2094" s="72">
        <v>39123</v>
      </c>
      <c r="G2094" s="2">
        <v>2527000</v>
      </c>
      <c r="H2094" s="2">
        <v>338000</v>
      </c>
    </row>
    <row r="2095" spans="6:8" x14ac:dyDescent="0.2">
      <c r="F2095" s="72">
        <v>39130</v>
      </c>
      <c r="G2095" s="2">
        <v>2626000</v>
      </c>
      <c r="H2095" s="2">
        <v>321000</v>
      </c>
    </row>
    <row r="2096" spans="6:8" x14ac:dyDescent="0.2">
      <c r="F2096" s="72">
        <v>39137</v>
      </c>
      <c r="G2096" s="2">
        <v>2549000</v>
      </c>
      <c r="H2096" s="2">
        <v>322000</v>
      </c>
    </row>
    <row r="2097" spans="6:8" x14ac:dyDescent="0.2">
      <c r="F2097" s="72">
        <v>39144</v>
      </c>
      <c r="G2097" s="2">
        <v>2581000</v>
      </c>
      <c r="H2097" s="2">
        <v>320000</v>
      </c>
    </row>
    <row r="2098" spans="6:8" x14ac:dyDescent="0.2">
      <c r="F2098" s="72">
        <v>39151</v>
      </c>
      <c r="G2098" s="2">
        <v>2511000</v>
      </c>
      <c r="H2098" s="2">
        <v>308000</v>
      </c>
    </row>
    <row r="2099" spans="6:8" x14ac:dyDescent="0.2">
      <c r="F2099" s="72">
        <v>39158</v>
      </c>
      <c r="G2099" s="2">
        <v>2515000</v>
      </c>
      <c r="H2099" s="2">
        <v>309000</v>
      </c>
    </row>
    <row r="2100" spans="6:8" x14ac:dyDescent="0.2">
      <c r="F2100" s="72">
        <v>39165</v>
      </c>
      <c r="G2100" s="2">
        <v>2489000</v>
      </c>
      <c r="H2100" s="2">
        <v>303000</v>
      </c>
    </row>
    <row r="2101" spans="6:8" x14ac:dyDescent="0.2">
      <c r="F2101" s="72">
        <v>39172</v>
      </c>
      <c r="G2101" s="2">
        <v>2499000</v>
      </c>
      <c r="H2101" s="2">
        <v>307000</v>
      </c>
    </row>
    <row r="2102" spans="6:8" x14ac:dyDescent="0.2">
      <c r="F2102" s="72">
        <v>39179</v>
      </c>
      <c r="G2102" s="2">
        <v>2497000</v>
      </c>
      <c r="H2102" s="2">
        <v>332000</v>
      </c>
    </row>
    <row r="2103" spans="6:8" x14ac:dyDescent="0.2">
      <c r="F2103" s="72">
        <v>39186</v>
      </c>
      <c r="G2103" s="2">
        <v>2538000</v>
      </c>
      <c r="H2103" s="2">
        <v>327000</v>
      </c>
    </row>
    <row r="2104" spans="6:8" x14ac:dyDescent="0.2">
      <c r="F2104" s="72">
        <v>39193</v>
      </c>
      <c r="G2104" s="2">
        <v>2463000</v>
      </c>
      <c r="H2104" s="2">
        <v>321000</v>
      </c>
    </row>
    <row r="2105" spans="6:8" x14ac:dyDescent="0.2">
      <c r="F2105" s="72">
        <v>39200</v>
      </c>
      <c r="G2105" s="2">
        <v>2486000</v>
      </c>
      <c r="H2105" s="2">
        <v>301000</v>
      </c>
    </row>
    <row r="2106" spans="6:8" x14ac:dyDescent="0.2">
      <c r="F2106" s="72">
        <v>39207</v>
      </c>
      <c r="G2106" s="2">
        <v>2429000</v>
      </c>
      <c r="H2106" s="2">
        <v>300000</v>
      </c>
    </row>
    <row r="2107" spans="6:8" x14ac:dyDescent="0.2">
      <c r="F2107" s="72">
        <v>39214</v>
      </c>
      <c r="G2107" s="2">
        <v>2465000</v>
      </c>
      <c r="H2107" s="2">
        <v>297000</v>
      </c>
    </row>
    <row r="2108" spans="6:8" x14ac:dyDescent="0.2">
      <c r="F2108" s="72">
        <v>39221</v>
      </c>
      <c r="G2108" s="2">
        <v>2417000</v>
      </c>
      <c r="H2108" s="2">
        <v>310000</v>
      </c>
    </row>
    <row r="2109" spans="6:8" x14ac:dyDescent="0.2">
      <c r="F2109" s="72">
        <v>39228</v>
      </c>
      <c r="G2109" s="2">
        <v>2480000</v>
      </c>
      <c r="H2109" s="2">
        <v>310000</v>
      </c>
    </row>
    <row r="2110" spans="6:8" x14ac:dyDescent="0.2">
      <c r="F2110" s="72">
        <v>39235</v>
      </c>
      <c r="G2110" s="2">
        <v>2452000</v>
      </c>
      <c r="H2110" s="2">
        <v>313000</v>
      </c>
    </row>
    <row r="2111" spans="6:8" x14ac:dyDescent="0.2">
      <c r="F2111" s="72">
        <v>39242</v>
      </c>
      <c r="G2111" s="2">
        <v>2484000</v>
      </c>
      <c r="H2111" s="2">
        <v>313000</v>
      </c>
    </row>
    <row r="2112" spans="6:8" x14ac:dyDescent="0.2">
      <c r="F2112" s="72">
        <v>39249</v>
      </c>
      <c r="G2112" s="2">
        <v>2453000</v>
      </c>
      <c r="H2112" s="2">
        <v>320000</v>
      </c>
    </row>
    <row r="2113" spans="6:8" x14ac:dyDescent="0.2">
      <c r="F2113" s="72">
        <v>39256</v>
      </c>
      <c r="G2113" s="2">
        <v>2520000</v>
      </c>
      <c r="H2113" s="2">
        <v>313000</v>
      </c>
    </row>
    <row r="2114" spans="6:8" x14ac:dyDescent="0.2">
      <c r="F2114" s="72">
        <v>39263</v>
      </c>
      <c r="G2114" s="2">
        <v>2501000</v>
      </c>
      <c r="H2114" s="2">
        <v>317000</v>
      </c>
    </row>
    <row r="2115" spans="6:8" x14ac:dyDescent="0.2">
      <c r="F2115" s="72">
        <v>39270</v>
      </c>
      <c r="G2115" s="2">
        <v>2563000</v>
      </c>
      <c r="H2115" s="2">
        <v>321000</v>
      </c>
    </row>
    <row r="2116" spans="6:8" x14ac:dyDescent="0.2">
      <c r="F2116" s="72">
        <v>39277</v>
      </c>
      <c r="G2116" s="2">
        <v>2555000</v>
      </c>
      <c r="H2116" s="2">
        <v>317000</v>
      </c>
    </row>
    <row r="2117" spans="6:8" x14ac:dyDescent="0.2">
      <c r="F2117" s="72">
        <v>39284</v>
      </c>
      <c r="G2117" s="2">
        <v>2514000</v>
      </c>
      <c r="H2117" s="2">
        <v>310000</v>
      </c>
    </row>
    <row r="2118" spans="6:8" x14ac:dyDescent="0.2">
      <c r="F2118" s="72">
        <v>39291</v>
      </c>
      <c r="G2118" s="2">
        <v>2537000</v>
      </c>
      <c r="H2118" s="2">
        <v>305000</v>
      </c>
    </row>
    <row r="2119" spans="6:8" x14ac:dyDescent="0.2">
      <c r="F2119" s="72">
        <v>39298</v>
      </c>
      <c r="G2119" s="2">
        <v>2531000</v>
      </c>
      <c r="H2119" s="2">
        <v>314000</v>
      </c>
    </row>
    <row r="2120" spans="6:8" x14ac:dyDescent="0.2">
      <c r="F2120" s="72">
        <v>39305</v>
      </c>
      <c r="G2120" s="2">
        <v>2556000</v>
      </c>
      <c r="H2120" s="2">
        <v>316000</v>
      </c>
    </row>
    <row r="2121" spans="6:8" x14ac:dyDescent="0.2">
      <c r="F2121" s="72">
        <v>39312</v>
      </c>
      <c r="G2121" s="2">
        <v>2556000</v>
      </c>
      <c r="H2121" s="2">
        <v>321000</v>
      </c>
    </row>
    <row r="2122" spans="6:8" x14ac:dyDescent="0.2">
      <c r="F2122" s="72">
        <v>39319</v>
      </c>
      <c r="G2122" s="2">
        <v>2569000</v>
      </c>
      <c r="H2122" s="2">
        <v>329000</v>
      </c>
    </row>
    <row r="2123" spans="6:8" x14ac:dyDescent="0.2">
      <c r="F2123" s="72">
        <v>39326</v>
      </c>
      <c r="G2123" s="2">
        <v>2565000</v>
      </c>
      <c r="H2123" s="2">
        <v>314000</v>
      </c>
    </row>
    <row r="2124" spans="6:8" x14ac:dyDescent="0.2">
      <c r="F2124" s="72">
        <v>39333</v>
      </c>
      <c r="G2124" s="2">
        <v>2537000</v>
      </c>
      <c r="H2124" s="2">
        <v>321000</v>
      </c>
    </row>
    <row r="2125" spans="6:8" x14ac:dyDescent="0.2">
      <c r="F2125" s="72">
        <v>39340</v>
      </c>
      <c r="G2125" s="2">
        <v>2536000</v>
      </c>
      <c r="H2125" s="2">
        <v>313000</v>
      </c>
    </row>
    <row r="2126" spans="6:8" x14ac:dyDescent="0.2">
      <c r="F2126" s="72">
        <v>39347</v>
      </c>
      <c r="G2126" s="2">
        <v>2530000</v>
      </c>
      <c r="H2126" s="2">
        <v>302000</v>
      </c>
    </row>
    <row r="2127" spans="6:8" x14ac:dyDescent="0.2">
      <c r="F2127" s="72">
        <v>39354</v>
      </c>
      <c r="G2127" s="2">
        <v>2518000</v>
      </c>
      <c r="H2127" s="2">
        <v>317000</v>
      </c>
    </row>
    <row r="2128" spans="6:8" x14ac:dyDescent="0.2">
      <c r="F2128" s="72">
        <v>39361</v>
      </c>
      <c r="G2128" s="2">
        <v>2521000</v>
      </c>
      <c r="H2128" s="2">
        <v>316000</v>
      </c>
    </row>
    <row r="2129" spans="6:8" x14ac:dyDescent="0.2">
      <c r="F2129" s="72">
        <v>39368</v>
      </c>
      <c r="G2129" s="2">
        <v>2541000</v>
      </c>
      <c r="H2129" s="2">
        <v>335000</v>
      </c>
    </row>
    <row r="2130" spans="6:8" x14ac:dyDescent="0.2">
      <c r="F2130" s="72">
        <v>39375</v>
      </c>
      <c r="G2130" s="2">
        <v>2598000</v>
      </c>
      <c r="H2130" s="2">
        <v>334000</v>
      </c>
    </row>
    <row r="2131" spans="6:8" x14ac:dyDescent="0.2">
      <c r="F2131" s="72">
        <v>39382</v>
      </c>
      <c r="G2131" s="2">
        <v>2587000</v>
      </c>
      <c r="H2131" s="2">
        <v>328000</v>
      </c>
    </row>
    <row r="2132" spans="6:8" x14ac:dyDescent="0.2">
      <c r="F2132" s="72">
        <v>39389</v>
      </c>
      <c r="G2132" s="2">
        <v>2617000</v>
      </c>
      <c r="H2132" s="2">
        <v>327000</v>
      </c>
    </row>
    <row r="2133" spans="6:8" x14ac:dyDescent="0.2">
      <c r="F2133" s="72">
        <v>39396</v>
      </c>
      <c r="G2133" s="2">
        <v>2607000</v>
      </c>
      <c r="H2133" s="2">
        <v>333000</v>
      </c>
    </row>
    <row r="2134" spans="6:8" x14ac:dyDescent="0.2">
      <c r="F2134" s="72">
        <v>39403</v>
      </c>
      <c r="G2134" s="2">
        <v>2609000</v>
      </c>
      <c r="H2134" s="2">
        <v>332000</v>
      </c>
    </row>
    <row r="2135" spans="6:8" x14ac:dyDescent="0.2">
      <c r="F2135" s="72">
        <v>39410</v>
      </c>
      <c r="G2135" s="2">
        <v>2634000</v>
      </c>
      <c r="H2135" s="2">
        <v>352000</v>
      </c>
    </row>
    <row r="2136" spans="6:8" x14ac:dyDescent="0.2">
      <c r="F2136" s="72">
        <v>39417</v>
      </c>
      <c r="G2136" s="2">
        <v>2639000</v>
      </c>
      <c r="H2136" s="2">
        <v>344000</v>
      </c>
    </row>
    <row r="2137" spans="6:8" x14ac:dyDescent="0.2">
      <c r="F2137" s="72">
        <v>39424</v>
      </c>
      <c r="G2137" s="2">
        <v>2672000</v>
      </c>
      <c r="H2137" s="2">
        <v>332000</v>
      </c>
    </row>
    <row r="2138" spans="6:8" x14ac:dyDescent="0.2">
      <c r="F2138" s="72">
        <v>39431</v>
      </c>
      <c r="G2138" s="2">
        <v>2737000</v>
      </c>
      <c r="H2138" s="2">
        <v>350000</v>
      </c>
    </row>
    <row r="2139" spans="6:8" x14ac:dyDescent="0.2">
      <c r="F2139" s="72">
        <v>39438</v>
      </c>
      <c r="G2139" s="2">
        <v>2752000</v>
      </c>
      <c r="H2139" s="2">
        <v>355000</v>
      </c>
    </row>
    <row r="2140" spans="6:8" x14ac:dyDescent="0.2">
      <c r="F2140" s="72">
        <v>39445</v>
      </c>
      <c r="G2140" s="2">
        <v>2760000</v>
      </c>
      <c r="H2140" s="2">
        <v>360000</v>
      </c>
    </row>
    <row r="2141" spans="6:8" x14ac:dyDescent="0.2">
      <c r="F2141" s="72">
        <v>39452</v>
      </c>
      <c r="G2141" s="2">
        <v>2828000</v>
      </c>
      <c r="H2141" s="2">
        <v>346000</v>
      </c>
    </row>
    <row r="2142" spans="6:8" x14ac:dyDescent="0.2">
      <c r="F2142" s="72">
        <v>39459</v>
      </c>
      <c r="G2142" s="2">
        <v>2752000</v>
      </c>
      <c r="H2142" s="2">
        <v>322000</v>
      </c>
    </row>
    <row r="2143" spans="6:8" x14ac:dyDescent="0.2">
      <c r="F2143" s="72">
        <v>39466</v>
      </c>
      <c r="G2143" s="2">
        <v>2770000</v>
      </c>
      <c r="H2143" s="2">
        <v>321000</v>
      </c>
    </row>
    <row r="2144" spans="6:8" x14ac:dyDescent="0.2">
      <c r="F2144" s="72">
        <v>39473</v>
      </c>
      <c r="G2144" s="2">
        <v>2845000</v>
      </c>
      <c r="H2144" s="2">
        <v>366000</v>
      </c>
    </row>
    <row r="2145" spans="6:8" x14ac:dyDescent="0.2">
      <c r="F2145" s="72">
        <v>39480</v>
      </c>
      <c r="G2145" s="2">
        <v>2810000</v>
      </c>
      <c r="H2145" s="2">
        <v>350000</v>
      </c>
    </row>
    <row r="2146" spans="6:8" x14ac:dyDescent="0.2">
      <c r="F2146" s="72">
        <v>39487</v>
      </c>
      <c r="G2146" s="2">
        <v>2846000</v>
      </c>
      <c r="H2146" s="2">
        <v>344000</v>
      </c>
    </row>
    <row r="2147" spans="6:8" x14ac:dyDescent="0.2">
      <c r="F2147" s="72">
        <v>39494</v>
      </c>
      <c r="G2147" s="2">
        <v>2837000</v>
      </c>
      <c r="H2147" s="2">
        <v>339000</v>
      </c>
    </row>
    <row r="2148" spans="6:8" x14ac:dyDescent="0.2">
      <c r="F2148" s="72">
        <v>39501</v>
      </c>
      <c r="G2148" s="2">
        <v>2884000</v>
      </c>
      <c r="H2148" s="2">
        <v>354000</v>
      </c>
    </row>
    <row r="2149" spans="6:8" x14ac:dyDescent="0.2">
      <c r="F2149" s="72">
        <v>39508</v>
      </c>
      <c r="G2149" s="2">
        <v>2867000</v>
      </c>
      <c r="H2149" s="2">
        <v>345000</v>
      </c>
    </row>
    <row r="2150" spans="6:8" x14ac:dyDescent="0.2">
      <c r="F2150" s="72">
        <v>39515</v>
      </c>
      <c r="G2150" s="2">
        <v>2895000</v>
      </c>
      <c r="H2150" s="2">
        <v>348000</v>
      </c>
    </row>
    <row r="2151" spans="6:8" x14ac:dyDescent="0.2">
      <c r="F2151" s="72">
        <v>39522</v>
      </c>
      <c r="G2151" s="2">
        <v>2897000</v>
      </c>
      <c r="H2151" s="2">
        <v>369000</v>
      </c>
    </row>
    <row r="2152" spans="6:8" x14ac:dyDescent="0.2">
      <c r="F2152" s="72">
        <v>39529</v>
      </c>
      <c r="G2152" s="2">
        <v>2938000</v>
      </c>
      <c r="H2152" s="2">
        <v>368000</v>
      </c>
    </row>
    <row r="2153" spans="6:8" x14ac:dyDescent="0.2">
      <c r="F2153" s="72">
        <v>39536</v>
      </c>
      <c r="G2153" s="2">
        <v>2967000</v>
      </c>
      <c r="H2153" s="2">
        <v>387000</v>
      </c>
    </row>
    <row r="2154" spans="6:8" x14ac:dyDescent="0.2">
      <c r="F2154" s="72">
        <v>39543</v>
      </c>
      <c r="G2154" s="2">
        <v>2969000</v>
      </c>
      <c r="H2154" s="2">
        <v>354000</v>
      </c>
    </row>
    <row r="2155" spans="6:8" x14ac:dyDescent="0.2">
      <c r="F2155" s="72">
        <v>39550</v>
      </c>
      <c r="G2155" s="2">
        <v>2937000</v>
      </c>
      <c r="H2155" s="2">
        <v>365000</v>
      </c>
    </row>
    <row r="2156" spans="6:8" x14ac:dyDescent="0.2">
      <c r="F2156" s="72">
        <v>39557</v>
      </c>
      <c r="G2156" s="2">
        <v>2964000</v>
      </c>
      <c r="H2156" s="2">
        <v>349000</v>
      </c>
    </row>
    <row r="2157" spans="6:8" x14ac:dyDescent="0.2">
      <c r="F2157" s="72">
        <v>39564</v>
      </c>
      <c r="G2157" s="2">
        <v>2986000</v>
      </c>
      <c r="H2157" s="2">
        <v>370000</v>
      </c>
    </row>
    <row r="2158" spans="6:8" x14ac:dyDescent="0.2">
      <c r="F2158" s="72">
        <v>39571</v>
      </c>
      <c r="G2158" s="2">
        <v>2993000</v>
      </c>
      <c r="H2158" s="2">
        <v>370000</v>
      </c>
    </row>
    <row r="2159" spans="6:8" x14ac:dyDescent="0.2">
      <c r="F2159" s="72">
        <v>39578</v>
      </c>
      <c r="G2159" s="2">
        <v>2997000</v>
      </c>
      <c r="H2159" s="2">
        <v>366000</v>
      </c>
    </row>
    <row r="2160" spans="6:8" x14ac:dyDescent="0.2">
      <c r="F2160" s="72">
        <v>39585</v>
      </c>
      <c r="G2160" s="2">
        <v>3016000</v>
      </c>
      <c r="H2160" s="2">
        <v>367000</v>
      </c>
    </row>
    <row r="2161" spans="6:8" x14ac:dyDescent="0.2">
      <c r="F2161" s="72">
        <v>39592</v>
      </c>
      <c r="G2161" s="2">
        <v>3007000</v>
      </c>
      <c r="H2161" s="2">
        <v>369000</v>
      </c>
    </row>
    <row r="2162" spans="6:8" x14ac:dyDescent="0.2">
      <c r="F2162" s="72">
        <v>39599</v>
      </c>
      <c r="G2162" s="2">
        <v>3055000</v>
      </c>
      <c r="H2162" s="2">
        <v>362000</v>
      </c>
    </row>
    <row r="2163" spans="6:8" x14ac:dyDescent="0.2">
      <c r="F2163" s="72">
        <v>39606</v>
      </c>
      <c r="G2163" s="2">
        <v>3010000</v>
      </c>
      <c r="H2163" s="2">
        <v>382000</v>
      </c>
    </row>
    <row r="2164" spans="6:8" x14ac:dyDescent="0.2">
      <c r="F2164" s="72">
        <v>39613</v>
      </c>
      <c r="G2164" s="2">
        <v>3057000</v>
      </c>
      <c r="H2164" s="2">
        <v>378000</v>
      </c>
    </row>
    <row r="2165" spans="6:8" x14ac:dyDescent="0.2">
      <c r="F2165" s="72">
        <v>39620</v>
      </c>
      <c r="G2165" s="2">
        <v>3054000</v>
      </c>
      <c r="H2165" s="2">
        <v>381000</v>
      </c>
    </row>
    <row r="2166" spans="6:8" x14ac:dyDescent="0.2">
      <c r="F2166" s="72">
        <v>39627</v>
      </c>
      <c r="G2166" s="2">
        <v>3110000</v>
      </c>
      <c r="H2166" s="2">
        <v>392000</v>
      </c>
    </row>
    <row r="2167" spans="6:8" x14ac:dyDescent="0.2">
      <c r="F2167" s="72">
        <v>39634</v>
      </c>
      <c r="G2167" s="2">
        <v>3113000</v>
      </c>
      <c r="H2167" s="2">
        <v>371000</v>
      </c>
    </row>
    <row r="2168" spans="6:8" x14ac:dyDescent="0.2">
      <c r="F2168" s="72">
        <v>39641</v>
      </c>
      <c r="G2168" s="2">
        <v>3104000</v>
      </c>
      <c r="H2168" s="2">
        <v>385000</v>
      </c>
    </row>
    <row r="2169" spans="6:8" x14ac:dyDescent="0.2">
      <c r="F2169" s="72">
        <v>39648</v>
      </c>
      <c r="G2169" s="2">
        <v>3227000</v>
      </c>
      <c r="H2169" s="2">
        <v>402000</v>
      </c>
    </row>
    <row r="2170" spans="6:8" x14ac:dyDescent="0.2">
      <c r="F2170" s="72">
        <v>39655</v>
      </c>
      <c r="G2170" s="2">
        <v>3261000</v>
      </c>
      <c r="H2170" s="2">
        <v>434000</v>
      </c>
    </row>
    <row r="2171" spans="6:8" x14ac:dyDescent="0.2">
      <c r="F2171" s="72">
        <v>39662</v>
      </c>
      <c r="G2171" s="2">
        <v>3330000</v>
      </c>
      <c r="H2171" s="2">
        <v>448000</v>
      </c>
    </row>
    <row r="2172" spans="6:8" x14ac:dyDescent="0.2">
      <c r="F2172" s="72">
        <v>39669</v>
      </c>
      <c r="G2172" s="2">
        <v>3327000</v>
      </c>
      <c r="H2172" s="2">
        <v>430000</v>
      </c>
    </row>
    <row r="2173" spans="6:8" x14ac:dyDescent="0.2">
      <c r="F2173" s="72">
        <v>39676</v>
      </c>
      <c r="G2173" s="2">
        <v>3385000</v>
      </c>
      <c r="H2173" s="2">
        <v>424000</v>
      </c>
    </row>
    <row r="2174" spans="6:8" x14ac:dyDescent="0.2">
      <c r="F2174" s="72">
        <v>39683</v>
      </c>
      <c r="G2174" s="2">
        <v>3384000</v>
      </c>
      <c r="H2174" s="2">
        <v>421000</v>
      </c>
    </row>
    <row r="2175" spans="6:8" x14ac:dyDescent="0.2">
      <c r="F2175" s="72">
        <v>39690</v>
      </c>
      <c r="G2175" s="2">
        <v>3464000</v>
      </c>
      <c r="H2175" s="2">
        <v>442000</v>
      </c>
    </row>
    <row r="2176" spans="6:8" x14ac:dyDescent="0.2">
      <c r="F2176" s="72">
        <v>39697</v>
      </c>
      <c r="G2176" s="2">
        <v>3420000</v>
      </c>
      <c r="H2176" s="2">
        <v>441000</v>
      </c>
    </row>
    <row r="2177" spans="6:8" x14ac:dyDescent="0.2">
      <c r="F2177" s="72">
        <v>39704</v>
      </c>
      <c r="G2177" s="2">
        <v>3493000</v>
      </c>
      <c r="H2177" s="2">
        <v>449000</v>
      </c>
    </row>
    <row r="2178" spans="6:8" x14ac:dyDescent="0.2">
      <c r="F2178" s="72">
        <v>39711</v>
      </c>
      <c r="G2178" s="2">
        <v>3551000</v>
      </c>
      <c r="H2178" s="2">
        <v>483000</v>
      </c>
    </row>
    <row r="2179" spans="6:8" x14ac:dyDescent="0.2">
      <c r="F2179" s="72">
        <v>39718</v>
      </c>
      <c r="G2179" s="2">
        <v>3623000</v>
      </c>
      <c r="H2179" s="2">
        <v>483000</v>
      </c>
    </row>
    <row r="2180" spans="6:8" x14ac:dyDescent="0.2">
      <c r="F2180" s="72">
        <v>39725</v>
      </c>
      <c r="G2180" s="2">
        <v>3676000</v>
      </c>
      <c r="H2180" s="2">
        <v>482000</v>
      </c>
    </row>
    <row r="2181" spans="6:8" x14ac:dyDescent="0.2">
      <c r="F2181" s="72">
        <v>39732</v>
      </c>
      <c r="G2181" s="2">
        <v>3696000</v>
      </c>
      <c r="H2181" s="2">
        <v>461000</v>
      </c>
    </row>
    <row r="2182" spans="6:8" x14ac:dyDescent="0.2">
      <c r="F2182" s="72">
        <v>39739</v>
      </c>
      <c r="G2182" s="2">
        <v>3729000</v>
      </c>
      <c r="H2182" s="2">
        <v>478000</v>
      </c>
    </row>
    <row r="2183" spans="6:8" x14ac:dyDescent="0.2">
      <c r="F2183" s="72">
        <v>39746</v>
      </c>
      <c r="G2183" s="2">
        <v>3823000</v>
      </c>
      <c r="H2183" s="2">
        <v>480000</v>
      </c>
    </row>
    <row r="2184" spans="6:8" x14ac:dyDescent="0.2">
      <c r="F2184" s="72">
        <v>39753</v>
      </c>
      <c r="G2184" s="2">
        <v>3928000</v>
      </c>
      <c r="H2184" s="2">
        <v>490000</v>
      </c>
    </row>
    <row r="2185" spans="6:8" x14ac:dyDescent="0.2">
      <c r="F2185" s="72">
        <v>39760</v>
      </c>
      <c r="G2185" s="2">
        <v>4011000</v>
      </c>
      <c r="H2185" s="2">
        <v>512000</v>
      </c>
    </row>
    <row r="2186" spans="6:8" x14ac:dyDescent="0.2">
      <c r="F2186" s="72">
        <v>39767</v>
      </c>
      <c r="G2186" s="2">
        <v>4002000</v>
      </c>
      <c r="H2186" s="2">
        <v>536000</v>
      </c>
    </row>
    <row r="2187" spans="6:8" x14ac:dyDescent="0.2">
      <c r="F2187" s="72">
        <v>39774</v>
      </c>
      <c r="G2187" s="2">
        <v>4095000</v>
      </c>
      <c r="H2187" s="2">
        <v>532000</v>
      </c>
    </row>
    <row r="2188" spans="6:8" x14ac:dyDescent="0.2">
      <c r="F2188" s="72">
        <v>39781</v>
      </c>
      <c r="G2188" s="2">
        <v>4447000</v>
      </c>
      <c r="H2188" s="2">
        <v>529000</v>
      </c>
    </row>
    <row r="2189" spans="6:8" x14ac:dyDescent="0.2">
      <c r="F2189" s="72">
        <v>39788</v>
      </c>
      <c r="G2189" s="2">
        <v>4417000</v>
      </c>
      <c r="H2189" s="2">
        <v>570000</v>
      </c>
    </row>
    <row r="2190" spans="6:8" x14ac:dyDescent="0.2">
      <c r="F2190" s="72">
        <v>39795</v>
      </c>
      <c r="G2190" s="2">
        <v>4445000</v>
      </c>
      <c r="H2190" s="2">
        <v>566000</v>
      </c>
    </row>
    <row r="2191" spans="6:8" x14ac:dyDescent="0.2">
      <c r="F2191" s="72">
        <v>39802</v>
      </c>
      <c r="G2191" s="2">
        <v>4548000</v>
      </c>
      <c r="H2191" s="2">
        <v>587000</v>
      </c>
    </row>
    <row r="2192" spans="6:8" x14ac:dyDescent="0.2">
      <c r="F2192" s="72">
        <v>39809</v>
      </c>
      <c r="G2192" s="2">
        <v>4679000</v>
      </c>
      <c r="H2192" s="2">
        <v>533000</v>
      </c>
    </row>
    <row r="2193" spans="6:8" x14ac:dyDescent="0.2">
      <c r="F2193" s="72">
        <v>39816</v>
      </c>
      <c r="G2193" s="2">
        <v>4692000</v>
      </c>
      <c r="H2193" s="2">
        <v>503000</v>
      </c>
    </row>
    <row r="2194" spans="6:8" x14ac:dyDescent="0.2">
      <c r="F2194" s="72">
        <v>39823</v>
      </c>
      <c r="G2194" s="2">
        <v>4760000</v>
      </c>
      <c r="H2194" s="2">
        <v>551000</v>
      </c>
    </row>
    <row r="2195" spans="6:8" x14ac:dyDescent="0.2">
      <c r="F2195" s="72">
        <v>39830</v>
      </c>
      <c r="G2195" s="2">
        <v>4864000</v>
      </c>
      <c r="H2195" s="2">
        <v>591000</v>
      </c>
    </row>
    <row r="2196" spans="6:8" x14ac:dyDescent="0.2">
      <c r="F2196" s="72">
        <v>39837</v>
      </c>
      <c r="G2196" s="2">
        <v>4980000</v>
      </c>
      <c r="H2196" s="2">
        <v>586000</v>
      </c>
    </row>
    <row r="2197" spans="6:8" x14ac:dyDescent="0.2">
      <c r="F2197" s="72">
        <v>39844</v>
      </c>
      <c r="G2197" s="2">
        <v>5010000</v>
      </c>
      <c r="H2197" s="2">
        <v>629000</v>
      </c>
    </row>
    <row r="2198" spans="6:8" x14ac:dyDescent="0.2">
      <c r="F2198" s="72">
        <v>39851</v>
      </c>
      <c r="G2198" s="2">
        <v>5157000</v>
      </c>
      <c r="H2198" s="2">
        <v>637000</v>
      </c>
    </row>
    <row r="2199" spans="6:8" x14ac:dyDescent="0.2">
      <c r="F2199" s="72">
        <v>39858</v>
      </c>
      <c r="G2199" s="2">
        <v>5279000</v>
      </c>
      <c r="H2199" s="2">
        <v>632000</v>
      </c>
    </row>
    <row r="2200" spans="6:8" x14ac:dyDescent="0.2">
      <c r="F2200" s="72">
        <v>39865</v>
      </c>
      <c r="G2200" s="2">
        <v>5307000</v>
      </c>
      <c r="H2200" s="2">
        <v>655000</v>
      </c>
    </row>
    <row r="2201" spans="6:8" x14ac:dyDescent="0.2">
      <c r="F2201" s="72">
        <v>39872</v>
      </c>
      <c r="G2201" s="2">
        <v>5445000</v>
      </c>
      <c r="H2201" s="2">
        <v>652000</v>
      </c>
    </row>
    <row r="2202" spans="6:8" x14ac:dyDescent="0.2">
      <c r="F2202" s="72">
        <v>39879</v>
      </c>
      <c r="G2202" s="2">
        <v>5600000</v>
      </c>
      <c r="H2202" s="2">
        <v>660000</v>
      </c>
    </row>
    <row r="2203" spans="6:8" x14ac:dyDescent="0.2">
      <c r="F2203" s="72">
        <v>39886</v>
      </c>
      <c r="G2203" s="2">
        <v>5699000</v>
      </c>
      <c r="H2203" s="2">
        <v>651000</v>
      </c>
    </row>
    <row r="2204" spans="6:8" x14ac:dyDescent="0.2">
      <c r="F2204" s="72">
        <v>39893</v>
      </c>
      <c r="G2204" s="2">
        <v>5829000</v>
      </c>
      <c r="H2204" s="2">
        <v>661000</v>
      </c>
    </row>
    <row r="2205" spans="6:8" x14ac:dyDescent="0.2">
      <c r="F2205" s="72">
        <v>39900</v>
      </c>
      <c r="G2205" s="2">
        <v>5935000</v>
      </c>
      <c r="H2205" s="2">
        <v>665000</v>
      </c>
    </row>
    <row r="2206" spans="6:8" x14ac:dyDescent="0.2">
      <c r="F2206" s="72">
        <v>39907</v>
      </c>
      <c r="G2206" s="2">
        <v>6044000</v>
      </c>
      <c r="H2206" s="2">
        <v>653000</v>
      </c>
    </row>
    <row r="2207" spans="6:8" x14ac:dyDescent="0.2">
      <c r="F2207" s="72">
        <v>39914</v>
      </c>
      <c r="G2207" s="2">
        <v>6130000</v>
      </c>
      <c r="H2207" s="2">
        <v>599000</v>
      </c>
    </row>
    <row r="2208" spans="6:8" x14ac:dyDescent="0.2">
      <c r="F2208" s="72">
        <v>39921</v>
      </c>
      <c r="G2208" s="2">
        <v>6264000</v>
      </c>
      <c r="H2208" s="2">
        <v>639000</v>
      </c>
    </row>
    <row r="2209" spans="6:8" x14ac:dyDescent="0.2">
      <c r="F2209" s="72">
        <v>39928</v>
      </c>
      <c r="G2209" s="2">
        <v>6300000</v>
      </c>
      <c r="H2209" s="2">
        <v>620000</v>
      </c>
    </row>
    <row r="2210" spans="6:8" x14ac:dyDescent="0.2">
      <c r="F2210" s="72">
        <v>39935</v>
      </c>
      <c r="G2210" s="2">
        <v>6416000</v>
      </c>
      <c r="H2210" s="2">
        <v>602000</v>
      </c>
    </row>
    <row r="2211" spans="6:8" x14ac:dyDescent="0.2">
      <c r="F2211" s="72">
        <v>39942</v>
      </c>
      <c r="G2211" s="2">
        <v>6516000</v>
      </c>
      <c r="H2211" s="2">
        <v>625000</v>
      </c>
    </row>
    <row r="2212" spans="6:8" x14ac:dyDescent="0.2">
      <c r="F2212" s="72">
        <v>39949</v>
      </c>
      <c r="G2212" s="2">
        <v>6539000</v>
      </c>
      <c r="H2212" s="2">
        <v>620000</v>
      </c>
    </row>
    <row r="2213" spans="6:8" x14ac:dyDescent="0.2">
      <c r="F2213" s="72">
        <v>39956</v>
      </c>
      <c r="G2213" s="2">
        <v>6522000</v>
      </c>
      <c r="H2213" s="2">
        <v>606000</v>
      </c>
    </row>
    <row r="2214" spans="6:8" x14ac:dyDescent="0.2">
      <c r="F2214" s="72">
        <v>39963</v>
      </c>
      <c r="G2214" s="2">
        <v>6635000</v>
      </c>
      <c r="H2214" s="2">
        <v>607000</v>
      </c>
    </row>
    <row r="2215" spans="6:8" x14ac:dyDescent="0.2">
      <c r="F2215" s="72">
        <v>39970</v>
      </c>
      <c r="G2215" s="2">
        <v>6506000</v>
      </c>
      <c r="H2215" s="2">
        <v>596000</v>
      </c>
    </row>
    <row r="2216" spans="6:8" x14ac:dyDescent="0.2">
      <c r="F2216" s="72">
        <v>39977</v>
      </c>
      <c r="G2216" s="2">
        <v>6525000</v>
      </c>
      <c r="H2216" s="2">
        <v>595000</v>
      </c>
    </row>
    <row r="2217" spans="6:8" x14ac:dyDescent="0.2">
      <c r="F2217" s="72">
        <v>39984</v>
      </c>
      <c r="G2217" s="2">
        <v>6488000</v>
      </c>
      <c r="H2217" s="2">
        <v>608000</v>
      </c>
    </row>
    <row r="2218" spans="6:8" x14ac:dyDescent="0.2">
      <c r="F2218" s="72">
        <v>39991</v>
      </c>
      <c r="G2218" s="2">
        <v>6618000</v>
      </c>
      <c r="H2218" s="2">
        <v>594000</v>
      </c>
    </row>
    <row r="2219" spans="6:8" x14ac:dyDescent="0.2">
      <c r="F2219" s="72">
        <v>39998</v>
      </c>
      <c r="G2219" s="2">
        <v>6145000</v>
      </c>
      <c r="H2219" s="2">
        <v>573000</v>
      </c>
    </row>
    <row r="2220" spans="6:8" x14ac:dyDescent="0.2">
      <c r="F2220" s="72">
        <v>40005</v>
      </c>
      <c r="G2220" s="2">
        <v>6136000</v>
      </c>
      <c r="H2220" s="2">
        <v>546000</v>
      </c>
    </row>
    <row r="2221" spans="6:8" x14ac:dyDescent="0.2">
      <c r="F2221" s="72">
        <v>40012</v>
      </c>
      <c r="G2221" s="2">
        <v>6118000</v>
      </c>
      <c r="H2221" s="2">
        <v>560000</v>
      </c>
    </row>
    <row r="2222" spans="6:8" x14ac:dyDescent="0.2">
      <c r="F2222" s="72">
        <v>40019</v>
      </c>
      <c r="G2222" s="2">
        <v>6157000</v>
      </c>
      <c r="H2222" s="2">
        <v>587000</v>
      </c>
    </row>
    <row r="2223" spans="6:8" x14ac:dyDescent="0.2">
      <c r="F2223" s="72">
        <v>40026</v>
      </c>
      <c r="G2223" s="2">
        <v>6111000</v>
      </c>
      <c r="H2223" s="2">
        <v>555000</v>
      </c>
    </row>
    <row r="2224" spans="6:8" x14ac:dyDescent="0.2">
      <c r="F2224" s="72">
        <v>40033</v>
      </c>
      <c r="G2224" s="2">
        <v>6090000</v>
      </c>
      <c r="H2224" s="2">
        <v>555000</v>
      </c>
    </row>
    <row r="2225" spans="6:8" x14ac:dyDescent="0.2">
      <c r="F2225" s="72">
        <v>40040</v>
      </c>
      <c r="G2225" s="2">
        <v>6008000</v>
      </c>
      <c r="H2225" s="2">
        <v>562000</v>
      </c>
    </row>
    <row r="2226" spans="6:8" x14ac:dyDescent="0.2">
      <c r="F2226" s="72">
        <v>40047</v>
      </c>
      <c r="G2226" s="2">
        <v>6060000</v>
      </c>
      <c r="H2226" s="2">
        <v>560000</v>
      </c>
    </row>
    <row r="2227" spans="6:8" x14ac:dyDescent="0.2">
      <c r="F2227" s="72">
        <v>40054</v>
      </c>
      <c r="G2227" s="2">
        <v>5970000</v>
      </c>
      <c r="H2227" s="2">
        <v>564000</v>
      </c>
    </row>
    <row r="2228" spans="6:8" x14ac:dyDescent="0.2">
      <c r="F2228" s="72">
        <v>40061</v>
      </c>
      <c r="G2228" s="2">
        <v>6079000</v>
      </c>
      <c r="H2228" s="2">
        <v>558000</v>
      </c>
    </row>
    <row r="2229" spans="6:8" x14ac:dyDescent="0.2">
      <c r="F2229" s="72">
        <v>40068</v>
      </c>
      <c r="G2229" s="2">
        <v>6006000</v>
      </c>
      <c r="H2229" s="2">
        <v>542000</v>
      </c>
    </row>
    <row r="2230" spans="6:8" x14ac:dyDescent="0.2">
      <c r="F2230" s="72">
        <v>40075</v>
      </c>
      <c r="G2230" s="2">
        <v>5942000</v>
      </c>
      <c r="H2230" s="2">
        <v>536000</v>
      </c>
    </row>
    <row r="2231" spans="6:8" x14ac:dyDescent="0.2">
      <c r="F2231" s="72">
        <v>40082</v>
      </c>
      <c r="G2231" s="2">
        <v>5912000</v>
      </c>
      <c r="H2231" s="2">
        <v>554000</v>
      </c>
    </row>
    <row r="2232" spans="6:8" x14ac:dyDescent="0.2">
      <c r="F2232" s="72">
        <v>40089</v>
      </c>
      <c r="G2232" s="2">
        <v>5900000</v>
      </c>
      <c r="H2232" s="2">
        <v>533000</v>
      </c>
    </row>
    <row r="2233" spans="6:8" x14ac:dyDescent="0.2">
      <c r="F2233" s="72">
        <v>40096</v>
      </c>
      <c r="G2233" s="2">
        <v>5828000</v>
      </c>
      <c r="H2233" s="2">
        <v>511000</v>
      </c>
    </row>
    <row r="2234" spans="6:8" x14ac:dyDescent="0.2">
      <c r="F2234" s="72">
        <v>40103</v>
      </c>
      <c r="G2234" s="2">
        <v>5746000</v>
      </c>
      <c r="H2234" s="2">
        <v>531000</v>
      </c>
    </row>
    <row r="2235" spans="6:8" x14ac:dyDescent="0.2">
      <c r="F2235" s="72">
        <v>40110</v>
      </c>
      <c r="G2235" s="2">
        <v>5705000</v>
      </c>
      <c r="H2235" s="2">
        <v>530000</v>
      </c>
    </row>
    <row r="2236" spans="6:8" x14ac:dyDescent="0.2">
      <c r="F2236" s="72">
        <v>40117</v>
      </c>
      <c r="G2236" s="2">
        <v>5649000</v>
      </c>
      <c r="H2236" s="2">
        <v>522000</v>
      </c>
    </row>
    <row r="2237" spans="6:8" x14ac:dyDescent="0.2">
      <c r="F2237" s="72">
        <v>40124</v>
      </c>
      <c r="G2237" s="2">
        <v>5568000</v>
      </c>
      <c r="H2237" s="2">
        <v>512000</v>
      </c>
    </row>
    <row r="2238" spans="6:8" x14ac:dyDescent="0.2">
      <c r="F2238" s="72">
        <v>40131</v>
      </c>
      <c r="G2238" s="2">
        <v>5462000</v>
      </c>
      <c r="H2238" s="2">
        <v>507000</v>
      </c>
    </row>
    <row r="2239" spans="6:8" x14ac:dyDescent="0.2">
      <c r="F2239" s="72">
        <v>40138</v>
      </c>
      <c r="G2239" s="2">
        <v>5489000</v>
      </c>
      <c r="H2239" s="2">
        <v>482000</v>
      </c>
    </row>
    <row r="2240" spans="6:8" x14ac:dyDescent="0.2">
      <c r="F2240" s="72">
        <v>40145</v>
      </c>
      <c r="G2240" s="2">
        <v>5323000</v>
      </c>
      <c r="H2240" s="2">
        <v>475000</v>
      </c>
    </row>
    <row r="2241" spans="6:8" x14ac:dyDescent="0.2">
      <c r="F2241" s="72">
        <v>40152</v>
      </c>
      <c r="G2241" s="2">
        <v>5289000</v>
      </c>
      <c r="H2241" s="2">
        <v>497000</v>
      </c>
    </row>
    <row r="2242" spans="6:8" x14ac:dyDescent="0.2">
      <c r="F2242" s="72">
        <v>40159</v>
      </c>
      <c r="G2242" s="2">
        <v>5191000</v>
      </c>
      <c r="H2242" s="2">
        <v>498000</v>
      </c>
    </row>
    <row r="2243" spans="6:8" x14ac:dyDescent="0.2">
      <c r="F2243" s="72">
        <v>40166</v>
      </c>
      <c r="G2243" s="2">
        <v>5100000</v>
      </c>
      <c r="H2243" s="2">
        <v>479000</v>
      </c>
    </row>
    <row r="2244" spans="6:8" x14ac:dyDescent="0.2">
      <c r="F2244" s="72">
        <v>40173</v>
      </c>
      <c r="G2244" s="2">
        <v>4987000</v>
      </c>
      <c r="H2244" s="2">
        <v>468000</v>
      </c>
    </row>
    <row r="2245" spans="6:8" x14ac:dyDescent="0.2">
      <c r="F2245" s="72">
        <v>40180</v>
      </c>
      <c r="G2245" s="2">
        <v>4870000</v>
      </c>
      <c r="H2245" s="2">
        <v>456000</v>
      </c>
    </row>
    <row r="2246" spans="6:8" x14ac:dyDescent="0.2">
      <c r="F2246" s="72">
        <v>40187</v>
      </c>
      <c r="G2246" s="2">
        <v>4879000</v>
      </c>
      <c r="H2246" s="2">
        <v>469000</v>
      </c>
    </row>
    <row r="2247" spans="6:8" x14ac:dyDescent="0.2">
      <c r="F2247" s="72">
        <v>40194</v>
      </c>
      <c r="G2247" s="2">
        <v>4809000</v>
      </c>
      <c r="H2247" s="2">
        <v>507000</v>
      </c>
    </row>
    <row r="2248" spans="6:8" x14ac:dyDescent="0.2">
      <c r="F2248" s="72">
        <v>40201</v>
      </c>
      <c r="G2248" s="2">
        <v>4841000</v>
      </c>
      <c r="H2248" s="2">
        <v>471000</v>
      </c>
    </row>
    <row r="2249" spans="6:8" x14ac:dyDescent="0.2">
      <c r="F2249" s="72">
        <v>40208</v>
      </c>
      <c r="G2249" s="2">
        <v>4796000</v>
      </c>
      <c r="H2249" s="2">
        <v>496000</v>
      </c>
    </row>
    <row r="2250" spans="6:8" x14ac:dyDescent="0.2">
      <c r="F2250" s="72">
        <v>40215</v>
      </c>
      <c r="G2250" s="2">
        <v>4838000</v>
      </c>
      <c r="H2250" s="2">
        <v>466000</v>
      </c>
    </row>
    <row r="2251" spans="6:8" x14ac:dyDescent="0.2">
      <c r="F2251" s="72">
        <v>40222</v>
      </c>
      <c r="G2251" s="2">
        <v>4815000</v>
      </c>
      <c r="H2251" s="2">
        <v>489000</v>
      </c>
    </row>
    <row r="2252" spans="6:8" x14ac:dyDescent="0.2">
      <c r="F2252" s="72">
        <v>40229</v>
      </c>
      <c r="G2252" s="2">
        <v>4767000</v>
      </c>
      <c r="H2252" s="2">
        <v>500000</v>
      </c>
    </row>
    <row r="2253" spans="6:8" x14ac:dyDescent="0.2">
      <c r="F2253" s="72">
        <v>40236</v>
      </c>
      <c r="G2253" s="2">
        <v>4755000</v>
      </c>
      <c r="H2253" s="2">
        <v>488000</v>
      </c>
    </row>
    <row r="2254" spans="6:8" x14ac:dyDescent="0.2">
      <c r="F2254" s="72">
        <v>40243</v>
      </c>
      <c r="G2254" s="2">
        <v>4766000</v>
      </c>
      <c r="H2254" s="2">
        <v>472000</v>
      </c>
    </row>
    <row r="2255" spans="6:8" x14ac:dyDescent="0.2">
      <c r="F2255" s="72">
        <v>40250</v>
      </c>
      <c r="G2255" s="2">
        <v>4750000</v>
      </c>
      <c r="H2255" s="2">
        <v>478000</v>
      </c>
    </row>
    <row r="2256" spans="6:8" x14ac:dyDescent="0.2">
      <c r="F2256" s="72">
        <v>40257</v>
      </c>
      <c r="G2256" s="2">
        <v>4743000</v>
      </c>
      <c r="H2256" s="2">
        <v>472000</v>
      </c>
    </row>
    <row r="2257" spans="6:8" x14ac:dyDescent="0.2">
      <c r="F2257" s="72">
        <v>40264</v>
      </c>
      <c r="G2257" s="2">
        <v>4668000</v>
      </c>
      <c r="H2257" s="2">
        <v>459000</v>
      </c>
    </row>
    <row r="2258" spans="6:8" x14ac:dyDescent="0.2">
      <c r="F2258" s="72">
        <v>40271</v>
      </c>
      <c r="G2258" s="2">
        <v>4755000</v>
      </c>
      <c r="H2258" s="2">
        <v>479000</v>
      </c>
    </row>
    <row r="2259" spans="6:8" x14ac:dyDescent="0.2">
      <c r="F2259" s="72">
        <v>40278</v>
      </c>
      <c r="G2259" s="2">
        <v>4746000</v>
      </c>
      <c r="H2259" s="2">
        <v>479000</v>
      </c>
    </row>
    <row r="2260" spans="6:8" x14ac:dyDescent="0.2">
      <c r="F2260" s="72">
        <v>40285</v>
      </c>
      <c r="G2260" s="2">
        <v>4721000</v>
      </c>
      <c r="H2260" s="2">
        <v>469000</v>
      </c>
    </row>
    <row r="2261" spans="6:8" x14ac:dyDescent="0.2">
      <c r="F2261" s="72">
        <v>40292</v>
      </c>
      <c r="G2261" s="2">
        <v>4690000</v>
      </c>
      <c r="H2261" s="2">
        <v>449000</v>
      </c>
    </row>
    <row r="2262" spans="6:8" x14ac:dyDescent="0.2">
      <c r="F2262" s="72">
        <v>40299</v>
      </c>
      <c r="G2262" s="2">
        <v>4695000</v>
      </c>
      <c r="H2262" s="2">
        <v>451000</v>
      </c>
    </row>
    <row r="2263" spans="6:8" x14ac:dyDescent="0.2">
      <c r="F2263" s="72">
        <v>40306</v>
      </c>
      <c r="G2263" s="2">
        <v>4707000</v>
      </c>
      <c r="H2263" s="2">
        <v>451000</v>
      </c>
    </row>
    <row r="2264" spans="6:8" x14ac:dyDescent="0.2">
      <c r="F2264" s="72">
        <v>40313</v>
      </c>
      <c r="G2264" s="2">
        <v>4688000</v>
      </c>
      <c r="H2264" s="2">
        <v>474000</v>
      </c>
    </row>
    <row r="2265" spans="6:8" x14ac:dyDescent="0.2">
      <c r="F2265" s="72">
        <v>40320</v>
      </c>
      <c r="G2265" s="2">
        <v>4731000</v>
      </c>
      <c r="H2265" s="2">
        <v>463000</v>
      </c>
    </row>
    <row r="2266" spans="6:8" x14ac:dyDescent="0.2">
      <c r="F2266" s="72">
        <v>40327</v>
      </c>
      <c r="G2266" s="2">
        <v>4553000</v>
      </c>
      <c r="H2266" s="2">
        <v>458000</v>
      </c>
    </row>
    <row r="2267" spans="6:8" x14ac:dyDescent="0.2">
      <c r="F2267" s="72">
        <v>40334</v>
      </c>
      <c r="G2267" s="2">
        <v>4624000</v>
      </c>
      <c r="H2267" s="2">
        <v>459000</v>
      </c>
    </row>
    <row r="2268" spans="6:8" x14ac:dyDescent="0.2">
      <c r="F2268" s="72">
        <v>40341</v>
      </c>
      <c r="G2268" s="2">
        <v>4606000</v>
      </c>
      <c r="H2268" s="2">
        <v>467000</v>
      </c>
    </row>
    <row r="2269" spans="6:8" x14ac:dyDescent="0.2">
      <c r="F2269" s="72">
        <v>40348</v>
      </c>
      <c r="G2269" s="2">
        <v>4619000</v>
      </c>
      <c r="H2269" s="2">
        <v>452000</v>
      </c>
    </row>
    <row r="2270" spans="6:8" x14ac:dyDescent="0.2">
      <c r="F2270" s="72">
        <v>40355</v>
      </c>
      <c r="G2270" s="2">
        <v>4484000</v>
      </c>
      <c r="H2270" s="2">
        <v>464000</v>
      </c>
    </row>
    <row r="2271" spans="6:8" x14ac:dyDescent="0.2">
      <c r="F2271" s="72">
        <v>40362</v>
      </c>
      <c r="G2271" s="2">
        <v>4620000</v>
      </c>
      <c r="H2271" s="2">
        <v>454000</v>
      </c>
    </row>
    <row r="2272" spans="6:8" x14ac:dyDescent="0.2">
      <c r="F2272" s="72">
        <v>40369</v>
      </c>
      <c r="G2272" s="2">
        <v>4482000</v>
      </c>
      <c r="H2272" s="2">
        <v>439000</v>
      </c>
    </row>
    <row r="2273" spans="6:8" x14ac:dyDescent="0.2">
      <c r="F2273" s="72">
        <v>40376</v>
      </c>
      <c r="G2273" s="2">
        <v>4545000</v>
      </c>
      <c r="H2273" s="2">
        <v>462000</v>
      </c>
    </row>
    <row r="2274" spans="6:8" x14ac:dyDescent="0.2">
      <c r="F2274" s="72">
        <v>40383</v>
      </c>
      <c r="G2274" s="2">
        <v>4529000</v>
      </c>
      <c r="H2274" s="2">
        <v>465000</v>
      </c>
    </row>
    <row r="2275" spans="6:8" x14ac:dyDescent="0.2">
      <c r="F2275" s="72">
        <v>40390</v>
      </c>
      <c r="G2275" s="2">
        <v>4467000</v>
      </c>
      <c r="H2275" s="2">
        <v>476000</v>
      </c>
    </row>
    <row r="2276" spans="6:8" x14ac:dyDescent="0.2">
      <c r="F2276" s="72">
        <v>40397</v>
      </c>
      <c r="G2276" s="2">
        <v>4478000</v>
      </c>
      <c r="H2276" s="2">
        <v>483000</v>
      </c>
    </row>
    <row r="2277" spans="6:8" x14ac:dyDescent="0.2">
      <c r="F2277" s="72">
        <v>40404</v>
      </c>
      <c r="G2277" s="2">
        <v>4432000</v>
      </c>
      <c r="H2277" s="2">
        <v>486000</v>
      </c>
    </row>
    <row r="2278" spans="6:8" x14ac:dyDescent="0.2">
      <c r="F2278" s="72">
        <v>40411</v>
      </c>
      <c r="G2278" s="2">
        <v>4426000</v>
      </c>
      <c r="H2278" s="2">
        <v>464000</v>
      </c>
    </row>
    <row r="2279" spans="6:8" x14ac:dyDescent="0.2">
      <c r="F2279" s="72">
        <v>40418</v>
      </c>
      <c r="G2279" s="2">
        <v>4509000</v>
      </c>
      <c r="H2279" s="2">
        <v>467000</v>
      </c>
    </row>
    <row r="2280" spans="6:8" x14ac:dyDescent="0.2">
      <c r="F2280" s="72">
        <v>40425</v>
      </c>
      <c r="G2280" s="2">
        <v>4501000</v>
      </c>
      <c r="H2280" s="2">
        <v>452000</v>
      </c>
    </row>
    <row r="2281" spans="6:8" x14ac:dyDescent="0.2">
      <c r="F2281" s="72">
        <v>40432</v>
      </c>
      <c r="G2281" s="2">
        <v>4487000</v>
      </c>
      <c r="H2281" s="2">
        <v>444000</v>
      </c>
    </row>
    <row r="2282" spans="6:8" x14ac:dyDescent="0.2">
      <c r="F2282" s="72">
        <v>40439</v>
      </c>
      <c r="G2282" s="2">
        <v>4452000</v>
      </c>
      <c r="H2282" s="2">
        <v>459000</v>
      </c>
    </row>
    <row r="2283" spans="6:8" x14ac:dyDescent="0.2">
      <c r="F2283" s="72">
        <v>40446</v>
      </c>
      <c r="G2283" s="2">
        <v>4431000</v>
      </c>
      <c r="H2283" s="2">
        <v>459000</v>
      </c>
    </row>
    <row r="2284" spans="6:8" x14ac:dyDescent="0.2">
      <c r="F2284" s="72">
        <v>40453</v>
      </c>
      <c r="G2284" s="2">
        <v>4407000</v>
      </c>
      <c r="H2284" s="2">
        <v>446000</v>
      </c>
    </row>
    <row r="2285" spans="6:8" x14ac:dyDescent="0.2">
      <c r="F2285" s="72">
        <v>40460</v>
      </c>
      <c r="G2285" s="2">
        <v>4403000</v>
      </c>
      <c r="H2285" s="2">
        <v>459000</v>
      </c>
    </row>
    <row r="2286" spans="6:8" x14ac:dyDescent="0.2">
      <c r="F2286" s="72">
        <v>40467</v>
      </c>
      <c r="G2286" s="2">
        <v>4348000</v>
      </c>
      <c r="H2286" s="2">
        <v>444000</v>
      </c>
    </row>
    <row r="2287" spans="6:8" x14ac:dyDescent="0.2">
      <c r="F2287" s="72">
        <v>40474</v>
      </c>
      <c r="G2287" s="2">
        <v>4331000</v>
      </c>
      <c r="H2287" s="2">
        <v>432000</v>
      </c>
    </row>
    <row r="2288" spans="6:8" x14ac:dyDescent="0.2">
      <c r="F2288" s="72">
        <v>40481</v>
      </c>
      <c r="G2288" s="2">
        <v>4328000</v>
      </c>
      <c r="H2288" s="2">
        <v>453000</v>
      </c>
    </row>
    <row r="2289" spans="6:8" x14ac:dyDescent="0.2">
      <c r="F2289" s="72">
        <v>40488</v>
      </c>
      <c r="G2289" s="2">
        <v>4270000</v>
      </c>
      <c r="H2289" s="2">
        <v>434000</v>
      </c>
    </row>
    <row r="2290" spans="6:8" x14ac:dyDescent="0.2">
      <c r="F2290" s="72">
        <v>40495</v>
      </c>
      <c r="G2290" s="2">
        <v>4176000</v>
      </c>
      <c r="H2290" s="2">
        <v>432000</v>
      </c>
    </row>
    <row r="2291" spans="6:8" x14ac:dyDescent="0.2">
      <c r="F2291" s="72">
        <v>40502</v>
      </c>
      <c r="G2291" s="2">
        <v>4218000</v>
      </c>
      <c r="H2291" s="2">
        <v>407000</v>
      </c>
    </row>
    <row r="2292" spans="6:8" x14ac:dyDescent="0.2">
      <c r="F2292" s="72">
        <v>40509</v>
      </c>
      <c r="G2292" s="2">
        <v>4118000</v>
      </c>
      <c r="H2292" s="2">
        <v>432000</v>
      </c>
    </row>
    <row r="2293" spans="6:8" x14ac:dyDescent="0.2">
      <c r="F2293" s="72">
        <v>40516</v>
      </c>
      <c r="G2293" s="2">
        <v>4137000</v>
      </c>
      <c r="H2293" s="2">
        <v>428000</v>
      </c>
    </row>
    <row r="2294" spans="6:8" x14ac:dyDescent="0.2">
      <c r="F2294" s="72">
        <v>40523</v>
      </c>
      <c r="G2294" s="2">
        <v>4062000</v>
      </c>
      <c r="H2294" s="2">
        <v>425000</v>
      </c>
    </row>
    <row r="2295" spans="6:8" x14ac:dyDescent="0.2">
      <c r="F2295" s="72">
        <v>40530</v>
      </c>
      <c r="G2295" s="2">
        <v>4113000</v>
      </c>
      <c r="H2295" s="2">
        <v>424000</v>
      </c>
    </row>
    <row r="2296" spans="6:8" x14ac:dyDescent="0.2">
      <c r="F2296" s="72">
        <v>40537</v>
      </c>
      <c r="G2296" s="2">
        <v>4088000</v>
      </c>
      <c r="H2296" s="2">
        <v>404000</v>
      </c>
    </row>
    <row r="2297" spans="6:8" x14ac:dyDescent="0.2">
      <c r="F2297" s="72">
        <v>40544</v>
      </c>
      <c r="G2297" s="2">
        <v>3898000</v>
      </c>
      <c r="H2297" s="2">
        <v>413000</v>
      </c>
    </row>
    <row r="2298" spans="6:8" x14ac:dyDescent="0.2">
      <c r="F2298" s="72">
        <v>40551</v>
      </c>
      <c r="G2298" s="2">
        <v>3907000</v>
      </c>
      <c r="H2298" s="2">
        <v>434000</v>
      </c>
    </row>
    <row r="2299" spans="6:8" x14ac:dyDescent="0.2">
      <c r="F2299" s="72">
        <v>40558</v>
      </c>
      <c r="G2299" s="2">
        <v>3974000</v>
      </c>
      <c r="H2299" s="2">
        <v>421000</v>
      </c>
    </row>
    <row r="2300" spans="6:8" x14ac:dyDescent="0.2">
      <c r="F2300" s="72">
        <v>40565</v>
      </c>
      <c r="G2300" s="2">
        <v>3926000</v>
      </c>
      <c r="H2300" s="2">
        <v>446000</v>
      </c>
    </row>
    <row r="2301" spans="6:8" x14ac:dyDescent="0.2">
      <c r="F2301" s="72">
        <v>40572</v>
      </c>
      <c r="G2301" s="2">
        <v>3887000</v>
      </c>
      <c r="H2301" s="2">
        <v>420000</v>
      </c>
    </row>
    <row r="2302" spans="6:8" x14ac:dyDescent="0.2">
      <c r="F2302" s="72">
        <v>40579</v>
      </c>
      <c r="G2302" s="2">
        <v>3928000</v>
      </c>
      <c r="H2302" s="2">
        <v>402000</v>
      </c>
    </row>
    <row r="2303" spans="6:8" x14ac:dyDescent="0.2">
      <c r="F2303" s="72">
        <v>40586</v>
      </c>
      <c r="G2303" s="2">
        <v>3839000</v>
      </c>
      <c r="H2303" s="2">
        <v>425000</v>
      </c>
    </row>
    <row r="2304" spans="6:8" x14ac:dyDescent="0.2">
      <c r="F2304" s="72">
        <v>40593</v>
      </c>
      <c r="G2304" s="2">
        <v>3821000</v>
      </c>
      <c r="H2304" s="2">
        <v>394000</v>
      </c>
    </row>
    <row r="2305" spans="6:8" x14ac:dyDescent="0.2">
      <c r="F2305" s="72">
        <v>40600</v>
      </c>
      <c r="G2305" s="2">
        <v>3809000</v>
      </c>
      <c r="H2305" s="2">
        <v>385000</v>
      </c>
    </row>
    <row r="2306" spans="6:8" x14ac:dyDescent="0.2">
      <c r="F2306" s="72">
        <v>40607</v>
      </c>
      <c r="G2306" s="2">
        <v>3772000</v>
      </c>
      <c r="H2306" s="2">
        <v>414000</v>
      </c>
    </row>
    <row r="2307" spans="6:8" x14ac:dyDescent="0.2">
      <c r="F2307" s="72">
        <v>40614</v>
      </c>
      <c r="G2307" s="2">
        <v>3772000</v>
      </c>
      <c r="H2307" s="2">
        <v>404000</v>
      </c>
    </row>
    <row r="2308" spans="6:8" x14ac:dyDescent="0.2">
      <c r="F2308" s="72">
        <v>40621</v>
      </c>
      <c r="G2308" s="2">
        <v>3752000</v>
      </c>
      <c r="H2308" s="2">
        <v>407000</v>
      </c>
    </row>
    <row r="2309" spans="6:8" x14ac:dyDescent="0.2">
      <c r="F2309" s="72">
        <v>40628</v>
      </c>
      <c r="G2309" s="2">
        <v>3766000</v>
      </c>
      <c r="H2309" s="2">
        <v>399000</v>
      </c>
    </row>
    <row r="2310" spans="6:8" x14ac:dyDescent="0.2">
      <c r="F2310" s="72">
        <v>40635</v>
      </c>
      <c r="G2310" s="2">
        <v>3756000</v>
      </c>
      <c r="H2310" s="2">
        <v>395000</v>
      </c>
    </row>
    <row r="2311" spans="6:8" x14ac:dyDescent="0.2">
      <c r="F2311" s="72">
        <v>40642</v>
      </c>
      <c r="G2311" s="2">
        <v>3751000</v>
      </c>
      <c r="H2311" s="2">
        <v>416000</v>
      </c>
    </row>
    <row r="2312" spans="6:8" x14ac:dyDescent="0.2">
      <c r="F2312" s="72">
        <v>40649</v>
      </c>
      <c r="G2312" s="2">
        <v>3717000</v>
      </c>
      <c r="H2312" s="2">
        <v>402000</v>
      </c>
    </row>
    <row r="2313" spans="6:8" x14ac:dyDescent="0.2">
      <c r="F2313" s="72">
        <v>40656</v>
      </c>
      <c r="G2313" s="2">
        <v>3796000</v>
      </c>
      <c r="H2313" s="2">
        <v>422000</v>
      </c>
    </row>
    <row r="2314" spans="6:8" x14ac:dyDescent="0.2">
      <c r="F2314" s="72">
        <v>40663</v>
      </c>
      <c r="G2314" s="2">
        <v>3834000</v>
      </c>
      <c r="H2314" s="2">
        <v>468000</v>
      </c>
    </row>
    <row r="2315" spans="6:8" x14ac:dyDescent="0.2">
      <c r="F2315" s="72">
        <v>40670</v>
      </c>
      <c r="G2315" s="2">
        <v>3787000</v>
      </c>
      <c r="H2315" s="2">
        <v>435000</v>
      </c>
    </row>
    <row r="2316" spans="6:8" x14ac:dyDescent="0.2">
      <c r="F2316" s="72">
        <v>40677</v>
      </c>
      <c r="G2316" s="2">
        <v>3781000</v>
      </c>
      <c r="H2316" s="2">
        <v>414000</v>
      </c>
    </row>
    <row r="2317" spans="6:8" x14ac:dyDescent="0.2">
      <c r="F2317" s="72">
        <v>40684</v>
      </c>
      <c r="G2317" s="2">
        <v>3799000</v>
      </c>
      <c r="H2317" s="2">
        <v>423000</v>
      </c>
    </row>
    <row r="2318" spans="6:8" x14ac:dyDescent="0.2">
      <c r="F2318" s="72">
        <v>40691</v>
      </c>
      <c r="G2318" s="2">
        <v>3728000</v>
      </c>
      <c r="H2318" s="2">
        <v>418000</v>
      </c>
    </row>
    <row r="2319" spans="6:8" x14ac:dyDescent="0.2">
      <c r="F2319" s="72">
        <v>40698</v>
      </c>
      <c r="G2319" s="2">
        <v>3750000</v>
      </c>
      <c r="H2319" s="2">
        <v>423000</v>
      </c>
    </row>
    <row r="2320" spans="6:8" x14ac:dyDescent="0.2">
      <c r="F2320" s="72">
        <v>40705</v>
      </c>
      <c r="G2320" s="2">
        <v>3746000</v>
      </c>
      <c r="H2320" s="2">
        <v>413000</v>
      </c>
    </row>
    <row r="2321" spans="6:8" x14ac:dyDescent="0.2">
      <c r="F2321" s="72">
        <v>40712</v>
      </c>
      <c r="G2321" s="2">
        <v>3752000</v>
      </c>
      <c r="H2321" s="2">
        <v>416000</v>
      </c>
    </row>
    <row r="2322" spans="6:8" x14ac:dyDescent="0.2">
      <c r="F2322" s="72">
        <v>40719</v>
      </c>
      <c r="G2322" s="2">
        <v>3719000</v>
      </c>
      <c r="H2322" s="2">
        <v>421000</v>
      </c>
    </row>
    <row r="2323" spans="6:8" x14ac:dyDescent="0.2">
      <c r="F2323" s="72">
        <v>40726</v>
      </c>
      <c r="G2323" s="2">
        <v>3733000</v>
      </c>
      <c r="H2323" s="2">
        <v>418000</v>
      </c>
    </row>
    <row r="2324" spans="6:8" x14ac:dyDescent="0.2">
      <c r="F2324" s="72">
        <v>40733</v>
      </c>
      <c r="G2324" s="2">
        <v>3724000</v>
      </c>
      <c r="H2324" s="2">
        <v>408000</v>
      </c>
    </row>
    <row r="2325" spans="6:8" x14ac:dyDescent="0.2">
      <c r="F2325" s="72">
        <v>40740</v>
      </c>
      <c r="G2325" s="2">
        <v>3734000</v>
      </c>
      <c r="H2325" s="2">
        <v>420000</v>
      </c>
    </row>
    <row r="2326" spans="6:8" x14ac:dyDescent="0.2">
      <c r="F2326" s="72">
        <v>40747</v>
      </c>
      <c r="G2326" s="2">
        <v>3741000</v>
      </c>
      <c r="H2326" s="2">
        <v>411000</v>
      </c>
    </row>
    <row r="2327" spans="6:8" x14ac:dyDescent="0.2">
      <c r="F2327" s="72">
        <v>40754</v>
      </c>
      <c r="G2327" s="2">
        <v>3676000</v>
      </c>
      <c r="H2327" s="2">
        <v>406000</v>
      </c>
    </row>
    <row r="2328" spans="6:8" x14ac:dyDescent="0.2">
      <c r="F2328" s="72">
        <v>40761</v>
      </c>
      <c r="G2328" s="2">
        <v>3709000</v>
      </c>
      <c r="H2328" s="2">
        <v>405000</v>
      </c>
    </row>
    <row r="2329" spans="6:8" x14ac:dyDescent="0.2">
      <c r="F2329" s="72">
        <v>40768</v>
      </c>
      <c r="G2329" s="2">
        <v>3717000</v>
      </c>
      <c r="H2329" s="2">
        <v>409000</v>
      </c>
    </row>
    <row r="2330" spans="6:8" x14ac:dyDescent="0.2">
      <c r="F2330" s="72">
        <v>40775</v>
      </c>
      <c r="G2330" s="2">
        <v>3715000</v>
      </c>
      <c r="H2330" s="2">
        <v>415000</v>
      </c>
    </row>
    <row r="2331" spans="6:8" x14ac:dyDescent="0.2">
      <c r="F2331" s="72">
        <v>40782</v>
      </c>
      <c r="G2331" s="2">
        <v>3723000</v>
      </c>
      <c r="H2331" s="2">
        <v>409000</v>
      </c>
    </row>
    <row r="2332" spans="6:8" x14ac:dyDescent="0.2">
      <c r="F2332" s="72">
        <v>40789</v>
      </c>
      <c r="G2332" s="2">
        <v>3759000</v>
      </c>
      <c r="H2332" s="2">
        <v>414000</v>
      </c>
    </row>
    <row r="2333" spans="6:8" x14ac:dyDescent="0.2">
      <c r="F2333" s="72">
        <v>40796</v>
      </c>
      <c r="G2333" s="2">
        <v>3758000</v>
      </c>
      <c r="H2333" s="2">
        <v>429000</v>
      </c>
    </row>
    <row r="2334" spans="6:8" x14ac:dyDescent="0.2">
      <c r="F2334" s="72">
        <v>40803</v>
      </c>
      <c r="G2334" s="2">
        <v>3747000</v>
      </c>
      <c r="H2334" s="2">
        <v>422000</v>
      </c>
    </row>
    <row r="2335" spans="6:8" x14ac:dyDescent="0.2">
      <c r="F2335" s="72">
        <v>40810</v>
      </c>
      <c r="G2335" s="2">
        <v>3707000</v>
      </c>
      <c r="H2335" s="2">
        <v>406000</v>
      </c>
    </row>
    <row r="2336" spans="6:8" x14ac:dyDescent="0.2">
      <c r="F2336" s="72">
        <v>40817</v>
      </c>
      <c r="G2336" s="2">
        <v>3697000</v>
      </c>
      <c r="H2336" s="2">
        <v>405000</v>
      </c>
    </row>
    <row r="2337" spans="6:8" x14ac:dyDescent="0.2">
      <c r="F2337" s="72">
        <v>40824</v>
      </c>
      <c r="G2337" s="2">
        <v>3731000</v>
      </c>
      <c r="H2337" s="2">
        <v>410000</v>
      </c>
    </row>
    <row r="2338" spans="6:8" x14ac:dyDescent="0.2">
      <c r="F2338" s="72">
        <v>40831</v>
      </c>
      <c r="G2338" s="2">
        <v>3704000</v>
      </c>
      <c r="H2338" s="2">
        <v>395000</v>
      </c>
    </row>
    <row r="2339" spans="6:8" x14ac:dyDescent="0.2">
      <c r="F2339" s="72">
        <v>40838</v>
      </c>
      <c r="G2339" s="2">
        <v>3699000</v>
      </c>
      <c r="H2339" s="2">
        <v>403000</v>
      </c>
    </row>
    <row r="2340" spans="6:8" x14ac:dyDescent="0.2">
      <c r="F2340" s="72">
        <v>40845</v>
      </c>
      <c r="G2340" s="2">
        <v>3677000</v>
      </c>
      <c r="H2340" s="2">
        <v>399000</v>
      </c>
    </row>
    <row r="2341" spans="6:8" x14ac:dyDescent="0.2">
      <c r="F2341" s="72">
        <v>40852</v>
      </c>
      <c r="G2341" s="2">
        <v>3603000</v>
      </c>
      <c r="H2341" s="2">
        <v>392000</v>
      </c>
    </row>
    <row r="2342" spans="6:8" x14ac:dyDescent="0.2">
      <c r="F2342" s="72">
        <v>40859</v>
      </c>
      <c r="G2342" s="2">
        <v>3676000</v>
      </c>
      <c r="H2342" s="2">
        <v>383000</v>
      </c>
    </row>
    <row r="2343" spans="6:8" x14ac:dyDescent="0.2">
      <c r="F2343" s="72">
        <v>40866</v>
      </c>
      <c r="G2343" s="2">
        <v>3739000</v>
      </c>
      <c r="H2343" s="2">
        <v>385000</v>
      </c>
    </row>
    <row r="2344" spans="6:8" x14ac:dyDescent="0.2">
      <c r="F2344" s="72">
        <v>40873</v>
      </c>
      <c r="G2344" s="2">
        <v>3592000</v>
      </c>
      <c r="H2344" s="2">
        <v>397000</v>
      </c>
    </row>
    <row r="2345" spans="6:8" x14ac:dyDescent="0.2">
      <c r="F2345" s="72">
        <v>40880</v>
      </c>
      <c r="G2345" s="2">
        <v>3595000</v>
      </c>
      <c r="H2345" s="2">
        <v>387000</v>
      </c>
    </row>
    <row r="2346" spans="6:8" x14ac:dyDescent="0.2">
      <c r="F2346" s="72">
        <v>40887</v>
      </c>
      <c r="G2346" s="2">
        <v>3543000</v>
      </c>
      <c r="H2346" s="2">
        <v>368000</v>
      </c>
    </row>
    <row r="2347" spans="6:8" x14ac:dyDescent="0.2">
      <c r="F2347" s="72">
        <v>40894</v>
      </c>
      <c r="G2347" s="2">
        <v>3588000</v>
      </c>
      <c r="H2347" s="2">
        <v>368000</v>
      </c>
    </row>
    <row r="2348" spans="6:8" x14ac:dyDescent="0.2">
      <c r="F2348" s="72">
        <v>40901</v>
      </c>
      <c r="G2348" s="2">
        <v>3575000</v>
      </c>
      <c r="H2348" s="2">
        <v>386000</v>
      </c>
    </row>
    <row r="2349" spans="6:8" x14ac:dyDescent="0.2">
      <c r="F2349" s="72">
        <v>40908</v>
      </c>
      <c r="G2349" s="2">
        <v>3566000</v>
      </c>
      <c r="H2349" s="2">
        <v>376000</v>
      </c>
    </row>
    <row r="2350" spans="6:8" x14ac:dyDescent="0.2">
      <c r="F2350" s="72">
        <v>40915</v>
      </c>
      <c r="G2350" s="2">
        <v>3421000</v>
      </c>
      <c r="H2350" s="2">
        <v>391000</v>
      </c>
    </row>
    <row r="2351" spans="6:8" x14ac:dyDescent="0.2">
      <c r="F2351" s="72">
        <v>40922</v>
      </c>
      <c r="G2351" s="2">
        <v>3511000</v>
      </c>
      <c r="H2351" s="2">
        <v>367000</v>
      </c>
    </row>
    <row r="2352" spans="6:8" x14ac:dyDescent="0.2">
      <c r="F2352" s="72">
        <v>40929</v>
      </c>
      <c r="G2352" s="2">
        <v>3419000</v>
      </c>
      <c r="H2352" s="2">
        <v>381000</v>
      </c>
    </row>
    <row r="2353" spans="6:8" x14ac:dyDescent="0.2">
      <c r="F2353" s="72">
        <v>40936</v>
      </c>
      <c r="G2353" s="2">
        <v>3454000</v>
      </c>
      <c r="H2353" s="2">
        <v>372000</v>
      </c>
    </row>
    <row r="2354" spans="6:8" x14ac:dyDescent="0.2">
      <c r="F2354" s="72">
        <v>40943</v>
      </c>
      <c r="G2354" s="2">
        <v>3391000</v>
      </c>
      <c r="H2354" s="2">
        <v>368000</v>
      </c>
    </row>
    <row r="2355" spans="6:8" x14ac:dyDescent="0.2">
      <c r="F2355" s="72">
        <v>40950</v>
      </c>
      <c r="G2355" s="2">
        <v>3362000</v>
      </c>
      <c r="H2355" s="2">
        <v>361000</v>
      </c>
    </row>
    <row r="2356" spans="6:8" x14ac:dyDescent="0.2">
      <c r="F2356" s="72">
        <v>40957</v>
      </c>
      <c r="G2356" s="2">
        <v>3382000</v>
      </c>
      <c r="H2356" s="2">
        <v>359000</v>
      </c>
    </row>
    <row r="2357" spans="6:8" x14ac:dyDescent="0.2">
      <c r="F2357" s="72">
        <v>40964</v>
      </c>
      <c r="G2357" s="2">
        <v>3392000</v>
      </c>
      <c r="H2357" s="2">
        <v>365000</v>
      </c>
    </row>
    <row r="2358" spans="6:8" x14ac:dyDescent="0.2">
      <c r="F2358" s="72">
        <v>40971</v>
      </c>
      <c r="G2358" s="2">
        <v>3367000</v>
      </c>
      <c r="H2358" s="2">
        <v>375000</v>
      </c>
    </row>
    <row r="2359" spans="6:8" x14ac:dyDescent="0.2">
      <c r="F2359" s="72">
        <v>40978</v>
      </c>
      <c r="G2359" s="2">
        <v>3353000</v>
      </c>
      <c r="H2359" s="2">
        <v>369000</v>
      </c>
    </row>
    <row r="2360" spans="6:8" x14ac:dyDescent="0.2">
      <c r="F2360" s="72">
        <v>40985</v>
      </c>
      <c r="G2360" s="2">
        <v>3342000</v>
      </c>
      <c r="H2360" s="2">
        <v>368000</v>
      </c>
    </row>
    <row r="2361" spans="6:8" x14ac:dyDescent="0.2">
      <c r="F2361" s="72">
        <v>40992</v>
      </c>
      <c r="G2361" s="2">
        <v>3336000</v>
      </c>
      <c r="H2361" s="2">
        <v>363000</v>
      </c>
    </row>
    <row r="2362" spans="6:8" x14ac:dyDescent="0.2">
      <c r="F2362" s="72">
        <v>40999</v>
      </c>
      <c r="G2362" s="2">
        <v>3286000</v>
      </c>
      <c r="H2362" s="2">
        <v>358000</v>
      </c>
    </row>
    <row r="2363" spans="6:8" x14ac:dyDescent="0.2">
      <c r="F2363" s="72">
        <v>41006</v>
      </c>
      <c r="G2363" s="2">
        <v>3325000</v>
      </c>
      <c r="H2363" s="2">
        <v>387000</v>
      </c>
    </row>
    <row r="2364" spans="6:8" x14ac:dyDescent="0.2">
      <c r="F2364" s="72">
        <v>41013</v>
      </c>
      <c r="G2364" s="2">
        <v>3355000</v>
      </c>
      <c r="H2364" s="2">
        <v>381000</v>
      </c>
    </row>
    <row r="2365" spans="6:8" x14ac:dyDescent="0.2">
      <c r="F2365" s="72">
        <v>41020</v>
      </c>
      <c r="G2365" s="2">
        <v>3316000</v>
      </c>
      <c r="H2365" s="2">
        <v>387000</v>
      </c>
    </row>
    <row r="2366" spans="6:8" x14ac:dyDescent="0.2">
      <c r="F2366" s="72">
        <v>41027</v>
      </c>
      <c r="G2366" s="2">
        <v>3296000</v>
      </c>
      <c r="H2366" s="2">
        <v>372000</v>
      </c>
    </row>
    <row r="2367" spans="6:8" x14ac:dyDescent="0.2">
      <c r="F2367" s="72">
        <v>41034</v>
      </c>
      <c r="G2367" s="2">
        <v>3326000</v>
      </c>
      <c r="H2367" s="2">
        <v>373000</v>
      </c>
    </row>
    <row r="2368" spans="6:8" x14ac:dyDescent="0.2">
      <c r="F2368" s="72">
        <v>41041</v>
      </c>
      <c r="G2368" s="2">
        <v>3334000</v>
      </c>
      <c r="H2368" s="2">
        <v>369000</v>
      </c>
    </row>
    <row r="2369" spans="6:8" x14ac:dyDescent="0.2">
      <c r="F2369" s="72">
        <v>41048</v>
      </c>
      <c r="G2369" s="2">
        <v>3301000</v>
      </c>
      <c r="H2369" s="2">
        <v>371000</v>
      </c>
    </row>
    <row r="2370" spans="6:8" x14ac:dyDescent="0.2">
      <c r="F2370" s="72">
        <v>41055</v>
      </c>
      <c r="G2370" s="2">
        <v>3351000</v>
      </c>
      <c r="H2370" s="2">
        <v>381000</v>
      </c>
    </row>
    <row r="2371" spans="6:8" x14ac:dyDescent="0.2">
      <c r="F2371" s="72">
        <v>41062</v>
      </c>
      <c r="G2371" s="2">
        <v>3327000</v>
      </c>
      <c r="H2371" s="2">
        <v>377000</v>
      </c>
    </row>
    <row r="2372" spans="6:8" x14ac:dyDescent="0.2">
      <c r="F2372" s="72">
        <v>41069</v>
      </c>
      <c r="G2372" s="2">
        <v>3343000</v>
      </c>
      <c r="H2372" s="2">
        <v>383000</v>
      </c>
    </row>
    <row r="2373" spans="6:8" x14ac:dyDescent="0.2">
      <c r="F2373" s="72">
        <v>41076</v>
      </c>
      <c r="G2373" s="2">
        <v>3323000</v>
      </c>
      <c r="H2373" s="2">
        <v>384000</v>
      </c>
    </row>
    <row r="2374" spans="6:8" x14ac:dyDescent="0.2">
      <c r="F2374" s="72">
        <v>41083</v>
      </c>
      <c r="G2374" s="2">
        <v>3325000</v>
      </c>
      <c r="H2374" s="2">
        <v>380000</v>
      </c>
    </row>
    <row r="2375" spans="6:8" x14ac:dyDescent="0.2">
      <c r="F2375" s="72">
        <v>41090</v>
      </c>
      <c r="G2375" s="2">
        <v>3304000</v>
      </c>
      <c r="H2375" s="2">
        <v>372000</v>
      </c>
    </row>
    <row r="2376" spans="6:8" x14ac:dyDescent="0.2">
      <c r="F2376" s="72">
        <v>41097</v>
      </c>
      <c r="G2376" s="2">
        <v>3314000</v>
      </c>
      <c r="H2376" s="2">
        <v>360000</v>
      </c>
    </row>
    <row r="2377" spans="6:8" x14ac:dyDescent="0.2">
      <c r="F2377" s="72">
        <v>41104</v>
      </c>
      <c r="G2377" s="2">
        <v>3307000</v>
      </c>
      <c r="H2377" s="2">
        <v>390000</v>
      </c>
    </row>
    <row r="2378" spans="6:8" x14ac:dyDescent="0.2">
      <c r="F2378" s="72">
        <v>41111</v>
      </c>
      <c r="G2378" s="2">
        <v>3290000</v>
      </c>
      <c r="H2378" s="2">
        <v>368000</v>
      </c>
    </row>
    <row r="2379" spans="6:8" x14ac:dyDescent="0.2">
      <c r="F2379" s="72">
        <v>41118</v>
      </c>
      <c r="G2379" s="2">
        <v>3312000</v>
      </c>
      <c r="H2379" s="2">
        <v>372000</v>
      </c>
    </row>
    <row r="2380" spans="6:8" x14ac:dyDescent="0.2">
      <c r="F2380" s="72">
        <v>41125</v>
      </c>
      <c r="G2380" s="2">
        <v>3302000</v>
      </c>
      <c r="H2380" s="2">
        <v>371000</v>
      </c>
    </row>
    <row r="2381" spans="6:8" x14ac:dyDescent="0.2">
      <c r="F2381" s="72">
        <v>41132</v>
      </c>
      <c r="G2381" s="2">
        <v>3296000</v>
      </c>
      <c r="H2381" s="2">
        <v>369000</v>
      </c>
    </row>
    <row r="2382" spans="6:8" x14ac:dyDescent="0.2">
      <c r="F2382" s="72">
        <v>41139</v>
      </c>
      <c r="G2382" s="2">
        <v>3306000</v>
      </c>
      <c r="H2382" s="2">
        <v>376000</v>
      </c>
    </row>
    <row r="2383" spans="6:8" x14ac:dyDescent="0.2">
      <c r="F2383" s="72">
        <v>41146</v>
      </c>
      <c r="G2383" s="2">
        <v>3321000</v>
      </c>
      <c r="H2383" s="2">
        <v>377000</v>
      </c>
    </row>
    <row r="2384" spans="6:8" x14ac:dyDescent="0.2">
      <c r="F2384" s="72">
        <v>41153</v>
      </c>
      <c r="G2384" s="2">
        <v>3327000</v>
      </c>
      <c r="H2384" s="2">
        <v>371000</v>
      </c>
    </row>
    <row r="2385" spans="6:8" x14ac:dyDescent="0.2">
      <c r="F2385" s="72">
        <v>41160</v>
      </c>
      <c r="G2385" s="2">
        <v>3312000</v>
      </c>
      <c r="H2385" s="2">
        <v>393000</v>
      </c>
    </row>
    <row r="2386" spans="6:8" x14ac:dyDescent="0.2">
      <c r="F2386" s="72">
        <v>41167</v>
      </c>
      <c r="G2386" s="2">
        <v>3316000</v>
      </c>
      <c r="H2386" s="2">
        <v>392000</v>
      </c>
    </row>
    <row r="2387" spans="6:8" x14ac:dyDescent="0.2">
      <c r="F2387" s="72">
        <v>41174</v>
      </c>
      <c r="G2387" s="2">
        <v>3308000</v>
      </c>
      <c r="H2387" s="2">
        <v>377000</v>
      </c>
    </row>
    <row r="2388" spans="6:8" x14ac:dyDescent="0.2">
      <c r="F2388" s="72">
        <v>41181</v>
      </c>
      <c r="G2388" s="2">
        <v>3309000</v>
      </c>
      <c r="H2388" s="2">
        <v>376000</v>
      </c>
    </row>
    <row r="2389" spans="6:8" x14ac:dyDescent="0.2">
      <c r="F2389" s="72">
        <v>41188</v>
      </c>
      <c r="G2389" s="2">
        <v>3295000</v>
      </c>
      <c r="H2389" s="2">
        <v>350000</v>
      </c>
    </row>
    <row r="2390" spans="6:8" x14ac:dyDescent="0.2">
      <c r="F2390" s="72">
        <v>41195</v>
      </c>
      <c r="G2390" s="2">
        <v>3302000</v>
      </c>
      <c r="H2390" s="2">
        <v>386000</v>
      </c>
    </row>
    <row r="2391" spans="6:8" x14ac:dyDescent="0.2">
      <c r="F2391" s="72">
        <v>41202</v>
      </c>
      <c r="G2391" s="2">
        <v>3285000</v>
      </c>
      <c r="H2391" s="2">
        <v>374000</v>
      </c>
    </row>
    <row r="2392" spans="6:8" x14ac:dyDescent="0.2">
      <c r="F2392" s="72">
        <v>41209</v>
      </c>
      <c r="G2392" s="2">
        <v>3223000</v>
      </c>
      <c r="H2392" s="2">
        <v>364000</v>
      </c>
    </row>
    <row r="2393" spans="6:8" x14ac:dyDescent="0.2">
      <c r="F2393" s="72">
        <v>41216</v>
      </c>
      <c r="G2393" s="2">
        <v>3368000</v>
      </c>
      <c r="H2393" s="2">
        <v>365000</v>
      </c>
    </row>
    <row r="2394" spans="6:8" x14ac:dyDescent="0.2">
      <c r="F2394" s="72">
        <v>41223</v>
      </c>
      <c r="G2394" s="2">
        <v>3364000</v>
      </c>
      <c r="H2394" s="2">
        <v>446000</v>
      </c>
    </row>
    <row r="2395" spans="6:8" x14ac:dyDescent="0.2">
      <c r="F2395" s="72">
        <v>41230</v>
      </c>
      <c r="G2395" s="2">
        <v>3325000</v>
      </c>
      <c r="H2395" s="2">
        <v>406000</v>
      </c>
    </row>
    <row r="2396" spans="6:8" x14ac:dyDescent="0.2">
      <c r="F2396" s="72">
        <v>41237</v>
      </c>
      <c r="G2396" s="2">
        <v>3248000</v>
      </c>
      <c r="H2396" s="2">
        <v>388000</v>
      </c>
    </row>
    <row r="2397" spans="6:8" x14ac:dyDescent="0.2">
      <c r="F2397" s="72">
        <v>41244</v>
      </c>
      <c r="G2397" s="2">
        <v>3195000</v>
      </c>
      <c r="H2397" s="2">
        <v>375000</v>
      </c>
    </row>
    <row r="2398" spans="6:8" x14ac:dyDescent="0.2">
      <c r="F2398" s="72">
        <v>41251</v>
      </c>
      <c r="G2398" s="2">
        <v>3229000</v>
      </c>
      <c r="H2398" s="2">
        <v>340000</v>
      </c>
    </row>
    <row r="2399" spans="6:8" x14ac:dyDescent="0.2">
      <c r="F2399" s="72">
        <v>41258</v>
      </c>
      <c r="G2399" s="2">
        <v>3179000</v>
      </c>
      <c r="H2399" s="2">
        <v>356000</v>
      </c>
    </row>
    <row r="2400" spans="6:8" x14ac:dyDescent="0.2">
      <c r="F2400" s="72">
        <v>41265</v>
      </c>
      <c r="G2400" s="2">
        <v>3221000</v>
      </c>
      <c r="H2400" s="2">
        <v>362000</v>
      </c>
    </row>
    <row r="2401" spans="6:8" x14ac:dyDescent="0.2">
      <c r="F2401" s="72">
        <v>41272</v>
      </c>
      <c r="G2401" s="2">
        <v>3127000</v>
      </c>
      <c r="H2401" s="2">
        <v>362000</v>
      </c>
    </row>
    <row r="2402" spans="6:8" x14ac:dyDescent="0.2">
      <c r="F2402" s="72">
        <v>41279</v>
      </c>
      <c r="G2402" s="2">
        <v>3147000</v>
      </c>
      <c r="H2402" s="2">
        <v>363000</v>
      </c>
    </row>
    <row r="2403" spans="6:8" x14ac:dyDescent="0.2">
      <c r="F2403" s="72">
        <v>41286</v>
      </c>
      <c r="G2403" s="2">
        <v>3108000</v>
      </c>
      <c r="H2403" s="2">
        <v>344000</v>
      </c>
    </row>
    <row r="2404" spans="6:8" x14ac:dyDescent="0.2">
      <c r="F2404" s="72">
        <v>41293</v>
      </c>
      <c r="G2404" s="2">
        <v>3138000</v>
      </c>
      <c r="H2404" s="2">
        <v>339000</v>
      </c>
    </row>
    <row r="2405" spans="6:8" x14ac:dyDescent="0.2">
      <c r="F2405" s="72">
        <v>41300</v>
      </c>
      <c r="G2405" s="2">
        <v>3138000</v>
      </c>
      <c r="H2405" s="2">
        <v>366000</v>
      </c>
    </row>
    <row r="2406" spans="6:8" x14ac:dyDescent="0.2">
      <c r="F2406" s="72">
        <v>41307</v>
      </c>
      <c r="G2406" s="2">
        <v>3075000</v>
      </c>
      <c r="H2406" s="2">
        <v>361000</v>
      </c>
    </row>
    <row r="2407" spans="6:8" x14ac:dyDescent="0.2">
      <c r="F2407" s="72">
        <v>41314</v>
      </c>
      <c r="G2407" s="2">
        <v>3081000</v>
      </c>
      <c r="H2407" s="2">
        <v>347000</v>
      </c>
    </row>
    <row r="2408" spans="6:8" x14ac:dyDescent="0.2">
      <c r="F2408" s="72">
        <v>41321</v>
      </c>
      <c r="G2408" s="2">
        <v>3036000</v>
      </c>
      <c r="H2408" s="2">
        <v>362000</v>
      </c>
    </row>
    <row r="2409" spans="6:8" x14ac:dyDescent="0.2">
      <c r="F2409" s="72">
        <v>41328</v>
      </c>
      <c r="G2409" s="2">
        <v>3043000</v>
      </c>
      <c r="H2409" s="2">
        <v>342000</v>
      </c>
    </row>
    <row r="2410" spans="6:8" x14ac:dyDescent="0.2">
      <c r="F2410" s="72">
        <v>41335</v>
      </c>
      <c r="G2410" s="2">
        <v>3011000</v>
      </c>
      <c r="H2410" s="2">
        <v>340000</v>
      </c>
    </row>
    <row r="2411" spans="6:8" x14ac:dyDescent="0.2">
      <c r="F2411" s="72">
        <v>41342</v>
      </c>
      <c r="G2411" s="2">
        <v>3024000</v>
      </c>
      <c r="H2411" s="2">
        <v>343000</v>
      </c>
    </row>
    <row r="2412" spans="6:8" x14ac:dyDescent="0.2">
      <c r="F2412" s="72">
        <v>41349</v>
      </c>
      <c r="G2412" s="2">
        <v>3028000</v>
      </c>
      <c r="H2412" s="2">
        <v>343000</v>
      </c>
    </row>
    <row r="2413" spans="6:8" x14ac:dyDescent="0.2">
      <c r="F2413" s="72">
        <v>41356</v>
      </c>
      <c r="G2413" s="2">
        <v>3046000</v>
      </c>
      <c r="H2413" s="2">
        <v>358000</v>
      </c>
    </row>
    <row r="2414" spans="6:8" x14ac:dyDescent="0.2">
      <c r="F2414" s="72">
        <v>41363</v>
      </c>
      <c r="G2414" s="2">
        <v>3080000</v>
      </c>
      <c r="H2414" s="2">
        <v>375000</v>
      </c>
    </row>
    <row r="2415" spans="6:8" x14ac:dyDescent="0.2">
      <c r="F2415" s="72">
        <v>41370</v>
      </c>
      <c r="G2415" s="2">
        <v>3076000</v>
      </c>
      <c r="H2415" s="2">
        <v>359000</v>
      </c>
    </row>
    <row r="2416" spans="6:8" x14ac:dyDescent="0.2">
      <c r="F2416" s="72">
        <v>41377</v>
      </c>
      <c r="G2416" s="2">
        <v>3024000</v>
      </c>
      <c r="H2416" s="2">
        <v>356000</v>
      </c>
    </row>
    <row r="2417" spans="6:8" x14ac:dyDescent="0.2">
      <c r="F2417" s="72">
        <v>41384</v>
      </c>
      <c r="G2417" s="2">
        <v>3027000</v>
      </c>
      <c r="H2417" s="2">
        <v>343000</v>
      </c>
    </row>
    <row r="2418" spans="6:8" x14ac:dyDescent="0.2">
      <c r="F2418" s="72">
        <v>41391</v>
      </c>
      <c r="G2418" s="2">
        <v>3039000</v>
      </c>
      <c r="H2418" s="2">
        <v>331000</v>
      </c>
    </row>
    <row r="2419" spans="6:8" x14ac:dyDescent="0.2">
      <c r="F2419" s="72">
        <v>41398</v>
      </c>
      <c r="G2419" s="2">
        <v>3042000</v>
      </c>
      <c r="H2419" s="2">
        <v>335000</v>
      </c>
    </row>
    <row r="2420" spans="6:8" x14ac:dyDescent="0.2">
      <c r="F2420" s="72">
        <v>41405</v>
      </c>
      <c r="G2420" s="2">
        <v>2975000</v>
      </c>
      <c r="H2420" s="2">
        <v>360000</v>
      </c>
    </row>
    <row r="2421" spans="6:8" x14ac:dyDescent="0.2">
      <c r="F2421" s="72">
        <v>41412</v>
      </c>
      <c r="G2421" s="2">
        <v>3020000</v>
      </c>
      <c r="H2421" s="2">
        <v>343000</v>
      </c>
    </row>
    <row r="2422" spans="6:8" x14ac:dyDescent="0.2">
      <c r="F2422" s="72">
        <v>41419</v>
      </c>
      <c r="G2422" s="2">
        <v>3012000</v>
      </c>
      <c r="H2422" s="2">
        <v>353000</v>
      </c>
    </row>
    <row r="2423" spans="6:8" x14ac:dyDescent="0.2">
      <c r="F2423" s="72">
        <v>41426</v>
      </c>
      <c r="G2423" s="2">
        <v>2999000</v>
      </c>
      <c r="H2423" s="2">
        <v>346000</v>
      </c>
    </row>
    <row r="2424" spans="6:8" x14ac:dyDescent="0.2">
      <c r="F2424" s="72">
        <v>41433</v>
      </c>
      <c r="G2424" s="2">
        <v>3004000</v>
      </c>
      <c r="H2424" s="2">
        <v>337000</v>
      </c>
    </row>
    <row r="2425" spans="6:8" x14ac:dyDescent="0.2">
      <c r="F2425" s="72">
        <v>41440</v>
      </c>
      <c r="G2425" s="2">
        <v>2996000</v>
      </c>
      <c r="H2425" s="2">
        <v>353000</v>
      </c>
    </row>
    <row r="2426" spans="6:8" x14ac:dyDescent="0.2">
      <c r="F2426" s="72">
        <v>41447</v>
      </c>
      <c r="G2426" s="2">
        <v>2962000</v>
      </c>
      <c r="H2426" s="2">
        <v>347000</v>
      </c>
    </row>
    <row r="2427" spans="6:8" x14ac:dyDescent="0.2">
      <c r="F2427" s="72">
        <v>41454</v>
      </c>
      <c r="G2427" s="2">
        <v>3003000</v>
      </c>
      <c r="H2427" s="2">
        <v>340000</v>
      </c>
    </row>
    <row r="2428" spans="6:8" x14ac:dyDescent="0.2">
      <c r="F2428" s="72">
        <v>41461</v>
      </c>
      <c r="G2428" s="2">
        <v>3113000</v>
      </c>
      <c r="H2428" s="2">
        <v>351000</v>
      </c>
    </row>
    <row r="2429" spans="6:8" x14ac:dyDescent="0.2">
      <c r="F2429" s="72">
        <v>41468</v>
      </c>
      <c r="G2429" s="2">
        <v>3011000</v>
      </c>
      <c r="H2429" s="2">
        <v>344000</v>
      </c>
    </row>
    <row r="2430" spans="6:8" x14ac:dyDescent="0.2">
      <c r="F2430" s="72">
        <v>41475</v>
      </c>
      <c r="G2430" s="2">
        <v>2947000</v>
      </c>
      <c r="H2430" s="2">
        <v>355000</v>
      </c>
    </row>
    <row r="2431" spans="6:8" x14ac:dyDescent="0.2">
      <c r="F2431" s="72">
        <v>41482</v>
      </c>
      <c r="G2431" s="2">
        <v>3010000</v>
      </c>
      <c r="H2431" s="2">
        <v>334000</v>
      </c>
    </row>
    <row r="2432" spans="6:8" x14ac:dyDescent="0.2">
      <c r="F2432" s="72">
        <v>41489</v>
      </c>
      <c r="G2432" s="2">
        <v>2944000</v>
      </c>
      <c r="H2432" s="2">
        <v>339000</v>
      </c>
    </row>
    <row r="2433" spans="6:8" x14ac:dyDescent="0.2">
      <c r="F2433" s="72">
        <v>41496</v>
      </c>
      <c r="G2433" s="2">
        <v>2987000</v>
      </c>
      <c r="H2433" s="2">
        <v>327000</v>
      </c>
    </row>
    <row r="2434" spans="6:8" x14ac:dyDescent="0.2">
      <c r="F2434" s="72">
        <v>41503</v>
      </c>
      <c r="G2434" s="2">
        <v>2968000</v>
      </c>
      <c r="H2434" s="2">
        <v>340000</v>
      </c>
    </row>
    <row r="2435" spans="6:8" x14ac:dyDescent="0.2">
      <c r="F2435" s="72">
        <v>41510</v>
      </c>
      <c r="G2435" s="2">
        <v>2934000</v>
      </c>
      <c r="H2435" s="2">
        <v>336000</v>
      </c>
    </row>
    <row r="2436" spans="6:8" x14ac:dyDescent="0.2">
      <c r="F2436" s="72">
        <v>41517</v>
      </c>
      <c r="G2436" s="2">
        <v>2839000</v>
      </c>
      <c r="H2436" s="2">
        <v>325000</v>
      </c>
    </row>
    <row r="2437" spans="6:8" x14ac:dyDescent="0.2">
      <c r="F2437" s="72">
        <v>41524</v>
      </c>
      <c r="G2437" s="2">
        <v>2822000</v>
      </c>
      <c r="H2437" s="2">
        <v>300000</v>
      </c>
    </row>
    <row r="2438" spans="6:8" x14ac:dyDescent="0.2">
      <c r="F2438" s="72">
        <v>41531</v>
      </c>
      <c r="G2438" s="2">
        <v>2863000</v>
      </c>
      <c r="H2438" s="2">
        <v>323000</v>
      </c>
    </row>
    <row r="2439" spans="6:8" x14ac:dyDescent="0.2">
      <c r="F2439" s="72">
        <v>41538</v>
      </c>
      <c r="G2439" s="2">
        <v>2954000</v>
      </c>
      <c r="H2439" s="2">
        <v>314000</v>
      </c>
    </row>
    <row r="2440" spans="6:8" x14ac:dyDescent="0.2">
      <c r="F2440" s="72">
        <v>41545</v>
      </c>
      <c r="G2440" s="2">
        <v>2944000</v>
      </c>
      <c r="H2440" s="2">
        <v>319000</v>
      </c>
    </row>
    <row r="2441" spans="6:8" x14ac:dyDescent="0.2">
      <c r="F2441" s="72">
        <v>41552</v>
      </c>
      <c r="G2441" s="2">
        <v>2929000</v>
      </c>
      <c r="H2441" s="2">
        <v>368000</v>
      </c>
    </row>
    <row r="2442" spans="6:8" x14ac:dyDescent="0.2">
      <c r="F2442" s="72">
        <v>41559</v>
      </c>
      <c r="G2442" s="2">
        <v>2925000</v>
      </c>
      <c r="H2442" s="2">
        <v>368000</v>
      </c>
    </row>
    <row r="2443" spans="6:8" x14ac:dyDescent="0.2">
      <c r="F2443" s="72">
        <v>41566</v>
      </c>
      <c r="G2443" s="2">
        <v>2933000</v>
      </c>
      <c r="H2443" s="2">
        <v>351000</v>
      </c>
    </row>
    <row r="2444" spans="6:8" x14ac:dyDescent="0.2">
      <c r="F2444" s="72">
        <v>41573</v>
      </c>
      <c r="G2444" s="2">
        <v>2927000</v>
      </c>
      <c r="H2444" s="2">
        <v>347000</v>
      </c>
    </row>
    <row r="2445" spans="6:8" x14ac:dyDescent="0.2">
      <c r="F2445" s="72">
        <v>41580</v>
      </c>
      <c r="G2445" s="2">
        <v>2873000</v>
      </c>
      <c r="H2445" s="2">
        <v>342000</v>
      </c>
    </row>
    <row r="2446" spans="6:8" x14ac:dyDescent="0.2">
      <c r="F2446" s="72">
        <v>41587</v>
      </c>
      <c r="G2446" s="2">
        <v>2925000</v>
      </c>
      <c r="H2446" s="2">
        <v>340000</v>
      </c>
    </row>
    <row r="2447" spans="6:8" x14ac:dyDescent="0.2">
      <c r="F2447" s="72">
        <v>41594</v>
      </c>
      <c r="G2447" s="2">
        <v>2837000</v>
      </c>
      <c r="H2447" s="2">
        <v>331000</v>
      </c>
    </row>
    <row r="2448" spans="6:8" x14ac:dyDescent="0.2">
      <c r="F2448" s="72">
        <v>41601</v>
      </c>
      <c r="G2448" s="2">
        <v>2813000</v>
      </c>
      <c r="H2448" s="2">
        <v>316000</v>
      </c>
    </row>
    <row r="2449" spans="6:8" x14ac:dyDescent="0.2">
      <c r="F2449" s="72">
        <v>41608</v>
      </c>
      <c r="G2449" s="2">
        <v>2808000</v>
      </c>
      <c r="H2449" s="2">
        <v>312000</v>
      </c>
    </row>
    <row r="2450" spans="6:8" x14ac:dyDescent="0.2">
      <c r="F2450" s="72">
        <v>41615</v>
      </c>
      <c r="G2450" s="2">
        <v>2892000</v>
      </c>
      <c r="H2450" s="2">
        <v>354000</v>
      </c>
    </row>
    <row r="2451" spans="6:8" x14ac:dyDescent="0.2">
      <c r="F2451" s="72">
        <v>41622</v>
      </c>
      <c r="G2451" s="2">
        <v>2903000</v>
      </c>
      <c r="H2451" s="2">
        <v>364000</v>
      </c>
    </row>
    <row r="2452" spans="6:8" x14ac:dyDescent="0.2">
      <c r="F2452" s="72">
        <v>41629</v>
      </c>
      <c r="G2452" s="2">
        <v>2832000</v>
      </c>
      <c r="H2452" s="2">
        <v>334000</v>
      </c>
    </row>
    <row r="2453" spans="6:8" x14ac:dyDescent="0.2">
      <c r="F2453" s="72">
        <v>41636</v>
      </c>
      <c r="G2453" s="2">
        <v>2807000</v>
      </c>
      <c r="H2453" s="2">
        <v>332000</v>
      </c>
    </row>
    <row r="2454" spans="6:8" x14ac:dyDescent="0.2">
      <c r="F2454" s="72">
        <v>41643</v>
      </c>
      <c r="G2454" s="2">
        <v>2903000</v>
      </c>
      <c r="H2454" s="2">
        <v>322000</v>
      </c>
    </row>
    <row r="2455" spans="6:8" x14ac:dyDescent="0.2">
      <c r="F2455" s="72">
        <v>41650</v>
      </c>
      <c r="G2455" s="2">
        <v>2907000</v>
      </c>
      <c r="H2455" s="2">
        <v>318000</v>
      </c>
    </row>
    <row r="2456" spans="6:8" x14ac:dyDescent="0.2">
      <c r="F2456" s="72">
        <v>41657</v>
      </c>
      <c r="G2456" s="2">
        <v>2847000</v>
      </c>
      <c r="H2456" s="2">
        <v>327000</v>
      </c>
    </row>
    <row r="2457" spans="6:8" x14ac:dyDescent="0.2">
      <c r="F2457" s="72">
        <v>41664</v>
      </c>
      <c r="G2457" s="2">
        <v>2850000</v>
      </c>
      <c r="H2457" s="2">
        <v>340000</v>
      </c>
    </row>
    <row r="2458" spans="6:8" x14ac:dyDescent="0.2">
      <c r="F2458" s="72">
        <v>41671</v>
      </c>
      <c r="G2458" s="2">
        <v>2852000</v>
      </c>
      <c r="H2458" s="2">
        <v>331000</v>
      </c>
    </row>
    <row r="2459" spans="6:8" x14ac:dyDescent="0.2">
      <c r="F2459" s="72">
        <v>41678</v>
      </c>
      <c r="G2459" s="2">
        <v>2859000</v>
      </c>
      <c r="H2459" s="2">
        <v>337000</v>
      </c>
    </row>
    <row r="2460" spans="6:8" x14ac:dyDescent="0.2">
      <c r="F2460" s="72">
        <v>41685</v>
      </c>
      <c r="G2460" s="2">
        <v>2861000</v>
      </c>
      <c r="H2460" s="2">
        <v>332000</v>
      </c>
    </row>
    <row r="2461" spans="6:8" x14ac:dyDescent="0.2">
      <c r="F2461" s="72">
        <v>41692</v>
      </c>
      <c r="G2461" s="2">
        <v>2823000</v>
      </c>
      <c r="H2461" s="2">
        <v>341000</v>
      </c>
    </row>
    <row r="2462" spans="6:8" x14ac:dyDescent="0.2">
      <c r="F2462" s="72">
        <v>41699</v>
      </c>
      <c r="G2462" s="2">
        <v>2787000</v>
      </c>
      <c r="H2462" s="2">
        <v>319000</v>
      </c>
    </row>
    <row r="2463" spans="6:8" x14ac:dyDescent="0.2">
      <c r="F2463" s="72">
        <v>41706</v>
      </c>
      <c r="G2463" s="2">
        <v>2816000</v>
      </c>
      <c r="H2463" s="2">
        <v>322000</v>
      </c>
    </row>
    <row r="2464" spans="6:8" x14ac:dyDescent="0.2">
      <c r="F2464" s="72">
        <v>41713</v>
      </c>
      <c r="G2464" s="2">
        <v>2764000</v>
      </c>
      <c r="H2464" s="2">
        <v>321000</v>
      </c>
    </row>
    <row r="2465" spans="6:8" x14ac:dyDescent="0.2">
      <c r="F2465" s="72">
        <v>41720</v>
      </c>
      <c r="G2465" s="2">
        <v>2800000</v>
      </c>
      <c r="H2465" s="2">
        <v>313000</v>
      </c>
    </row>
    <row r="2466" spans="6:8" x14ac:dyDescent="0.2">
      <c r="F2466" s="72">
        <v>41727</v>
      </c>
      <c r="G2466" s="2">
        <v>2729000</v>
      </c>
      <c r="H2466" s="2">
        <v>330000</v>
      </c>
    </row>
    <row r="2467" spans="6:8" x14ac:dyDescent="0.2">
      <c r="F2467" s="72">
        <v>41734</v>
      </c>
      <c r="G2467" s="2">
        <v>2730000</v>
      </c>
      <c r="H2467" s="2">
        <v>311000</v>
      </c>
    </row>
    <row r="2468" spans="6:8" x14ac:dyDescent="0.2">
      <c r="F2468" s="72">
        <v>41741</v>
      </c>
      <c r="G2468" s="2">
        <v>2680000</v>
      </c>
      <c r="H2468" s="2">
        <v>308000</v>
      </c>
    </row>
    <row r="2469" spans="6:8" x14ac:dyDescent="0.2">
      <c r="F2469" s="72">
        <v>41748</v>
      </c>
      <c r="G2469" s="2">
        <v>2767000</v>
      </c>
      <c r="H2469" s="2">
        <v>327000</v>
      </c>
    </row>
    <row r="2470" spans="6:8" x14ac:dyDescent="0.2">
      <c r="F2470" s="72">
        <v>41755</v>
      </c>
      <c r="G2470" s="2">
        <v>2707000</v>
      </c>
      <c r="H2470" s="2">
        <v>345000</v>
      </c>
    </row>
    <row r="2471" spans="6:8" x14ac:dyDescent="0.2">
      <c r="F2471" s="72">
        <v>41762</v>
      </c>
      <c r="G2471" s="2">
        <v>2702000</v>
      </c>
      <c r="H2471" s="2">
        <v>325000</v>
      </c>
    </row>
    <row r="2472" spans="6:8" x14ac:dyDescent="0.2">
      <c r="F2472" s="72">
        <v>41769</v>
      </c>
      <c r="G2472" s="2">
        <v>2691000</v>
      </c>
      <c r="H2472" s="2">
        <v>303000</v>
      </c>
    </row>
    <row r="2473" spans="6:8" x14ac:dyDescent="0.2">
      <c r="F2473" s="72">
        <v>41776</v>
      </c>
      <c r="G2473" s="2">
        <v>2657000</v>
      </c>
      <c r="H2473" s="2">
        <v>324000</v>
      </c>
    </row>
    <row r="2474" spans="6:8" x14ac:dyDescent="0.2">
      <c r="F2474" s="72">
        <v>41783</v>
      </c>
      <c r="G2474" s="2">
        <v>2646000</v>
      </c>
      <c r="H2474" s="2">
        <v>305000</v>
      </c>
    </row>
    <row r="2475" spans="6:8" x14ac:dyDescent="0.2">
      <c r="F2475" s="72">
        <v>41790</v>
      </c>
      <c r="G2475" s="2">
        <v>2641000</v>
      </c>
      <c r="H2475" s="2">
        <v>312000</v>
      </c>
    </row>
    <row r="2476" spans="6:8" x14ac:dyDescent="0.2">
      <c r="F2476" s="72">
        <v>41797</v>
      </c>
      <c r="G2476" s="2">
        <v>2598000</v>
      </c>
      <c r="H2476" s="2">
        <v>317000</v>
      </c>
    </row>
    <row r="2477" spans="6:8" x14ac:dyDescent="0.2">
      <c r="F2477" s="72">
        <v>41804</v>
      </c>
      <c r="G2477" s="2">
        <v>2595000</v>
      </c>
      <c r="H2477" s="2">
        <v>314000</v>
      </c>
    </row>
    <row r="2478" spans="6:8" x14ac:dyDescent="0.2">
      <c r="F2478" s="72">
        <v>41811</v>
      </c>
      <c r="G2478" s="2">
        <v>2583000</v>
      </c>
      <c r="H2478" s="2">
        <v>315000</v>
      </c>
    </row>
    <row r="2479" spans="6:8" x14ac:dyDescent="0.2">
      <c r="F2479" s="72">
        <v>41818</v>
      </c>
      <c r="G2479" s="2">
        <v>2579000</v>
      </c>
      <c r="H2479" s="2">
        <v>308000</v>
      </c>
    </row>
    <row r="2480" spans="6:8" x14ac:dyDescent="0.2">
      <c r="F2480" s="72">
        <v>41825</v>
      </c>
      <c r="G2480" s="2">
        <v>2540000</v>
      </c>
      <c r="H2480" s="2">
        <v>302000</v>
      </c>
    </row>
    <row r="2481" spans="6:8" x14ac:dyDescent="0.2">
      <c r="F2481" s="72">
        <v>41832</v>
      </c>
      <c r="G2481" s="2">
        <v>2528000</v>
      </c>
      <c r="H2481" s="2">
        <v>308000</v>
      </c>
    </row>
    <row r="2482" spans="6:8" x14ac:dyDescent="0.2">
      <c r="F2482" s="72">
        <v>41839</v>
      </c>
      <c r="G2482" s="2">
        <v>2542000</v>
      </c>
      <c r="H2482" s="2">
        <v>294000</v>
      </c>
    </row>
    <row r="2483" spans="6:8" x14ac:dyDescent="0.2">
      <c r="F2483" s="72">
        <v>41846</v>
      </c>
      <c r="G2483" s="2">
        <v>2524000</v>
      </c>
      <c r="H2483" s="2">
        <v>303000</v>
      </c>
    </row>
    <row r="2484" spans="6:8" x14ac:dyDescent="0.2">
      <c r="F2484" s="72">
        <v>41853</v>
      </c>
      <c r="G2484" s="2">
        <v>2530000</v>
      </c>
      <c r="H2484" s="2">
        <v>295000</v>
      </c>
    </row>
    <row r="2485" spans="6:8" x14ac:dyDescent="0.2">
      <c r="F2485" s="72">
        <v>41860</v>
      </c>
      <c r="G2485" s="2">
        <v>2508000</v>
      </c>
      <c r="H2485" s="2">
        <v>309000</v>
      </c>
    </row>
    <row r="2486" spans="6:8" x14ac:dyDescent="0.2">
      <c r="F2486" s="72">
        <v>41867</v>
      </c>
      <c r="G2486" s="2">
        <v>2517000</v>
      </c>
      <c r="H2486" s="2">
        <v>303000</v>
      </c>
    </row>
    <row r="2487" spans="6:8" x14ac:dyDescent="0.2">
      <c r="F2487" s="72">
        <v>41874</v>
      </c>
      <c r="G2487" s="2">
        <v>2483000</v>
      </c>
      <c r="H2487" s="2">
        <v>300000</v>
      </c>
    </row>
    <row r="2488" spans="6:8" x14ac:dyDescent="0.2">
      <c r="F2488" s="72">
        <v>41881</v>
      </c>
      <c r="G2488" s="2">
        <v>2486000</v>
      </c>
      <c r="H2488" s="2">
        <v>303000</v>
      </c>
    </row>
    <row r="2489" spans="6:8" x14ac:dyDescent="0.2">
      <c r="F2489" s="72">
        <v>41888</v>
      </c>
      <c r="G2489" s="2">
        <v>2452000</v>
      </c>
      <c r="H2489" s="2">
        <v>307000</v>
      </c>
    </row>
    <row r="2490" spans="6:8" x14ac:dyDescent="0.2">
      <c r="F2490" s="72">
        <v>41895</v>
      </c>
      <c r="G2490" s="2">
        <v>2465000</v>
      </c>
      <c r="H2490" s="2">
        <v>288000</v>
      </c>
    </row>
    <row r="2491" spans="6:8" x14ac:dyDescent="0.2">
      <c r="F2491" s="72">
        <v>41902</v>
      </c>
      <c r="G2491" s="2">
        <v>2447000</v>
      </c>
      <c r="H2491" s="2">
        <v>295000</v>
      </c>
    </row>
    <row r="2492" spans="6:8" x14ac:dyDescent="0.2">
      <c r="F2492" s="72">
        <v>41909</v>
      </c>
      <c r="G2492" s="2">
        <v>2427000</v>
      </c>
      <c r="H2492" s="2">
        <v>290000</v>
      </c>
    </row>
    <row r="2493" spans="6:8" x14ac:dyDescent="0.2">
      <c r="F2493" s="72">
        <v>41916</v>
      </c>
      <c r="G2493" s="2">
        <v>2441000</v>
      </c>
      <c r="H2493" s="2">
        <v>293000</v>
      </c>
    </row>
    <row r="2494" spans="6:8" x14ac:dyDescent="0.2">
      <c r="F2494" s="72">
        <v>41923</v>
      </c>
      <c r="G2494" s="2">
        <v>2409000</v>
      </c>
      <c r="H2494" s="2">
        <v>281000</v>
      </c>
    </row>
    <row r="2495" spans="6:8" x14ac:dyDescent="0.2">
      <c r="F2495" s="72">
        <v>41930</v>
      </c>
      <c r="G2495" s="2">
        <v>2437000</v>
      </c>
      <c r="H2495" s="2">
        <v>290000</v>
      </c>
    </row>
    <row r="2496" spans="6:8" x14ac:dyDescent="0.2">
      <c r="F2496" s="72">
        <v>41937</v>
      </c>
      <c r="G2496" s="2">
        <v>2406000</v>
      </c>
      <c r="H2496" s="2">
        <v>291000</v>
      </c>
    </row>
    <row r="2497" spans="6:8" x14ac:dyDescent="0.2">
      <c r="F2497" s="72">
        <v>41944</v>
      </c>
      <c r="G2497" s="2">
        <v>2436000</v>
      </c>
      <c r="H2497" s="2">
        <v>280000</v>
      </c>
    </row>
    <row r="2498" spans="6:8" x14ac:dyDescent="0.2">
      <c r="F2498" s="72">
        <v>41951</v>
      </c>
      <c r="G2498" s="2">
        <v>2384000</v>
      </c>
      <c r="H2498" s="2">
        <v>291000</v>
      </c>
    </row>
    <row r="2499" spans="6:8" x14ac:dyDescent="0.2">
      <c r="F2499" s="72">
        <v>41958</v>
      </c>
      <c r="G2499" s="2">
        <v>2351000</v>
      </c>
      <c r="H2499" s="2">
        <v>293000</v>
      </c>
    </row>
    <row r="2500" spans="6:8" x14ac:dyDescent="0.2">
      <c r="F2500" s="72">
        <v>41965</v>
      </c>
      <c r="G2500" s="2">
        <v>2389000</v>
      </c>
      <c r="H2500" s="2">
        <v>303000</v>
      </c>
    </row>
    <row r="2501" spans="6:8" x14ac:dyDescent="0.2">
      <c r="F2501" s="72">
        <v>41972</v>
      </c>
      <c r="G2501" s="2">
        <v>2484000</v>
      </c>
      <c r="H2501" s="2">
        <v>291000</v>
      </c>
    </row>
    <row r="2502" spans="6:8" x14ac:dyDescent="0.2">
      <c r="F2502" s="72">
        <v>41979</v>
      </c>
      <c r="G2502" s="2">
        <v>2381000</v>
      </c>
      <c r="H2502" s="2">
        <v>291000</v>
      </c>
    </row>
    <row r="2503" spans="6:8" x14ac:dyDescent="0.2">
      <c r="F2503" s="72">
        <v>41986</v>
      </c>
      <c r="G2503" s="2">
        <v>2379000</v>
      </c>
      <c r="H2503" s="2">
        <v>286000</v>
      </c>
    </row>
    <row r="2504" spans="6:8" x14ac:dyDescent="0.2">
      <c r="F2504" s="72">
        <v>41993</v>
      </c>
      <c r="G2504" s="2">
        <v>2338000</v>
      </c>
      <c r="H2504" s="2">
        <v>276000</v>
      </c>
    </row>
    <row r="2505" spans="6:8" x14ac:dyDescent="0.2">
      <c r="F2505" s="72">
        <v>42000</v>
      </c>
      <c r="G2505" s="2">
        <v>2422000</v>
      </c>
      <c r="H2505" s="2">
        <v>285000</v>
      </c>
    </row>
    <row r="2506" spans="6:8" x14ac:dyDescent="0.2">
      <c r="F2506" s="72">
        <v>42007</v>
      </c>
      <c r="G2506" s="2">
        <v>2381000</v>
      </c>
      <c r="H2506" s="2">
        <v>294000</v>
      </c>
    </row>
    <row r="2507" spans="6:8" x14ac:dyDescent="0.2">
      <c r="F2507" s="72">
        <v>42014</v>
      </c>
      <c r="G2507" s="2">
        <v>2400000</v>
      </c>
      <c r="H2507" s="2">
        <v>304000</v>
      </c>
    </row>
    <row r="2508" spans="6:8" x14ac:dyDescent="0.2">
      <c r="F2508" s="72">
        <v>42021</v>
      </c>
      <c r="G2508" s="2">
        <v>2336000</v>
      </c>
      <c r="H2508" s="2">
        <v>298000</v>
      </c>
    </row>
    <row r="2509" spans="6:8" x14ac:dyDescent="0.2">
      <c r="F2509" s="72">
        <v>42028</v>
      </c>
      <c r="G2509" s="2">
        <v>2335000</v>
      </c>
      <c r="H2509" s="2">
        <v>261000</v>
      </c>
    </row>
    <row r="2510" spans="6:8" x14ac:dyDescent="0.2">
      <c r="F2510" s="72">
        <v>42035</v>
      </c>
      <c r="G2510" s="2">
        <v>2297000</v>
      </c>
      <c r="H2510" s="2">
        <v>281000</v>
      </c>
    </row>
    <row r="2511" spans="6:8" x14ac:dyDescent="0.2">
      <c r="F2511" s="72">
        <v>42042</v>
      </c>
      <c r="G2511" s="2">
        <v>2344000</v>
      </c>
      <c r="H2511" s="2">
        <v>298000</v>
      </c>
    </row>
    <row r="2512" spans="6:8" x14ac:dyDescent="0.2">
      <c r="F2512" s="72">
        <v>42049</v>
      </c>
      <c r="G2512" s="2">
        <v>2319000</v>
      </c>
      <c r="H2512" s="2">
        <v>285000</v>
      </c>
    </row>
    <row r="2513" spans="6:8" x14ac:dyDescent="0.2">
      <c r="F2513" s="72">
        <v>42056</v>
      </c>
      <c r="G2513" s="2">
        <v>2341000</v>
      </c>
      <c r="H2513" s="2">
        <v>305000</v>
      </c>
    </row>
    <row r="2514" spans="6:8" x14ac:dyDescent="0.2">
      <c r="F2514" s="72">
        <v>42063</v>
      </c>
      <c r="G2514" s="2">
        <v>2357000</v>
      </c>
      <c r="H2514" s="2">
        <v>317000</v>
      </c>
    </row>
    <row r="2515" spans="6:8" x14ac:dyDescent="0.2">
      <c r="F2515" s="72">
        <v>42070</v>
      </c>
      <c r="G2515" s="2">
        <v>2361000</v>
      </c>
      <c r="H2515" s="2">
        <v>293000</v>
      </c>
    </row>
    <row r="2516" spans="6:8" x14ac:dyDescent="0.2">
      <c r="F2516" s="72">
        <v>42077</v>
      </c>
      <c r="G2516" s="2">
        <v>2361000</v>
      </c>
      <c r="H2516" s="2">
        <v>290000</v>
      </c>
    </row>
    <row r="2517" spans="6:8" x14ac:dyDescent="0.2">
      <c r="F2517" s="72">
        <v>42084</v>
      </c>
      <c r="G2517" s="2">
        <v>2306000</v>
      </c>
      <c r="H2517" s="2">
        <v>284000</v>
      </c>
    </row>
    <row r="2518" spans="6:8" x14ac:dyDescent="0.2">
      <c r="F2518" s="72">
        <v>42091</v>
      </c>
      <c r="G2518" s="2">
        <v>2278000</v>
      </c>
      <c r="H2518" s="2">
        <v>269000</v>
      </c>
    </row>
    <row r="2519" spans="6:8" x14ac:dyDescent="0.2">
      <c r="F2519" s="72">
        <v>42098</v>
      </c>
      <c r="G2519" s="2">
        <v>2273000</v>
      </c>
      <c r="H2519" s="2">
        <v>282000</v>
      </c>
    </row>
    <row r="2520" spans="6:8" x14ac:dyDescent="0.2">
      <c r="F2520" s="72">
        <v>42105</v>
      </c>
      <c r="G2520" s="2">
        <v>2320000</v>
      </c>
      <c r="H2520" s="2">
        <v>298000</v>
      </c>
    </row>
    <row r="2521" spans="6:8" x14ac:dyDescent="0.2">
      <c r="F2521" s="72">
        <v>42112</v>
      </c>
      <c r="G2521" s="2">
        <v>2279000</v>
      </c>
      <c r="H2521" s="2">
        <v>295000</v>
      </c>
    </row>
    <row r="2522" spans="6:8" x14ac:dyDescent="0.2">
      <c r="F2522" s="72">
        <v>42119</v>
      </c>
      <c r="G2522" s="2">
        <v>2254000</v>
      </c>
      <c r="H2522" s="2">
        <v>269000</v>
      </c>
    </row>
    <row r="2523" spans="6:8" x14ac:dyDescent="0.2">
      <c r="F2523" s="72">
        <v>42126</v>
      </c>
      <c r="G2523" s="2">
        <v>2261000</v>
      </c>
      <c r="H2523" s="2">
        <v>267000</v>
      </c>
    </row>
    <row r="2524" spans="6:8" x14ac:dyDescent="0.2">
      <c r="F2524" s="72">
        <v>42133</v>
      </c>
      <c r="G2524" s="2">
        <v>2253000</v>
      </c>
      <c r="H2524" s="2">
        <v>271000</v>
      </c>
    </row>
    <row r="2525" spans="6:8" x14ac:dyDescent="0.2">
      <c r="F2525" s="72">
        <v>42140</v>
      </c>
      <c r="G2525" s="2">
        <v>2258000</v>
      </c>
      <c r="H2525" s="2">
        <v>276000</v>
      </c>
    </row>
    <row r="2526" spans="6:8" x14ac:dyDescent="0.2">
      <c r="F2526" s="72">
        <v>42147</v>
      </c>
      <c r="G2526" s="2">
        <v>2236000</v>
      </c>
      <c r="H2526" s="2">
        <v>281000</v>
      </c>
    </row>
    <row r="2527" spans="6:8" x14ac:dyDescent="0.2">
      <c r="F2527" s="72">
        <v>42154</v>
      </c>
      <c r="G2527" s="2">
        <v>2294000</v>
      </c>
      <c r="H2527" s="2">
        <v>275000</v>
      </c>
    </row>
    <row r="2528" spans="6:8" x14ac:dyDescent="0.2">
      <c r="F2528" s="72">
        <v>42161</v>
      </c>
      <c r="G2528" s="2">
        <v>2250000</v>
      </c>
      <c r="H2528" s="2">
        <v>278000</v>
      </c>
    </row>
    <row r="2529" spans="6:8" x14ac:dyDescent="0.2">
      <c r="F2529" s="72">
        <v>42168</v>
      </c>
      <c r="G2529" s="2">
        <v>2268000</v>
      </c>
      <c r="H2529" s="2">
        <v>269000</v>
      </c>
    </row>
    <row r="2530" spans="6:8" x14ac:dyDescent="0.2">
      <c r="F2530" s="72">
        <v>42175</v>
      </c>
      <c r="G2530" s="2">
        <v>2265000</v>
      </c>
      <c r="H2530" s="2">
        <v>273000</v>
      </c>
    </row>
    <row r="2531" spans="6:8" x14ac:dyDescent="0.2">
      <c r="F2531" s="72">
        <v>42182</v>
      </c>
      <c r="G2531" s="2">
        <v>2312000</v>
      </c>
      <c r="H2531" s="2">
        <v>275000</v>
      </c>
    </row>
    <row r="2532" spans="6:8" x14ac:dyDescent="0.2">
      <c r="F2532" s="72">
        <v>42189</v>
      </c>
      <c r="G2532" s="2">
        <v>2233000</v>
      </c>
      <c r="H2532" s="2">
        <v>292000</v>
      </c>
    </row>
    <row r="2533" spans="6:8" x14ac:dyDescent="0.2">
      <c r="F2533" s="72">
        <v>42196</v>
      </c>
      <c r="G2533" s="2">
        <v>2226000</v>
      </c>
      <c r="H2533" s="2">
        <v>285000</v>
      </c>
    </row>
    <row r="2534" spans="6:8" x14ac:dyDescent="0.2">
      <c r="F2534" s="72">
        <v>42203</v>
      </c>
      <c r="G2534" s="2">
        <v>2267000</v>
      </c>
      <c r="H2534" s="2">
        <v>265000</v>
      </c>
    </row>
    <row r="2535" spans="6:8" x14ac:dyDescent="0.2">
      <c r="F2535" s="72">
        <v>42210</v>
      </c>
      <c r="G2535" s="2">
        <v>2253000</v>
      </c>
      <c r="H2535" s="2">
        <v>269000</v>
      </c>
    </row>
    <row r="2536" spans="6:8" x14ac:dyDescent="0.2">
      <c r="F2536" s="72">
        <v>42217</v>
      </c>
      <c r="G2536" s="2">
        <v>2257000</v>
      </c>
      <c r="H2536" s="2">
        <v>270000</v>
      </c>
    </row>
    <row r="2537" spans="6:8" x14ac:dyDescent="0.2">
      <c r="F2537" s="72">
        <v>42224</v>
      </c>
      <c r="G2537" s="2">
        <v>2247000</v>
      </c>
      <c r="H2537" s="2">
        <v>274000</v>
      </c>
    </row>
    <row r="2538" spans="6:8" x14ac:dyDescent="0.2">
      <c r="F2538" s="72">
        <v>42231</v>
      </c>
      <c r="G2538" s="2">
        <v>2256000</v>
      </c>
      <c r="H2538" s="2">
        <v>279000</v>
      </c>
    </row>
    <row r="2539" spans="6:8" x14ac:dyDescent="0.2">
      <c r="F2539" s="72">
        <v>42238</v>
      </c>
      <c r="G2539" s="2">
        <v>2252000</v>
      </c>
      <c r="H2539" s="2">
        <v>274000</v>
      </c>
    </row>
    <row r="2540" spans="6:8" x14ac:dyDescent="0.2">
      <c r="F2540" s="72">
        <v>42245</v>
      </c>
      <c r="G2540" s="2">
        <v>2258000</v>
      </c>
      <c r="H2540" s="2">
        <v>279000</v>
      </c>
    </row>
    <row r="2541" spans="6:8" x14ac:dyDescent="0.2">
      <c r="F2541" s="72">
        <v>42252</v>
      </c>
      <c r="G2541" s="2">
        <v>2243000</v>
      </c>
      <c r="H2541" s="2">
        <v>273000</v>
      </c>
    </row>
    <row r="2542" spans="6:8" x14ac:dyDescent="0.2">
      <c r="F2542" s="72">
        <v>42259</v>
      </c>
      <c r="G2542" s="2">
        <v>2255000</v>
      </c>
      <c r="H2542" s="2">
        <v>264000</v>
      </c>
    </row>
    <row r="2543" spans="6:8" x14ac:dyDescent="0.2">
      <c r="F2543" s="72">
        <v>42266</v>
      </c>
      <c r="G2543" s="2">
        <v>2234000</v>
      </c>
      <c r="H2543" s="2">
        <v>269000</v>
      </c>
    </row>
    <row r="2544" spans="6:8" x14ac:dyDescent="0.2">
      <c r="F2544" s="72">
        <v>42273</v>
      </c>
      <c r="G2544" s="2">
        <v>2240000</v>
      </c>
      <c r="H2544" s="2">
        <v>272000</v>
      </c>
    </row>
    <row r="2545" spans="6:8" x14ac:dyDescent="0.2">
      <c r="F2545" s="72">
        <v>42280</v>
      </c>
      <c r="G2545" s="2">
        <v>2207000</v>
      </c>
      <c r="H2545" s="2">
        <v>267000</v>
      </c>
    </row>
    <row r="2546" spans="6:8" x14ac:dyDescent="0.2">
      <c r="F2546" s="72">
        <v>42287</v>
      </c>
      <c r="G2546" s="2">
        <v>2214000</v>
      </c>
      <c r="H2546" s="2">
        <v>265000</v>
      </c>
    </row>
    <row r="2547" spans="6:8" x14ac:dyDescent="0.2">
      <c r="F2547" s="72">
        <v>42294</v>
      </c>
      <c r="G2547" s="2">
        <v>2194000</v>
      </c>
      <c r="H2547" s="2">
        <v>264000</v>
      </c>
    </row>
    <row r="2548" spans="6:8" x14ac:dyDescent="0.2">
      <c r="F2548" s="72">
        <v>42301</v>
      </c>
      <c r="G2548" s="2">
        <v>2218000</v>
      </c>
      <c r="H2548" s="2">
        <v>264000</v>
      </c>
    </row>
    <row r="2549" spans="6:8" x14ac:dyDescent="0.2">
      <c r="F2549" s="72">
        <v>42308</v>
      </c>
      <c r="G2549" s="2">
        <v>2205000</v>
      </c>
      <c r="H2549" s="2">
        <v>275000</v>
      </c>
    </row>
    <row r="2550" spans="6:8" x14ac:dyDescent="0.2">
      <c r="F2550" s="72">
        <v>42315</v>
      </c>
      <c r="G2550" s="2">
        <v>2209000</v>
      </c>
      <c r="H2550" s="2">
        <v>276000</v>
      </c>
    </row>
    <row r="2551" spans="6:8" x14ac:dyDescent="0.2">
      <c r="F2551" s="72">
        <v>42322</v>
      </c>
      <c r="G2551" s="2">
        <v>2185000</v>
      </c>
      <c r="H2551" s="2">
        <v>272000</v>
      </c>
    </row>
    <row r="2552" spans="6:8" x14ac:dyDescent="0.2">
      <c r="F2552" s="72">
        <v>42329</v>
      </c>
      <c r="G2552" s="2">
        <v>2181000</v>
      </c>
      <c r="H2552" s="2">
        <v>261000</v>
      </c>
    </row>
    <row r="2553" spans="6:8" x14ac:dyDescent="0.2">
      <c r="F2553" s="72">
        <v>42336</v>
      </c>
      <c r="G2553" s="2">
        <v>2259000</v>
      </c>
      <c r="H2553" s="2">
        <v>265000</v>
      </c>
    </row>
    <row r="2554" spans="6:8" x14ac:dyDescent="0.2">
      <c r="F2554" s="72">
        <v>42343</v>
      </c>
      <c r="G2554" s="2">
        <v>2242000</v>
      </c>
      <c r="H2554" s="2">
        <v>280000</v>
      </c>
    </row>
    <row r="2555" spans="6:8" x14ac:dyDescent="0.2">
      <c r="F2555" s="72">
        <v>42350</v>
      </c>
      <c r="G2555" s="2">
        <v>2190000</v>
      </c>
      <c r="H2555" s="2">
        <v>268000</v>
      </c>
    </row>
    <row r="2556" spans="6:8" x14ac:dyDescent="0.2">
      <c r="F2556" s="72">
        <v>42357</v>
      </c>
      <c r="G2556" s="2">
        <v>2176000</v>
      </c>
      <c r="H2556" s="2">
        <v>260000</v>
      </c>
    </row>
    <row r="2557" spans="6:8" x14ac:dyDescent="0.2">
      <c r="F2557" s="72">
        <v>42364</v>
      </c>
      <c r="G2557" s="2">
        <v>2207000</v>
      </c>
      <c r="H2557" s="2">
        <v>276000</v>
      </c>
    </row>
    <row r="2558" spans="6:8" x14ac:dyDescent="0.2">
      <c r="F2558" s="72">
        <v>42371</v>
      </c>
      <c r="G2558" s="2">
        <v>2218000</v>
      </c>
      <c r="H2558" s="2">
        <v>273000</v>
      </c>
    </row>
    <row r="2559" spans="6:8" x14ac:dyDescent="0.2">
      <c r="F2559" s="72">
        <v>42378</v>
      </c>
      <c r="G2559" s="2">
        <v>2190000</v>
      </c>
      <c r="H2559" s="2">
        <v>284000</v>
      </c>
    </row>
    <row r="2560" spans="6:8" x14ac:dyDescent="0.2">
      <c r="F2560" s="72">
        <v>42385</v>
      </c>
      <c r="G2560" s="2">
        <v>2221000</v>
      </c>
      <c r="H2560" s="2">
        <v>290000</v>
      </c>
    </row>
    <row r="2561" spans="6:8" x14ac:dyDescent="0.2">
      <c r="F2561" s="72">
        <v>42392</v>
      </c>
      <c r="G2561" s="2">
        <v>2199000</v>
      </c>
      <c r="H2561" s="2">
        <v>269000</v>
      </c>
    </row>
    <row r="2562" spans="6:8" x14ac:dyDescent="0.2">
      <c r="F2562" s="72">
        <v>42399</v>
      </c>
      <c r="G2562" s="2">
        <v>2210000</v>
      </c>
      <c r="H2562" s="2">
        <v>282000</v>
      </c>
    </row>
    <row r="2563" spans="6:8" x14ac:dyDescent="0.2">
      <c r="F2563" s="72">
        <v>42406</v>
      </c>
      <c r="G2563" s="2">
        <v>2213000</v>
      </c>
      <c r="H2563" s="2">
        <v>266000</v>
      </c>
    </row>
    <row r="2564" spans="6:8" x14ac:dyDescent="0.2">
      <c r="F2564" s="72">
        <v>42413</v>
      </c>
      <c r="G2564" s="2">
        <v>2206000</v>
      </c>
      <c r="H2564" s="2">
        <v>262000</v>
      </c>
    </row>
    <row r="2565" spans="6:8" x14ac:dyDescent="0.2">
      <c r="F2565" s="72">
        <v>42420</v>
      </c>
      <c r="G2565" s="2">
        <v>2203000</v>
      </c>
      <c r="H2565" s="2">
        <v>270000</v>
      </c>
    </row>
    <row r="2566" spans="6:8" x14ac:dyDescent="0.2">
      <c r="F2566" s="72">
        <v>42427</v>
      </c>
      <c r="G2566" s="2">
        <v>2180000</v>
      </c>
      <c r="H2566" s="2">
        <v>269000</v>
      </c>
    </row>
    <row r="2567" spans="6:8" x14ac:dyDescent="0.2">
      <c r="F2567" s="72">
        <v>42434</v>
      </c>
      <c r="G2567" s="2">
        <v>2203000</v>
      </c>
      <c r="H2567" s="2">
        <v>255000</v>
      </c>
    </row>
    <row r="2568" spans="6:8" x14ac:dyDescent="0.2">
      <c r="F2568" s="72">
        <v>42441</v>
      </c>
      <c r="G2568" s="2">
        <v>2163000</v>
      </c>
      <c r="H2568" s="2">
        <v>263000</v>
      </c>
    </row>
    <row r="2569" spans="6:8" x14ac:dyDescent="0.2">
      <c r="F2569" s="72">
        <v>42448</v>
      </c>
      <c r="G2569" s="2">
        <v>2138000</v>
      </c>
      <c r="H2569" s="2">
        <v>264000</v>
      </c>
    </row>
    <row r="2570" spans="6:8" x14ac:dyDescent="0.2">
      <c r="F2570" s="72">
        <v>42455</v>
      </c>
      <c r="G2570" s="2">
        <v>2165000</v>
      </c>
      <c r="H2570" s="2">
        <v>271000</v>
      </c>
    </row>
    <row r="2571" spans="6:8" x14ac:dyDescent="0.2">
      <c r="F2571" s="72">
        <v>42462</v>
      </c>
      <c r="G2571" s="2">
        <v>2151000</v>
      </c>
      <c r="H2571" s="2">
        <v>273000</v>
      </c>
    </row>
    <row r="2572" spans="6:8" x14ac:dyDescent="0.2">
      <c r="F2572" s="72">
        <v>42469</v>
      </c>
      <c r="G2572" s="2">
        <v>2139000</v>
      </c>
      <c r="H2572" s="2">
        <v>263000</v>
      </c>
    </row>
    <row r="2573" spans="6:8" x14ac:dyDescent="0.2">
      <c r="F2573" s="72">
        <v>42476</v>
      </c>
      <c r="G2573" s="2">
        <v>2135000</v>
      </c>
      <c r="H2573" s="2">
        <v>257000</v>
      </c>
    </row>
    <row r="2574" spans="6:8" x14ac:dyDescent="0.2">
      <c r="F2574" s="72">
        <v>42483</v>
      </c>
      <c r="G2574" s="2">
        <v>2137000</v>
      </c>
      <c r="H2574" s="2">
        <v>259000</v>
      </c>
    </row>
    <row r="2575" spans="6:8" x14ac:dyDescent="0.2">
      <c r="F2575" s="72">
        <v>42490</v>
      </c>
      <c r="G2575" s="2">
        <v>2183000</v>
      </c>
      <c r="H2575" s="2">
        <v>278000</v>
      </c>
    </row>
    <row r="2576" spans="6:8" x14ac:dyDescent="0.2">
      <c r="F2576" s="72">
        <v>42497</v>
      </c>
      <c r="G2576" s="2">
        <v>2185000</v>
      </c>
      <c r="H2576" s="2">
        <v>289000</v>
      </c>
    </row>
    <row r="2577" spans="6:8" x14ac:dyDescent="0.2">
      <c r="F2577" s="72">
        <v>42504</v>
      </c>
      <c r="G2577" s="2">
        <v>2177000</v>
      </c>
      <c r="H2577" s="2">
        <v>279000</v>
      </c>
    </row>
    <row r="2578" spans="6:8" x14ac:dyDescent="0.2">
      <c r="F2578" s="72">
        <v>42511</v>
      </c>
      <c r="G2578" s="2">
        <v>2186000</v>
      </c>
      <c r="H2578" s="2">
        <v>267000</v>
      </c>
    </row>
    <row r="2579" spans="6:8" x14ac:dyDescent="0.2">
      <c r="F2579" s="72">
        <v>42518</v>
      </c>
      <c r="G2579" s="2">
        <v>2131000</v>
      </c>
      <c r="H2579" s="2">
        <v>263000</v>
      </c>
    </row>
    <row r="2580" spans="6:8" x14ac:dyDescent="0.2">
      <c r="F2580" s="72">
        <v>42525</v>
      </c>
      <c r="G2580" s="2">
        <v>2170000</v>
      </c>
      <c r="H2580" s="2">
        <v>265000</v>
      </c>
    </row>
    <row r="2581" spans="6:8" x14ac:dyDescent="0.2">
      <c r="F2581" s="72">
        <v>42532</v>
      </c>
      <c r="G2581" s="2">
        <v>2158000</v>
      </c>
      <c r="H2581" s="2">
        <v>273000</v>
      </c>
    </row>
    <row r="2582" spans="6:8" x14ac:dyDescent="0.2">
      <c r="F2582" s="72">
        <v>42539</v>
      </c>
      <c r="G2582" s="2">
        <v>2160000</v>
      </c>
      <c r="H2582" s="2">
        <v>261000</v>
      </c>
    </row>
    <row r="2583" spans="6:8" x14ac:dyDescent="0.2">
      <c r="F2583" s="72">
        <v>42546</v>
      </c>
      <c r="G2583" s="2">
        <v>2139000</v>
      </c>
      <c r="H2583" s="2">
        <v>262000</v>
      </c>
    </row>
    <row r="2584" spans="6:8" x14ac:dyDescent="0.2">
      <c r="F2584" s="72">
        <v>42553</v>
      </c>
      <c r="G2584" s="2">
        <v>2131000</v>
      </c>
      <c r="H2584" s="2">
        <v>255000</v>
      </c>
    </row>
    <row r="2585" spans="6:8" x14ac:dyDescent="0.2">
      <c r="F2585" s="72">
        <v>42560</v>
      </c>
      <c r="G2585" s="2">
        <v>2125000</v>
      </c>
      <c r="H2585" s="2">
        <v>252000</v>
      </c>
    </row>
    <row r="2586" spans="6:8" x14ac:dyDescent="0.2">
      <c r="F2586" s="72">
        <v>42567</v>
      </c>
      <c r="G2586" s="2">
        <v>2140000</v>
      </c>
      <c r="H2586" s="2">
        <v>260000</v>
      </c>
    </row>
    <row r="2587" spans="6:8" x14ac:dyDescent="0.2">
      <c r="F2587" s="72">
        <v>42574</v>
      </c>
      <c r="G2587" s="2">
        <v>2134000</v>
      </c>
      <c r="H2587" s="2">
        <v>264000</v>
      </c>
    </row>
    <row r="2588" spans="6:8" x14ac:dyDescent="0.2">
      <c r="F2588" s="72">
        <v>42581</v>
      </c>
      <c r="G2588" s="2">
        <v>2143000</v>
      </c>
      <c r="H2588" s="2">
        <v>266000</v>
      </c>
    </row>
    <row r="2589" spans="6:8" x14ac:dyDescent="0.2">
      <c r="F2589" s="72">
        <v>42588</v>
      </c>
      <c r="G2589" s="2">
        <v>2157000</v>
      </c>
      <c r="H2589" s="2">
        <v>265000</v>
      </c>
    </row>
    <row r="2590" spans="6:8" x14ac:dyDescent="0.2">
      <c r="F2590" s="72">
        <v>42595</v>
      </c>
      <c r="G2590" s="2">
        <v>2137000</v>
      </c>
      <c r="H2590" s="2">
        <v>264000</v>
      </c>
    </row>
    <row r="2591" spans="6:8" x14ac:dyDescent="0.2">
      <c r="F2591" s="72">
        <v>42602</v>
      </c>
      <c r="G2591" s="2">
        <v>2148000</v>
      </c>
      <c r="H2591" s="2">
        <v>264000</v>
      </c>
    </row>
    <row r="2592" spans="6:8" x14ac:dyDescent="0.2">
      <c r="F2592" s="72">
        <v>42609</v>
      </c>
      <c r="G2592" s="2">
        <v>2138000</v>
      </c>
      <c r="H2592" s="2">
        <v>261000</v>
      </c>
    </row>
    <row r="2593" spans="6:8" x14ac:dyDescent="0.2">
      <c r="F2593" s="72">
        <v>42616</v>
      </c>
      <c r="G2593" s="2">
        <v>2149000</v>
      </c>
      <c r="H2593" s="2">
        <v>257000</v>
      </c>
    </row>
    <row r="2594" spans="6:8" x14ac:dyDescent="0.2">
      <c r="F2594" s="72">
        <v>42623</v>
      </c>
      <c r="G2594" s="2">
        <v>2110000</v>
      </c>
      <c r="H2594" s="2">
        <v>252000</v>
      </c>
    </row>
    <row r="2595" spans="6:8" x14ac:dyDescent="0.2">
      <c r="F2595" s="72">
        <v>42630</v>
      </c>
      <c r="G2595" s="2">
        <v>2098000</v>
      </c>
      <c r="H2595" s="2">
        <v>250000</v>
      </c>
    </row>
    <row r="2596" spans="6:8" x14ac:dyDescent="0.2">
      <c r="F2596" s="72">
        <v>42637</v>
      </c>
      <c r="G2596" s="2">
        <v>2081000</v>
      </c>
      <c r="H2596" s="2">
        <v>247000</v>
      </c>
    </row>
    <row r="2597" spans="6:8" x14ac:dyDescent="0.2">
      <c r="F2597" s="72">
        <v>42644</v>
      </c>
      <c r="G2597" s="2">
        <v>2080000</v>
      </c>
      <c r="H2597" s="2">
        <v>245000</v>
      </c>
    </row>
    <row r="2598" spans="6:8" x14ac:dyDescent="0.2">
      <c r="F2598" s="72">
        <v>42651</v>
      </c>
      <c r="G2598" s="2">
        <v>2081000</v>
      </c>
      <c r="H2598" s="2">
        <v>250000</v>
      </c>
    </row>
    <row r="2599" spans="6:8" x14ac:dyDescent="0.2">
      <c r="F2599" s="72">
        <v>42658</v>
      </c>
      <c r="G2599" s="2">
        <v>2069000</v>
      </c>
      <c r="H2599" s="2">
        <v>263000</v>
      </c>
    </row>
    <row r="2600" spans="6:8" x14ac:dyDescent="0.2">
      <c r="F2600" s="72">
        <v>42665</v>
      </c>
      <c r="G2600" s="2">
        <v>2066000</v>
      </c>
      <c r="H2600" s="2">
        <v>256000</v>
      </c>
    </row>
    <row r="2601" spans="6:8" x14ac:dyDescent="0.2">
      <c r="F2601" s="72">
        <v>42672</v>
      </c>
      <c r="G2601" s="2">
        <v>2067000</v>
      </c>
      <c r="H2601" s="2">
        <v>265000</v>
      </c>
    </row>
    <row r="2602" spans="6:8" x14ac:dyDescent="0.2">
      <c r="F2602" s="72">
        <v>42679</v>
      </c>
      <c r="G2602" s="2">
        <v>2046000</v>
      </c>
      <c r="H2602" s="2">
        <v>250000</v>
      </c>
    </row>
    <row r="2603" spans="6:8" x14ac:dyDescent="0.2">
      <c r="F2603" s="72">
        <v>42686</v>
      </c>
      <c r="G2603" s="2">
        <v>2045000</v>
      </c>
      <c r="H2603" s="2">
        <v>232000</v>
      </c>
    </row>
    <row r="2604" spans="6:8" x14ac:dyDescent="0.2">
      <c r="F2604" s="72">
        <v>42693</v>
      </c>
      <c r="G2604" s="2">
        <v>2050000</v>
      </c>
      <c r="H2604" s="2">
        <v>246000</v>
      </c>
    </row>
    <row r="2605" spans="6:8" x14ac:dyDescent="0.2">
      <c r="F2605" s="72">
        <v>42700</v>
      </c>
      <c r="G2605" s="2">
        <v>2038000</v>
      </c>
      <c r="H2605" s="2">
        <v>255000</v>
      </c>
    </row>
    <row r="2606" spans="6:8" x14ac:dyDescent="0.2">
      <c r="F2606" s="72">
        <v>42707</v>
      </c>
      <c r="G2606" s="2">
        <v>2029000</v>
      </c>
      <c r="H2606" s="2">
        <v>248000</v>
      </c>
    </row>
    <row r="2607" spans="6:8" x14ac:dyDescent="0.2">
      <c r="F2607" s="72">
        <v>42714</v>
      </c>
      <c r="G2607" s="2">
        <v>2030000</v>
      </c>
      <c r="H2607" s="2">
        <v>252000</v>
      </c>
    </row>
    <row r="2608" spans="6:8" x14ac:dyDescent="0.2">
      <c r="F2608" s="72">
        <v>42721</v>
      </c>
      <c r="G2608" s="2">
        <v>2078000</v>
      </c>
      <c r="H2608" s="2">
        <v>260000</v>
      </c>
    </row>
    <row r="2609" spans="6:8" x14ac:dyDescent="0.2">
      <c r="F2609" s="72">
        <v>42728</v>
      </c>
      <c r="G2609" s="2">
        <v>2077000</v>
      </c>
      <c r="H2609" s="2">
        <v>257000</v>
      </c>
    </row>
    <row r="2610" spans="6:8" x14ac:dyDescent="0.2">
      <c r="F2610" s="72">
        <v>42735</v>
      </c>
      <c r="G2610" s="2">
        <v>2028000</v>
      </c>
      <c r="H2610" s="2">
        <v>244000</v>
      </c>
    </row>
    <row r="2611" spans="6:8" x14ac:dyDescent="0.2">
      <c r="F2611" s="72">
        <v>42742</v>
      </c>
      <c r="G2611" s="2">
        <v>2020000</v>
      </c>
      <c r="H2611" s="2">
        <v>243000</v>
      </c>
    </row>
    <row r="2612" spans="6:8" x14ac:dyDescent="0.2">
      <c r="F2612" s="72">
        <v>42749</v>
      </c>
      <c r="G2612" s="2">
        <v>2060000</v>
      </c>
      <c r="H2612" s="2">
        <v>244000</v>
      </c>
    </row>
    <row r="2613" spans="6:8" x14ac:dyDescent="0.2">
      <c r="F2613" s="72">
        <v>42756</v>
      </c>
      <c r="G2613" s="2">
        <v>2030000</v>
      </c>
      <c r="H2613" s="2">
        <v>254000</v>
      </c>
    </row>
    <row r="2614" spans="6:8" x14ac:dyDescent="0.2">
      <c r="F2614" s="72">
        <v>42763</v>
      </c>
      <c r="G2614" s="2">
        <v>2045000</v>
      </c>
      <c r="H2614" s="2">
        <v>245000</v>
      </c>
    </row>
    <row r="2615" spans="6:8" x14ac:dyDescent="0.2">
      <c r="F2615" s="72">
        <v>42770</v>
      </c>
      <c r="G2615" s="2">
        <v>2030000</v>
      </c>
      <c r="H2615" s="2">
        <v>237000</v>
      </c>
    </row>
    <row r="2616" spans="6:8" x14ac:dyDescent="0.2">
      <c r="F2616" s="72">
        <v>42777</v>
      </c>
      <c r="G2616" s="2">
        <v>2049000</v>
      </c>
      <c r="H2616" s="2">
        <v>243000</v>
      </c>
    </row>
    <row r="2617" spans="6:8" x14ac:dyDescent="0.2">
      <c r="F2617" s="72">
        <v>42784</v>
      </c>
      <c r="G2617" s="2">
        <v>2009000</v>
      </c>
      <c r="H2617" s="2">
        <v>248000</v>
      </c>
    </row>
    <row r="2618" spans="6:8" x14ac:dyDescent="0.2">
      <c r="F2618" s="72">
        <v>42791</v>
      </c>
      <c r="G2618" s="2">
        <v>2040000</v>
      </c>
      <c r="H2618" s="2">
        <v>231000</v>
      </c>
    </row>
    <row r="2619" spans="6:8" x14ac:dyDescent="0.2">
      <c r="F2619" s="72">
        <v>42798</v>
      </c>
      <c r="G2619" s="2">
        <v>2005000</v>
      </c>
      <c r="H2619" s="2">
        <v>246000</v>
      </c>
    </row>
    <row r="2620" spans="6:8" x14ac:dyDescent="0.2">
      <c r="F2620" s="72">
        <v>42805</v>
      </c>
      <c r="G2620" s="2">
        <v>1984000</v>
      </c>
      <c r="H2620" s="2">
        <v>244000</v>
      </c>
    </row>
    <row r="2621" spans="6:8" x14ac:dyDescent="0.2">
      <c r="F2621" s="72">
        <v>42812</v>
      </c>
      <c r="G2621" s="2">
        <v>1993000</v>
      </c>
      <c r="H2621" s="2">
        <v>255000</v>
      </c>
    </row>
    <row r="2622" spans="6:8" x14ac:dyDescent="0.2">
      <c r="F2622" s="72">
        <v>42819</v>
      </c>
      <c r="G2622" s="2">
        <v>2011000</v>
      </c>
      <c r="H2622" s="2">
        <v>256000</v>
      </c>
    </row>
    <row r="2623" spans="6:8" x14ac:dyDescent="0.2">
      <c r="F2623" s="72">
        <v>42826</v>
      </c>
      <c r="G2623" s="2">
        <v>1982000</v>
      </c>
      <c r="H2623" s="2">
        <v>237000</v>
      </c>
    </row>
    <row r="2624" spans="6:8" x14ac:dyDescent="0.2">
      <c r="F2624" s="72">
        <v>42833</v>
      </c>
      <c r="G2624" s="2">
        <v>1970000</v>
      </c>
      <c r="H2624" s="2">
        <v>238000</v>
      </c>
    </row>
    <row r="2625" spans="6:8" x14ac:dyDescent="0.2">
      <c r="F2625" s="72">
        <v>42840</v>
      </c>
      <c r="G2625" s="2">
        <v>1973000</v>
      </c>
      <c r="H2625" s="2">
        <v>242000</v>
      </c>
    </row>
    <row r="2626" spans="6:8" x14ac:dyDescent="0.2">
      <c r="F2626" s="72">
        <v>42847</v>
      </c>
      <c r="G2626" s="2">
        <v>1984000</v>
      </c>
      <c r="H2626" s="2">
        <v>252000</v>
      </c>
    </row>
    <row r="2627" spans="6:8" x14ac:dyDescent="0.2">
      <c r="F2627" s="72">
        <v>42854</v>
      </c>
      <c r="G2627" s="2">
        <v>1925000</v>
      </c>
      <c r="H2627" s="2">
        <v>241000</v>
      </c>
    </row>
    <row r="2628" spans="6:8" x14ac:dyDescent="0.2">
      <c r="F2628" s="72">
        <v>42861</v>
      </c>
      <c r="G2628" s="2">
        <v>1935000</v>
      </c>
      <c r="H2628" s="2">
        <v>237000</v>
      </c>
    </row>
    <row r="2629" spans="6:8" x14ac:dyDescent="0.2">
      <c r="F2629" s="72">
        <v>42868</v>
      </c>
      <c r="G2629" s="2">
        <v>1935000</v>
      </c>
      <c r="H2629" s="2">
        <v>237000</v>
      </c>
    </row>
    <row r="2630" spans="6:8" x14ac:dyDescent="0.2">
      <c r="F2630" s="72">
        <v>42875</v>
      </c>
      <c r="G2630" s="2">
        <v>1944000</v>
      </c>
      <c r="H2630" s="2">
        <v>234000</v>
      </c>
    </row>
    <row r="2631" spans="6:8" x14ac:dyDescent="0.2">
      <c r="F2631" s="72">
        <v>42882</v>
      </c>
      <c r="G2631" s="2">
        <v>1935000</v>
      </c>
      <c r="H2631" s="2">
        <v>251000</v>
      </c>
    </row>
    <row r="2632" spans="6:8" x14ac:dyDescent="0.2">
      <c r="F2632" s="72">
        <v>42889</v>
      </c>
      <c r="G2632" s="2">
        <v>1955000</v>
      </c>
      <c r="H2632" s="2">
        <v>244000</v>
      </c>
    </row>
    <row r="2633" spans="6:8" x14ac:dyDescent="0.2">
      <c r="F2633" s="72">
        <v>42896</v>
      </c>
      <c r="G2633" s="2">
        <v>1953000</v>
      </c>
      <c r="H2633" s="2">
        <v>237000</v>
      </c>
    </row>
    <row r="2634" spans="6:8" x14ac:dyDescent="0.2">
      <c r="F2634" s="72">
        <v>42903</v>
      </c>
      <c r="G2634" s="2">
        <v>1956000</v>
      </c>
      <c r="H2634" s="2">
        <v>243000</v>
      </c>
    </row>
    <row r="2635" spans="6:8" x14ac:dyDescent="0.2">
      <c r="F2635" s="72">
        <v>42910</v>
      </c>
      <c r="G2635" s="2">
        <v>1966000</v>
      </c>
      <c r="H2635" s="2">
        <v>237000</v>
      </c>
    </row>
    <row r="2636" spans="6:8" x14ac:dyDescent="0.2">
      <c r="F2636" s="72">
        <v>42917</v>
      </c>
      <c r="G2636" s="2">
        <v>1941000</v>
      </c>
      <c r="H2636" s="2">
        <v>247000</v>
      </c>
    </row>
    <row r="2637" spans="6:8" x14ac:dyDescent="0.2">
      <c r="F2637" s="72">
        <v>42924</v>
      </c>
      <c r="G2637" s="2">
        <v>1965000</v>
      </c>
      <c r="H2637" s="2">
        <v>243000</v>
      </c>
    </row>
    <row r="2638" spans="6:8" x14ac:dyDescent="0.2">
      <c r="F2638" s="72">
        <v>42931</v>
      </c>
      <c r="G2638" s="2">
        <v>1964000</v>
      </c>
      <c r="H2638" s="2">
        <v>241000</v>
      </c>
    </row>
    <row r="2639" spans="6:8" x14ac:dyDescent="0.2">
      <c r="F2639" s="72">
        <v>42938</v>
      </c>
      <c r="G2639" s="2">
        <v>1961000</v>
      </c>
      <c r="H2639" s="2">
        <v>245000</v>
      </c>
    </row>
    <row r="2640" spans="6:8" x14ac:dyDescent="0.2">
      <c r="F2640" s="72">
        <v>42945</v>
      </c>
      <c r="G2640" s="2">
        <v>1946000</v>
      </c>
      <c r="H2640" s="2">
        <v>242000</v>
      </c>
    </row>
    <row r="2641" spans="6:8" x14ac:dyDescent="0.2">
      <c r="F2641" s="72">
        <v>42952</v>
      </c>
      <c r="G2641" s="2">
        <v>1948000</v>
      </c>
      <c r="H2641" s="2">
        <v>245000</v>
      </c>
    </row>
    <row r="2642" spans="6:8" x14ac:dyDescent="0.2">
      <c r="F2642" s="72">
        <v>42959</v>
      </c>
      <c r="G2642" s="2">
        <v>1952000</v>
      </c>
      <c r="H2642" s="2">
        <v>236000</v>
      </c>
    </row>
    <row r="2643" spans="6:8" x14ac:dyDescent="0.2">
      <c r="F2643" s="72">
        <v>42966</v>
      </c>
      <c r="G2643" s="2">
        <v>1949000</v>
      </c>
      <c r="H2643" s="2">
        <v>240000</v>
      </c>
    </row>
    <row r="2644" spans="6:8" x14ac:dyDescent="0.2">
      <c r="F2644" s="72">
        <v>42973</v>
      </c>
      <c r="G2644" s="2">
        <v>1951000</v>
      </c>
      <c r="H2644" s="2">
        <v>238000</v>
      </c>
    </row>
    <row r="2645" spans="6:8" x14ac:dyDescent="0.2">
      <c r="F2645" s="72">
        <v>42980</v>
      </c>
      <c r="G2645" s="2">
        <v>1951000</v>
      </c>
      <c r="H2645" s="2">
        <v>298000</v>
      </c>
    </row>
    <row r="2646" spans="6:8" x14ac:dyDescent="0.2">
      <c r="F2646" s="72">
        <v>42987</v>
      </c>
      <c r="G2646" s="2">
        <v>1990000</v>
      </c>
      <c r="H2646" s="2">
        <v>274000</v>
      </c>
    </row>
    <row r="2647" spans="6:8" x14ac:dyDescent="0.2">
      <c r="F2647" s="72">
        <v>42994</v>
      </c>
      <c r="G2647" s="2">
        <v>1941000</v>
      </c>
      <c r="H2647" s="2">
        <v>259000</v>
      </c>
    </row>
    <row r="2648" spans="6:8" x14ac:dyDescent="0.2">
      <c r="F2648" s="72">
        <v>43001</v>
      </c>
      <c r="G2648" s="2">
        <v>1932000</v>
      </c>
      <c r="H2648" s="2">
        <v>262000</v>
      </c>
    </row>
    <row r="2649" spans="6:8" x14ac:dyDescent="0.2">
      <c r="F2649" s="72">
        <v>43008</v>
      </c>
      <c r="G2649" s="2">
        <v>1928000</v>
      </c>
      <c r="H2649" s="2">
        <v>254000</v>
      </c>
    </row>
    <row r="2650" spans="6:8" x14ac:dyDescent="0.2">
      <c r="F2650" s="72">
        <v>43015</v>
      </c>
      <c r="G2650" s="2">
        <v>1922000</v>
      </c>
      <c r="H2650" s="2">
        <v>245000</v>
      </c>
    </row>
    <row r="2651" spans="6:8" x14ac:dyDescent="0.2">
      <c r="F2651" s="72">
        <v>43022</v>
      </c>
      <c r="G2651" s="2">
        <v>1923000</v>
      </c>
      <c r="H2651" s="2">
        <v>230000</v>
      </c>
    </row>
    <row r="2652" spans="6:8" x14ac:dyDescent="0.2">
      <c r="F2652" s="72">
        <v>43029</v>
      </c>
      <c r="G2652" s="2">
        <v>1917000</v>
      </c>
      <c r="H2652" s="2">
        <v>235000</v>
      </c>
    </row>
    <row r="2653" spans="6:8" x14ac:dyDescent="0.2">
      <c r="F2653" s="72">
        <v>43036</v>
      </c>
      <c r="G2653" s="2">
        <v>1927000</v>
      </c>
      <c r="H2653" s="2">
        <v>235000</v>
      </c>
    </row>
    <row r="2654" spans="6:8" x14ac:dyDescent="0.2">
      <c r="F2654" s="72">
        <v>43043</v>
      </c>
      <c r="G2654" s="2">
        <v>1926000</v>
      </c>
      <c r="H2654" s="2">
        <v>239000</v>
      </c>
    </row>
    <row r="2655" spans="6:8" x14ac:dyDescent="0.2">
      <c r="F2655" s="72">
        <v>43050</v>
      </c>
      <c r="G2655" s="2">
        <v>1914000</v>
      </c>
      <c r="H2655" s="2">
        <v>247000</v>
      </c>
    </row>
    <row r="2656" spans="6:8" x14ac:dyDescent="0.2">
      <c r="F2656" s="72">
        <v>43057</v>
      </c>
      <c r="G2656" s="2">
        <v>1922000</v>
      </c>
      <c r="H2656" s="2">
        <v>235000</v>
      </c>
    </row>
    <row r="2657" spans="6:8" x14ac:dyDescent="0.2">
      <c r="F2657" s="72">
        <v>43064</v>
      </c>
      <c r="G2657" s="2">
        <v>1940000</v>
      </c>
      <c r="H2657" s="2">
        <v>233000</v>
      </c>
    </row>
    <row r="2658" spans="6:8" x14ac:dyDescent="0.2">
      <c r="F2658" s="72">
        <v>43071</v>
      </c>
      <c r="G2658" s="2">
        <v>1892000</v>
      </c>
      <c r="H2658" s="2">
        <v>230000</v>
      </c>
    </row>
    <row r="2659" spans="6:8" x14ac:dyDescent="0.2">
      <c r="F2659" s="72">
        <v>43078</v>
      </c>
      <c r="G2659" s="2">
        <v>1926000</v>
      </c>
      <c r="H2659" s="2">
        <v>226000</v>
      </c>
    </row>
    <row r="2660" spans="6:8" x14ac:dyDescent="0.2">
      <c r="F2660" s="72">
        <v>43085</v>
      </c>
      <c r="G2660" s="2">
        <v>1928000</v>
      </c>
      <c r="H2660" s="2">
        <v>239000</v>
      </c>
    </row>
    <row r="2661" spans="6:8" x14ac:dyDescent="0.2">
      <c r="F2661" s="72">
        <v>43092</v>
      </c>
      <c r="G2661" s="2">
        <v>1908000</v>
      </c>
      <c r="H2661" s="2">
        <v>243000</v>
      </c>
    </row>
    <row r="2662" spans="6:8" x14ac:dyDescent="0.2">
      <c r="F2662" s="72">
        <v>43099</v>
      </c>
      <c r="G2662" s="2">
        <v>1862000</v>
      </c>
      <c r="H2662" s="2">
        <v>241000</v>
      </c>
    </row>
    <row r="2663" spans="6:8" x14ac:dyDescent="0.2">
      <c r="F2663" s="72">
        <v>43106</v>
      </c>
      <c r="G2663" s="2">
        <v>1919000</v>
      </c>
      <c r="H2663" s="2">
        <v>249000</v>
      </c>
    </row>
    <row r="2664" spans="6:8" x14ac:dyDescent="0.2">
      <c r="F2664" s="72">
        <v>43113</v>
      </c>
      <c r="G2664" s="2">
        <v>1908000</v>
      </c>
      <c r="H2664" s="2">
        <v>228000</v>
      </c>
    </row>
    <row r="2665" spans="6:8" x14ac:dyDescent="0.2">
      <c r="F2665" s="72">
        <v>43120</v>
      </c>
      <c r="G2665" s="2">
        <v>1921000</v>
      </c>
      <c r="H2665" s="2">
        <v>233000</v>
      </c>
    </row>
    <row r="2666" spans="6:8" x14ac:dyDescent="0.2">
      <c r="F2666" s="72">
        <v>43127</v>
      </c>
      <c r="G2666" s="2">
        <v>1899000</v>
      </c>
      <c r="H2666" s="2">
        <v>227000</v>
      </c>
    </row>
    <row r="2667" spans="6:8" x14ac:dyDescent="0.2">
      <c r="F2667" s="72">
        <v>43134</v>
      </c>
      <c r="G2667" s="2">
        <v>1900000</v>
      </c>
      <c r="H2667" s="2">
        <v>224000</v>
      </c>
    </row>
    <row r="2668" spans="6:8" x14ac:dyDescent="0.2">
      <c r="F2668" s="72">
        <v>43141</v>
      </c>
      <c r="G2668" s="2">
        <v>1865000</v>
      </c>
      <c r="H2668" s="2">
        <v>227000</v>
      </c>
    </row>
    <row r="2669" spans="6:8" x14ac:dyDescent="0.2">
      <c r="F2669" s="72">
        <v>43148</v>
      </c>
      <c r="G2669" s="2">
        <v>1879000</v>
      </c>
      <c r="H2669" s="2">
        <v>220000</v>
      </c>
    </row>
    <row r="2670" spans="6:8" x14ac:dyDescent="0.2">
      <c r="F2670" s="72">
        <v>43155</v>
      </c>
      <c r="G2670" s="2">
        <v>1854000</v>
      </c>
      <c r="H2670" s="2">
        <v>215000</v>
      </c>
    </row>
    <row r="2671" spans="6:8" x14ac:dyDescent="0.2">
      <c r="F2671" s="72">
        <v>43162</v>
      </c>
      <c r="G2671" s="2">
        <v>1853000</v>
      </c>
      <c r="H2671" s="2">
        <v>226000</v>
      </c>
    </row>
    <row r="2672" spans="6:8" x14ac:dyDescent="0.2">
      <c r="F2672" s="72">
        <v>43169</v>
      </c>
      <c r="G2672" s="2">
        <v>1833000</v>
      </c>
      <c r="H2672" s="2">
        <v>223000</v>
      </c>
    </row>
    <row r="2673" spans="6:8" x14ac:dyDescent="0.2">
      <c r="F2673" s="72">
        <v>43176</v>
      </c>
      <c r="G2673" s="2">
        <v>1821000</v>
      </c>
      <c r="H2673" s="2">
        <v>224000</v>
      </c>
    </row>
    <row r="2674" spans="6:8" x14ac:dyDescent="0.2">
      <c r="F2674" s="72">
        <v>43183</v>
      </c>
      <c r="G2674" s="2">
        <v>1805000</v>
      </c>
      <c r="H2674" s="2">
        <v>220000</v>
      </c>
    </row>
    <row r="2675" spans="6:8" x14ac:dyDescent="0.2">
      <c r="F2675" s="72">
        <v>43190</v>
      </c>
      <c r="G2675" s="2">
        <v>1835000</v>
      </c>
      <c r="H2675" s="2">
        <v>235000</v>
      </c>
    </row>
    <row r="2676" spans="6:8" x14ac:dyDescent="0.2">
      <c r="F2676" s="72">
        <v>43197</v>
      </c>
      <c r="G2676" s="2">
        <v>1856000</v>
      </c>
      <c r="H2676" s="2">
        <v>235000</v>
      </c>
    </row>
    <row r="2677" spans="6:8" x14ac:dyDescent="0.2">
      <c r="F2677" s="72">
        <v>43204</v>
      </c>
      <c r="G2677" s="2">
        <v>1815000</v>
      </c>
      <c r="H2677" s="2">
        <v>235000</v>
      </c>
    </row>
    <row r="2678" spans="6:8" x14ac:dyDescent="0.2">
      <c r="F2678" s="72">
        <v>43211</v>
      </c>
      <c r="G2678" s="2">
        <v>1769000</v>
      </c>
      <c r="H2678" s="2">
        <v>208000</v>
      </c>
    </row>
    <row r="2679" spans="6:8" x14ac:dyDescent="0.2">
      <c r="F2679" s="72">
        <v>43218</v>
      </c>
      <c r="G2679" s="2">
        <v>1780000</v>
      </c>
      <c r="H2679" s="2">
        <v>212000</v>
      </c>
    </row>
    <row r="2680" spans="6:8" x14ac:dyDescent="0.2">
      <c r="F2680" s="72">
        <v>43225</v>
      </c>
      <c r="G2680" s="2">
        <v>1734000</v>
      </c>
      <c r="H2680" s="2">
        <v>210000</v>
      </c>
    </row>
    <row r="2681" spans="6:8" x14ac:dyDescent="0.2">
      <c r="F2681" s="72">
        <v>43232</v>
      </c>
      <c r="G2681" s="2">
        <v>1742000</v>
      </c>
      <c r="H2681" s="2">
        <v>224000</v>
      </c>
    </row>
    <row r="2682" spans="6:8" x14ac:dyDescent="0.2">
      <c r="F2682" s="72">
        <v>43239</v>
      </c>
      <c r="G2682" s="2">
        <v>1739000</v>
      </c>
      <c r="H2682" s="2">
        <v>230000</v>
      </c>
    </row>
    <row r="2683" spans="6:8" x14ac:dyDescent="0.2">
      <c r="F2683" s="72">
        <v>43246</v>
      </c>
      <c r="G2683" s="2">
        <v>1742000</v>
      </c>
      <c r="H2683" s="2">
        <v>221000</v>
      </c>
    </row>
    <row r="2684" spans="6:8" x14ac:dyDescent="0.2">
      <c r="F2684" s="72">
        <v>43253</v>
      </c>
      <c r="G2684" s="2">
        <v>1714000</v>
      </c>
      <c r="H2684" s="2">
        <v>221000</v>
      </c>
    </row>
    <row r="2685" spans="6:8" x14ac:dyDescent="0.2">
      <c r="F2685" s="72">
        <v>43260</v>
      </c>
      <c r="G2685" s="2">
        <v>1736000</v>
      </c>
      <c r="H2685" s="2">
        <v>218000</v>
      </c>
    </row>
    <row r="2686" spans="6:8" x14ac:dyDescent="0.2">
      <c r="F2686" s="72">
        <v>43267</v>
      </c>
      <c r="G2686" s="2">
        <v>1716000</v>
      </c>
      <c r="H2686" s="2">
        <v>220000</v>
      </c>
    </row>
    <row r="2687" spans="6:8" x14ac:dyDescent="0.2">
      <c r="F2687" s="72">
        <v>43274</v>
      </c>
      <c r="G2687" s="2">
        <v>1740000</v>
      </c>
      <c r="H2687" s="2">
        <v>220000</v>
      </c>
    </row>
    <row r="2688" spans="6:8" x14ac:dyDescent="0.2">
      <c r="F2688" s="72">
        <v>43281</v>
      </c>
      <c r="G2688" s="2">
        <v>1734000</v>
      </c>
      <c r="H2688" s="2">
        <v>229000</v>
      </c>
    </row>
    <row r="2689" spans="6:8" x14ac:dyDescent="0.2">
      <c r="F2689" s="72">
        <v>43288</v>
      </c>
      <c r="G2689" s="2">
        <v>1750000</v>
      </c>
      <c r="H2689" s="2">
        <v>229000</v>
      </c>
    </row>
    <row r="2690" spans="6:8" x14ac:dyDescent="0.2">
      <c r="F2690" s="72">
        <v>43295</v>
      </c>
      <c r="G2690" s="2">
        <v>1747000</v>
      </c>
      <c r="H2690" s="2">
        <v>212000</v>
      </c>
    </row>
    <row r="2691" spans="6:8" x14ac:dyDescent="0.2">
      <c r="F2691" s="72">
        <v>43302</v>
      </c>
      <c r="G2691" s="2">
        <v>1726000</v>
      </c>
      <c r="H2691" s="2">
        <v>220000</v>
      </c>
    </row>
    <row r="2692" spans="6:8" x14ac:dyDescent="0.2">
      <c r="F2692" s="72">
        <v>43309</v>
      </c>
      <c r="G2692" s="2">
        <v>1753000</v>
      </c>
      <c r="H2692" s="2">
        <v>218000</v>
      </c>
    </row>
    <row r="2693" spans="6:8" x14ac:dyDescent="0.2">
      <c r="F2693" s="72">
        <v>43316</v>
      </c>
      <c r="G2693" s="2">
        <v>1722000</v>
      </c>
      <c r="H2693" s="2">
        <v>217000</v>
      </c>
    </row>
    <row r="2694" spans="6:8" x14ac:dyDescent="0.2">
      <c r="F2694" s="72">
        <v>43323</v>
      </c>
      <c r="G2694" s="2">
        <v>1729000</v>
      </c>
      <c r="H2694" s="2">
        <v>212000</v>
      </c>
    </row>
    <row r="2695" spans="6:8" x14ac:dyDescent="0.2">
      <c r="F2695" s="72">
        <v>43330</v>
      </c>
      <c r="G2695" s="2">
        <v>1713000</v>
      </c>
      <c r="H2695" s="2">
        <v>215000</v>
      </c>
    </row>
    <row r="2696" spans="6:8" x14ac:dyDescent="0.2">
      <c r="F2696" s="72">
        <v>43337</v>
      </c>
      <c r="G2696" s="2">
        <v>1717000</v>
      </c>
      <c r="H2696" s="2">
        <v>214000</v>
      </c>
    </row>
    <row r="2697" spans="6:8" x14ac:dyDescent="0.2">
      <c r="F2697" s="72">
        <v>43344</v>
      </c>
      <c r="G2697" s="2">
        <v>1710000</v>
      </c>
      <c r="H2697" s="2">
        <v>209000</v>
      </c>
    </row>
    <row r="2698" spans="6:8" x14ac:dyDescent="0.2">
      <c r="F2698" s="72">
        <v>43351</v>
      </c>
      <c r="G2698" s="2">
        <v>1670000</v>
      </c>
      <c r="H2698" s="2">
        <v>210000</v>
      </c>
    </row>
    <row r="2699" spans="6:8" x14ac:dyDescent="0.2">
      <c r="F2699" s="72">
        <v>43358</v>
      </c>
      <c r="G2699" s="2">
        <v>1690000</v>
      </c>
      <c r="H2699" s="2">
        <v>212000</v>
      </c>
    </row>
    <row r="2700" spans="6:8" x14ac:dyDescent="0.2">
      <c r="F2700" s="72">
        <v>43365</v>
      </c>
      <c r="G2700" s="2">
        <v>1675000</v>
      </c>
      <c r="H2700" s="2">
        <v>212000</v>
      </c>
    </row>
    <row r="2701" spans="6:8" x14ac:dyDescent="0.2">
      <c r="F2701" s="72">
        <v>43372</v>
      </c>
      <c r="G2701" s="2">
        <v>1670000</v>
      </c>
      <c r="H2701" s="2">
        <v>216000</v>
      </c>
    </row>
    <row r="2702" spans="6:8" x14ac:dyDescent="0.2">
      <c r="F2702" s="72">
        <v>43379</v>
      </c>
      <c r="G2702" s="2">
        <v>1664000</v>
      </c>
      <c r="H2702" s="2">
        <v>212000</v>
      </c>
    </row>
    <row r="2703" spans="6:8" x14ac:dyDescent="0.2">
      <c r="F2703" s="72">
        <v>43386</v>
      </c>
      <c r="G2703" s="2">
        <v>1656000</v>
      </c>
      <c r="H2703" s="2">
        <v>212000</v>
      </c>
    </row>
    <row r="2704" spans="6:8" x14ac:dyDescent="0.2">
      <c r="F2704" s="72">
        <v>43393</v>
      </c>
      <c r="G2704" s="2">
        <v>1657000</v>
      </c>
      <c r="H2704" s="2">
        <v>219000</v>
      </c>
    </row>
    <row r="2705" spans="6:8" x14ac:dyDescent="0.2">
      <c r="F2705" s="72">
        <v>43400</v>
      </c>
      <c r="G2705" s="2">
        <v>1651000</v>
      </c>
      <c r="H2705" s="2">
        <v>216000</v>
      </c>
    </row>
    <row r="2706" spans="6:8" x14ac:dyDescent="0.2">
      <c r="F2706" s="72">
        <v>43407</v>
      </c>
      <c r="G2706" s="2">
        <v>1663000</v>
      </c>
      <c r="H2706" s="2">
        <v>216000</v>
      </c>
    </row>
    <row r="2707" spans="6:8" x14ac:dyDescent="0.2">
      <c r="F2707" s="72">
        <v>43414</v>
      </c>
      <c r="G2707" s="2">
        <v>1671000</v>
      </c>
      <c r="H2707" s="2">
        <v>217000</v>
      </c>
    </row>
    <row r="2708" spans="6:8" x14ac:dyDescent="0.2">
      <c r="F2708" s="72">
        <v>43421</v>
      </c>
      <c r="G2708" s="2">
        <v>1726000</v>
      </c>
      <c r="H2708" s="2">
        <v>220000</v>
      </c>
    </row>
    <row r="2709" spans="6:8" x14ac:dyDescent="0.2">
      <c r="F2709" s="72">
        <v>43428</v>
      </c>
      <c r="G2709" s="2">
        <v>1664000</v>
      </c>
      <c r="H2709" s="2">
        <v>230000</v>
      </c>
    </row>
    <row r="2710" spans="6:8" x14ac:dyDescent="0.2">
      <c r="F2710" s="72">
        <v>43435</v>
      </c>
      <c r="G2710" s="2">
        <v>1663000</v>
      </c>
      <c r="H2710" s="2">
        <v>225000</v>
      </c>
    </row>
    <row r="2711" spans="6:8" x14ac:dyDescent="0.2">
      <c r="F2711" s="72">
        <v>43442</v>
      </c>
      <c r="G2711" s="2">
        <v>1703000</v>
      </c>
      <c r="H2711" s="2">
        <v>203000</v>
      </c>
    </row>
    <row r="2712" spans="6:8" x14ac:dyDescent="0.2">
      <c r="F2712" s="72">
        <v>43449</v>
      </c>
      <c r="G2712" s="2">
        <v>1697000</v>
      </c>
      <c r="H2712" s="2">
        <v>214000</v>
      </c>
    </row>
    <row r="2713" spans="6:8" x14ac:dyDescent="0.2">
      <c r="F2713" s="72">
        <v>43456</v>
      </c>
      <c r="G2713" s="2">
        <v>1723000</v>
      </c>
      <c r="H2713" s="2">
        <v>220000</v>
      </c>
    </row>
    <row r="2714" spans="6:8" x14ac:dyDescent="0.2">
      <c r="F2714" s="72">
        <v>43463</v>
      </c>
      <c r="G2714" s="2">
        <v>1697000</v>
      </c>
      <c r="H2714" s="2">
        <v>226000</v>
      </c>
    </row>
    <row r="2715" spans="6:8" x14ac:dyDescent="0.2">
      <c r="F2715" s="72">
        <v>43470</v>
      </c>
      <c r="G2715" s="2">
        <v>1713000</v>
      </c>
      <c r="H2715" s="2">
        <v>218000</v>
      </c>
    </row>
    <row r="2716" spans="6:8" x14ac:dyDescent="0.2">
      <c r="F2716" s="72">
        <v>43477</v>
      </c>
      <c r="G2716" s="2">
        <v>1709000</v>
      </c>
      <c r="H2716" s="2">
        <v>215000</v>
      </c>
    </row>
    <row r="2717" spans="6:8" x14ac:dyDescent="0.2">
      <c r="F2717" s="72">
        <v>43484</v>
      </c>
      <c r="G2717" s="2">
        <v>1740000</v>
      </c>
      <c r="H2717" s="2">
        <v>211000</v>
      </c>
    </row>
    <row r="2718" spans="6:8" x14ac:dyDescent="0.2">
      <c r="F2718" s="72">
        <v>43491</v>
      </c>
      <c r="G2718" s="2">
        <v>1717000</v>
      </c>
      <c r="H2718" s="2">
        <v>236000</v>
      </c>
    </row>
    <row r="2719" spans="6:8" x14ac:dyDescent="0.2">
      <c r="F2719" s="72">
        <v>43498</v>
      </c>
      <c r="G2719" s="2">
        <v>1743000</v>
      </c>
      <c r="H2719" s="2">
        <v>233000</v>
      </c>
    </row>
    <row r="2720" spans="6:8" x14ac:dyDescent="0.2">
      <c r="F2720" s="72">
        <v>43505</v>
      </c>
      <c r="G2720" s="2">
        <v>1723000</v>
      </c>
      <c r="H2720" s="2">
        <v>232000</v>
      </c>
    </row>
    <row r="2721" spans="6:8" x14ac:dyDescent="0.2">
      <c r="F2721" s="72">
        <v>43512</v>
      </c>
      <c r="G2721" s="2">
        <v>1758000</v>
      </c>
      <c r="H2721" s="2">
        <v>218000</v>
      </c>
    </row>
    <row r="2722" spans="6:8" x14ac:dyDescent="0.2">
      <c r="F2722" s="72">
        <v>43519</v>
      </c>
      <c r="G2722" s="2">
        <v>1747000</v>
      </c>
      <c r="H2722" s="2">
        <v>223000</v>
      </c>
    </row>
    <row r="2723" spans="6:8" x14ac:dyDescent="0.2">
      <c r="F2723" s="72">
        <v>43526</v>
      </c>
      <c r="G2723" s="2">
        <v>1748000</v>
      </c>
      <c r="H2723" s="2">
        <v>220000</v>
      </c>
    </row>
    <row r="2724" spans="6:8" x14ac:dyDescent="0.2">
      <c r="F2724" s="72">
        <v>43533</v>
      </c>
      <c r="G2724" s="2">
        <v>1745000</v>
      </c>
      <c r="H2724" s="2">
        <v>225000</v>
      </c>
    </row>
    <row r="2725" spans="6:8" x14ac:dyDescent="0.2">
      <c r="F2725" s="72">
        <v>43540</v>
      </c>
      <c r="G2725" s="2">
        <v>1719000</v>
      </c>
      <c r="H2725" s="2">
        <v>218000</v>
      </c>
    </row>
    <row r="2726" spans="6:8" x14ac:dyDescent="0.2">
      <c r="F2726" s="72">
        <v>43547</v>
      </c>
      <c r="G2726" s="2">
        <v>1710000</v>
      </c>
      <c r="H2726" s="2">
        <v>215000</v>
      </c>
    </row>
    <row r="2727" spans="6:8" x14ac:dyDescent="0.2">
      <c r="F2727" s="72">
        <v>43554</v>
      </c>
      <c r="G2727" s="2">
        <v>1692000</v>
      </c>
      <c r="H2727" s="2">
        <v>211000</v>
      </c>
    </row>
    <row r="2728" spans="6:8" x14ac:dyDescent="0.2">
      <c r="F2728" s="72">
        <v>43561</v>
      </c>
      <c r="G2728" s="2">
        <v>1659000</v>
      </c>
      <c r="H2728" s="2">
        <v>203000</v>
      </c>
    </row>
    <row r="2729" spans="6:8" x14ac:dyDescent="0.2">
      <c r="F2729" s="72">
        <v>43568</v>
      </c>
      <c r="G2729" s="2">
        <v>1649000</v>
      </c>
      <c r="H2729" s="2">
        <v>203000</v>
      </c>
    </row>
    <row r="2730" spans="6:8" x14ac:dyDescent="0.2">
      <c r="F2730" s="72">
        <v>43575</v>
      </c>
      <c r="G2730" s="2">
        <v>1671000</v>
      </c>
      <c r="H2730" s="2">
        <v>224000</v>
      </c>
    </row>
    <row r="2731" spans="6:8" x14ac:dyDescent="0.2">
      <c r="F2731" s="72">
        <v>43582</v>
      </c>
      <c r="G2731" s="2">
        <v>1675000</v>
      </c>
      <c r="H2731" s="2">
        <v>230000</v>
      </c>
    </row>
    <row r="2732" spans="6:8" x14ac:dyDescent="0.2">
      <c r="F2732" s="72">
        <v>43589</v>
      </c>
      <c r="G2732" s="2">
        <v>1667000</v>
      </c>
      <c r="H2732" s="2">
        <v>225000</v>
      </c>
    </row>
    <row r="2733" spans="6:8" x14ac:dyDescent="0.2">
      <c r="F2733" s="72">
        <v>43596</v>
      </c>
      <c r="G2733" s="2">
        <v>1676000</v>
      </c>
      <c r="H2733" s="2">
        <v>216000</v>
      </c>
    </row>
    <row r="2734" spans="6:8" x14ac:dyDescent="0.2">
      <c r="F2734" s="72">
        <v>43603</v>
      </c>
      <c r="G2734" s="2">
        <v>1666000</v>
      </c>
      <c r="H2734" s="2">
        <v>213000</v>
      </c>
    </row>
    <row r="2735" spans="6:8" x14ac:dyDescent="0.2">
      <c r="F2735" s="72">
        <v>43610</v>
      </c>
      <c r="G2735" s="2">
        <v>1687000</v>
      </c>
      <c r="H2735" s="2">
        <v>218000</v>
      </c>
    </row>
    <row r="2736" spans="6:8" x14ac:dyDescent="0.2">
      <c r="F2736" s="72">
        <v>43617</v>
      </c>
      <c r="G2736" s="2">
        <v>1692000</v>
      </c>
      <c r="H2736" s="2">
        <v>220000</v>
      </c>
    </row>
    <row r="2737" spans="6:8" x14ac:dyDescent="0.2">
      <c r="F2737" s="72">
        <v>43624</v>
      </c>
      <c r="G2737" s="2">
        <v>1668000</v>
      </c>
      <c r="H2737" s="2">
        <v>220000</v>
      </c>
    </row>
    <row r="2738" spans="6:8" x14ac:dyDescent="0.2">
      <c r="F2738" s="72">
        <v>43631</v>
      </c>
      <c r="G2738" s="2">
        <v>1689000</v>
      </c>
      <c r="H2738" s="2">
        <v>219000</v>
      </c>
    </row>
    <row r="2739" spans="6:8" x14ac:dyDescent="0.2">
      <c r="F2739" s="72">
        <v>43638</v>
      </c>
      <c r="G2739" s="2">
        <v>1689000</v>
      </c>
      <c r="H2739" s="2">
        <v>224000</v>
      </c>
    </row>
    <row r="2740" spans="6:8" x14ac:dyDescent="0.2">
      <c r="F2740" s="72">
        <v>43645</v>
      </c>
      <c r="G2740" s="2">
        <v>1712000</v>
      </c>
      <c r="H2740" s="2">
        <v>223000</v>
      </c>
    </row>
    <row r="2741" spans="6:8" x14ac:dyDescent="0.2">
      <c r="F2741" s="72">
        <v>43652</v>
      </c>
      <c r="G2741" s="2">
        <v>1688000</v>
      </c>
      <c r="H2741" s="2">
        <v>205000</v>
      </c>
    </row>
    <row r="2742" spans="6:8" x14ac:dyDescent="0.2">
      <c r="F2742" s="72">
        <v>43659</v>
      </c>
      <c r="G2742" s="2">
        <v>1679000</v>
      </c>
      <c r="H2742" s="2">
        <v>217000</v>
      </c>
    </row>
    <row r="2743" spans="6:8" x14ac:dyDescent="0.2">
      <c r="F2743" s="72">
        <v>43666</v>
      </c>
      <c r="G2743" s="2">
        <v>1692000</v>
      </c>
      <c r="H2743" s="2">
        <v>210000</v>
      </c>
    </row>
    <row r="2744" spans="6:8" x14ac:dyDescent="0.2">
      <c r="F2744" s="72">
        <v>43673</v>
      </c>
      <c r="G2744" s="2">
        <v>1689000</v>
      </c>
      <c r="H2744" s="2">
        <v>216000</v>
      </c>
    </row>
    <row r="2745" spans="6:8" x14ac:dyDescent="0.2">
      <c r="F2745" s="72">
        <v>43680</v>
      </c>
      <c r="G2745" s="2">
        <v>1714000</v>
      </c>
      <c r="H2745" s="2">
        <v>214000</v>
      </c>
    </row>
    <row r="2746" spans="6:8" x14ac:dyDescent="0.2">
      <c r="F2746" s="72">
        <v>43687</v>
      </c>
      <c r="G2746" s="2">
        <v>1682000</v>
      </c>
      <c r="H2746" s="2">
        <v>218000</v>
      </c>
    </row>
    <row r="2747" spans="6:8" x14ac:dyDescent="0.2">
      <c r="F2747" s="72">
        <v>43694</v>
      </c>
      <c r="G2747" s="2">
        <v>1697000</v>
      </c>
      <c r="H2747" s="2">
        <v>214000</v>
      </c>
    </row>
    <row r="2748" spans="6:8" x14ac:dyDescent="0.2">
      <c r="F2748" s="72">
        <v>43701</v>
      </c>
      <c r="G2748" s="2">
        <v>1678000</v>
      </c>
      <c r="H2748" s="2">
        <v>215000</v>
      </c>
    </row>
    <row r="2749" spans="6:8" x14ac:dyDescent="0.2">
      <c r="F2749" s="72">
        <v>43708</v>
      </c>
      <c r="G2749" s="2">
        <v>1679000</v>
      </c>
      <c r="H2749" s="2">
        <v>218000</v>
      </c>
    </row>
    <row r="2750" spans="6:8" x14ac:dyDescent="0.2">
      <c r="F2750" s="72">
        <v>43715</v>
      </c>
      <c r="G2750" s="2">
        <v>1673000</v>
      </c>
      <c r="H2750" s="2">
        <v>208000</v>
      </c>
    </row>
    <row r="2751" spans="6:8" x14ac:dyDescent="0.2">
      <c r="F2751" s="72">
        <v>43722</v>
      </c>
      <c r="G2751" s="2">
        <v>1668000</v>
      </c>
      <c r="H2751" s="2">
        <v>211000</v>
      </c>
    </row>
    <row r="2752" spans="6:8" x14ac:dyDescent="0.2">
      <c r="F2752" s="72">
        <v>43729</v>
      </c>
      <c r="G2752" s="2">
        <v>1665000</v>
      </c>
      <c r="H2752" s="2">
        <v>215000</v>
      </c>
    </row>
    <row r="2753" spans="6:8" x14ac:dyDescent="0.2">
      <c r="F2753" s="72">
        <v>43736</v>
      </c>
      <c r="G2753" s="2">
        <v>1696000</v>
      </c>
      <c r="H2753" s="2">
        <v>217000</v>
      </c>
    </row>
    <row r="2754" spans="6:8" x14ac:dyDescent="0.2">
      <c r="F2754" s="72">
        <v>43743</v>
      </c>
      <c r="G2754" s="2">
        <v>1687000</v>
      </c>
      <c r="H2754" s="2">
        <v>212000</v>
      </c>
    </row>
    <row r="2755" spans="6:8" x14ac:dyDescent="0.2">
      <c r="F2755" s="72">
        <v>43750</v>
      </c>
      <c r="G2755" s="2">
        <v>1693000</v>
      </c>
      <c r="H2755" s="2">
        <v>217000</v>
      </c>
    </row>
    <row r="2756" spans="6:8" x14ac:dyDescent="0.2">
      <c r="F2756" s="72">
        <v>43757</v>
      </c>
      <c r="G2756" s="2">
        <v>1694000</v>
      </c>
      <c r="H2756" s="2">
        <v>212000</v>
      </c>
    </row>
    <row r="2757" spans="6:8" x14ac:dyDescent="0.2">
      <c r="F2757" s="72">
        <v>43764</v>
      </c>
      <c r="G2757" s="2">
        <v>1695000</v>
      </c>
      <c r="H2757" s="2">
        <v>216000</v>
      </c>
    </row>
    <row r="2758" spans="6:8" x14ac:dyDescent="0.2">
      <c r="F2758" s="72">
        <v>43771</v>
      </c>
      <c r="G2758" s="2">
        <v>1692000</v>
      </c>
      <c r="H2758" s="2">
        <v>211000</v>
      </c>
    </row>
    <row r="2759" spans="6:8" x14ac:dyDescent="0.2">
      <c r="F2759" s="72">
        <v>43778</v>
      </c>
      <c r="G2759" s="2">
        <v>1695000</v>
      </c>
      <c r="H2759" s="2">
        <v>222000</v>
      </c>
    </row>
    <row r="2760" spans="6:8" x14ac:dyDescent="0.2">
      <c r="F2760" s="72">
        <v>43785</v>
      </c>
      <c r="G2760" s="2">
        <v>1678000</v>
      </c>
      <c r="H2760" s="2">
        <v>221000</v>
      </c>
    </row>
    <row r="2761" spans="6:8" x14ac:dyDescent="0.2">
      <c r="F2761" s="72">
        <v>43792</v>
      </c>
      <c r="G2761" s="2">
        <v>1699000</v>
      </c>
      <c r="H2761" s="2">
        <v>215000</v>
      </c>
    </row>
    <row r="2762" spans="6:8" x14ac:dyDescent="0.2">
      <c r="F2762" s="72">
        <v>43799</v>
      </c>
      <c r="G2762" s="2">
        <v>1705000</v>
      </c>
      <c r="H2762" s="2">
        <v>219000</v>
      </c>
    </row>
    <row r="2763" spans="6:8" x14ac:dyDescent="0.2">
      <c r="F2763" s="72">
        <v>43806</v>
      </c>
      <c r="G2763" s="2">
        <v>1726000</v>
      </c>
      <c r="H2763" s="2">
        <v>238000</v>
      </c>
    </row>
    <row r="2764" spans="6:8" x14ac:dyDescent="0.2">
      <c r="F2764" s="72">
        <v>43813</v>
      </c>
      <c r="G2764" s="2">
        <v>1718000</v>
      </c>
      <c r="H2764" s="2">
        <v>227000</v>
      </c>
    </row>
    <row r="2765" spans="6:8" x14ac:dyDescent="0.2">
      <c r="F2765" s="72">
        <v>43820</v>
      </c>
      <c r="G2765" s="2">
        <v>1725000</v>
      </c>
      <c r="H2765" s="2">
        <v>218000</v>
      </c>
    </row>
    <row r="2766" spans="6:8" x14ac:dyDescent="0.2">
      <c r="F2766" s="72">
        <v>43827</v>
      </c>
      <c r="G2766" s="2">
        <v>1779000</v>
      </c>
      <c r="H2766" s="2">
        <v>218000</v>
      </c>
    </row>
    <row r="2767" spans="6:8" x14ac:dyDescent="0.2">
      <c r="F2767" s="72">
        <v>43834</v>
      </c>
      <c r="G2767" s="2">
        <v>1766000</v>
      </c>
      <c r="H2767" s="2">
        <v>210000</v>
      </c>
    </row>
    <row r="2768" spans="6:8" x14ac:dyDescent="0.2">
      <c r="F2768" s="72">
        <v>43841</v>
      </c>
      <c r="G2768" s="2">
        <v>1739000</v>
      </c>
      <c r="H2768" s="2">
        <v>206000</v>
      </c>
    </row>
    <row r="2769" spans="6:8" x14ac:dyDescent="0.2">
      <c r="F2769" s="72">
        <v>43848</v>
      </c>
      <c r="G2769" s="2">
        <v>1709000</v>
      </c>
      <c r="H2769" s="2">
        <v>219000</v>
      </c>
    </row>
    <row r="2770" spans="6:8" x14ac:dyDescent="0.2">
      <c r="F2770" s="72">
        <v>43855</v>
      </c>
      <c r="G2770" s="2">
        <v>1752000</v>
      </c>
      <c r="H2770" s="2">
        <v>210000</v>
      </c>
    </row>
    <row r="2771" spans="6:8" x14ac:dyDescent="0.2">
      <c r="F2771" s="72">
        <v>43862</v>
      </c>
      <c r="G2771" s="2">
        <v>1698000</v>
      </c>
      <c r="H2771" s="2">
        <v>205000</v>
      </c>
    </row>
    <row r="2772" spans="6:8" x14ac:dyDescent="0.2">
      <c r="F2772" s="72">
        <v>43869</v>
      </c>
      <c r="G2772" s="2">
        <v>1734000</v>
      </c>
      <c r="H2772" s="2">
        <v>207000</v>
      </c>
    </row>
    <row r="2773" spans="6:8" x14ac:dyDescent="0.2">
      <c r="F2773" s="72">
        <v>43876</v>
      </c>
      <c r="G2773" s="2">
        <v>1705000</v>
      </c>
      <c r="H2773" s="2">
        <v>215000</v>
      </c>
    </row>
    <row r="2774" spans="6:8" x14ac:dyDescent="0.2">
      <c r="F2774" s="72">
        <v>43883</v>
      </c>
      <c r="G2774" s="2">
        <v>1730000</v>
      </c>
      <c r="H2774" s="2">
        <v>218000</v>
      </c>
    </row>
    <row r="2775" spans="6:8" x14ac:dyDescent="0.2">
      <c r="F2775" s="72">
        <v>43890</v>
      </c>
      <c r="G2775" s="2">
        <v>1708000</v>
      </c>
      <c r="H2775" s="2">
        <v>216000</v>
      </c>
    </row>
    <row r="2776" spans="6:8" x14ac:dyDescent="0.2">
      <c r="F2776" s="72">
        <v>43897</v>
      </c>
      <c r="G2776" s="2">
        <v>1715000</v>
      </c>
      <c r="H2776" s="2">
        <v>212000</v>
      </c>
    </row>
    <row r="2777" spans="6:8" x14ac:dyDescent="0.2">
      <c r="F2777" s="72">
        <v>43904</v>
      </c>
      <c r="G2777" s="2">
        <v>1770000</v>
      </c>
      <c r="H2777" s="2">
        <v>256000</v>
      </c>
    </row>
    <row r="2778" spans="6:8" x14ac:dyDescent="0.2">
      <c r="F2778" s="72">
        <v>43911</v>
      </c>
      <c r="G2778" s="2">
        <v>3094000</v>
      </c>
      <c r="H2778" s="2">
        <v>2923000</v>
      </c>
    </row>
    <row r="2779" spans="6:8" x14ac:dyDescent="0.2">
      <c r="F2779" s="72">
        <v>43918</v>
      </c>
      <c r="G2779" s="2">
        <v>7868000</v>
      </c>
      <c r="H2779" s="2">
        <v>5985000</v>
      </c>
    </row>
    <row r="2780" spans="6:8" x14ac:dyDescent="0.2">
      <c r="F2780" s="72">
        <v>43925</v>
      </c>
      <c r="G2780" s="2">
        <v>12261000</v>
      </c>
      <c r="H2780" s="2">
        <v>6149000</v>
      </c>
    </row>
    <row r="2781" spans="6:8" x14ac:dyDescent="0.2">
      <c r="F2781" s="72">
        <v>43932</v>
      </c>
      <c r="G2781" s="2">
        <v>16070000</v>
      </c>
      <c r="H2781" s="2">
        <v>4869000</v>
      </c>
    </row>
    <row r="2782" spans="6:8" x14ac:dyDescent="0.2">
      <c r="F2782" s="72">
        <v>43939</v>
      </c>
      <c r="G2782" s="2">
        <v>17656000</v>
      </c>
      <c r="H2782" s="2">
        <v>4202000</v>
      </c>
    </row>
    <row r="2783" spans="6:8" x14ac:dyDescent="0.2">
      <c r="F2783" s="72">
        <v>43946</v>
      </c>
      <c r="G2783" s="2">
        <v>21664000</v>
      </c>
      <c r="H2783" s="2">
        <v>3451000</v>
      </c>
    </row>
    <row r="2784" spans="6:8" x14ac:dyDescent="0.2">
      <c r="F2784" s="72">
        <v>43953</v>
      </c>
      <c r="G2784" s="2">
        <v>20823000</v>
      </c>
      <c r="H2784" s="2">
        <v>2784000</v>
      </c>
    </row>
    <row r="2785" spans="6:8" x14ac:dyDescent="0.2">
      <c r="F2785" s="72">
        <v>43960</v>
      </c>
      <c r="G2785" s="2">
        <v>23128000</v>
      </c>
      <c r="H2785" s="2">
        <v>2315000</v>
      </c>
    </row>
    <row r="2786" spans="6:8" x14ac:dyDescent="0.2">
      <c r="F2786" s="72">
        <v>43967</v>
      </c>
      <c r="G2786" s="2">
        <v>19181000</v>
      </c>
      <c r="H2786" s="2">
        <v>2149000</v>
      </c>
    </row>
    <row r="2787" spans="6:8" x14ac:dyDescent="0.2">
      <c r="F2787" s="72">
        <v>43974</v>
      </c>
      <c r="G2787" s="2">
        <v>19396000</v>
      </c>
      <c r="H2787" s="2">
        <v>1887000</v>
      </c>
    </row>
    <row r="2788" spans="6:8" x14ac:dyDescent="0.2">
      <c r="F2788" s="72">
        <v>43981</v>
      </c>
      <c r="G2788" s="2">
        <v>19287000</v>
      </c>
      <c r="H2788" s="2">
        <v>1605000</v>
      </c>
    </row>
    <row r="2789" spans="6:8" x14ac:dyDescent="0.2">
      <c r="F2789" s="72">
        <v>43988</v>
      </c>
      <c r="G2789" s="2">
        <v>18927000</v>
      </c>
      <c r="H2789" s="2">
        <v>1537000</v>
      </c>
    </row>
    <row r="2790" spans="6:8" x14ac:dyDescent="0.2">
      <c r="F2790" s="72">
        <v>43995</v>
      </c>
      <c r="G2790" s="2">
        <v>17993000</v>
      </c>
      <c r="H2790" s="2">
        <v>1472000</v>
      </c>
    </row>
    <row r="2791" spans="6:8" x14ac:dyDescent="0.2">
      <c r="F2791" s="72">
        <v>44002</v>
      </c>
      <c r="G2791" s="2">
        <v>17713000</v>
      </c>
      <c r="H2791" s="2">
        <v>1460000</v>
      </c>
    </row>
    <row r="2792" spans="6:8" x14ac:dyDescent="0.2">
      <c r="F2792" s="72">
        <v>44009</v>
      </c>
      <c r="G2792" s="2">
        <v>16780000</v>
      </c>
      <c r="H2792" s="2">
        <v>1436000</v>
      </c>
    </row>
    <row r="2793" spans="6:8" x14ac:dyDescent="0.2">
      <c r="F2793" s="72">
        <v>44016</v>
      </c>
      <c r="G2793" s="2">
        <v>17413000</v>
      </c>
      <c r="H2793" s="2">
        <v>1398000</v>
      </c>
    </row>
    <row r="2794" spans="6:8" x14ac:dyDescent="0.2">
      <c r="F2794" s="72">
        <v>44023</v>
      </c>
      <c r="G2794" s="2">
        <v>16385000</v>
      </c>
      <c r="H2794" s="2">
        <v>1479000</v>
      </c>
    </row>
    <row r="2795" spans="6:8" x14ac:dyDescent="0.2">
      <c r="F2795" s="72">
        <v>44030</v>
      </c>
      <c r="G2795" s="2">
        <v>16913000</v>
      </c>
      <c r="H2795" s="2">
        <v>1398000</v>
      </c>
    </row>
    <row r="2796" spans="6:8" x14ac:dyDescent="0.2">
      <c r="F2796" s="72">
        <v>44037</v>
      </c>
      <c r="G2796" s="2">
        <v>15964000</v>
      </c>
      <c r="H2796" s="2">
        <v>1262000</v>
      </c>
    </row>
    <row r="2797" spans="6:8" x14ac:dyDescent="0.2">
      <c r="F2797" s="72">
        <v>44044</v>
      </c>
      <c r="G2797" s="2">
        <v>15303000</v>
      </c>
      <c r="H2797" s="2">
        <v>1043000</v>
      </c>
    </row>
    <row r="2798" spans="6:8" x14ac:dyDescent="0.2">
      <c r="F2798" s="72">
        <v>44051</v>
      </c>
      <c r="G2798" s="2">
        <v>14217000</v>
      </c>
      <c r="H2798" s="2">
        <v>883000</v>
      </c>
    </row>
    <row r="2799" spans="6:8" x14ac:dyDescent="0.2">
      <c r="F2799" s="72">
        <v>44058</v>
      </c>
      <c r="G2799" s="2">
        <v>13948000</v>
      </c>
      <c r="H2799" s="2">
        <v>920000</v>
      </c>
    </row>
    <row r="2800" spans="6:8" x14ac:dyDescent="0.2">
      <c r="F2800" s="72">
        <v>44065</v>
      </c>
      <c r="G2800" s="2">
        <v>13246000</v>
      </c>
      <c r="H2800" s="2">
        <v>872000</v>
      </c>
    </row>
    <row r="2801" spans="6:8" x14ac:dyDescent="0.2">
      <c r="F2801" s="72">
        <v>44072</v>
      </c>
      <c r="G2801" s="2">
        <v>13528000</v>
      </c>
      <c r="H2801" s="2">
        <v>875000</v>
      </c>
    </row>
    <row r="2802" spans="6:8" x14ac:dyDescent="0.2">
      <c r="F2802" s="72">
        <v>44079</v>
      </c>
      <c r="G2802" s="2">
        <v>12755000</v>
      </c>
      <c r="H2802" s="2">
        <v>881000</v>
      </c>
    </row>
    <row r="2803" spans="6:8" x14ac:dyDescent="0.2">
      <c r="F2803" s="72">
        <v>44086</v>
      </c>
      <c r="G2803" s="2">
        <v>12706000</v>
      </c>
      <c r="H2803" s="2">
        <v>860000</v>
      </c>
    </row>
    <row r="2804" spans="6:8" x14ac:dyDescent="0.2">
      <c r="F2804" s="72">
        <v>44093</v>
      </c>
      <c r="G2804" s="2">
        <v>11381000</v>
      </c>
      <c r="H2804" s="2">
        <v>860000</v>
      </c>
    </row>
    <row r="2805" spans="6:8" x14ac:dyDescent="0.2">
      <c r="F2805" s="72">
        <v>44100</v>
      </c>
      <c r="G2805" s="2">
        <v>10477000</v>
      </c>
      <c r="H2805" s="2">
        <v>803000</v>
      </c>
    </row>
    <row r="2806" spans="6:8" x14ac:dyDescent="0.2">
      <c r="F2806" s="72">
        <v>44107</v>
      </c>
      <c r="G2806" s="2">
        <v>9259000</v>
      </c>
      <c r="H2806" s="2">
        <v>782000</v>
      </c>
    </row>
    <row r="2807" spans="6:8" x14ac:dyDescent="0.2">
      <c r="F2807" s="72">
        <v>44114</v>
      </c>
      <c r="G2807" s="2">
        <v>8384000</v>
      </c>
      <c r="H2807" s="2">
        <v>833000</v>
      </c>
    </row>
    <row r="2808" spans="6:8" x14ac:dyDescent="0.2">
      <c r="F2808" s="72">
        <v>44121</v>
      </c>
      <c r="G2808" s="2">
        <v>7699000</v>
      </c>
      <c r="H2808" s="2">
        <v>798000</v>
      </c>
    </row>
    <row r="2809" spans="6:8" x14ac:dyDescent="0.2">
      <c r="F2809" s="72">
        <v>44128</v>
      </c>
      <c r="G2809" s="2">
        <v>7076000</v>
      </c>
      <c r="H2809" s="2">
        <v>768000</v>
      </c>
    </row>
    <row r="2810" spans="6:8" x14ac:dyDescent="0.2">
      <c r="F2810" s="72">
        <v>44135</v>
      </c>
      <c r="G2810" s="2">
        <v>6724000</v>
      </c>
      <c r="H2810" s="2">
        <v>765000</v>
      </c>
    </row>
    <row r="2811" spans="6:8" x14ac:dyDescent="0.2">
      <c r="F2811" s="72">
        <v>44142</v>
      </c>
      <c r="G2811" s="2">
        <v>6389000</v>
      </c>
      <c r="H2811" s="2">
        <v>728000</v>
      </c>
    </row>
    <row r="2812" spans="6:8" x14ac:dyDescent="0.2">
      <c r="F2812" s="72">
        <v>44149</v>
      </c>
      <c r="G2812" s="2">
        <v>6138000</v>
      </c>
      <c r="H2812" s="2">
        <v>732000</v>
      </c>
    </row>
    <row r="2813" spans="6:8" x14ac:dyDescent="0.2">
      <c r="F2813" s="72">
        <v>44156</v>
      </c>
      <c r="G2813" s="2">
        <v>5606000</v>
      </c>
      <c r="H2813" s="2">
        <v>762000</v>
      </c>
    </row>
    <row r="2814" spans="6:8" x14ac:dyDescent="0.2">
      <c r="F2814" s="72">
        <v>44163</v>
      </c>
      <c r="G2814" s="2">
        <v>5829000</v>
      </c>
      <c r="H2814" s="2">
        <v>719000</v>
      </c>
    </row>
    <row r="2815" spans="6:8" x14ac:dyDescent="0.2">
      <c r="F2815" s="72">
        <v>44170</v>
      </c>
      <c r="G2815" s="2">
        <v>5614000</v>
      </c>
      <c r="H2815" s="2">
        <v>853000</v>
      </c>
    </row>
    <row r="2816" spans="6:8" x14ac:dyDescent="0.2">
      <c r="F2816" s="72">
        <v>44177</v>
      </c>
      <c r="G2816" s="2">
        <v>5433000</v>
      </c>
      <c r="H2816" s="2">
        <v>873000</v>
      </c>
    </row>
    <row r="2817" spans="6:8" x14ac:dyDescent="0.2">
      <c r="F2817" s="72">
        <v>44184</v>
      </c>
      <c r="G2817" s="2">
        <v>5311000</v>
      </c>
      <c r="H2817" s="2">
        <v>803000</v>
      </c>
    </row>
    <row r="2818" spans="6:8" x14ac:dyDescent="0.2">
      <c r="F2818" s="72">
        <v>44191</v>
      </c>
      <c r="G2818" s="2">
        <v>5180000</v>
      </c>
      <c r="H2818" s="2">
        <v>763000</v>
      </c>
    </row>
    <row r="2819" spans="6:8" x14ac:dyDescent="0.2">
      <c r="F2819" s="72">
        <v>44198</v>
      </c>
      <c r="G2819" s="2">
        <v>5240000</v>
      </c>
      <c r="H2819" s="2">
        <v>781000</v>
      </c>
    </row>
    <row r="2820" spans="6:8" x14ac:dyDescent="0.2">
      <c r="F2820" s="72">
        <v>44205</v>
      </c>
      <c r="G2820" s="2">
        <v>5061000</v>
      </c>
      <c r="H2820" s="2">
        <v>904000</v>
      </c>
    </row>
    <row r="2821" spans="6:8" x14ac:dyDescent="0.2">
      <c r="F2821" s="72">
        <v>44212</v>
      </c>
      <c r="G2821" s="2">
        <v>4878000</v>
      </c>
      <c r="H2821" s="2">
        <v>886000</v>
      </c>
    </row>
    <row r="2822" spans="6:8" x14ac:dyDescent="0.2">
      <c r="F2822" s="72">
        <v>44219</v>
      </c>
      <c r="G2822" s="2">
        <v>4791000</v>
      </c>
      <c r="H2822" s="2">
        <v>836000</v>
      </c>
    </row>
    <row r="2823" spans="6:8" x14ac:dyDescent="0.2">
      <c r="F2823" s="72">
        <v>44226</v>
      </c>
      <c r="G2823" s="2">
        <v>4655000</v>
      </c>
      <c r="H2823" s="2">
        <v>837000</v>
      </c>
    </row>
    <row r="2824" spans="6:8" x14ac:dyDescent="0.2">
      <c r="F2824" s="72">
        <v>44233</v>
      </c>
      <c r="G2824" s="2">
        <v>4592000</v>
      </c>
      <c r="H2824" s="2">
        <v>863000</v>
      </c>
    </row>
    <row r="2825" spans="6:8" x14ac:dyDescent="0.2">
      <c r="F2825" s="72">
        <v>44240</v>
      </c>
      <c r="G2825" s="2">
        <v>4469000</v>
      </c>
      <c r="H2825" s="2">
        <v>847000</v>
      </c>
    </row>
    <row r="2826" spans="6:8" x14ac:dyDescent="0.2">
      <c r="F2826" s="72">
        <v>44247</v>
      </c>
      <c r="G2826" s="2">
        <v>4383000</v>
      </c>
      <c r="H2826" s="2">
        <v>747000</v>
      </c>
    </row>
    <row r="2827" spans="6:8" x14ac:dyDescent="0.2">
      <c r="F2827" s="72">
        <v>44254</v>
      </c>
      <c r="G2827" s="2">
        <v>4157000</v>
      </c>
      <c r="H2827" s="2">
        <v>761000</v>
      </c>
    </row>
    <row r="2828" spans="6:8" x14ac:dyDescent="0.2">
      <c r="F2828" s="72">
        <v>44261</v>
      </c>
      <c r="G2828" s="2">
        <v>4123000</v>
      </c>
      <c r="H2828" s="2">
        <v>734000</v>
      </c>
    </row>
    <row r="2829" spans="6:8" x14ac:dyDescent="0.2">
      <c r="F2829" s="72">
        <v>44268</v>
      </c>
      <c r="G2829" s="2">
        <v>3841000</v>
      </c>
      <c r="H2829" s="2">
        <v>765000</v>
      </c>
    </row>
    <row r="2830" spans="6:8" x14ac:dyDescent="0.2">
      <c r="F2830" s="72">
        <v>44275</v>
      </c>
      <c r="G2830" s="2">
        <v>3753000</v>
      </c>
      <c r="H2830" s="2">
        <v>658000</v>
      </c>
    </row>
    <row r="2831" spans="6:8" x14ac:dyDescent="0.2">
      <c r="F2831" s="72">
        <v>44282</v>
      </c>
      <c r="G2831" s="2">
        <v>3717000</v>
      </c>
      <c r="H2831" s="2">
        <v>729000</v>
      </c>
    </row>
    <row r="2832" spans="6:8" x14ac:dyDescent="0.2">
      <c r="F2832" s="72">
        <v>44289</v>
      </c>
      <c r="G2832" s="2">
        <v>3708000</v>
      </c>
      <c r="H2832" s="2">
        <v>742000</v>
      </c>
    </row>
    <row r="2833" spans="6:8" x14ac:dyDescent="0.2">
      <c r="F2833" s="72">
        <v>44296</v>
      </c>
      <c r="G2833" s="2">
        <v>3652000</v>
      </c>
      <c r="H2833" s="2">
        <v>586000</v>
      </c>
    </row>
    <row r="2834" spans="6:8" x14ac:dyDescent="0.2">
      <c r="F2834" s="72">
        <v>44303</v>
      </c>
      <c r="G2834" s="2">
        <v>3653000</v>
      </c>
      <c r="H2834" s="2">
        <v>566000</v>
      </c>
    </row>
    <row r="2835" spans="6:8" x14ac:dyDescent="0.2">
      <c r="F2835" s="72">
        <v>44310</v>
      </c>
      <c r="G2835" s="2">
        <v>3680000</v>
      </c>
      <c r="H2835" s="2">
        <v>590000</v>
      </c>
    </row>
    <row r="2836" spans="6:8" x14ac:dyDescent="0.2">
      <c r="F2836" s="72">
        <v>44317</v>
      </c>
      <c r="G2836" s="2">
        <v>3640000</v>
      </c>
      <c r="H2836" s="2">
        <v>507000</v>
      </c>
    </row>
    <row r="2837" spans="6:8" x14ac:dyDescent="0.2">
      <c r="F2837" s="72">
        <v>44324</v>
      </c>
      <c r="G2837" s="2">
        <v>3738000</v>
      </c>
      <c r="H2837" s="2">
        <v>478000</v>
      </c>
    </row>
    <row r="2838" spans="6:8" x14ac:dyDescent="0.2">
      <c r="F2838" s="72">
        <v>44331</v>
      </c>
      <c r="G2838" s="2">
        <v>3611000</v>
      </c>
      <c r="H2838" s="2">
        <v>444000</v>
      </c>
    </row>
    <row r="2839" spans="6:8" x14ac:dyDescent="0.2">
      <c r="F2839" s="72">
        <v>44338</v>
      </c>
      <c r="G2839" s="2">
        <v>3769000</v>
      </c>
      <c r="H2839" s="2">
        <v>405000</v>
      </c>
    </row>
    <row r="2840" spans="6:8" x14ac:dyDescent="0.2">
      <c r="F2840" s="72">
        <v>44345</v>
      </c>
      <c r="G2840" s="2">
        <v>3517000</v>
      </c>
      <c r="H2840" s="2">
        <v>388000</v>
      </c>
    </row>
    <row r="2841" spans="6:8" x14ac:dyDescent="0.2">
      <c r="F2841" s="72">
        <v>44352</v>
      </c>
      <c r="G2841" s="2">
        <v>3528000</v>
      </c>
      <c r="H2841" s="2">
        <v>374000</v>
      </c>
    </row>
    <row r="2842" spans="6:8" x14ac:dyDescent="0.2">
      <c r="F2842" s="72">
        <v>44359</v>
      </c>
      <c r="G2842" s="2">
        <v>3412000</v>
      </c>
      <c r="H2842" s="2">
        <v>418000</v>
      </c>
    </row>
    <row r="2843" spans="6:8" x14ac:dyDescent="0.2">
      <c r="F2843" s="72">
        <v>44366</v>
      </c>
      <c r="G2843" s="2">
        <v>3484000</v>
      </c>
      <c r="H2843" s="2">
        <v>416000</v>
      </c>
    </row>
    <row r="2844" spans="6:8" x14ac:dyDescent="0.2">
      <c r="F2844" s="72">
        <v>44373</v>
      </c>
      <c r="G2844" s="2">
        <v>3367000</v>
      </c>
      <c r="H2844" s="2">
        <v>368000</v>
      </c>
    </row>
    <row r="2845" spans="6:8" x14ac:dyDescent="0.2">
      <c r="F2845" s="72">
        <v>44380</v>
      </c>
      <c r="G2845" s="2">
        <v>3265000</v>
      </c>
      <c r="H2845" s="2">
        <v>386000</v>
      </c>
    </row>
    <row r="2846" spans="6:8" x14ac:dyDescent="0.2">
      <c r="F2846" s="72">
        <v>44387</v>
      </c>
      <c r="G2846" s="2">
        <v>3262000</v>
      </c>
      <c r="H2846" s="2">
        <v>368000</v>
      </c>
    </row>
    <row r="2847" spans="6:8" x14ac:dyDescent="0.2">
      <c r="F2847" s="72">
        <v>44394</v>
      </c>
      <c r="G2847" s="2">
        <v>3296000</v>
      </c>
      <c r="H2847" s="2">
        <v>424000</v>
      </c>
    </row>
    <row r="2848" spans="6:8" x14ac:dyDescent="0.2">
      <c r="F2848" s="72">
        <v>44401</v>
      </c>
      <c r="G2848" s="2">
        <v>2980000</v>
      </c>
      <c r="H2848" s="2">
        <v>399000</v>
      </c>
    </row>
    <row r="2849" spans="6:8" x14ac:dyDescent="0.2">
      <c r="F2849" s="72">
        <v>44408</v>
      </c>
      <c r="G2849" s="2">
        <v>2899000</v>
      </c>
      <c r="H2849" s="2">
        <v>387000</v>
      </c>
    </row>
    <row r="2850" spans="6:8" x14ac:dyDescent="0.2">
      <c r="F2850" s="72">
        <v>44415</v>
      </c>
      <c r="G2850" s="2">
        <v>2865000</v>
      </c>
      <c r="H2850" s="2">
        <v>377000</v>
      </c>
    </row>
    <row r="2851" spans="6:8" x14ac:dyDescent="0.2">
      <c r="F2851" s="72">
        <v>44422</v>
      </c>
      <c r="G2851" s="2">
        <v>2908000</v>
      </c>
      <c r="H2851" s="2">
        <v>349000</v>
      </c>
    </row>
    <row r="2852" spans="6:8" x14ac:dyDescent="0.2">
      <c r="F2852" s="72">
        <v>44429</v>
      </c>
      <c r="G2852" s="2">
        <v>2748000</v>
      </c>
      <c r="H2852" s="2">
        <v>354000</v>
      </c>
    </row>
    <row r="2853" spans="6:8" x14ac:dyDescent="0.2">
      <c r="F2853" s="72">
        <v>44436</v>
      </c>
      <c r="H2853" s="2">
        <v>340000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B050"/>
  </sheetPr>
  <dimension ref="A1:AK1003"/>
  <sheetViews>
    <sheetView workbookViewId="0">
      <pane ySplit="11" topLeftCell="A954" activePane="bottomLeft" state="frozen"/>
      <selection activeCell="J2739" sqref="J2739"/>
      <selection pane="bottomLeft" activeCell="N1034" sqref="N1034"/>
    </sheetView>
  </sheetViews>
  <sheetFormatPr baseColWidth="10" defaultColWidth="8.83203125" defaultRowHeight="15" x14ac:dyDescent="0.2"/>
  <cols>
    <col min="1" max="1" width="14" customWidth="1"/>
    <col min="2" max="2" width="12.6640625" style="6" customWidth="1"/>
    <col min="3" max="3" width="15" style="6" customWidth="1"/>
    <col min="4" max="4" width="13" style="6" customWidth="1"/>
    <col min="5" max="5" width="16.1640625" style="6" customWidth="1"/>
    <col min="6" max="6" width="13.6640625" style="8" customWidth="1"/>
    <col min="7" max="7" width="14.33203125" style="6" customWidth="1"/>
    <col min="8" max="37" width="9.1640625" style="1"/>
  </cols>
  <sheetData>
    <row r="1" spans="1:37" s="1" customFormat="1" x14ac:dyDescent="0.2">
      <c r="A1" s="1" t="s">
        <v>4</v>
      </c>
      <c r="B1" s="21" t="s">
        <v>5</v>
      </c>
      <c r="C1" s="21"/>
      <c r="D1" s="21"/>
      <c r="E1" s="21"/>
      <c r="F1" s="22"/>
      <c r="G1" s="21"/>
    </row>
    <row r="2" spans="1:37" s="1" customFormat="1" ht="16" thickBot="1" x14ac:dyDescent="0.25">
      <c r="B2" s="21"/>
      <c r="C2" s="21"/>
      <c r="D2" s="21"/>
      <c r="E2" s="21"/>
      <c r="F2" s="22"/>
      <c r="G2" s="21"/>
    </row>
    <row r="3" spans="1:37" s="1" customFormat="1" x14ac:dyDescent="0.2">
      <c r="B3" s="21"/>
      <c r="C3" s="34" t="s">
        <v>104</v>
      </c>
      <c r="D3" s="30">
        <f>MAX(C13:C1026)</f>
        <v>4846</v>
      </c>
      <c r="E3" s="21"/>
      <c r="G3" s="23"/>
    </row>
    <row r="4" spans="1:37" s="1" customFormat="1" x14ac:dyDescent="0.2">
      <c r="A4" s="24"/>
      <c r="B4" s="21"/>
      <c r="C4" s="35" t="s">
        <v>105</v>
      </c>
      <c r="D4" s="31">
        <f>MIN(C13:C1026)</f>
        <v>-20679</v>
      </c>
      <c r="E4" s="21"/>
      <c r="G4" s="21"/>
    </row>
    <row r="5" spans="1:37" s="1" customFormat="1" x14ac:dyDescent="0.2">
      <c r="B5" s="21"/>
      <c r="C5" s="35" t="s">
        <v>106</v>
      </c>
      <c r="D5" s="32">
        <f>AVERAGE(C13:C1526)</f>
        <v>118.33198789101917</v>
      </c>
      <c r="E5" s="21"/>
      <c r="G5" s="21"/>
    </row>
    <row r="6" spans="1:37" s="1" customFormat="1" ht="16" thickBot="1" x14ac:dyDescent="0.25">
      <c r="B6" s="21"/>
      <c r="C6" s="36" t="s">
        <v>107</v>
      </c>
      <c r="D6" s="33">
        <f>AVERAGE(C864:C1026)</f>
        <v>124.3</v>
      </c>
      <c r="E6" s="21"/>
      <c r="G6" s="21"/>
    </row>
    <row r="7" spans="1:37" s="1" customFormat="1" x14ac:dyDescent="0.2">
      <c r="B7" s="21"/>
      <c r="C7" s="21"/>
      <c r="D7" s="21"/>
      <c r="E7" s="21"/>
      <c r="F7" s="22"/>
      <c r="G7" s="21"/>
    </row>
    <row r="8" spans="1:37" s="1" customFormat="1" x14ac:dyDescent="0.2">
      <c r="C8" s="21"/>
      <c r="D8" s="21"/>
      <c r="E8" s="21"/>
      <c r="F8" s="22"/>
      <c r="G8" s="21"/>
    </row>
    <row r="9" spans="1:37" s="1" customFormat="1" x14ac:dyDescent="0.2">
      <c r="B9" s="21"/>
      <c r="C9" s="21"/>
      <c r="D9" s="21"/>
      <c r="E9" s="21"/>
      <c r="F9" s="22"/>
      <c r="G9" s="21"/>
    </row>
    <row r="10" spans="1:37" s="1" customFormat="1" x14ac:dyDescent="0.2">
      <c r="A10" s="1" t="s">
        <v>6</v>
      </c>
      <c r="B10" s="21"/>
      <c r="C10" s="21"/>
      <c r="D10" s="21"/>
      <c r="E10" s="21"/>
      <c r="F10" s="22"/>
      <c r="G10" s="21"/>
    </row>
    <row r="11" spans="1:37" s="4" customFormat="1" ht="32" x14ac:dyDescent="0.2">
      <c r="A11" s="19" t="s">
        <v>0</v>
      </c>
      <c r="B11" s="9" t="s">
        <v>4</v>
      </c>
      <c r="C11" s="9" t="s">
        <v>42</v>
      </c>
      <c r="D11" s="19" t="s">
        <v>8</v>
      </c>
      <c r="E11" s="19" t="s">
        <v>7</v>
      </c>
      <c r="F11" s="20" t="s">
        <v>9</v>
      </c>
      <c r="G11" s="19" t="s">
        <v>18</v>
      </c>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row>
    <row r="12" spans="1:37" x14ac:dyDescent="0.2">
      <c r="A12" s="37">
        <v>14246</v>
      </c>
      <c r="B12" s="38">
        <f>VLOOKUP(Table1[[#This Row],[Date]],Database!A:D,3,)</f>
        <v>29923</v>
      </c>
      <c r="C12" s="39"/>
      <c r="D12" s="39"/>
      <c r="E12" s="27"/>
      <c r="F12" s="40" t="e">
        <v>#N/A</v>
      </c>
      <c r="G12" s="27"/>
    </row>
    <row r="13" spans="1:37" x14ac:dyDescent="0.2">
      <c r="A13" s="37">
        <v>14277</v>
      </c>
      <c r="B13" s="38">
        <f>VLOOKUP(Table1[[#This Row],[Date]],Database!A:D,3,)</f>
        <v>30100</v>
      </c>
      <c r="C13" s="39">
        <f t="shared" ref="C13:C76" si="0">B13-B12</f>
        <v>177</v>
      </c>
      <c r="D13" s="39"/>
      <c r="E13" s="27"/>
      <c r="F13" s="40" t="e">
        <v>#N/A</v>
      </c>
      <c r="G13" s="27"/>
    </row>
    <row r="14" spans="1:37" x14ac:dyDescent="0.2">
      <c r="A14" s="37">
        <v>14305</v>
      </c>
      <c r="B14" s="38">
        <f>VLOOKUP(Table1[[#This Row],[Date]],Database!A:D,3,)</f>
        <v>30280</v>
      </c>
      <c r="C14" s="39">
        <f t="shared" si="0"/>
        <v>180</v>
      </c>
      <c r="D14" s="39"/>
      <c r="E14" s="27"/>
      <c r="F14" s="40" t="e">
        <v>#N/A</v>
      </c>
      <c r="G14" s="27"/>
    </row>
    <row r="15" spans="1:37" x14ac:dyDescent="0.2">
      <c r="A15" s="37">
        <v>14336</v>
      </c>
      <c r="B15" s="38">
        <f>VLOOKUP(Table1[[#This Row],[Date]],Database!A:D,3,)</f>
        <v>30094</v>
      </c>
      <c r="C15" s="39">
        <f t="shared" si="0"/>
        <v>-186</v>
      </c>
      <c r="D15" s="39">
        <f t="shared" ref="D15:D75" si="1">AVERAGE(C13:C15)</f>
        <v>57</v>
      </c>
      <c r="E15" s="27"/>
      <c r="F15" s="40" t="e">
        <v>#N/A</v>
      </c>
      <c r="G15" s="27"/>
    </row>
    <row r="16" spans="1:37" x14ac:dyDescent="0.2">
      <c r="A16" s="37">
        <v>14366</v>
      </c>
      <c r="B16" s="38">
        <f>VLOOKUP(Table1[[#This Row],[Date]],Database!A:D,3,)</f>
        <v>30299</v>
      </c>
      <c r="C16" s="39">
        <f t="shared" si="0"/>
        <v>205</v>
      </c>
      <c r="D16" s="39">
        <f t="shared" si="1"/>
        <v>66.333333333333329</v>
      </c>
      <c r="E16" s="27"/>
      <c r="F16" s="40" t="e">
        <v>#N/A</v>
      </c>
      <c r="G16" s="27"/>
    </row>
    <row r="17" spans="1:7" x14ac:dyDescent="0.2">
      <c r="A17" s="37">
        <v>14397</v>
      </c>
      <c r="B17" s="38">
        <f>VLOOKUP(Table1[[#This Row],[Date]],Database!A:D,3,)</f>
        <v>30502</v>
      </c>
      <c r="C17" s="39">
        <f t="shared" si="0"/>
        <v>203</v>
      </c>
      <c r="D17" s="39">
        <f t="shared" si="1"/>
        <v>74</v>
      </c>
      <c r="E17" s="27"/>
      <c r="F17" s="40" t="e">
        <v>#N/A</v>
      </c>
      <c r="G17" s="27"/>
    </row>
    <row r="18" spans="1:7" x14ac:dyDescent="0.2">
      <c r="A18" s="37">
        <v>14427</v>
      </c>
      <c r="B18" s="38">
        <f>VLOOKUP(Table1[[#This Row],[Date]],Database!A:D,3,)</f>
        <v>30419</v>
      </c>
      <c r="C18" s="39">
        <f t="shared" si="0"/>
        <v>-83</v>
      </c>
      <c r="D18" s="39">
        <f t="shared" si="1"/>
        <v>108.33333333333333</v>
      </c>
      <c r="E18" s="27"/>
      <c r="F18" s="40" t="e">
        <v>#N/A</v>
      </c>
      <c r="G18" s="27"/>
    </row>
    <row r="19" spans="1:7" x14ac:dyDescent="0.2">
      <c r="A19" s="37">
        <v>14458</v>
      </c>
      <c r="B19" s="38">
        <f>VLOOKUP(Table1[[#This Row],[Date]],Database!A:D,3,)</f>
        <v>30663</v>
      </c>
      <c r="C19" s="39">
        <f t="shared" si="0"/>
        <v>244</v>
      </c>
      <c r="D19" s="39">
        <f t="shared" si="1"/>
        <v>121.33333333333333</v>
      </c>
      <c r="E19" s="27"/>
      <c r="F19" s="40" t="e">
        <v>#N/A</v>
      </c>
      <c r="G19" s="27"/>
    </row>
    <row r="20" spans="1:7" x14ac:dyDescent="0.2">
      <c r="A20" s="37">
        <v>14489</v>
      </c>
      <c r="B20" s="38">
        <f>VLOOKUP(Table1[[#This Row],[Date]],Database!A:D,3,)</f>
        <v>31031</v>
      </c>
      <c r="C20" s="39">
        <f t="shared" si="0"/>
        <v>368</v>
      </c>
      <c r="D20" s="39">
        <f t="shared" si="1"/>
        <v>176.33333333333334</v>
      </c>
      <c r="E20" s="27"/>
      <c r="F20" s="40" t="e">
        <v>#N/A</v>
      </c>
      <c r="G20" s="27"/>
    </row>
    <row r="21" spans="1:7" x14ac:dyDescent="0.2">
      <c r="A21" s="37">
        <v>14519</v>
      </c>
      <c r="B21" s="38">
        <f>VLOOKUP(Table1[[#This Row],[Date]],Database!A:D,3,)</f>
        <v>31411</v>
      </c>
      <c r="C21" s="39">
        <f t="shared" si="0"/>
        <v>380</v>
      </c>
      <c r="D21" s="39">
        <f t="shared" si="1"/>
        <v>330.66666666666669</v>
      </c>
      <c r="E21" s="27"/>
      <c r="F21" s="40" t="e">
        <v>#N/A</v>
      </c>
      <c r="G21" s="27"/>
    </row>
    <row r="22" spans="1:7" x14ac:dyDescent="0.2">
      <c r="A22" s="37">
        <v>14550</v>
      </c>
      <c r="B22" s="38">
        <f>VLOOKUP(Table1[[#This Row],[Date]],Database!A:D,3,)</f>
        <v>31470</v>
      </c>
      <c r="C22" s="39">
        <f t="shared" si="0"/>
        <v>59</v>
      </c>
      <c r="D22" s="39">
        <f t="shared" si="1"/>
        <v>269</v>
      </c>
      <c r="E22" s="27"/>
      <c r="F22" s="40" t="e">
        <v>#N/A</v>
      </c>
      <c r="G22" s="27"/>
    </row>
    <row r="23" spans="1:7" x14ac:dyDescent="0.2">
      <c r="A23" s="37">
        <v>14580</v>
      </c>
      <c r="B23" s="38">
        <f>VLOOKUP(Table1[[#This Row],[Date]],Database!A:D,3,)</f>
        <v>31542</v>
      </c>
      <c r="C23" s="39">
        <f t="shared" si="0"/>
        <v>72</v>
      </c>
      <c r="D23" s="39">
        <f t="shared" si="1"/>
        <v>170.33333333333334</v>
      </c>
      <c r="E23" s="27"/>
      <c r="F23" s="40" t="e">
        <v>#N/A</v>
      </c>
      <c r="G23" s="27"/>
    </row>
    <row r="24" spans="1:7" x14ac:dyDescent="0.2">
      <c r="A24" s="37">
        <v>14611</v>
      </c>
      <c r="B24" s="38">
        <f>VLOOKUP(Table1[[#This Row],[Date]],Database!A:D,3,)</f>
        <v>31603</v>
      </c>
      <c r="C24" s="39">
        <f t="shared" si="0"/>
        <v>61</v>
      </c>
      <c r="D24" s="39">
        <f t="shared" si="1"/>
        <v>64</v>
      </c>
      <c r="E24" s="27"/>
      <c r="F24" s="40" t="e">
        <v>#N/A</v>
      </c>
      <c r="G24" s="27"/>
    </row>
    <row r="25" spans="1:7" x14ac:dyDescent="0.2">
      <c r="A25" s="37">
        <v>14642</v>
      </c>
      <c r="B25" s="38">
        <f>VLOOKUP(Table1[[#This Row],[Date]],Database!A:D,3,)</f>
        <v>31715</v>
      </c>
      <c r="C25" s="39">
        <f t="shared" si="0"/>
        <v>112</v>
      </c>
      <c r="D25" s="39">
        <f t="shared" si="1"/>
        <v>81.666666666666671</v>
      </c>
      <c r="E25" s="27"/>
      <c r="F25" s="40" t="e">
        <v>#N/A</v>
      </c>
      <c r="G25" s="27"/>
    </row>
    <row r="26" spans="1:7" x14ac:dyDescent="0.2">
      <c r="A26" s="37">
        <v>14671</v>
      </c>
      <c r="B26" s="38">
        <f>VLOOKUP(Table1[[#This Row],[Date]],Database!A:D,3,)</f>
        <v>31825</v>
      </c>
      <c r="C26" s="39">
        <f t="shared" si="0"/>
        <v>110</v>
      </c>
      <c r="D26" s="39">
        <f t="shared" si="1"/>
        <v>94.333333333333329</v>
      </c>
      <c r="E26" s="27"/>
      <c r="F26" s="40" t="e">
        <v>#N/A</v>
      </c>
      <c r="G26" s="27"/>
    </row>
    <row r="27" spans="1:7" x14ac:dyDescent="0.2">
      <c r="A27" s="37">
        <v>14702</v>
      </c>
      <c r="B27" s="38">
        <f>VLOOKUP(Table1[[#This Row],[Date]],Database!A:D,3,)</f>
        <v>31701</v>
      </c>
      <c r="C27" s="39">
        <f t="shared" si="0"/>
        <v>-124</v>
      </c>
      <c r="D27" s="39">
        <f t="shared" si="1"/>
        <v>32.666666666666664</v>
      </c>
      <c r="E27" s="27"/>
      <c r="F27" s="40" t="e">
        <v>#N/A</v>
      </c>
      <c r="G27" s="27"/>
    </row>
    <row r="28" spans="1:7" x14ac:dyDescent="0.2">
      <c r="A28" s="37">
        <v>14732</v>
      </c>
      <c r="B28" s="38">
        <f>VLOOKUP(Table1[[#This Row],[Date]],Database!A:D,3,)</f>
        <v>31879</v>
      </c>
      <c r="C28" s="39">
        <f t="shared" si="0"/>
        <v>178</v>
      </c>
      <c r="D28" s="39">
        <f t="shared" si="1"/>
        <v>54.666666666666664</v>
      </c>
      <c r="E28" s="27"/>
      <c r="F28" s="40" t="e">
        <v>#N/A</v>
      </c>
      <c r="G28" s="27"/>
    </row>
    <row r="29" spans="1:7" x14ac:dyDescent="0.2">
      <c r="A29" s="37">
        <v>14763</v>
      </c>
      <c r="B29" s="38">
        <f>VLOOKUP(Table1[[#This Row],[Date]],Database!A:D,3,)</f>
        <v>31977</v>
      </c>
      <c r="C29" s="39">
        <f t="shared" si="0"/>
        <v>98</v>
      </c>
      <c r="D29" s="39">
        <f t="shared" si="1"/>
        <v>50.666666666666664</v>
      </c>
      <c r="E29" s="27"/>
      <c r="F29" s="40" t="e">
        <v>#N/A</v>
      </c>
      <c r="G29" s="27"/>
    </row>
    <row r="30" spans="1:7" x14ac:dyDescent="0.2">
      <c r="A30" s="37">
        <v>14793</v>
      </c>
      <c r="B30" s="38">
        <f>VLOOKUP(Table1[[#This Row],[Date]],Database!A:D,3,)</f>
        <v>31942</v>
      </c>
      <c r="C30" s="39">
        <f t="shared" si="0"/>
        <v>-35</v>
      </c>
      <c r="D30" s="39">
        <f t="shared" si="1"/>
        <v>80.333333333333329</v>
      </c>
      <c r="E30" s="27"/>
      <c r="F30" s="40" t="e">
        <v>#N/A</v>
      </c>
      <c r="G30" s="27"/>
    </row>
    <row r="31" spans="1:7" x14ac:dyDescent="0.2">
      <c r="A31" s="37">
        <v>14824</v>
      </c>
      <c r="B31" s="38">
        <f>VLOOKUP(Table1[[#This Row],[Date]],Database!A:D,3,)</f>
        <v>32352</v>
      </c>
      <c r="C31" s="39">
        <f t="shared" si="0"/>
        <v>410</v>
      </c>
      <c r="D31" s="39">
        <f t="shared" si="1"/>
        <v>157.66666666666666</v>
      </c>
      <c r="E31" s="27"/>
      <c r="F31" s="40" t="e">
        <v>#N/A</v>
      </c>
      <c r="G31" s="27"/>
    </row>
    <row r="32" spans="1:7" x14ac:dyDescent="0.2">
      <c r="A32" s="37">
        <v>14855</v>
      </c>
      <c r="B32" s="38">
        <f>VLOOKUP(Table1[[#This Row],[Date]],Database!A:D,3,)</f>
        <v>32810</v>
      </c>
      <c r="C32" s="39">
        <f t="shared" si="0"/>
        <v>458</v>
      </c>
      <c r="D32" s="39">
        <f t="shared" si="1"/>
        <v>277.66666666666669</v>
      </c>
      <c r="E32" s="27"/>
      <c r="F32" s="40" t="e">
        <v>#N/A</v>
      </c>
      <c r="G32" s="27"/>
    </row>
    <row r="33" spans="1:7" x14ac:dyDescent="0.2">
      <c r="A33" s="37">
        <v>14885</v>
      </c>
      <c r="B33" s="38">
        <f>VLOOKUP(Table1[[#This Row],[Date]],Database!A:D,3,)</f>
        <v>33267</v>
      </c>
      <c r="C33" s="39">
        <f t="shared" si="0"/>
        <v>457</v>
      </c>
      <c r="D33" s="39">
        <f t="shared" si="1"/>
        <v>441.66666666666669</v>
      </c>
      <c r="E33" s="27"/>
      <c r="F33" s="40" t="e">
        <v>#N/A</v>
      </c>
      <c r="G33" s="27"/>
    </row>
    <row r="34" spans="1:7" x14ac:dyDescent="0.2">
      <c r="A34" s="37">
        <v>14916</v>
      </c>
      <c r="B34" s="38">
        <f>VLOOKUP(Table1[[#This Row],[Date]],Database!A:D,3,)</f>
        <v>33669</v>
      </c>
      <c r="C34" s="39">
        <f t="shared" si="0"/>
        <v>402</v>
      </c>
      <c r="D34" s="39">
        <f t="shared" si="1"/>
        <v>439</v>
      </c>
      <c r="E34" s="27"/>
      <c r="F34" s="40" t="e">
        <v>#N/A</v>
      </c>
      <c r="G34" s="27"/>
    </row>
    <row r="35" spans="1:7" x14ac:dyDescent="0.2">
      <c r="A35" s="37">
        <v>14946</v>
      </c>
      <c r="B35" s="38">
        <f>VLOOKUP(Table1[[#This Row],[Date]],Database!A:D,3,)</f>
        <v>34174</v>
      </c>
      <c r="C35" s="39">
        <f t="shared" si="0"/>
        <v>505</v>
      </c>
      <c r="D35" s="39">
        <f t="shared" si="1"/>
        <v>454.66666666666669</v>
      </c>
      <c r="E35" s="27"/>
      <c r="F35" s="40" t="e">
        <v>#N/A</v>
      </c>
      <c r="G35" s="27"/>
    </row>
    <row r="36" spans="1:7" x14ac:dyDescent="0.2">
      <c r="A36" s="37">
        <v>14977</v>
      </c>
      <c r="B36" s="38">
        <f>VLOOKUP(Table1[[#This Row],[Date]],Database!A:D,3,)</f>
        <v>34481</v>
      </c>
      <c r="C36" s="39">
        <f t="shared" si="0"/>
        <v>307</v>
      </c>
      <c r="D36" s="39">
        <f t="shared" si="1"/>
        <v>404.66666666666669</v>
      </c>
      <c r="E36" s="27"/>
      <c r="F36" s="40" t="e">
        <v>#N/A</v>
      </c>
      <c r="G36" s="27"/>
    </row>
    <row r="37" spans="1:7" x14ac:dyDescent="0.2">
      <c r="A37" s="37">
        <v>15008</v>
      </c>
      <c r="B37" s="38">
        <f>VLOOKUP(Table1[[#This Row],[Date]],Database!A:D,3,)</f>
        <v>34843</v>
      </c>
      <c r="C37" s="39">
        <f t="shared" si="0"/>
        <v>362</v>
      </c>
      <c r="D37" s="39">
        <f t="shared" si="1"/>
        <v>391.33333333333331</v>
      </c>
      <c r="E37" s="27"/>
      <c r="F37" s="40" t="e">
        <v>#N/A</v>
      </c>
      <c r="G37" s="27"/>
    </row>
    <row r="38" spans="1:7" x14ac:dyDescent="0.2">
      <c r="A38" s="37">
        <v>15036</v>
      </c>
      <c r="B38" s="38">
        <f>VLOOKUP(Table1[[#This Row],[Date]],Database!A:D,3,)</f>
        <v>35092</v>
      </c>
      <c r="C38" s="39">
        <f t="shared" si="0"/>
        <v>249</v>
      </c>
      <c r="D38" s="39">
        <f t="shared" si="1"/>
        <v>306</v>
      </c>
      <c r="E38" s="27"/>
      <c r="F38" s="40" t="e">
        <v>#N/A</v>
      </c>
      <c r="G38" s="27"/>
    </row>
    <row r="39" spans="1:7" x14ac:dyDescent="0.2">
      <c r="A39" s="37">
        <v>15067</v>
      </c>
      <c r="B39" s="38">
        <f>VLOOKUP(Table1[[#This Row],[Date]],Database!A:D,3,)</f>
        <v>35468</v>
      </c>
      <c r="C39" s="39">
        <f t="shared" si="0"/>
        <v>376</v>
      </c>
      <c r="D39" s="39">
        <f t="shared" si="1"/>
        <v>329</v>
      </c>
      <c r="E39" s="27"/>
      <c r="F39" s="40" t="e">
        <v>#N/A</v>
      </c>
      <c r="G39" s="27"/>
    </row>
    <row r="40" spans="1:7" x14ac:dyDescent="0.2">
      <c r="A40" s="37">
        <v>15097</v>
      </c>
      <c r="B40" s="38">
        <f>VLOOKUP(Table1[[#This Row],[Date]],Database!A:D,3,)</f>
        <v>36182</v>
      </c>
      <c r="C40" s="39">
        <f t="shared" si="0"/>
        <v>714</v>
      </c>
      <c r="D40" s="39">
        <f t="shared" si="1"/>
        <v>446.33333333333331</v>
      </c>
      <c r="E40" s="27"/>
      <c r="F40" s="40" t="e">
        <v>#N/A</v>
      </c>
      <c r="G40" s="27"/>
    </row>
    <row r="41" spans="1:7" x14ac:dyDescent="0.2">
      <c r="A41" s="37">
        <v>15128</v>
      </c>
      <c r="B41" s="38">
        <f>VLOOKUP(Table1[[#This Row],[Date]],Database!A:D,3,)</f>
        <v>36650</v>
      </c>
      <c r="C41" s="39">
        <f t="shared" si="0"/>
        <v>468</v>
      </c>
      <c r="D41" s="39">
        <f t="shared" si="1"/>
        <v>519.33333333333337</v>
      </c>
      <c r="E41" s="27"/>
      <c r="F41" s="40" t="e">
        <v>#N/A</v>
      </c>
      <c r="G41" s="27"/>
    </row>
    <row r="42" spans="1:7" x14ac:dyDescent="0.2">
      <c r="A42" s="37">
        <v>15158</v>
      </c>
      <c r="B42" s="38">
        <f>VLOOKUP(Table1[[#This Row],[Date]],Database!A:D,3,)</f>
        <v>37137</v>
      </c>
      <c r="C42" s="39">
        <f t="shared" si="0"/>
        <v>487</v>
      </c>
      <c r="D42" s="39">
        <f t="shared" si="1"/>
        <v>556.33333333333337</v>
      </c>
      <c r="E42" s="27"/>
      <c r="F42" s="40" t="e">
        <v>#N/A</v>
      </c>
      <c r="G42" s="27"/>
    </row>
    <row r="43" spans="1:7" x14ac:dyDescent="0.2">
      <c r="A43" s="37">
        <v>15189</v>
      </c>
      <c r="B43" s="38">
        <f>VLOOKUP(Table1[[#This Row],[Date]],Database!A:D,3,)</f>
        <v>37544</v>
      </c>
      <c r="C43" s="39">
        <f t="shared" si="0"/>
        <v>407</v>
      </c>
      <c r="D43" s="39">
        <f t="shared" si="1"/>
        <v>454</v>
      </c>
      <c r="E43" s="27"/>
      <c r="F43" s="40" t="e">
        <v>#N/A</v>
      </c>
      <c r="G43" s="27"/>
    </row>
    <row r="44" spans="1:7" x14ac:dyDescent="0.2">
      <c r="A44" s="37">
        <v>15220</v>
      </c>
      <c r="B44" s="38">
        <f>VLOOKUP(Table1[[#This Row],[Date]],Database!A:D,3,)</f>
        <v>37835</v>
      </c>
      <c r="C44" s="39">
        <f t="shared" si="0"/>
        <v>291</v>
      </c>
      <c r="D44" s="39">
        <f t="shared" si="1"/>
        <v>395</v>
      </c>
      <c r="E44" s="27"/>
      <c r="F44" s="40" t="e">
        <v>#N/A</v>
      </c>
      <c r="G44" s="27"/>
    </row>
    <row r="45" spans="1:7" x14ac:dyDescent="0.2">
      <c r="A45" s="37">
        <v>15250</v>
      </c>
      <c r="B45" s="38">
        <f>VLOOKUP(Table1[[#This Row],[Date]],Database!A:D,3,)</f>
        <v>37949</v>
      </c>
      <c r="C45" s="39">
        <f t="shared" si="0"/>
        <v>114</v>
      </c>
      <c r="D45" s="39">
        <f t="shared" si="1"/>
        <v>270.66666666666669</v>
      </c>
      <c r="E45" s="27"/>
      <c r="F45" s="40" t="e">
        <v>#N/A</v>
      </c>
      <c r="G45" s="27"/>
    </row>
    <row r="46" spans="1:7" x14ac:dyDescent="0.2">
      <c r="A46" s="37">
        <v>15281</v>
      </c>
      <c r="B46" s="38">
        <f>VLOOKUP(Table1[[#This Row],[Date]],Database!A:D,3,)</f>
        <v>38024</v>
      </c>
      <c r="C46" s="39">
        <f t="shared" si="0"/>
        <v>75</v>
      </c>
      <c r="D46" s="39">
        <f t="shared" si="1"/>
        <v>160</v>
      </c>
      <c r="E46" s="27"/>
      <c r="F46" s="40" t="e">
        <v>#N/A</v>
      </c>
      <c r="G46" s="27"/>
    </row>
    <row r="47" spans="1:7" x14ac:dyDescent="0.2">
      <c r="A47" s="37">
        <v>15311</v>
      </c>
      <c r="B47" s="38">
        <f>VLOOKUP(Table1[[#This Row],[Date]],Database!A:D,3,)</f>
        <v>38104</v>
      </c>
      <c r="C47" s="39">
        <f t="shared" si="0"/>
        <v>80</v>
      </c>
      <c r="D47" s="39">
        <f t="shared" si="1"/>
        <v>89.666666666666671</v>
      </c>
      <c r="E47" s="27"/>
      <c r="F47" s="40" t="e">
        <v>#N/A</v>
      </c>
      <c r="G47" s="27"/>
    </row>
    <row r="48" spans="1:7" x14ac:dyDescent="0.2">
      <c r="A48" s="37">
        <v>15342</v>
      </c>
      <c r="B48" s="38">
        <f>VLOOKUP(Table1[[#This Row],[Date]],Database!A:D,3,)</f>
        <v>38347</v>
      </c>
      <c r="C48" s="39">
        <f t="shared" si="0"/>
        <v>243</v>
      </c>
      <c r="D48" s="39">
        <f t="shared" si="1"/>
        <v>132.66666666666666</v>
      </c>
      <c r="E48" s="27"/>
      <c r="F48" s="40" t="e">
        <v>#N/A</v>
      </c>
      <c r="G48" s="27"/>
    </row>
    <row r="49" spans="1:7" x14ac:dyDescent="0.2">
      <c r="A49" s="37">
        <v>15373</v>
      </c>
      <c r="B49" s="38">
        <f>VLOOKUP(Table1[[#This Row],[Date]],Database!A:D,3,)</f>
        <v>38512</v>
      </c>
      <c r="C49" s="39">
        <f t="shared" si="0"/>
        <v>165</v>
      </c>
      <c r="D49" s="39">
        <f t="shared" si="1"/>
        <v>162.66666666666666</v>
      </c>
      <c r="E49" s="27"/>
      <c r="F49" s="40" t="e">
        <v>#N/A</v>
      </c>
      <c r="G49" s="27"/>
    </row>
    <row r="50" spans="1:7" x14ac:dyDescent="0.2">
      <c r="A50" s="37">
        <v>15401</v>
      </c>
      <c r="B50" s="38">
        <f>VLOOKUP(Table1[[#This Row],[Date]],Database!A:D,3,)</f>
        <v>38935</v>
      </c>
      <c r="C50" s="39">
        <f t="shared" si="0"/>
        <v>423</v>
      </c>
      <c r="D50" s="39">
        <f t="shared" si="1"/>
        <v>277</v>
      </c>
      <c r="E50" s="27"/>
      <c r="F50" s="40" t="e">
        <v>#N/A</v>
      </c>
      <c r="G50" s="27"/>
    </row>
    <row r="51" spans="1:7" x14ac:dyDescent="0.2">
      <c r="A51" s="37">
        <v>15432</v>
      </c>
      <c r="B51" s="38">
        <f>VLOOKUP(Table1[[#This Row],[Date]],Database!A:D,3,)</f>
        <v>39352</v>
      </c>
      <c r="C51" s="39">
        <f t="shared" si="0"/>
        <v>417</v>
      </c>
      <c r="D51" s="39">
        <f t="shared" si="1"/>
        <v>335</v>
      </c>
      <c r="E51" s="27"/>
      <c r="F51" s="40" t="e">
        <v>#N/A</v>
      </c>
      <c r="G51" s="27"/>
    </row>
    <row r="52" spans="1:7" x14ac:dyDescent="0.2">
      <c r="A52" s="37">
        <v>15462</v>
      </c>
      <c r="B52" s="38">
        <f>VLOOKUP(Table1[[#This Row],[Date]],Database!A:D,3,)</f>
        <v>39771</v>
      </c>
      <c r="C52" s="39">
        <f t="shared" si="0"/>
        <v>419</v>
      </c>
      <c r="D52" s="39">
        <f t="shared" si="1"/>
        <v>419.66666666666669</v>
      </c>
      <c r="E52" s="27"/>
      <c r="F52" s="40" t="e">
        <v>#N/A</v>
      </c>
      <c r="G52" s="27"/>
    </row>
    <row r="53" spans="1:7" x14ac:dyDescent="0.2">
      <c r="A53" s="37">
        <v>15493</v>
      </c>
      <c r="B53" s="38">
        <f>VLOOKUP(Table1[[#This Row],[Date]],Database!A:D,3,)</f>
        <v>40029</v>
      </c>
      <c r="C53" s="39">
        <f t="shared" si="0"/>
        <v>258</v>
      </c>
      <c r="D53" s="39">
        <f t="shared" si="1"/>
        <v>364.66666666666669</v>
      </c>
      <c r="E53" s="27"/>
      <c r="F53" s="40" t="e">
        <v>#N/A</v>
      </c>
      <c r="G53" s="27"/>
    </row>
    <row r="54" spans="1:7" x14ac:dyDescent="0.2">
      <c r="A54" s="37">
        <v>15523</v>
      </c>
      <c r="B54" s="38">
        <f>VLOOKUP(Table1[[#This Row],[Date]],Database!A:D,3,)</f>
        <v>40472</v>
      </c>
      <c r="C54" s="39">
        <f t="shared" si="0"/>
        <v>443</v>
      </c>
      <c r="D54" s="39">
        <f t="shared" si="1"/>
        <v>373.33333333333331</v>
      </c>
      <c r="E54" s="27"/>
      <c r="F54" s="40" t="e">
        <v>#N/A</v>
      </c>
      <c r="G54" s="27"/>
    </row>
    <row r="55" spans="1:7" x14ac:dyDescent="0.2">
      <c r="A55" s="37">
        <v>15554</v>
      </c>
      <c r="B55" s="38">
        <f>VLOOKUP(Table1[[#This Row],[Date]],Database!A:D,3,)</f>
        <v>40988</v>
      </c>
      <c r="C55" s="39">
        <f t="shared" si="0"/>
        <v>516</v>
      </c>
      <c r="D55" s="39">
        <f t="shared" si="1"/>
        <v>405.66666666666669</v>
      </c>
      <c r="E55" s="27"/>
      <c r="F55" s="40" t="e">
        <v>#N/A</v>
      </c>
      <c r="G55" s="27"/>
    </row>
    <row r="56" spans="1:7" x14ac:dyDescent="0.2">
      <c r="A56" s="37">
        <v>15585</v>
      </c>
      <c r="B56" s="38">
        <f>VLOOKUP(Table1[[#This Row],[Date]],Database!A:D,3,)</f>
        <v>41259</v>
      </c>
      <c r="C56" s="39">
        <f t="shared" si="0"/>
        <v>271</v>
      </c>
      <c r="D56" s="39">
        <f t="shared" si="1"/>
        <v>410</v>
      </c>
      <c r="E56" s="27"/>
      <c r="F56" s="40" t="e">
        <v>#N/A</v>
      </c>
      <c r="G56" s="27"/>
    </row>
    <row r="57" spans="1:7" x14ac:dyDescent="0.2">
      <c r="A57" s="37">
        <v>15615</v>
      </c>
      <c r="B57" s="38">
        <f>VLOOKUP(Table1[[#This Row],[Date]],Database!A:D,3,)</f>
        <v>41515</v>
      </c>
      <c r="C57" s="39">
        <f t="shared" si="0"/>
        <v>256</v>
      </c>
      <c r="D57" s="39">
        <f t="shared" si="1"/>
        <v>347.66666666666669</v>
      </c>
      <c r="E57" s="27"/>
      <c r="F57" s="40" t="e">
        <v>#N/A</v>
      </c>
      <c r="G57" s="27"/>
    </row>
    <row r="58" spans="1:7" x14ac:dyDescent="0.2">
      <c r="A58" s="37">
        <v>15646</v>
      </c>
      <c r="B58" s="38">
        <f>VLOOKUP(Table1[[#This Row],[Date]],Database!A:D,3,)</f>
        <v>41674</v>
      </c>
      <c r="C58" s="39">
        <f t="shared" si="0"/>
        <v>159</v>
      </c>
      <c r="D58" s="39">
        <f t="shared" si="1"/>
        <v>228.66666666666666</v>
      </c>
      <c r="E58" s="27"/>
      <c r="F58" s="40" t="e">
        <v>#N/A</v>
      </c>
      <c r="G58" s="27"/>
    </row>
    <row r="59" spans="1:7" x14ac:dyDescent="0.2">
      <c r="A59" s="37">
        <v>15676</v>
      </c>
      <c r="B59" s="38">
        <f>VLOOKUP(Table1[[#This Row],[Date]],Database!A:D,3,)</f>
        <v>41915</v>
      </c>
      <c r="C59" s="39">
        <f t="shared" si="0"/>
        <v>241</v>
      </c>
      <c r="D59" s="39">
        <f t="shared" si="1"/>
        <v>218.66666666666666</v>
      </c>
      <c r="E59" s="27"/>
      <c r="F59" s="40" t="e">
        <v>#N/A</v>
      </c>
      <c r="G59" s="27"/>
    </row>
    <row r="60" spans="1:7" x14ac:dyDescent="0.2">
      <c r="A60" s="37">
        <v>15707</v>
      </c>
      <c r="B60" s="38">
        <f>VLOOKUP(Table1[[#This Row],[Date]],Database!A:D,3,)</f>
        <v>42172</v>
      </c>
      <c r="C60" s="39">
        <f t="shared" si="0"/>
        <v>257</v>
      </c>
      <c r="D60" s="39">
        <f t="shared" si="1"/>
        <v>219</v>
      </c>
      <c r="E60" s="27"/>
      <c r="F60" s="40" t="e">
        <v>#N/A</v>
      </c>
      <c r="G60" s="27"/>
    </row>
    <row r="61" spans="1:7" x14ac:dyDescent="0.2">
      <c r="A61" s="37">
        <v>15738</v>
      </c>
      <c r="B61" s="38">
        <f>VLOOKUP(Table1[[#This Row],[Date]],Database!A:D,3,)</f>
        <v>42393</v>
      </c>
      <c r="C61" s="39">
        <f t="shared" si="0"/>
        <v>221</v>
      </c>
      <c r="D61" s="39">
        <f t="shared" si="1"/>
        <v>239.66666666666666</v>
      </c>
      <c r="E61" s="27"/>
      <c r="F61" s="40" t="e">
        <v>#N/A</v>
      </c>
      <c r="G61" s="27"/>
    </row>
    <row r="62" spans="1:7" x14ac:dyDescent="0.2">
      <c r="A62" s="37">
        <v>15766</v>
      </c>
      <c r="B62" s="38">
        <f>VLOOKUP(Table1[[#This Row],[Date]],Database!A:D,3,)</f>
        <v>42552</v>
      </c>
      <c r="C62" s="39">
        <f t="shared" si="0"/>
        <v>159</v>
      </c>
      <c r="D62" s="39">
        <f t="shared" si="1"/>
        <v>212.33333333333334</v>
      </c>
      <c r="E62" s="27"/>
      <c r="F62" s="40" t="e">
        <v>#N/A</v>
      </c>
      <c r="G62" s="27"/>
    </row>
    <row r="63" spans="1:7" x14ac:dyDescent="0.2">
      <c r="A63" s="37">
        <v>15797</v>
      </c>
      <c r="B63" s="38">
        <f>VLOOKUP(Table1[[#This Row],[Date]],Database!A:D,3,)</f>
        <v>42647</v>
      </c>
      <c r="C63" s="39">
        <f t="shared" si="0"/>
        <v>95</v>
      </c>
      <c r="D63" s="39">
        <f t="shared" si="1"/>
        <v>158.33333333333334</v>
      </c>
      <c r="E63" s="27"/>
      <c r="F63" s="40" t="e">
        <v>#N/A</v>
      </c>
      <c r="G63" s="27"/>
    </row>
    <row r="64" spans="1:7" x14ac:dyDescent="0.2">
      <c r="A64" s="37">
        <v>15827</v>
      </c>
      <c r="B64" s="38">
        <f>VLOOKUP(Table1[[#This Row],[Date]],Database!A:D,3,)</f>
        <v>42596</v>
      </c>
      <c r="C64" s="39">
        <f t="shared" si="0"/>
        <v>-51</v>
      </c>
      <c r="D64" s="39">
        <f t="shared" si="1"/>
        <v>67.666666666666671</v>
      </c>
      <c r="E64" s="27"/>
      <c r="F64" s="40" t="e">
        <v>#N/A</v>
      </c>
      <c r="G64" s="27"/>
    </row>
    <row r="65" spans="1:7" x14ac:dyDescent="0.2">
      <c r="A65" s="37">
        <v>15858</v>
      </c>
      <c r="B65" s="38">
        <f>VLOOKUP(Table1[[#This Row],[Date]],Database!A:D,3,)</f>
        <v>42781</v>
      </c>
      <c r="C65" s="39">
        <f t="shared" si="0"/>
        <v>185</v>
      </c>
      <c r="D65" s="39">
        <f t="shared" si="1"/>
        <v>76.333333333333329</v>
      </c>
      <c r="E65" s="27"/>
      <c r="F65" s="40" t="e">
        <v>#N/A</v>
      </c>
      <c r="G65" s="27"/>
    </row>
    <row r="66" spans="1:7" x14ac:dyDescent="0.2">
      <c r="A66" s="37">
        <v>15888</v>
      </c>
      <c r="B66" s="38">
        <f>VLOOKUP(Table1[[#This Row],[Date]],Database!A:D,3,)</f>
        <v>42700</v>
      </c>
      <c r="C66" s="39">
        <f t="shared" si="0"/>
        <v>-81</v>
      </c>
      <c r="D66" s="39">
        <f t="shared" si="1"/>
        <v>17.666666666666668</v>
      </c>
      <c r="E66" s="27"/>
      <c r="F66" s="40" t="e">
        <v>#N/A</v>
      </c>
      <c r="G66" s="27"/>
    </row>
    <row r="67" spans="1:7" x14ac:dyDescent="0.2">
      <c r="A67" s="37">
        <v>15919</v>
      </c>
      <c r="B67" s="38">
        <f>VLOOKUP(Table1[[#This Row],[Date]],Database!A:D,3,)</f>
        <v>42546</v>
      </c>
      <c r="C67" s="39">
        <f t="shared" si="0"/>
        <v>-154</v>
      </c>
      <c r="D67" s="39">
        <f t="shared" si="1"/>
        <v>-16.666666666666668</v>
      </c>
      <c r="E67" s="27"/>
      <c r="F67" s="40" t="e">
        <v>#N/A</v>
      </c>
      <c r="G67" s="27"/>
    </row>
    <row r="68" spans="1:7" x14ac:dyDescent="0.2">
      <c r="A68" s="37">
        <v>15950</v>
      </c>
      <c r="B68" s="38">
        <f>VLOOKUP(Table1[[#This Row],[Date]],Database!A:D,3,)</f>
        <v>42492</v>
      </c>
      <c r="C68" s="39">
        <f t="shared" si="0"/>
        <v>-54</v>
      </c>
      <c r="D68" s="39">
        <f t="shared" si="1"/>
        <v>-96.333333333333329</v>
      </c>
      <c r="E68" s="27"/>
      <c r="F68" s="40" t="e">
        <v>#N/A</v>
      </c>
      <c r="G68" s="27"/>
    </row>
    <row r="69" spans="1:7" x14ac:dyDescent="0.2">
      <c r="A69" s="37">
        <v>15980</v>
      </c>
      <c r="B69" s="38">
        <f>VLOOKUP(Table1[[#This Row],[Date]],Database!A:D,3,)</f>
        <v>42675</v>
      </c>
      <c r="C69" s="39">
        <f t="shared" si="0"/>
        <v>183</v>
      </c>
      <c r="D69" s="39">
        <f t="shared" si="1"/>
        <v>-8.3333333333333339</v>
      </c>
      <c r="E69" s="27"/>
      <c r="F69" s="40" t="e">
        <v>#N/A</v>
      </c>
      <c r="G69" s="27"/>
    </row>
    <row r="70" spans="1:7" x14ac:dyDescent="0.2">
      <c r="A70" s="37">
        <v>16011</v>
      </c>
      <c r="B70" s="38">
        <f>VLOOKUP(Table1[[#This Row],[Date]],Database!A:D,3,)</f>
        <v>42821</v>
      </c>
      <c r="C70" s="39">
        <f t="shared" si="0"/>
        <v>146</v>
      </c>
      <c r="D70" s="39">
        <f t="shared" si="1"/>
        <v>91.666666666666671</v>
      </c>
      <c r="E70" s="27"/>
      <c r="F70" s="40" t="e">
        <v>#N/A</v>
      </c>
      <c r="G70" s="27"/>
    </row>
    <row r="71" spans="1:7" x14ac:dyDescent="0.2">
      <c r="A71" s="37">
        <v>16041</v>
      </c>
      <c r="B71" s="38">
        <f>VLOOKUP(Table1[[#This Row],[Date]],Database!A:D,3,)</f>
        <v>42746</v>
      </c>
      <c r="C71" s="39">
        <f t="shared" si="0"/>
        <v>-75</v>
      </c>
      <c r="D71" s="39">
        <f t="shared" si="1"/>
        <v>84.666666666666671</v>
      </c>
      <c r="E71" s="27"/>
      <c r="F71" s="40" t="e">
        <v>#N/A</v>
      </c>
      <c r="G71" s="27"/>
    </row>
    <row r="72" spans="1:7" x14ac:dyDescent="0.2">
      <c r="A72" s="37">
        <v>16072</v>
      </c>
      <c r="B72" s="38">
        <f>VLOOKUP(Table1[[#This Row],[Date]],Database!A:D,3,)</f>
        <v>42654</v>
      </c>
      <c r="C72" s="39">
        <f t="shared" si="0"/>
        <v>-92</v>
      </c>
      <c r="D72" s="39">
        <f t="shared" si="1"/>
        <v>-7</v>
      </c>
      <c r="E72" s="27"/>
      <c r="F72" s="40" t="e">
        <v>#N/A</v>
      </c>
      <c r="G72" s="27"/>
    </row>
    <row r="73" spans="1:7" x14ac:dyDescent="0.2">
      <c r="A73" s="37">
        <v>16103</v>
      </c>
      <c r="B73" s="38">
        <f>VLOOKUP(Table1[[#This Row],[Date]],Database!A:D,3,)</f>
        <v>42538</v>
      </c>
      <c r="C73" s="39">
        <f t="shared" si="0"/>
        <v>-116</v>
      </c>
      <c r="D73" s="39">
        <f t="shared" si="1"/>
        <v>-94.333333333333329</v>
      </c>
      <c r="E73" s="27"/>
      <c r="F73" s="40" t="e">
        <v>#N/A</v>
      </c>
      <c r="G73" s="27"/>
    </row>
    <row r="74" spans="1:7" x14ac:dyDescent="0.2">
      <c r="A74" s="37">
        <v>16132</v>
      </c>
      <c r="B74" s="38">
        <f>VLOOKUP(Table1[[#This Row],[Date]],Database!A:D,3,)</f>
        <v>42294</v>
      </c>
      <c r="C74" s="39">
        <f t="shared" si="0"/>
        <v>-244</v>
      </c>
      <c r="D74" s="39">
        <f t="shared" si="1"/>
        <v>-150.66666666666666</v>
      </c>
      <c r="E74" s="27"/>
      <c r="F74" s="40" t="e">
        <v>#N/A</v>
      </c>
      <c r="G74" s="27"/>
    </row>
    <row r="75" spans="1:7" x14ac:dyDescent="0.2">
      <c r="A75" s="37">
        <v>16163</v>
      </c>
      <c r="B75" s="38">
        <f>VLOOKUP(Table1[[#This Row],[Date]],Database!A:D,3,)</f>
        <v>42063</v>
      </c>
      <c r="C75" s="39">
        <f t="shared" si="0"/>
        <v>-231</v>
      </c>
      <c r="D75" s="39">
        <f t="shared" si="1"/>
        <v>-197</v>
      </c>
      <c r="E75" s="27"/>
      <c r="F75" s="40" t="e">
        <v>#N/A</v>
      </c>
      <c r="G75" s="27"/>
    </row>
    <row r="76" spans="1:7" x14ac:dyDescent="0.2">
      <c r="A76" s="37">
        <v>16193</v>
      </c>
      <c r="B76" s="38">
        <f>VLOOKUP(Table1[[#This Row],[Date]],Database!A:D,3,)</f>
        <v>41985</v>
      </c>
      <c r="C76" s="39">
        <f t="shared" si="0"/>
        <v>-78</v>
      </c>
      <c r="D76" s="39">
        <f t="shared" ref="D76:D139" si="2">AVERAGE(C74:C76)</f>
        <v>-184.33333333333334</v>
      </c>
      <c r="E76" s="27"/>
      <c r="F76" s="40" t="e">
        <v>#N/A</v>
      </c>
      <c r="G76" s="27"/>
    </row>
    <row r="77" spans="1:7" x14ac:dyDescent="0.2">
      <c r="A77" s="37">
        <v>16224</v>
      </c>
      <c r="B77" s="38">
        <f>VLOOKUP(Table1[[#This Row],[Date]],Database!A:D,3,)</f>
        <v>41947</v>
      </c>
      <c r="C77" s="39">
        <f t="shared" ref="C77:C140" si="3">B77-B76</f>
        <v>-38</v>
      </c>
      <c r="D77" s="39">
        <f t="shared" si="2"/>
        <v>-115.66666666666667</v>
      </c>
      <c r="E77" s="27"/>
      <c r="F77" s="40" t="e">
        <v>#N/A</v>
      </c>
      <c r="G77" s="27"/>
    </row>
    <row r="78" spans="1:7" x14ac:dyDescent="0.2">
      <c r="A78" s="37">
        <v>16254</v>
      </c>
      <c r="B78" s="38">
        <f>VLOOKUP(Table1[[#This Row],[Date]],Database!A:D,3,)</f>
        <v>41904</v>
      </c>
      <c r="C78" s="39">
        <f t="shared" si="3"/>
        <v>-43</v>
      </c>
      <c r="D78" s="39">
        <f t="shared" si="2"/>
        <v>-53</v>
      </c>
      <c r="E78" s="27"/>
      <c r="F78" s="40" t="e">
        <v>#N/A</v>
      </c>
      <c r="G78" s="27"/>
    </row>
    <row r="79" spans="1:7" x14ac:dyDescent="0.2">
      <c r="A79" s="37">
        <v>16285</v>
      </c>
      <c r="B79" s="38">
        <f>VLOOKUP(Table1[[#This Row],[Date]],Database!A:D,3,)</f>
        <v>41850</v>
      </c>
      <c r="C79" s="39">
        <f t="shared" si="3"/>
        <v>-54</v>
      </c>
      <c r="D79" s="39">
        <f t="shared" si="2"/>
        <v>-45</v>
      </c>
      <c r="E79" s="27"/>
      <c r="F79" s="40" t="e">
        <v>#N/A</v>
      </c>
      <c r="G79" s="27"/>
    </row>
    <row r="80" spans="1:7" x14ac:dyDescent="0.2">
      <c r="A80" s="37">
        <v>16316</v>
      </c>
      <c r="B80" s="38">
        <f>VLOOKUP(Table1[[#This Row],[Date]],Database!A:D,3,)</f>
        <v>41679</v>
      </c>
      <c r="C80" s="39">
        <f t="shared" si="3"/>
        <v>-171</v>
      </c>
      <c r="D80" s="39">
        <f t="shared" si="2"/>
        <v>-89.333333333333329</v>
      </c>
      <c r="E80" s="27"/>
      <c r="F80" s="40" t="e">
        <v>#N/A</v>
      </c>
      <c r="G80" s="27"/>
    </row>
    <row r="81" spans="1:7" x14ac:dyDescent="0.2">
      <c r="A81" s="37">
        <v>16346</v>
      </c>
      <c r="B81" s="38">
        <f>VLOOKUP(Table1[[#This Row],[Date]],Database!A:D,3,)</f>
        <v>41708</v>
      </c>
      <c r="C81" s="39">
        <f t="shared" si="3"/>
        <v>29</v>
      </c>
      <c r="D81" s="39">
        <f t="shared" si="2"/>
        <v>-65.333333333333329</v>
      </c>
      <c r="E81" s="27"/>
      <c r="F81" s="40" t="e">
        <v>#N/A</v>
      </c>
      <c r="G81" s="27"/>
    </row>
    <row r="82" spans="1:7" x14ac:dyDescent="0.2">
      <c r="A82" s="37">
        <v>16377</v>
      </c>
      <c r="B82" s="38">
        <f>VLOOKUP(Table1[[#This Row],[Date]],Database!A:D,3,)</f>
        <v>41711</v>
      </c>
      <c r="C82" s="39">
        <f t="shared" si="3"/>
        <v>3</v>
      </c>
      <c r="D82" s="39">
        <f t="shared" si="2"/>
        <v>-46.333333333333336</v>
      </c>
      <c r="E82" s="27"/>
      <c r="F82" s="40" t="e">
        <v>#N/A</v>
      </c>
      <c r="G82" s="27"/>
    </row>
    <row r="83" spans="1:7" x14ac:dyDescent="0.2">
      <c r="A83" s="37">
        <v>16407</v>
      </c>
      <c r="B83" s="38">
        <f>VLOOKUP(Table1[[#This Row],[Date]],Database!A:D,3,)</f>
        <v>41860</v>
      </c>
      <c r="C83" s="39">
        <f t="shared" si="3"/>
        <v>149</v>
      </c>
      <c r="D83" s="39">
        <f t="shared" si="2"/>
        <v>60.333333333333336</v>
      </c>
      <c r="E83" s="27"/>
      <c r="F83" s="40" t="e">
        <v>#N/A</v>
      </c>
      <c r="G83" s="27"/>
    </row>
    <row r="84" spans="1:7" x14ac:dyDescent="0.2">
      <c r="A84" s="37">
        <v>16438</v>
      </c>
      <c r="B84" s="38">
        <f>VLOOKUP(Table1[[#This Row],[Date]],Database!A:D,3,)</f>
        <v>41895</v>
      </c>
      <c r="C84" s="39">
        <f t="shared" si="3"/>
        <v>35</v>
      </c>
      <c r="D84" s="39">
        <f t="shared" si="2"/>
        <v>62.333333333333336</v>
      </c>
      <c r="E84" s="27"/>
      <c r="F84" s="40" t="e">
        <v>#N/A</v>
      </c>
      <c r="G84" s="27"/>
    </row>
    <row r="85" spans="1:7" x14ac:dyDescent="0.2">
      <c r="A85" s="37">
        <v>16469</v>
      </c>
      <c r="B85" s="38">
        <f>VLOOKUP(Table1[[#This Row],[Date]],Database!A:D,3,)</f>
        <v>41897</v>
      </c>
      <c r="C85" s="39">
        <f t="shared" si="3"/>
        <v>2</v>
      </c>
      <c r="D85" s="39">
        <f t="shared" si="2"/>
        <v>62</v>
      </c>
      <c r="E85" s="27"/>
      <c r="F85" s="40" t="e">
        <v>#N/A</v>
      </c>
      <c r="G85" s="27"/>
    </row>
    <row r="86" spans="1:7" x14ac:dyDescent="0.2">
      <c r="A86" s="37">
        <v>16497</v>
      </c>
      <c r="B86" s="38">
        <f>VLOOKUP(Table1[[#This Row],[Date]],Database!A:D,3,)</f>
        <v>41798</v>
      </c>
      <c r="C86" s="39">
        <f t="shared" si="3"/>
        <v>-99</v>
      </c>
      <c r="D86" s="39">
        <f t="shared" si="2"/>
        <v>-20.666666666666668</v>
      </c>
      <c r="E86" s="27"/>
      <c r="F86" s="40" t="e">
        <v>#N/A</v>
      </c>
      <c r="G86" s="27"/>
    </row>
    <row r="87" spans="1:7" x14ac:dyDescent="0.2">
      <c r="A87" s="37">
        <v>16528</v>
      </c>
      <c r="B87" s="38">
        <f>VLOOKUP(Table1[[#This Row],[Date]],Database!A:D,3,)</f>
        <v>41446</v>
      </c>
      <c r="C87" s="39">
        <f t="shared" si="3"/>
        <v>-352</v>
      </c>
      <c r="D87" s="39">
        <f t="shared" si="2"/>
        <v>-149.66666666666666</v>
      </c>
      <c r="E87" s="27"/>
      <c r="F87" s="40" t="e">
        <v>#N/A</v>
      </c>
      <c r="G87" s="27"/>
    </row>
    <row r="88" spans="1:7" x14ac:dyDescent="0.2">
      <c r="A88" s="37">
        <v>16558</v>
      </c>
      <c r="B88" s="38">
        <f>VLOOKUP(Table1[[#This Row],[Date]],Database!A:D,3,)</f>
        <v>41304</v>
      </c>
      <c r="C88" s="39">
        <f t="shared" si="3"/>
        <v>-142</v>
      </c>
      <c r="D88" s="39">
        <f t="shared" si="2"/>
        <v>-197.66666666666666</v>
      </c>
      <c r="E88" s="27"/>
      <c r="F88" s="40" t="e">
        <v>#N/A</v>
      </c>
      <c r="G88" s="27"/>
    </row>
    <row r="89" spans="1:7" x14ac:dyDescent="0.2">
      <c r="A89" s="37">
        <v>16589</v>
      </c>
      <c r="B89" s="38">
        <f>VLOOKUP(Table1[[#This Row],[Date]],Database!A:D,3,)</f>
        <v>41149</v>
      </c>
      <c r="C89" s="39">
        <f t="shared" si="3"/>
        <v>-155</v>
      </c>
      <c r="D89" s="39">
        <f t="shared" si="2"/>
        <v>-216.33333333333334</v>
      </c>
      <c r="E89" s="27"/>
      <c r="F89" s="40" t="e">
        <v>#N/A</v>
      </c>
      <c r="G89" s="27"/>
    </row>
    <row r="90" spans="1:7" x14ac:dyDescent="0.2">
      <c r="A90" s="37">
        <v>16619</v>
      </c>
      <c r="B90" s="38">
        <f>VLOOKUP(Table1[[#This Row],[Date]],Database!A:D,3,)</f>
        <v>40874</v>
      </c>
      <c r="C90" s="39">
        <f t="shared" si="3"/>
        <v>-275</v>
      </c>
      <c r="D90" s="39">
        <f t="shared" si="2"/>
        <v>-190.66666666666666</v>
      </c>
      <c r="E90" s="27"/>
      <c r="F90" s="40" t="e">
        <v>#N/A</v>
      </c>
      <c r="G90" s="27"/>
    </row>
    <row r="91" spans="1:7" x14ac:dyDescent="0.2">
      <c r="A91" s="37">
        <v>16650</v>
      </c>
      <c r="B91" s="38">
        <f>VLOOKUP(Table1[[#This Row],[Date]],Database!A:D,3,)</f>
        <v>40466</v>
      </c>
      <c r="C91" s="39">
        <f t="shared" si="3"/>
        <v>-408</v>
      </c>
      <c r="D91" s="39">
        <f t="shared" si="2"/>
        <v>-279.33333333333331</v>
      </c>
      <c r="E91" s="27"/>
      <c r="F91" s="40" t="e">
        <v>#N/A</v>
      </c>
      <c r="G91" s="27"/>
    </row>
    <row r="92" spans="1:7" x14ac:dyDescent="0.2">
      <c r="A92" s="37">
        <v>16681</v>
      </c>
      <c r="B92" s="38">
        <f>VLOOKUP(Table1[[#This Row],[Date]],Database!A:D,3,)</f>
        <v>38507</v>
      </c>
      <c r="C92" s="39">
        <f t="shared" si="3"/>
        <v>-1959</v>
      </c>
      <c r="D92" s="39">
        <f t="shared" si="2"/>
        <v>-880.66666666666663</v>
      </c>
      <c r="E92" s="27"/>
      <c r="F92" s="40" t="e">
        <v>#N/A</v>
      </c>
      <c r="G92" s="27"/>
    </row>
    <row r="93" spans="1:7" x14ac:dyDescent="0.2">
      <c r="A93" s="37">
        <v>16711</v>
      </c>
      <c r="B93" s="38">
        <f>VLOOKUP(Table1[[#This Row],[Date]],Database!A:D,3,)</f>
        <v>38600</v>
      </c>
      <c r="C93" s="39">
        <f t="shared" si="3"/>
        <v>93</v>
      </c>
      <c r="D93" s="39">
        <f t="shared" si="2"/>
        <v>-758</v>
      </c>
      <c r="E93" s="27"/>
      <c r="F93" s="40" t="e">
        <v>#N/A</v>
      </c>
      <c r="G93" s="27"/>
    </row>
    <row r="94" spans="1:7" x14ac:dyDescent="0.2">
      <c r="A94" s="37">
        <v>16742</v>
      </c>
      <c r="B94" s="38">
        <f>VLOOKUP(Table1[[#This Row],[Date]],Database!A:D,3,)</f>
        <v>38996</v>
      </c>
      <c r="C94" s="39">
        <f t="shared" si="3"/>
        <v>396</v>
      </c>
      <c r="D94" s="39">
        <f t="shared" si="2"/>
        <v>-490</v>
      </c>
      <c r="E94" s="27"/>
      <c r="F94" s="40" t="e">
        <v>#N/A</v>
      </c>
      <c r="G94" s="27"/>
    </row>
    <row r="95" spans="1:7" x14ac:dyDescent="0.2">
      <c r="A95" s="37">
        <v>16772</v>
      </c>
      <c r="B95" s="38">
        <f>VLOOKUP(Table1[[#This Row],[Date]],Database!A:D,3,)</f>
        <v>39110</v>
      </c>
      <c r="C95" s="39">
        <f t="shared" si="3"/>
        <v>114</v>
      </c>
      <c r="D95" s="39">
        <f t="shared" si="2"/>
        <v>201</v>
      </c>
      <c r="E95" s="27"/>
      <c r="F95" s="40" t="e">
        <v>#N/A</v>
      </c>
      <c r="G95" s="27"/>
    </row>
    <row r="96" spans="1:7" x14ac:dyDescent="0.2">
      <c r="A96" s="37">
        <v>16803</v>
      </c>
      <c r="B96" s="38">
        <f>VLOOKUP(Table1[[#This Row],[Date]],Database!A:D,3,)</f>
        <v>39829</v>
      </c>
      <c r="C96" s="39">
        <f t="shared" si="3"/>
        <v>719</v>
      </c>
      <c r="D96" s="39">
        <f t="shared" si="2"/>
        <v>409.66666666666669</v>
      </c>
      <c r="E96" s="27"/>
      <c r="F96" s="40" t="e">
        <v>#N/A</v>
      </c>
      <c r="G96" s="27"/>
    </row>
    <row r="97" spans="1:7" x14ac:dyDescent="0.2">
      <c r="A97" s="37">
        <v>16834</v>
      </c>
      <c r="B97" s="38">
        <f>VLOOKUP(Table1[[#This Row],[Date]],Database!A:D,3,)</f>
        <v>39244</v>
      </c>
      <c r="C97" s="39">
        <f t="shared" si="3"/>
        <v>-585</v>
      </c>
      <c r="D97" s="39">
        <f t="shared" si="2"/>
        <v>82.666666666666671</v>
      </c>
      <c r="E97" s="27"/>
      <c r="F97" s="40" t="e">
        <v>#N/A</v>
      </c>
      <c r="G97" s="27"/>
    </row>
    <row r="98" spans="1:7" x14ac:dyDescent="0.2">
      <c r="A98" s="37">
        <v>16862</v>
      </c>
      <c r="B98" s="38">
        <f>VLOOKUP(Table1[[#This Row],[Date]],Database!A:D,3,)</f>
        <v>40195</v>
      </c>
      <c r="C98" s="39">
        <f t="shared" si="3"/>
        <v>951</v>
      </c>
      <c r="D98" s="39">
        <f t="shared" si="2"/>
        <v>361.66666666666669</v>
      </c>
      <c r="E98" s="27"/>
      <c r="F98" s="40" t="e">
        <v>#N/A</v>
      </c>
      <c r="G98" s="27"/>
    </row>
    <row r="99" spans="1:7" x14ac:dyDescent="0.2">
      <c r="A99" s="37">
        <v>16893</v>
      </c>
      <c r="B99" s="38">
        <f>VLOOKUP(Table1[[#This Row],[Date]],Database!A:D,3,)</f>
        <v>40913</v>
      </c>
      <c r="C99" s="39">
        <f t="shared" si="3"/>
        <v>718</v>
      </c>
      <c r="D99" s="39">
        <f t="shared" si="2"/>
        <v>361.33333333333331</v>
      </c>
      <c r="E99" s="27"/>
      <c r="F99" s="40" t="e">
        <v>#N/A</v>
      </c>
      <c r="G99" s="27"/>
    </row>
    <row r="100" spans="1:7" x14ac:dyDescent="0.2">
      <c r="A100" s="37">
        <v>16923</v>
      </c>
      <c r="B100" s="38">
        <f>VLOOKUP(Table1[[#This Row],[Date]],Database!A:D,3,)</f>
        <v>41349</v>
      </c>
      <c r="C100" s="39">
        <f t="shared" si="3"/>
        <v>436</v>
      </c>
      <c r="D100" s="39">
        <f t="shared" si="2"/>
        <v>701.66666666666663</v>
      </c>
      <c r="E100" s="27"/>
      <c r="F100" s="40" t="e">
        <v>#N/A</v>
      </c>
      <c r="G100" s="27"/>
    </row>
    <row r="101" spans="1:7" x14ac:dyDescent="0.2">
      <c r="A101" s="37">
        <v>16954</v>
      </c>
      <c r="B101" s="38">
        <f>VLOOKUP(Table1[[#This Row],[Date]],Database!A:D,3,)</f>
        <v>41735</v>
      </c>
      <c r="C101" s="39">
        <f t="shared" si="3"/>
        <v>386</v>
      </c>
      <c r="D101" s="39">
        <f t="shared" si="2"/>
        <v>513.33333333333337</v>
      </c>
      <c r="E101" s="27"/>
      <c r="F101" s="40" t="e">
        <v>#N/A</v>
      </c>
      <c r="G101" s="27"/>
    </row>
    <row r="102" spans="1:7" x14ac:dyDescent="0.2">
      <c r="A102" s="37">
        <v>16984</v>
      </c>
      <c r="B102" s="38">
        <f>VLOOKUP(Table1[[#This Row],[Date]],Database!A:D,3,)</f>
        <v>42153</v>
      </c>
      <c r="C102" s="39">
        <f t="shared" si="3"/>
        <v>418</v>
      </c>
      <c r="D102" s="39">
        <f t="shared" si="2"/>
        <v>413.33333333333331</v>
      </c>
      <c r="E102" s="27"/>
      <c r="F102" s="40" t="e">
        <v>#N/A</v>
      </c>
      <c r="G102" s="27"/>
    </row>
    <row r="103" spans="1:7" x14ac:dyDescent="0.2">
      <c r="A103" s="37">
        <v>17015</v>
      </c>
      <c r="B103" s="38">
        <f>VLOOKUP(Table1[[#This Row],[Date]],Database!A:D,3,)</f>
        <v>42642</v>
      </c>
      <c r="C103" s="39">
        <f t="shared" si="3"/>
        <v>489</v>
      </c>
      <c r="D103" s="39">
        <f t="shared" si="2"/>
        <v>431</v>
      </c>
      <c r="E103" s="27"/>
      <c r="F103" s="40" t="e">
        <v>#N/A</v>
      </c>
      <c r="G103" s="27"/>
    </row>
    <row r="104" spans="1:7" x14ac:dyDescent="0.2">
      <c r="A104" s="37">
        <v>17046</v>
      </c>
      <c r="B104" s="38">
        <f>VLOOKUP(Table1[[#This Row],[Date]],Database!A:D,3,)</f>
        <v>42915</v>
      </c>
      <c r="C104" s="39">
        <f t="shared" si="3"/>
        <v>273</v>
      </c>
      <c r="D104" s="39">
        <f t="shared" si="2"/>
        <v>393.33333333333331</v>
      </c>
      <c r="E104" s="27"/>
      <c r="F104" s="40" t="e">
        <v>#N/A</v>
      </c>
      <c r="G104" s="27"/>
    </row>
    <row r="105" spans="1:7" x14ac:dyDescent="0.2">
      <c r="A105" s="37">
        <v>17076</v>
      </c>
      <c r="B105" s="38">
        <f>VLOOKUP(Table1[[#This Row],[Date]],Database!A:D,3,)</f>
        <v>43093</v>
      </c>
      <c r="C105" s="39">
        <f t="shared" si="3"/>
        <v>178</v>
      </c>
      <c r="D105" s="39">
        <f t="shared" si="2"/>
        <v>313.33333333333331</v>
      </c>
      <c r="E105" s="27"/>
      <c r="F105" s="40" t="e">
        <v>#N/A</v>
      </c>
      <c r="G105" s="27"/>
    </row>
    <row r="106" spans="1:7" x14ac:dyDescent="0.2">
      <c r="A106" s="37">
        <v>17107</v>
      </c>
      <c r="B106" s="38">
        <f>VLOOKUP(Table1[[#This Row],[Date]],Database!A:D,3,)</f>
        <v>43395</v>
      </c>
      <c r="C106" s="39">
        <f t="shared" si="3"/>
        <v>302</v>
      </c>
      <c r="D106" s="39">
        <f t="shared" si="2"/>
        <v>251</v>
      </c>
      <c r="E106" s="27"/>
      <c r="F106" s="40" t="e">
        <v>#N/A</v>
      </c>
      <c r="G106" s="27"/>
    </row>
    <row r="107" spans="1:7" x14ac:dyDescent="0.2">
      <c r="A107" s="37">
        <v>17137</v>
      </c>
      <c r="B107" s="38">
        <f>VLOOKUP(Table1[[#This Row],[Date]],Database!A:D,3,)</f>
        <v>43379</v>
      </c>
      <c r="C107" s="39">
        <f t="shared" si="3"/>
        <v>-16</v>
      </c>
      <c r="D107" s="39">
        <f t="shared" si="2"/>
        <v>154.66666666666666</v>
      </c>
      <c r="E107" s="27"/>
      <c r="F107" s="40" t="e">
        <v>#N/A</v>
      </c>
      <c r="G107" s="27"/>
    </row>
    <row r="108" spans="1:7" x14ac:dyDescent="0.2">
      <c r="A108" s="37">
        <v>17168</v>
      </c>
      <c r="B108" s="38">
        <f>VLOOKUP(Table1[[#This Row],[Date]],Database!A:D,3,)</f>
        <v>43535</v>
      </c>
      <c r="C108" s="39">
        <f t="shared" si="3"/>
        <v>156</v>
      </c>
      <c r="D108" s="39">
        <f t="shared" si="2"/>
        <v>147.33333333333334</v>
      </c>
      <c r="E108" s="27"/>
      <c r="F108" s="40">
        <v>0</v>
      </c>
      <c r="G108" s="27"/>
    </row>
    <row r="109" spans="1:7" x14ac:dyDescent="0.2">
      <c r="A109" s="37">
        <v>17199</v>
      </c>
      <c r="B109" s="38">
        <f>VLOOKUP(Table1[[#This Row],[Date]],Database!A:D,3,)</f>
        <v>43557</v>
      </c>
      <c r="C109" s="39">
        <f t="shared" si="3"/>
        <v>22</v>
      </c>
      <c r="D109" s="39">
        <f t="shared" si="2"/>
        <v>54</v>
      </c>
      <c r="E109" s="27"/>
      <c r="F109" s="40">
        <v>0</v>
      </c>
      <c r="G109" s="27"/>
    </row>
    <row r="110" spans="1:7" x14ac:dyDescent="0.2">
      <c r="A110" s="37">
        <v>17227</v>
      </c>
      <c r="B110" s="38">
        <f>VLOOKUP(Table1[[#This Row],[Date]],Database!A:D,3,)</f>
        <v>43607</v>
      </c>
      <c r="C110" s="39">
        <f t="shared" si="3"/>
        <v>50</v>
      </c>
      <c r="D110" s="39">
        <f t="shared" si="2"/>
        <v>76</v>
      </c>
      <c r="E110" s="27"/>
      <c r="F110" s="40">
        <v>0</v>
      </c>
      <c r="G110" s="27"/>
    </row>
    <row r="111" spans="1:7" x14ac:dyDescent="0.2">
      <c r="A111" s="37">
        <v>17258</v>
      </c>
      <c r="B111" s="38">
        <f>VLOOKUP(Table1[[#This Row],[Date]],Database!A:D,3,)</f>
        <v>43499</v>
      </c>
      <c r="C111" s="39">
        <f t="shared" si="3"/>
        <v>-108</v>
      </c>
      <c r="D111" s="39">
        <f t="shared" si="2"/>
        <v>-12</v>
      </c>
      <c r="E111" s="27"/>
      <c r="F111" s="40">
        <v>-2.6669145687217579E-3</v>
      </c>
      <c r="G111" s="27"/>
    </row>
    <row r="112" spans="1:7" x14ac:dyDescent="0.2">
      <c r="A112" s="37">
        <v>17288</v>
      </c>
      <c r="B112" s="38">
        <f>VLOOKUP(Table1[[#This Row],[Date]],Database!A:D,3,)</f>
        <v>43638</v>
      </c>
      <c r="C112" s="39">
        <f t="shared" si="3"/>
        <v>139</v>
      </c>
      <c r="D112" s="39">
        <f t="shared" si="2"/>
        <v>27</v>
      </c>
      <c r="E112" s="27"/>
      <c r="F112" s="40">
        <v>-2.6669145687217579E-3</v>
      </c>
      <c r="G112" s="27"/>
    </row>
    <row r="113" spans="1:8" x14ac:dyDescent="0.2">
      <c r="A113" s="37">
        <v>17319</v>
      </c>
      <c r="B113" s="38">
        <f>VLOOKUP(Table1[[#This Row],[Date]],Database!A:D,3,)</f>
        <v>43810</v>
      </c>
      <c r="C113" s="39">
        <f t="shared" si="3"/>
        <v>172</v>
      </c>
      <c r="D113" s="39">
        <f t="shared" si="2"/>
        <v>67.666666666666671</v>
      </c>
      <c r="E113" s="27"/>
      <c r="F113" s="40">
        <v>-2.6669145687217579E-3</v>
      </c>
      <c r="G113" s="27"/>
    </row>
    <row r="114" spans="1:8" x14ac:dyDescent="0.2">
      <c r="A114" s="37">
        <v>17349</v>
      </c>
      <c r="B114" s="38">
        <f>VLOOKUP(Table1[[#This Row],[Date]],Database!A:D,3,)</f>
        <v>43743</v>
      </c>
      <c r="C114" s="39">
        <f t="shared" si="3"/>
        <v>-67</v>
      </c>
      <c r="D114" s="39">
        <f t="shared" si="2"/>
        <v>81.333333333333329</v>
      </c>
      <c r="E114" s="27"/>
      <c r="F114" s="40">
        <v>-2.0649632404978885E-3</v>
      </c>
      <c r="G114" s="27"/>
    </row>
    <row r="115" spans="1:8" x14ac:dyDescent="0.2">
      <c r="A115" s="37">
        <v>17380</v>
      </c>
      <c r="B115" s="38">
        <f>VLOOKUP(Table1[[#This Row],[Date]],Database!A:D,3,)</f>
        <v>43960</v>
      </c>
      <c r="C115" s="39">
        <f t="shared" si="3"/>
        <v>217</v>
      </c>
      <c r="D115" s="39">
        <f t="shared" si="2"/>
        <v>107.33333333333333</v>
      </c>
      <c r="E115" s="27"/>
      <c r="F115" s="40">
        <v>-2.0649632404978885E-3</v>
      </c>
      <c r="G115" s="27"/>
    </row>
    <row r="116" spans="1:8" x14ac:dyDescent="0.2">
      <c r="A116" s="37">
        <v>17411</v>
      </c>
      <c r="B116" s="38">
        <f>VLOOKUP(Table1[[#This Row],[Date]],Database!A:D,3,)</f>
        <v>44203</v>
      </c>
      <c r="C116" s="39">
        <f t="shared" si="3"/>
        <v>243</v>
      </c>
      <c r="D116" s="39">
        <f t="shared" si="2"/>
        <v>131</v>
      </c>
      <c r="E116" s="27"/>
      <c r="F116" s="40">
        <v>-2.0649632404978885E-3</v>
      </c>
      <c r="G116" s="27"/>
    </row>
    <row r="117" spans="1:8" x14ac:dyDescent="0.2">
      <c r="A117" s="37">
        <v>17441</v>
      </c>
      <c r="B117" s="38">
        <f>VLOOKUP(Table1[[#This Row],[Date]],Database!A:D,3,)</f>
        <v>44411</v>
      </c>
      <c r="C117" s="39">
        <f t="shared" si="3"/>
        <v>208</v>
      </c>
      <c r="D117" s="39">
        <f t="shared" si="2"/>
        <v>222.66666666666666</v>
      </c>
      <c r="E117" s="27"/>
      <c r="F117" s="40">
        <v>1.564208095867857E-2</v>
      </c>
      <c r="G117" s="27"/>
    </row>
    <row r="118" spans="1:8" x14ac:dyDescent="0.2">
      <c r="A118" s="37">
        <v>17472</v>
      </c>
      <c r="B118" s="38">
        <f>VLOOKUP(Table1[[#This Row],[Date]],Database!A:D,3,)</f>
        <v>44484</v>
      </c>
      <c r="C118" s="39">
        <f t="shared" si="3"/>
        <v>73</v>
      </c>
      <c r="D118" s="39">
        <f t="shared" si="2"/>
        <v>174.66666666666666</v>
      </c>
      <c r="E118" s="27"/>
      <c r="F118" s="40">
        <v>1.564208095867857E-2</v>
      </c>
      <c r="G118" s="27"/>
    </row>
    <row r="119" spans="1:8" x14ac:dyDescent="0.2">
      <c r="A119" s="37">
        <v>17502</v>
      </c>
      <c r="B119" s="38">
        <f>VLOOKUP(Table1[[#This Row],[Date]],Database!A:D,3,)</f>
        <v>44581</v>
      </c>
      <c r="C119" s="39">
        <f t="shared" si="3"/>
        <v>97</v>
      </c>
      <c r="D119" s="39">
        <f t="shared" si="2"/>
        <v>126</v>
      </c>
      <c r="E119" s="27"/>
      <c r="F119" s="40">
        <v>1.564208095867857E-2</v>
      </c>
      <c r="G119" s="27"/>
      <c r="H119" s="26"/>
    </row>
    <row r="120" spans="1:8" x14ac:dyDescent="0.2">
      <c r="A120" s="37">
        <v>17533</v>
      </c>
      <c r="B120" s="38">
        <f>VLOOKUP(Table1[[#This Row],[Date]],Database!A:D,3,)</f>
        <v>44679</v>
      </c>
      <c r="C120" s="39">
        <f t="shared" si="3"/>
        <v>98</v>
      </c>
      <c r="D120" s="39">
        <f t="shared" si="2"/>
        <v>89.333333333333329</v>
      </c>
      <c r="E120" s="27">
        <f>VLOOKUP(Table1[[#This Row],[Date]],Database!A:D,4,)</f>
        <v>3.4</v>
      </c>
      <c r="F120" s="40">
        <v>1.5042555044686207E-2</v>
      </c>
      <c r="G120" s="27">
        <f>VLOOKUP(Table1[[#This Row],[Date]],Database!A:D,2,)</f>
        <v>58.6</v>
      </c>
      <c r="H120" s="26"/>
    </row>
    <row r="121" spans="1:8" x14ac:dyDescent="0.2">
      <c r="A121" s="37">
        <v>17564</v>
      </c>
      <c r="B121" s="38">
        <f>VLOOKUP(Table1[[#This Row],[Date]],Database!A:D,3,)</f>
        <v>44533</v>
      </c>
      <c r="C121" s="39">
        <f t="shared" si="3"/>
        <v>-146</v>
      </c>
      <c r="D121" s="39">
        <f t="shared" si="2"/>
        <v>16.333333333333332</v>
      </c>
      <c r="E121" s="27">
        <f>VLOOKUP(Table1[[#This Row],[Date]],Database!A:D,4,)</f>
        <v>3.8</v>
      </c>
      <c r="F121" s="40">
        <v>1.5042555044686207E-2</v>
      </c>
      <c r="G121" s="27">
        <f>VLOOKUP(Table1[[#This Row],[Date]],Database!A:D,2,)</f>
        <v>58.9</v>
      </c>
      <c r="H121" s="26"/>
    </row>
    <row r="122" spans="1:8" x14ac:dyDescent="0.2">
      <c r="A122" s="37">
        <v>17593</v>
      </c>
      <c r="B122" s="38">
        <f>VLOOKUP(Table1[[#This Row],[Date]],Database!A:D,3,)</f>
        <v>44683</v>
      </c>
      <c r="C122" s="39">
        <f t="shared" si="3"/>
        <v>150</v>
      </c>
      <c r="D122" s="39">
        <f t="shared" si="2"/>
        <v>34</v>
      </c>
      <c r="E122" s="27">
        <f>VLOOKUP(Table1[[#This Row],[Date]],Database!A:D,4,)</f>
        <v>4</v>
      </c>
      <c r="F122" s="40">
        <v>1.5042555044686207E-2</v>
      </c>
      <c r="G122" s="27">
        <f>VLOOKUP(Table1[[#This Row],[Date]],Database!A:D,2,)</f>
        <v>58.5</v>
      </c>
      <c r="H122" s="26"/>
    </row>
    <row r="123" spans="1:8" x14ac:dyDescent="0.2">
      <c r="A123" s="37">
        <v>17624</v>
      </c>
      <c r="B123" s="38">
        <f>VLOOKUP(Table1[[#This Row],[Date]],Database!A:D,3,)</f>
        <v>44379</v>
      </c>
      <c r="C123" s="39">
        <f t="shared" si="3"/>
        <v>-304</v>
      </c>
      <c r="D123" s="39">
        <f t="shared" si="2"/>
        <v>-100</v>
      </c>
      <c r="E123" s="27">
        <f>VLOOKUP(Table1[[#This Row],[Date]],Database!A:D,4,)</f>
        <v>3.9</v>
      </c>
      <c r="F123" s="40">
        <v>1.6506576887916059E-2</v>
      </c>
      <c r="G123" s="27">
        <f>VLOOKUP(Table1[[#This Row],[Date]],Database!A:D,2,)</f>
        <v>59</v>
      </c>
      <c r="H123" s="26"/>
    </row>
    <row r="124" spans="1:8" x14ac:dyDescent="0.2">
      <c r="A124" s="37">
        <v>17654</v>
      </c>
      <c r="B124" s="38">
        <f>VLOOKUP(Table1[[#This Row],[Date]],Database!A:D,3,)</f>
        <v>44796</v>
      </c>
      <c r="C124" s="39">
        <f t="shared" si="3"/>
        <v>417</v>
      </c>
      <c r="D124" s="39">
        <f t="shared" si="2"/>
        <v>87.666666666666671</v>
      </c>
      <c r="E124" s="27">
        <f>VLOOKUP(Table1[[#This Row],[Date]],Database!A:D,4,)</f>
        <v>3.5</v>
      </c>
      <c r="F124" s="40">
        <v>1.6506576887916059E-2</v>
      </c>
      <c r="G124" s="27">
        <f>VLOOKUP(Table1[[#This Row],[Date]],Database!A:D,2,)</f>
        <v>58.3</v>
      </c>
      <c r="H124" s="26"/>
    </row>
    <row r="125" spans="1:8" x14ac:dyDescent="0.2">
      <c r="A125" s="37">
        <v>17685</v>
      </c>
      <c r="B125" s="38">
        <f>VLOOKUP(Table1[[#This Row],[Date]],Database!A:D,3,)</f>
        <v>45034</v>
      </c>
      <c r="C125" s="39">
        <f t="shared" si="3"/>
        <v>238</v>
      </c>
      <c r="D125" s="39">
        <f t="shared" si="2"/>
        <v>117</v>
      </c>
      <c r="E125" s="27">
        <f>VLOOKUP(Table1[[#This Row],[Date]],Database!A:D,4,)</f>
        <v>3.6</v>
      </c>
      <c r="F125" s="40">
        <v>1.6506576887916059E-2</v>
      </c>
      <c r="G125" s="27">
        <f>VLOOKUP(Table1[[#This Row],[Date]],Database!A:D,2,)</f>
        <v>59.2</v>
      </c>
      <c r="H125" s="26"/>
    </row>
    <row r="126" spans="1:8" x14ac:dyDescent="0.2">
      <c r="A126" s="37">
        <v>17715</v>
      </c>
      <c r="B126" s="38">
        <f>VLOOKUP(Table1[[#This Row],[Date]],Database!A:D,3,)</f>
        <v>45160</v>
      </c>
      <c r="C126" s="39">
        <f t="shared" si="3"/>
        <v>126</v>
      </c>
      <c r="D126" s="39">
        <f t="shared" si="2"/>
        <v>260.33333333333331</v>
      </c>
      <c r="E126" s="27">
        <f>VLOOKUP(Table1[[#This Row],[Date]],Database!A:D,4,)</f>
        <v>3.6</v>
      </c>
      <c r="F126" s="40">
        <v>5.7289726237355933E-3</v>
      </c>
      <c r="G126" s="27">
        <f>VLOOKUP(Table1[[#This Row],[Date]],Database!A:D,2,)</f>
        <v>59.3</v>
      </c>
      <c r="H126" s="26"/>
    </row>
    <row r="127" spans="1:8" x14ac:dyDescent="0.2">
      <c r="A127" s="37">
        <v>17746</v>
      </c>
      <c r="B127" s="38">
        <f>VLOOKUP(Table1[[#This Row],[Date]],Database!A:D,3,)</f>
        <v>45178</v>
      </c>
      <c r="C127" s="39">
        <f t="shared" si="3"/>
        <v>18</v>
      </c>
      <c r="D127" s="39">
        <f t="shared" si="2"/>
        <v>127.33333333333333</v>
      </c>
      <c r="E127" s="27">
        <f>VLOOKUP(Table1[[#This Row],[Date]],Database!A:D,4,)</f>
        <v>3.9</v>
      </c>
      <c r="F127" s="40">
        <v>5.7289726237355933E-3</v>
      </c>
      <c r="G127" s="27">
        <f>VLOOKUP(Table1[[#This Row],[Date]],Database!A:D,2,)</f>
        <v>58.9</v>
      </c>
      <c r="H127" s="26"/>
    </row>
    <row r="128" spans="1:8" x14ac:dyDescent="0.2">
      <c r="A128" s="37">
        <v>17777</v>
      </c>
      <c r="B128" s="38">
        <f>VLOOKUP(Table1[[#This Row],[Date]],Database!A:D,3,)</f>
        <v>45294</v>
      </c>
      <c r="C128" s="39">
        <f t="shared" si="3"/>
        <v>116</v>
      </c>
      <c r="D128" s="39">
        <f t="shared" si="2"/>
        <v>86.666666666666671</v>
      </c>
      <c r="E128" s="27">
        <f>VLOOKUP(Table1[[#This Row],[Date]],Database!A:D,4,)</f>
        <v>3.8</v>
      </c>
      <c r="F128" s="40">
        <v>5.7289726237355933E-3</v>
      </c>
      <c r="G128" s="27">
        <f>VLOOKUP(Table1[[#This Row],[Date]],Database!A:D,2,)</f>
        <v>58.9</v>
      </c>
      <c r="H128" s="26"/>
    </row>
    <row r="129" spans="1:8" x14ac:dyDescent="0.2">
      <c r="A129" s="37">
        <v>17807</v>
      </c>
      <c r="B129" s="38">
        <f>VLOOKUP(Table1[[#This Row],[Date]],Database!A:D,3,)</f>
        <v>45245</v>
      </c>
      <c r="C129" s="39">
        <f t="shared" si="3"/>
        <v>-49</v>
      </c>
      <c r="D129" s="39">
        <f t="shared" si="2"/>
        <v>28.333333333333332</v>
      </c>
      <c r="E129" s="27">
        <f>VLOOKUP(Table1[[#This Row],[Date]],Database!A:D,4,)</f>
        <v>3.7</v>
      </c>
      <c r="F129" s="40">
        <v>1.1174164094687633E-3</v>
      </c>
      <c r="G129" s="27">
        <f>VLOOKUP(Table1[[#This Row],[Date]],Database!A:D,2,)</f>
        <v>58.7</v>
      </c>
      <c r="H129" s="26"/>
    </row>
    <row r="130" spans="1:8" x14ac:dyDescent="0.2">
      <c r="A130" s="37">
        <v>17838</v>
      </c>
      <c r="B130" s="38">
        <f>VLOOKUP(Table1[[#This Row],[Date]],Database!A:D,3,)</f>
        <v>45192</v>
      </c>
      <c r="C130" s="39">
        <f t="shared" si="3"/>
        <v>-53</v>
      </c>
      <c r="D130" s="39">
        <f t="shared" si="2"/>
        <v>4.666666666666667</v>
      </c>
      <c r="E130" s="27">
        <f>VLOOKUP(Table1[[#This Row],[Date]],Database!A:D,4,)</f>
        <v>3.8</v>
      </c>
      <c r="F130" s="40">
        <v>1.1174164094687633E-3</v>
      </c>
      <c r="G130" s="27">
        <f>VLOOKUP(Table1[[#This Row],[Date]],Database!A:D,2,)</f>
        <v>58.7</v>
      </c>
      <c r="H130" s="26"/>
    </row>
    <row r="131" spans="1:8" x14ac:dyDescent="0.2">
      <c r="A131" s="37">
        <v>17868</v>
      </c>
      <c r="B131" s="38">
        <f>VLOOKUP(Table1[[#This Row],[Date]],Database!A:D,3,)</f>
        <v>45032</v>
      </c>
      <c r="C131" s="39">
        <f t="shared" si="3"/>
        <v>-160</v>
      </c>
      <c r="D131" s="39">
        <f t="shared" si="2"/>
        <v>-87.333333333333329</v>
      </c>
      <c r="E131" s="27">
        <f>VLOOKUP(Table1[[#This Row],[Date]],Database!A:D,4,)</f>
        <v>4</v>
      </c>
      <c r="F131" s="40">
        <v>1.1174164094687633E-3</v>
      </c>
      <c r="G131" s="27">
        <f>VLOOKUP(Table1[[#This Row],[Date]],Database!A:D,2,)</f>
        <v>59.1</v>
      </c>
      <c r="H131" s="26"/>
    </row>
    <row r="132" spans="1:8" x14ac:dyDescent="0.2">
      <c r="A132" s="37">
        <v>17899</v>
      </c>
      <c r="B132" s="38">
        <f>VLOOKUP(Table1[[#This Row],[Date]],Database!A:D,3,)</f>
        <v>44668</v>
      </c>
      <c r="C132" s="39">
        <f t="shared" si="3"/>
        <v>-364</v>
      </c>
      <c r="D132" s="39">
        <f t="shared" si="2"/>
        <v>-192.33333333333334</v>
      </c>
      <c r="E132" s="27">
        <f>VLOOKUP(Table1[[#This Row],[Date]],Database!A:D,4,)</f>
        <v>4.3</v>
      </c>
      <c r="F132" s="40">
        <v>-1.3779513728693755E-2</v>
      </c>
      <c r="G132" s="27">
        <f>VLOOKUP(Table1[[#This Row],[Date]],Database!A:D,2,)</f>
        <v>58.7</v>
      </c>
      <c r="H132" s="26"/>
    </row>
    <row r="133" spans="1:8" x14ac:dyDescent="0.2">
      <c r="A133" s="37">
        <v>17930</v>
      </c>
      <c r="B133" s="38">
        <f>VLOOKUP(Table1[[#This Row],[Date]],Database!A:D,3,)</f>
        <v>44497</v>
      </c>
      <c r="C133" s="39">
        <f t="shared" si="3"/>
        <v>-171</v>
      </c>
      <c r="D133" s="39">
        <f t="shared" si="2"/>
        <v>-231.66666666666666</v>
      </c>
      <c r="E133" s="27">
        <f>VLOOKUP(Table1[[#This Row],[Date]],Database!A:D,4,)</f>
        <v>4.7</v>
      </c>
      <c r="F133" s="40">
        <v>-1.3779513728693755E-2</v>
      </c>
      <c r="G133" s="27">
        <f>VLOOKUP(Table1[[#This Row],[Date]],Database!A:D,2,)</f>
        <v>59</v>
      </c>
      <c r="H133" s="26"/>
    </row>
    <row r="134" spans="1:8" x14ac:dyDescent="0.2">
      <c r="A134" s="37">
        <v>17958</v>
      </c>
      <c r="B134" s="38">
        <f>VLOOKUP(Table1[[#This Row],[Date]],Database!A:D,3,)</f>
        <v>44240</v>
      </c>
      <c r="C134" s="39">
        <f t="shared" si="3"/>
        <v>-257</v>
      </c>
      <c r="D134" s="39">
        <f t="shared" si="2"/>
        <v>-264</v>
      </c>
      <c r="E134" s="27">
        <f>VLOOKUP(Table1[[#This Row],[Date]],Database!A:D,4,)</f>
        <v>5</v>
      </c>
      <c r="F134" s="40">
        <v>-1.3779513728693755E-2</v>
      </c>
      <c r="G134" s="27">
        <f>VLOOKUP(Table1[[#This Row],[Date]],Database!A:D,2,)</f>
        <v>58.9</v>
      </c>
      <c r="H134" s="26"/>
    </row>
    <row r="135" spans="1:8" x14ac:dyDescent="0.2">
      <c r="A135" s="37">
        <v>17989</v>
      </c>
      <c r="B135" s="38">
        <f>VLOOKUP(Table1[[#This Row],[Date]],Database!A:D,3,)</f>
        <v>44236</v>
      </c>
      <c r="C135" s="39">
        <f t="shared" si="3"/>
        <v>-4</v>
      </c>
      <c r="D135" s="39">
        <f t="shared" si="2"/>
        <v>-144</v>
      </c>
      <c r="E135" s="27">
        <f>VLOOKUP(Table1[[#This Row],[Date]],Database!A:D,4,)</f>
        <v>5.3</v>
      </c>
      <c r="F135" s="40">
        <v>-3.4109658134026874E-3</v>
      </c>
      <c r="G135" s="27">
        <f>VLOOKUP(Table1[[#This Row],[Date]],Database!A:D,2,)</f>
        <v>58.8</v>
      </c>
      <c r="H135" s="26"/>
    </row>
    <row r="136" spans="1:8" x14ac:dyDescent="0.2">
      <c r="A136" s="37">
        <v>18019</v>
      </c>
      <c r="B136" s="38">
        <f>VLOOKUP(Table1[[#This Row],[Date]],Database!A:D,3,)</f>
        <v>43984</v>
      </c>
      <c r="C136" s="39">
        <f t="shared" si="3"/>
        <v>-252</v>
      </c>
      <c r="D136" s="39">
        <f t="shared" si="2"/>
        <v>-171</v>
      </c>
      <c r="E136" s="27">
        <f>VLOOKUP(Table1[[#This Row],[Date]],Database!A:D,4,)</f>
        <v>6.1</v>
      </c>
      <c r="F136" s="40">
        <v>-3.4109658134026874E-3</v>
      </c>
      <c r="G136" s="27">
        <f>VLOOKUP(Table1[[#This Row],[Date]],Database!A:D,2,)</f>
        <v>59</v>
      </c>
      <c r="H136" s="26"/>
    </row>
    <row r="137" spans="1:8" x14ac:dyDescent="0.2">
      <c r="A137" s="37">
        <v>18050</v>
      </c>
      <c r="B137" s="38">
        <f>VLOOKUP(Table1[[#This Row],[Date]],Database!A:D,3,)</f>
        <v>43739</v>
      </c>
      <c r="C137" s="39">
        <f t="shared" si="3"/>
        <v>-245</v>
      </c>
      <c r="D137" s="39">
        <f t="shared" si="2"/>
        <v>-167</v>
      </c>
      <c r="E137" s="27">
        <f>VLOOKUP(Table1[[#This Row],[Date]],Database!A:D,4,)</f>
        <v>6.2</v>
      </c>
      <c r="F137" s="40">
        <v>-3.4109658134026874E-3</v>
      </c>
      <c r="G137" s="27">
        <f>VLOOKUP(Table1[[#This Row],[Date]],Database!A:D,2,)</f>
        <v>58.6</v>
      </c>
      <c r="H137" s="26"/>
    </row>
    <row r="138" spans="1:8" x14ac:dyDescent="0.2">
      <c r="A138" s="37">
        <v>18080</v>
      </c>
      <c r="B138" s="38">
        <f>VLOOKUP(Table1[[#This Row],[Date]],Database!A:D,3,)</f>
        <v>43531</v>
      </c>
      <c r="C138" s="39">
        <f t="shared" si="3"/>
        <v>-208</v>
      </c>
      <c r="D138" s="39">
        <f t="shared" si="2"/>
        <v>-235</v>
      </c>
      <c r="E138" s="27">
        <f>VLOOKUP(Table1[[#This Row],[Date]],Database!A:D,4,)</f>
        <v>6.7</v>
      </c>
      <c r="F138" s="40">
        <v>1.0324154824197599E-2</v>
      </c>
      <c r="G138" s="27">
        <f>VLOOKUP(Table1[[#This Row],[Date]],Database!A:D,2,)</f>
        <v>58.9</v>
      </c>
      <c r="H138" s="26"/>
    </row>
    <row r="139" spans="1:8" x14ac:dyDescent="0.2">
      <c r="A139" s="37">
        <v>18111</v>
      </c>
      <c r="B139" s="38">
        <f>VLOOKUP(Table1[[#This Row],[Date]],Database!A:D,3,)</f>
        <v>43624</v>
      </c>
      <c r="C139" s="39">
        <f t="shared" si="3"/>
        <v>93</v>
      </c>
      <c r="D139" s="39">
        <f t="shared" si="2"/>
        <v>-120</v>
      </c>
      <c r="E139" s="27">
        <f>VLOOKUP(Table1[[#This Row],[Date]],Database!A:D,4,)</f>
        <v>6.8</v>
      </c>
      <c r="F139" s="40">
        <v>1.0324154824197599E-2</v>
      </c>
      <c r="G139" s="27">
        <f>VLOOKUP(Table1[[#This Row],[Date]],Database!A:D,2,)</f>
        <v>59.2</v>
      </c>
      <c r="H139" s="26"/>
    </row>
    <row r="140" spans="1:8" x14ac:dyDescent="0.2">
      <c r="A140" s="37">
        <v>18142</v>
      </c>
      <c r="B140" s="38">
        <f>VLOOKUP(Table1[[#This Row],[Date]],Database!A:D,3,)</f>
        <v>43780</v>
      </c>
      <c r="C140" s="39">
        <f t="shared" si="3"/>
        <v>156</v>
      </c>
      <c r="D140" s="39">
        <f t="shared" ref="D140:D203" si="4">AVERAGE(C138:C140)</f>
        <v>13.666666666666666</v>
      </c>
      <c r="E140" s="27">
        <f>VLOOKUP(Table1[[#This Row],[Date]],Database!A:D,4,)</f>
        <v>6.6</v>
      </c>
      <c r="F140" s="40">
        <v>1.0324154824197599E-2</v>
      </c>
      <c r="G140" s="27">
        <f>VLOOKUP(Table1[[#This Row],[Date]],Database!A:D,2,)</f>
        <v>59.1</v>
      </c>
      <c r="H140" s="26"/>
    </row>
    <row r="141" spans="1:8" x14ac:dyDescent="0.2">
      <c r="A141" s="37">
        <v>18172</v>
      </c>
      <c r="B141" s="38">
        <f>VLOOKUP(Table1[[#This Row],[Date]],Database!A:D,3,)</f>
        <v>42942</v>
      </c>
      <c r="C141" s="39">
        <f t="shared" ref="C141:C204" si="5">B141-B140</f>
        <v>-838</v>
      </c>
      <c r="D141" s="39">
        <f t="shared" si="4"/>
        <v>-196.33333333333334</v>
      </c>
      <c r="E141" s="27">
        <f>VLOOKUP(Table1[[#This Row],[Date]],Database!A:D,4,)</f>
        <v>7.9</v>
      </c>
      <c r="F141" s="40">
        <v>-8.392750339143747E-3</v>
      </c>
      <c r="G141" s="27">
        <f>VLOOKUP(Table1[[#This Row],[Date]],Database!A:D,2,)</f>
        <v>59.6</v>
      </c>
      <c r="H141" s="26"/>
    </row>
    <row r="142" spans="1:8" x14ac:dyDescent="0.2">
      <c r="A142" s="37">
        <v>18203</v>
      </c>
      <c r="B142" s="38">
        <f>VLOOKUP(Table1[[#This Row],[Date]],Database!A:D,3,)</f>
        <v>43242</v>
      </c>
      <c r="C142" s="39">
        <f t="shared" si="5"/>
        <v>300</v>
      </c>
      <c r="D142" s="39">
        <f t="shared" si="4"/>
        <v>-127.33333333333333</v>
      </c>
      <c r="E142" s="27">
        <f>VLOOKUP(Table1[[#This Row],[Date]],Database!A:D,4,)</f>
        <v>6.4</v>
      </c>
      <c r="F142" s="40">
        <v>-8.392750339143747E-3</v>
      </c>
      <c r="G142" s="27">
        <f>VLOOKUP(Table1[[#This Row],[Date]],Database!A:D,2,)</f>
        <v>59.4</v>
      </c>
      <c r="H142" s="26"/>
    </row>
    <row r="143" spans="1:8" x14ac:dyDescent="0.2">
      <c r="A143" s="37">
        <v>18233</v>
      </c>
      <c r="B143" s="38">
        <f>VLOOKUP(Table1[[#This Row],[Date]],Database!A:D,3,)</f>
        <v>43522</v>
      </c>
      <c r="C143" s="39">
        <f t="shared" si="5"/>
        <v>280</v>
      </c>
      <c r="D143" s="39">
        <f t="shared" si="4"/>
        <v>-86</v>
      </c>
      <c r="E143" s="27">
        <f>VLOOKUP(Table1[[#This Row],[Date]],Database!A:D,4,)</f>
        <v>6.6</v>
      </c>
      <c r="F143" s="40">
        <v>-8.392750339143747E-3</v>
      </c>
      <c r="G143" s="27">
        <f>VLOOKUP(Table1[[#This Row],[Date]],Database!A:D,2,)</f>
        <v>59.2</v>
      </c>
      <c r="H143" s="26"/>
    </row>
    <row r="144" spans="1:8" x14ac:dyDescent="0.2">
      <c r="A144" s="37">
        <v>18264</v>
      </c>
      <c r="B144" s="38">
        <f>VLOOKUP(Table1[[#This Row],[Date]],Database!A:D,3,)</f>
        <v>43526</v>
      </c>
      <c r="C144" s="39">
        <f t="shared" si="5"/>
        <v>4</v>
      </c>
      <c r="D144" s="39">
        <f t="shared" si="4"/>
        <v>194.66666666666666</v>
      </c>
      <c r="E144" s="27">
        <f>VLOOKUP(Table1[[#This Row],[Date]],Database!A:D,4,)</f>
        <v>6.5</v>
      </c>
      <c r="F144" s="40">
        <v>3.9301206183276705E-2</v>
      </c>
      <c r="G144" s="27">
        <f>VLOOKUP(Table1[[#This Row],[Date]],Database!A:D,2,)</f>
        <v>58.9</v>
      </c>
      <c r="H144" s="26"/>
    </row>
    <row r="145" spans="1:8" x14ac:dyDescent="0.2">
      <c r="A145" s="37">
        <v>18295</v>
      </c>
      <c r="B145" s="38">
        <f>VLOOKUP(Table1[[#This Row],[Date]],Database!A:D,3,)</f>
        <v>43297</v>
      </c>
      <c r="C145" s="39">
        <f t="shared" si="5"/>
        <v>-229</v>
      </c>
      <c r="D145" s="39">
        <f t="shared" si="4"/>
        <v>18.333333333333332</v>
      </c>
      <c r="E145" s="27">
        <f>VLOOKUP(Table1[[#This Row],[Date]],Database!A:D,4,)</f>
        <v>6.4</v>
      </c>
      <c r="F145" s="40">
        <v>3.9301206183276705E-2</v>
      </c>
      <c r="G145" s="27">
        <f>VLOOKUP(Table1[[#This Row],[Date]],Database!A:D,2,)</f>
        <v>58.9</v>
      </c>
      <c r="H145" s="26"/>
    </row>
    <row r="146" spans="1:8" x14ac:dyDescent="0.2">
      <c r="A146" s="37">
        <v>18323</v>
      </c>
      <c r="B146" s="38">
        <f>VLOOKUP(Table1[[#This Row],[Date]],Database!A:D,3,)</f>
        <v>43954</v>
      </c>
      <c r="C146" s="39">
        <f t="shared" si="5"/>
        <v>657</v>
      </c>
      <c r="D146" s="39">
        <f t="shared" si="4"/>
        <v>144</v>
      </c>
      <c r="E146" s="27">
        <f>VLOOKUP(Table1[[#This Row],[Date]],Database!A:D,4,)</f>
        <v>6.3</v>
      </c>
      <c r="F146" s="40">
        <v>3.9301206183276705E-2</v>
      </c>
      <c r="G146" s="27">
        <f>VLOOKUP(Table1[[#This Row],[Date]],Database!A:D,2,)</f>
        <v>58.8</v>
      </c>
      <c r="H146" s="26"/>
    </row>
    <row r="147" spans="1:8" x14ac:dyDescent="0.2">
      <c r="A147" s="37">
        <v>18354</v>
      </c>
      <c r="B147" s="38">
        <f>VLOOKUP(Table1[[#This Row],[Date]],Database!A:D,3,)</f>
        <v>44382</v>
      </c>
      <c r="C147" s="39">
        <f t="shared" si="5"/>
        <v>428</v>
      </c>
      <c r="D147" s="39">
        <f t="shared" si="4"/>
        <v>285.33333333333331</v>
      </c>
      <c r="E147" s="27">
        <f>VLOOKUP(Table1[[#This Row],[Date]],Database!A:D,4,)</f>
        <v>5.8</v>
      </c>
      <c r="F147" s="40">
        <v>3.0498354136993023E-2</v>
      </c>
      <c r="G147" s="27">
        <f>VLOOKUP(Table1[[#This Row],[Date]],Database!A:D,2,)</f>
        <v>59.2</v>
      </c>
      <c r="H147" s="26"/>
    </row>
    <row r="148" spans="1:8" x14ac:dyDescent="0.2">
      <c r="A148" s="37">
        <v>18384</v>
      </c>
      <c r="B148" s="38">
        <f>VLOOKUP(Table1[[#This Row],[Date]],Database!A:D,3,)</f>
        <v>44718</v>
      </c>
      <c r="C148" s="39">
        <f t="shared" si="5"/>
        <v>336</v>
      </c>
      <c r="D148" s="39">
        <f t="shared" si="4"/>
        <v>473.66666666666669</v>
      </c>
      <c r="E148" s="27">
        <f>VLOOKUP(Table1[[#This Row],[Date]],Database!A:D,4,)</f>
        <v>5.5</v>
      </c>
      <c r="F148" s="40">
        <v>3.0498354136993023E-2</v>
      </c>
      <c r="G148" s="27">
        <f>VLOOKUP(Table1[[#This Row],[Date]],Database!A:D,2,)</f>
        <v>59.1</v>
      </c>
      <c r="H148" s="26"/>
    </row>
    <row r="149" spans="1:8" x14ac:dyDescent="0.2">
      <c r="A149" s="37">
        <v>18415</v>
      </c>
      <c r="B149" s="38">
        <f>VLOOKUP(Table1[[#This Row],[Date]],Database!A:D,3,)</f>
        <v>45083</v>
      </c>
      <c r="C149" s="39">
        <f t="shared" si="5"/>
        <v>365</v>
      </c>
      <c r="D149" s="39">
        <f t="shared" si="4"/>
        <v>376.33333333333331</v>
      </c>
      <c r="E149" s="27">
        <f>VLOOKUP(Table1[[#This Row],[Date]],Database!A:D,4,)</f>
        <v>5.4</v>
      </c>
      <c r="F149" s="40">
        <v>3.0498354136993023E-2</v>
      </c>
      <c r="G149" s="27">
        <f>VLOOKUP(Table1[[#This Row],[Date]],Database!A:D,2,)</f>
        <v>59.4</v>
      </c>
      <c r="H149" s="26"/>
    </row>
    <row r="150" spans="1:8" x14ac:dyDescent="0.2">
      <c r="A150" s="37">
        <v>18445</v>
      </c>
      <c r="B150" s="38">
        <f>VLOOKUP(Table1[[#This Row],[Date]],Database!A:D,3,)</f>
        <v>45454</v>
      </c>
      <c r="C150" s="39">
        <f t="shared" si="5"/>
        <v>371</v>
      </c>
      <c r="D150" s="39">
        <f t="shared" si="4"/>
        <v>357.33333333333331</v>
      </c>
      <c r="E150" s="27">
        <f>VLOOKUP(Table1[[#This Row],[Date]],Database!A:D,4,)</f>
        <v>5</v>
      </c>
      <c r="F150" s="40">
        <v>3.8643894955689706E-2</v>
      </c>
      <c r="G150" s="27">
        <f>VLOOKUP(Table1[[#This Row],[Date]],Database!A:D,2,)</f>
        <v>59.1</v>
      </c>
      <c r="H150" s="26"/>
    </row>
    <row r="151" spans="1:8" x14ac:dyDescent="0.2">
      <c r="A151" s="37">
        <v>18476</v>
      </c>
      <c r="B151" s="38">
        <f>VLOOKUP(Table1[[#This Row],[Date]],Database!A:D,3,)</f>
        <v>46192</v>
      </c>
      <c r="C151" s="39">
        <f t="shared" si="5"/>
        <v>738</v>
      </c>
      <c r="D151" s="39">
        <f t="shared" si="4"/>
        <v>491.33333333333331</v>
      </c>
      <c r="E151" s="27">
        <f>VLOOKUP(Table1[[#This Row],[Date]],Database!A:D,4,)</f>
        <v>4.5</v>
      </c>
      <c r="F151" s="40">
        <v>3.8643894955689706E-2</v>
      </c>
      <c r="G151" s="27">
        <f>VLOOKUP(Table1[[#This Row],[Date]],Database!A:D,2,)</f>
        <v>59.5</v>
      </c>
      <c r="H151" s="26"/>
    </row>
    <row r="152" spans="1:8" x14ac:dyDescent="0.2">
      <c r="A152" s="37">
        <v>18507</v>
      </c>
      <c r="B152" s="38">
        <f>VLOOKUP(Table1[[#This Row],[Date]],Database!A:D,3,)</f>
        <v>46438</v>
      </c>
      <c r="C152" s="39">
        <f t="shared" si="5"/>
        <v>246</v>
      </c>
      <c r="D152" s="39">
        <f t="shared" si="4"/>
        <v>451.66666666666669</v>
      </c>
      <c r="E152" s="27">
        <f>VLOOKUP(Table1[[#This Row],[Date]],Database!A:D,4,)</f>
        <v>4.4000000000000004</v>
      </c>
      <c r="F152" s="40">
        <v>3.8643894955689706E-2</v>
      </c>
      <c r="G152" s="27">
        <f>VLOOKUP(Table1[[#This Row],[Date]],Database!A:D,2,)</f>
        <v>59.2</v>
      </c>
      <c r="H152" s="26"/>
    </row>
    <row r="153" spans="1:8" x14ac:dyDescent="0.2">
      <c r="A153" s="37">
        <v>18537</v>
      </c>
      <c r="B153" s="38">
        <f>VLOOKUP(Table1[[#This Row],[Date]],Database!A:D,3,)</f>
        <v>46706</v>
      </c>
      <c r="C153" s="39">
        <f t="shared" si="5"/>
        <v>268</v>
      </c>
      <c r="D153" s="39">
        <f t="shared" si="4"/>
        <v>417.33333333333331</v>
      </c>
      <c r="E153" s="27">
        <f>VLOOKUP(Table1[[#This Row],[Date]],Database!A:D,4,)</f>
        <v>4.2</v>
      </c>
      <c r="F153" s="40">
        <v>1.9147629648571717E-2</v>
      </c>
      <c r="G153" s="27">
        <f>VLOOKUP(Table1[[#This Row],[Date]],Database!A:D,2,)</f>
        <v>59.4</v>
      </c>
      <c r="H153" s="26"/>
    </row>
    <row r="154" spans="1:8" x14ac:dyDescent="0.2">
      <c r="A154" s="37">
        <v>18568</v>
      </c>
      <c r="B154" s="38">
        <f>VLOOKUP(Table1[[#This Row],[Date]],Database!A:D,3,)</f>
        <v>46776</v>
      </c>
      <c r="C154" s="39">
        <f t="shared" si="5"/>
        <v>70</v>
      </c>
      <c r="D154" s="39">
        <f t="shared" si="4"/>
        <v>194.66666666666666</v>
      </c>
      <c r="E154" s="27">
        <f>VLOOKUP(Table1[[#This Row],[Date]],Database!A:D,4,)</f>
        <v>4.2</v>
      </c>
      <c r="F154" s="40">
        <v>1.9147629648571717E-2</v>
      </c>
      <c r="G154" s="27">
        <f>VLOOKUP(Table1[[#This Row],[Date]],Database!A:D,2,)</f>
        <v>59.3</v>
      </c>
      <c r="H154" s="26"/>
    </row>
    <row r="155" spans="1:8" x14ac:dyDescent="0.2">
      <c r="A155" s="37">
        <v>18598</v>
      </c>
      <c r="B155" s="38">
        <f>VLOOKUP(Table1[[#This Row],[Date]],Database!A:D,3,)</f>
        <v>46861</v>
      </c>
      <c r="C155" s="39">
        <f t="shared" si="5"/>
        <v>85</v>
      </c>
      <c r="D155" s="39">
        <f t="shared" si="4"/>
        <v>141</v>
      </c>
      <c r="E155" s="27">
        <f>VLOOKUP(Table1[[#This Row],[Date]],Database!A:D,4,)</f>
        <v>4.3</v>
      </c>
      <c r="F155" s="40">
        <v>1.9147629648571717E-2</v>
      </c>
      <c r="G155" s="27">
        <f>VLOOKUP(Table1[[#This Row],[Date]],Database!A:D,2,)</f>
        <v>59.2</v>
      </c>
      <c r="H155" s="26"/>
    </row>
    <row r="156" spans="1:8" x14ac:dyDescent="0.2">
      <c r="A156" s="37">
        <v>18629</v>
      </c>
      <c r="B156" s="38">
        <f>VLOOKUP(Table1[[#This Row],[Date]],Database!A:D,3,)</f>
        <v>47288</v>
      </c>
      <c r="C156" s="39">
        <f t="shared" si="5"/>
        <v>427</v>
      </c>
      <c r="D156" s="39">
        <f t="shared" si="4"/>
        <v>194</v>
      </c>
      <c r="E156" s="27">
        <f>VLOOKUP(Table1[[#This Row],[Date]],Database!A:D,4,)</f>
        <v>3.7</v>
      </c>
      <c r="F156" s="40">
        <v>1.358163984171454E-2</v>
      </c>
      <c r="G156" s="27">
        <f>VLOOKUP(Table1[[#This Row],[Date]],Database!A:D,2,)</f>
        <v>59.1</v>
      </c>
      <c r="H156" s="26"/>
    </row>
    <row r="157" spans="1:8" x14ac:dyDescent="0.2">
      <c r="A157" s="37">
        <v>18660</v>
      </c>
      <c r="B157" s="38">
        <f>VLOOKUP(Table1[[#This Row],[Date]],Database!A:D,3,)</f>
        <v>47577</v>
      </c>
      <c r="C157" s="39">
        <f t="shared" si="5"/>
        <v>289</v>
      </c>
      <c r="D157" s="39">
        <f t="shared" si="4"/>
        <v>267</v>
      </c>
      <c r="E157" s="27">
        <f>VLOOKUP(Table1[[#This Row],[Date]],Database!A:D,4,)</f>
        <v>3.4</v>
      </c>
      <c r="F157" s="40">
        <v>1.358163984171454E-2</v>
      </c>
      <c r="G157" s="27">
        <f>VLOOKUP(Table1[[#This Row],[Date]],Database!A:D,2,)</f>
        <v>59.1</v>
      </c>
      <c r="H157" s="26"/>
    </row>
    <row r="158" spans="1:8" x14ac:dyDescent="0.2">
      <c r="A158" s="37">
        <v>18688</v>
      </c>
      <c r="B158" s="38">
        <f>VLOOKUP(Table1[[#This Row],[Date]],Database!A:D,3,)</f>
        <v>47873</v>
      </c>
      <c r="C158" s="39">
        <f t="shared" si="5"/>
        <v>296</v>
      </c>
      <c r="D158" s="39">
        <f t="shared" si="4"/>
        <v>337.33333333333331</v>
      </c>
      <c r="E158" s="27">
        <f>VLOOKUP(Table1[[#This Row],[Date]],Database!A:D,4,)</f>
        <v>3.4</v>
      </c>
      <c r="F158" s="40">
        <v>1.358163984171454E-2</v>
      </c>
      <c r="G158" s="27">
        <f>VLOOKUP(Table1[[#This Row],[Date]],Database!A:D,2,)</f>
        <v>59.8</v>
      </c>
      <c r="H158" s="26"/>
    </row>
    <row r="159" spans="1:8" x14ac:dyDescent="0.2">
      <c r="A159" s="37">
        <v>18719</v>
      </c>
      <c r="B159" s="38">
        <f>VLOOKUP(Table1[[#This Row],[Date]],Database!A:D,3,)</f>
        <v>47861</v>
      </c>
      <c r="C159" s="39">
        <f t="shared" si="5"/>
        <v>-12</v>
      </c>
      <c r="D159" s="39">
        <f t="shared" si="4"/>
        <v>191</v>
      </c>
      <c r="E159" s="27">
        <f>VLOOKUP(Table1[[#This Row],[Date]],Database!A:D,4,)</f>
        <v>3.1</v>
      </c>
      <c r="F159" s="40">
        <v>1.7327355670913942E-2</v>
      </c>
      <c r="G159" s="27">
        <f>VLOOKUP(Table1[[#This Row],[Date]],Database!A:D,2,)</f>
        <v>59.1</v>
      </c>
      <c r="H159" s="26"/>
    </row>
    <row r="160" spans="1:8" x14ac:dyDescent="0.2">
      <c r="A160" s="37">
        <v>18749</v>
      </c>
      <c r="B160" s="38">
        <f>VLOOKUP(Table1[[#This Row],[Date]],Database!A:D,3,)</f>
        <v>47952</v>
      </c>
      <c r="C160" s="39">
        <f t="shared" si="5"/>
        <v>91</v>
      </c>
      <c r="D160" s="39">
        <f t="shared" si="4"/>
        <v>125</v>
      </c>
      <c r="E160" s="27">
        <f>VLOOKUP(Table1[[#This Row],[Date]],Database!A:D,4,)</f>
        <v>3</v>
      </c>
      <c r="F160" s="40">
        <v>1.7327355670913942E-2</v>
      </c>
      <c r="G160" s="27">
        <f>VLOOKUP(Table1[[#This Row],[Date]],Database!A:D,2,)</f>
        <v>59.4</v>
      </c>
      <c r="H160" s="26"/>
    </row>
    <row r="161" spans="1:8" x14ac:dyDescent="0.2">
      <c r="A161" s="37">
        <v>18780</v>
      </c>
      <c r="B161" s="38">
        <f>VLOOKUP(Table1[[#This Row],[Date]],Database!A:D,3,)</f>
        <v>48064</v>
      </c>
      <c r="C161" s="39">
        <f t="shared" si="5"/>
        <v>112</v>
      </c>
      <c r="D161" s="39">
        <f t="shared" si="4"/>
        <v>63.666666666666664</v>
      </c>
      <c r="E161" s="27">
        <f>VLOOKUP(Table1[[#This Row],[Date]],Database!A:D,4,)</f>
        <v>3.2</v>
      </c>
      <c r="F161" s="40">
        <v>1.7327355670913942E-2</v>
      </c>
      <c r="G161" s="27">
        <f>VLOOKUP(Table1[[#This Row],[Date]],Database!A:D,2,)</f>
        <v>59</v>
      </c>
      <c r="H161" s="26"/>
    </row>
    <row r="162" spans="1:8" x14ac:dyDescent="0.2">
      <c r="A162" s="37">
        <v>18810</v>
      </c>
      <c r="B162" s="38">
        <f>VLOOKUP(Table1[[#This Row],[Date]],Database!A:D,3,)</f>
        <v>48061</v>
      </c>
      <c r="C162" s="39">
        <f t="shared" si="5"/>
        <v>-3</v>
      </c>
      <c r="D162" s="39">
        <f t="shared" si="4"/>
        <v>66.666666666666671</v>
      </c>
      <c r="E162" s="27">
        <f>VLOOKUP(Table1[[#This Row],[Date]],Database!A:D,4,)</f>
        <v>3.1</v>
      </c>
      <c r="F162" s="40">
        <v>2.0609826910658338E-2</v>
      </c>
      <c r="G162" s="27">
        <f>VLOOKUP(Table1[[#This Row],[Date]],Database!A:D,2,)</f>
        <v>59.4</v>
      </c>
      <c r="H162" s="26"/>
    </row>
    <row r="163" spans="1:8" x14ac:dyDescent="0.2">
      <c r="A163" s="37">
        <v>18841</v>
      </c>
      <c r="B163" s="38">
        <f>VLOOKUP(Table1[[#This Row],[Date]],Database!A:D,3,)</f>
        <v>48012</v>
      </c>
      <c r="C163" s="39">
        <f t="shared" si="5"/>
        <v>-49</v>
      </c>
      <c r="D163" s="39">
        <f t="shared" si="4"/>
        <v>20</v>
      </c>
      <c r="E163" s="27">
        <f>VLOOKUP(Table1[[#This Row],[Date]],Database!A:D,4,)</f>
        <v>3.1</v>
      </c>
      <c r="F163" s="40">
        <v>2.0609826910658338E-2</v>
      </c>
      <c r="G163" s="27">
        <f>VLOOKUP(Table1[[#This Row],[Date]],Database!A:D,2,)</f>
        <v>59.2</v>
      </c>
      <c r="H163" s="26"/>
    </row>
    <row r="164" spans="1:8" x14ac:dyDescent="0.2">
      <c r="A164" s="37">
        <v>18872</v>
      </c>
      <c r="B164" s="38">
        <f>VLOOKUP(Table1[[#This Row],[Date]],Database!A:D,3,)</f>
        <v>47954</v>
      </c>
      <c r="C164" s="39">
        <f t="shared" si="5"/>
        <v>-58</v>
      </c>
      <c r="D164" s="39">
        <f t="shared" si="4"/>
        <v>-36.666666666666664</v>
      </c>
      <c r="E164" s="27">
        <f>VLOOKUP(Table1[[#This Row],[Date]],Database!A:D,4,)</f>
        <v>3.3</v>
      </c>
      <c r="F164" s="40">
        <v>2.0609826910658338E-2</v>
      </c>
      <c r="G164" s="27">
        <f>VLOOKUP(Table1[[#This Row],[Date]],Database!A:D,2,)</f>
        <v>59.1</v>
      </c>
      <c r="H164" s="26"/>
    </row>
    <row r="165" spans="1:8" x14ac:dyDescent="0.2">
      <c r="A165" s="37">
        <v>18902</v>
      </c>
      <c r="B165" s="38">
        <f>VLOOKUP(Table1[[#This Row],[Date]],Database!A:D,3,)</f>
        <v>48006</v>
      </c>
      <c r="C165" s="39">
        <f t="shared" si="5"/>
        <v>52</v>
      </c>
      <c r="D165" s="39">
        <f t="shared" si="4"/>
        <v>-18.333333333333332</v>
      </c>
      <c r="E165" s="27">
        <f>VLOOKUP(Table1[[#This Row],[Date]],Database!A:D,4,)</f>
        <v>3.5</v>
      </c>
      <c r="F165" s="40">
        <v>2.2024060608428178E-3</v>
      </c>
      <c r="G165" s="27">
        <f>VLOOKUP(Table1[[#This Row],[Date]],Database!A:D,2,)</f>
        <v>59.4</v>
      </c>
      <c r="H165" s="26"/>
    </row>
    <row r="166" spans="1:8" x14ac:dyDescent="0.2">
      <c r="A166" s="37">
        <v>18933</v>
      </c>
      <c r="B166" s="38">
        <f>VLOOKUP(Table1[[#This Row],[Date]],Database!A:D,3,)</f>
        <v>48147</v>
      </c>
      <c r="C166" s="39">
        <f t="shared" si="5"/>
        <v>141</v>
      </c>
      <c r="D166" s="39">
        <f t="shared" si="4"/>
        <v>45</v>
      </c>
      <c r="E166" s="27">
        <f>VLOOKUP(Table1[[#This Row],[Date]],Database!A:D,4,)</f>
        <v>3.5</v>
      </c>
      <c r="F166" s="40">
        <v>2.2024060608428178E-3</v>
      </c>
      <c r="G166" s="27">
        <f>VLOOKUP(Table1[[#This Row],[Date]],Database!A:D,2,)</f>
        <v>59.2</v>
      </c>
      <c r="H166" s="26"/>
    </row>
    <row r="167" spans="1:8" x14ac:dyDescent="0.2">
      <c r="A167" s="37">
        <v>18963</v>
      </c>
      <c r="B167" s="38">
        <f>VLOOKUP(Table1[[#This Row],[Date]],Database!A:D,3,)</f>
        <v>48314</v>
      </c>
      <c r="C167" s="39">
        <f t="shared" si="5"/>
        <v>167</v>
      </c>
      <c r="D167" s="39">
        <f t="shared" si="4"/>
        <v>120</v>
      </c>
      <c r="E167" s="27">
        <f>VLOOKUP(Table1[[#This Row],[Date]],Database!A:D,4,)</f>
        <v>3.1</v>
      </c>
      <c r="F167" s="40">
        <v>2.2024060608428178E-3</v>
      </c>
      <c r="G167" s="27">
        <f>VLOOKUP(Table1[[#This Row],[Date]],Database!A:D,2,)</f>
        <v>59.6</v>
      </c>
      <c r="H167" s="26"/>
    </row>
    <row r="168" spans="1:8" x14ac:dyDescent="0.2">
      <c r="A168" s="37">
        <v>18994</v>
      </c>
      <c r="B168" s="38">
        <f>VLOOKUP(Table1[[#This Row],[Date]],Database!A:D,3,)</f>
        <v>48296</v>
      </c>
      <c r="C168" s="39">
        <f t="shared" si="5"/>
        <v>-18</v>
      </c>
      <c r="D168" s="39">
        <f t="shared" si="4"/>
        <v>96.666666666666671</v>
      </c>
      <c r="E168" s="27">
        <f>VLOOKUP(Table1[[#This Row],[Date]],Database!A:D,4,)</f>
        <v>3.2</v>
      </c>
      <c r="F168" s="40">
        <v>1.0685486277146397E-2</v>
      </c>
      <c r="G168" s="27">
        <f>VLOOKUP(Table1[[#This Row],[Date]],Database!A:D,2,)</f>
        <v>59.5</v>
      </c>
      <c r="H168" s="26"/>
    </row>
    <row r="169" spans="1:8" x14ac:dyDescent="0.2">
      <c r="A169" s="37">
        <v>19025</v>
      </c>
      <c r="B169" s="38">
        <f>VLOOKUP(Table1[[#This Row],[Date]],Database!A:D,3,)</f>
        <v>48522</v>
      </c>
      <c r="C169" s="39">
        <f t="shared" si="5"/>
        <v>226</v>
      </c>
      <c r="D169" s="39">
        <f t="shared" si="4"/>
        <v>125</v>
      </c>
      <c r="E169" s="27">
        <f>VLOOKUP(Table1[[#This Row],[Date]],Database!A:D,4,)</f>
        <v>3.1</v>
      </c>
      <c r="F169" s="40">
        <v>1.0685486277146397E-2</v>
      </c>
      <c r="G169" s="27">
        <f>VLOOKUP(Table1[[#This Row],[Date]],Database!A:D,2,)</f>
        <v>59.5</v>
      </c>
      <c r="H169" s="26"/>
    </row>
    <row r="170" spans="1:8" x14ac:dyDescent="0.2">
      <c r="A170" s="37">
        <v>19054</v>
      </c>
      <c r="B170" s="38">
        <f>VLOOKUP(Table1[[#This Row],[Date]],Database!A:D,3,)</f>
        <v>48504</v>
      </c>
      <c r="C170" s="39">
        <f t="shared" si="5"/>
        <v>-18</v>
      </c>
      <c r="D170" s="39">
        <f t="shared" si="4"/>
        <v>63.333333333333336</v>
      </c>
      <c r="E170" s="27">
        <f>VLOOKUP(Table1[[#This Row],[Date]],Database!A:D,4,)</f>
        <v>2.9</v>
      </c>
      <c r="F170" s="40">
        <v>1.0685486277146397E-2</v>
      </c>
      <c r="G170" s="27">
        <f>VLOOKUP(Table1[[#This Row],[Date]],Database!A:D,2,)</f>
        <v>58.9</v>
      </c>
      <c r="H170" s="26"/>
    </row>
    <row r="171" spans="1:8" x14ac:dyDescent="0.2">
      <c r="A171" s="37">
        <v>19085</v>
      </c>
      <c r="B171" s="38">
        <f>VLOOKUP(Table1[[#This Row],[Date]],Database!A:D,3,)</f>
        <v>48620</v>
      </c>
      <c r="C171" s="39">
        <f t="shared" si="5"/>
        <v>116</v>
      </c>
      <c r="D171" s="39">
        <f t="shared" si="4"/>
        <v>108</v>
      </c>
      <c r="E171" s="27">
        <f>VLOOKUP(Table1[[#This Row],[Date]],Database!A:D,4,)</f>
        <v>2.9</v>
      </c>
      <c r="F171" s="40">
        <v>2.1538643207178573E-3</v>
      </c>
      <c r="G171" s="27">
        <f>VLOOKUP(Table1[[#This Row],[Date]],Database!A:D,2,)</f>
        <v>58.8</v>
      </c>
      <c r="H171" s="26"/>
    </row>
    <row r="172" spans="1:8" x14ac:dyDescent="0.2">
      <c r="A172" s="37">
        <v>19115</v>
      </c>
      <c r="B172" s="38">
        <f>VLOOKUP(Table1[[#This Row],[Date]],Database!A:D,3,)</f>
        <v>48642</v>
      </c>
      <c r="C172" s="39">
        <f t="shared" si="5"/>
        <v>22</v>
      </c>
      <c r="D172" s="39">
        <f t="shared" si="4"/>
        <v>40</v>
      </c>
      <c r="E172" s="27">
        <f>VLOOKUP(Table1[[#This Row],[Date]],Database!A:D,4,)</f>
        <v>3</v>
      </c>
      <c r="F172" s="40">
        <v>2.1538643207178573E-3</v>
      </c>
      <c r="G172" s="27">
        <f>VLOOKUP(Table1[[#This Row],[Date]],Database!A:D,2,)</f>
        <v>59.1</v>
      </c>
      <c r="H172" s="26"/>
    </row>
    <row r="173" spans="1:8" x14ac:dyDescent="0.2">
      <c r="A173" s="37">
        <v>19146</v>
      </c>
      <c r="B173" s="38">
        <f>VLOOKUP(Table1[[#This Row],[Date]],Database!A:D,3,)</f>
        <v>48282</v>
      </c>
      <c r="C173" s="39">
        <f t="shared" si="5"/>
        <v>-360</v>
      </c>
      <c r="D173" s="39">
        <f t="shared" si="4"/>
        <v>-74</v>
      </c>
      <c r="E173" s="27">
        <f>VLOOKUP(Table1[[#This Row],[Date]],Database!A:D,4,)</f>
        <v>3</v>
      </c>
      <c r="F173" s="40">
        <v>2.1538643207178573E-3</v>
      </c>
      <c r="G173" s="27">
        <f>VLOOKUP(Table1[[#This Row],[Date]],Database!A:D,2,)</f>
        <v>59.1</v>
      </c>
      <c r="H173" s="26"/>
    </row>
    <row r="174" spans="1:8" x14ac:dyDescent="0.2">
      <c r="A174" s="37">
        <v>19176</v>
      </c>
      <c r="B174" s="38">
        <f>VLOOKUP(Table1[[#This Row],[Date]],Database!A:D,3,)</f>
        <v>48143</v>
      </c>
      <c r="C174" s="39">
        <f t="shared" si="5"/>
        <v>-139</v>
      </c>
      <c r="D174" s="39">
        <f t="shared" si="4"/>
        <v>-159</v>
      </c>
      <c r="E174" s="27">
        <f>VLOOKUP(Table1[[#This Row],[Date]],Database!A:D,4,)</f>
        <v>3.2</v>
      </c>
      <c r="F174" s="40">
        <v>7.2187121713794718E-3</v>
      </c>
      <c r="G174" s="27">
        <f>VLOOKUP(Table1[[#This Row],[Date]],Database!A:D,2,)</f>
        <v>58.9</v>
      </c>
      <c r="H174" s="26"/>
    </row>
    <row r="175" spans="1:8" x14ac:dyDescent="0.2">
      <c r="A175" s="37">
        <v>19207</v>
      </c>
      <c r="B175" s="38">
        <f>VLOOKUP(Table1[[#This Row],[Date]],Database!A:D,3,)</f>
        <v>48924</v>
      </c>
      <c r="C175" s="39">
        <f t="shared" si="5"/>
        <v>781</v>
      </c>
      <c r="D175" s="39">
        <f t="shared" si="4"/>
        <v>94</v>
      </c>
      <c r="E175" s="27">
        <f>VLOOKUP(Table1[[#This Row],[Date]],Database!A:D,4,)</f>
        <v>3.4</v>
      </c>
      <c r="F175" s="40">
        <v>7.2187121713794718E-3</v>
      </c>
      <c r="G175" s="27">
        <f>VLOOKUP(Table1[[#This Row],[Date]],Database!A:D,2,)</f>
        <v>58.7</v>
      </c>
      <c r="H175" s="26"/>
    </row>
    <row r="176" spans="1:8" x14ac:dyDescent="0.2">
      <c r="A176" s="37">
        <v>19238</v>
      </c>
      <c r="B176" s="38">
        <f>VLOOKUP(Table1[[#This Row],[Date]],Database!A:D,3,)</f>
        <v>49320</v>
      </c>
      <c r="C176" s="39">
        <f t="shared" si="5"/>
        <v>396</v>
      </c>
      <c r="D176" s="39">
        <f t="shared" si="4"/>
        <v>346</v>
      </c>
      <c r="E176" s="27">
        <f>VLOOKUP(Table1[[#This Row],[Date]],Database!A:D,4,)</f>
        <v>3.1</v>
      </c>
      <c r="F176" s="40">
        <v>7.2187121713794718E-3</v>
      </c>
      <c r="G176" s="27">
        <f>VLOOKUP(Table1[[#This Row],[Date]],Database!A:D,2,)</f>
        <v>59.2</v>
      </c>
      <c r="H176" s="26"/>
    </row>
    <row r="177" spans="1:8" x14ac:dyDescent="0.2">
      <c r="A177" s="37">
        <v>19268</v>
      </c>
      <c r="B177" s="38">
        <f>VLOOKUP(Table1[[#This Row],[Date]],Database!A:D,3,)</f>
        <v>49597</v>
      </c>
      <c r="C177" s="39">
        <f t="shared" si="5"/>
        <v>277</v>
      </c>
      <c r="D177" s="39">
        <f t="shared" si="4"/>
        <v>484.66666666666669</v>
      </c>
      <c r="E177" s="27">
        <f>VLOOKUP(Table1[[#This Row],[Date]],Database!A:D,4,)</f>
        <v>3</v>
      </c>
      <c r="F177" s="40">
        <v>3.284197752223629E-2</v>
      </c>
      <c r="G177" s="27">
        <f>VLOOKUP(Table1[[#This Row],[Date]],Database!A:D,2,)</f>
        <v>58.7</v>
      </c>
      <c r="H177" s="26"/>
    </row>
    <row r="178" spans="1:8" x14ac:dyDescent="0.2">
      <c r="A178" s="37">
        <v>19299</v>
      </c>
      <c r="B178" s="38">
        <f>VLOOKUP(Table1[[#This Row],[Date]],Database!A:D,3,)</f>
        <v>49816</v>
      </c>
      <c r="C178" s="39">
        <f t="shared" si="5"/>
        <v>219</v>
      </c>
      <c r="D178" s="39">
        <f t="shared" si="4"/>
        <v>297.33333333333331</v>
      </c>
      <c r="E178" s="27">
        <f>VLOOKUP(Table1[[#This Row],[Date]],Database!A:D,4,)</f>
        <v>2.8</v>
      </c>
      <c r="F178" s="40">
        <v>3.284197752223629E-2</v>
      </c>
      <c r="G178" s="27">
        <f>VLOOKUP(Table1[[#This Row],[Date]],Database!A:D,2,)</f>
        <v>59.1</v>
      </c>
      <c r="H178" s="26"/>
    </row>
    <row r="179" spans="1:8" x14ac:dyDescent="0.2">
      <c r="A179" s="37">
        <v>19329</v>
      </c>
      <c r="B179" s="38">
        <f>VLOOKUP(Table1[[#This Row],[Date]],Database!A:D,3,)</f>
        <v>50166</v>
      </c>
      <c r="C179" s="39">
        <f t="shared" si="5"/>
        <v>350</v>
      </c>
      <c r="D179" s="39">
        <f t="shared" si="4"/>
        <v>282</v>
      </c>
      <c r="E179" s="27">
        <f>VLOOKUP(Table1[[#This Row],[Date]],Database!A:D,4,)</f>
        <v>2.7</v>
      </c>
      <c r="F179" s="40">
        <v>3.284197752223629E-2</v>
      </c>
      <c r="G179" s="27">
        <f>VLOOKUP(Table1[[#This Row],[Date]],Database!A:D,2,)</f>
        <v>59.2</v>
      </c>
      <c r="H179" s="26"/>
    </row>
    <row r="180" spans="1:8" x14ac:dyDescent="0.2">
      <c r="A180" s="37">
        <v>19360</v>
      </c>
      <c r="B180" s="38">
        <f>VLOOKUP(Table1[[#This Row],[Date]],Database!A:D,3,)</f>
        <v>50144</v>
      </c>
      <c r="C180" s="39">
        <f t="shared" si="5"/>
        <v>-22</v>
      </c>
      <c r="D180" s="39">
        <f t="shared" si="4"/>
        <v>182.33333333333334</v>
      </c>
      <c r="E180" s="27">
        <f>VLOOKUP(Table1[[#This Row],[Date]],Database!A:D,4,)</f>
        <v>2.9</v>
      </c>
      <c r="F180" s="40">
        <v>1.8588540980381839E-2</v>
      </c>
      <c r="G180" s="27">
        <f>VLOOKUP(Table1[[#This Row],[Date]],Database!A:D,2,)</f>
        <v>59.5</v>
      </c>
      <c r="H180" s="26"/>
    </row>
    <row r="181" spans="1:8" x14ac:dyDescent="0.2">
      <c r="A181" s="37">
        <v>19391</v>
      </c>
      <c r="B181" s="38">
        <f>VLOOKUP(Table1[[#This Row],[Date]],Database!A:D,3,)</f>
        <v>50339</v>
      </c>
      <c r="C181" s="39">
        <f t="shared" si="5"/>
        <v>195</v>
      </c>
      <c r="D181" s="39">
        <f t="shared" si="4"/>
        <v>174.33333333333334</v>
      </c>
      <c r="E181" s="27">
        <f>VLOOKUP(Table1[[#This Row],[Date]],Database!A:D,4,)</f>
        <v>2.6</v>
      </c>
      <c r="F181" s="40">
        <v>1.8588540980381839E-2</v>
      </c>
      <c r="G181" s="27">
        <f>VLOOKUP(Table1[[#This Row],[Date]],Database!A:D,2,)</f>
        <v>59.5</v>
      </c>
      <c r="H181" s="26"/>
    </row>
    <row r="182" spans="1:8" x14ac:dyDescent="0.2">
      <c r="A182" s="37">
        <v>19419</v>
      </c>
      <c r="B182" s="38">
        <f>VLOOKUP(Table1[[#This Row],[Date]],Database!A:D,3,)</f>
        <v>50473</v>
      </c>
      <c r="C182" s="39">
        <f t="shared" si="5"/>
        <v>134</v>
      </c>
      <c r="D182" s="39">
        <f t="shared" si="4"/>
        <v>102.33333333333333</v>
      </c>
      <c r="E182" s="27">
        <f>VLOOKUP(Table1[[#This Row],[Date]],Database!A:D,4,)</f>
        <v>2.6</v>
      </c>
      <c r="F182" s="40">
        <v>1.8588540980381839E-2</v>
      </c>
      <c r="G182" s="27">
        <f>VLOOKUP(Table1[[#This Row],[Date]],Database!A:D,2,)</f>
        <v>59.6</v>
      </c>
      <c r="H182" s="26"/>
    </row>
    <row r="183" spans="1:8" x14ac:dyDescent="0.2">
      <c r="A183" s="37">
        <v>19450</v>
      </c>
      <c r="B183" s="38">
        <f>VLOOKUP(Table1[[#This Row],[Date]],Database!A:D,3,)</f>
        <v>50435</v>
      </c>
      <c r="C183" s="39">
        <f t="shared" si="5"/>
        <v>-38</v>
      </c>
      <c r="D183" s="39">
        <f t="shared" si="4"/>
        <v>97</v>
      </c>
      <c r="E183" s="27">
        <f>VLOOKUP(Table1[[#This Row],[Date]],Database!A:D,4,)</f>
        <v>2.7</v>
      </c>
      <c r="F183" s="40">
        <v>7.7298446358309899E-3</v>
      </c>
      <c r="G183" s="27">
        <f>VLOOKUP(Table1[[#This Row],[Date]],Database!A:D,2,)</f>
        <v>59.1</v>
      </c>
      <c r="H183" s="26"/>
    </row>
    <row r="184" spans="1:8" x14ac:dyDescent="0.2">
      <c r="A184" s="37">
        <v>19480</v>
      </c>
      <c r="B184" s="38">
        <f>VLOOKUP(Table1[[#This Row],[Date]],Database!A:D,3,)</f>
        <v>50490</v>
      </c>
      <c r="C184" s="39">
        <f t="shared" si="5"/>
        <v>55</v>
      </c>
      <c r="D184" s="39">
        <f t="shared" si="4"/>
        <v>50.333333333333336</v>
      </c>
      <c r="E184" s="27">
        <f>VLOOKUP(Table1[[#This Row],[Date]],Database!A:D,4,)</f>
        <v>2.5</v>
      </c>
      <c r="F184" s="40">
        <v>7.7298446358309899E-3</v>
      </c>
      <c r="G184" s="27">
        <f>VLOOKUP(Table1[[#This Row],[Date]],Database!A:D,2,)</f>
        <v>58.6</v>
      </c>
      <c r="H184" s="26"/>
    </row>
    <row r="185" spans="1:8" x14ac:dyDescent="0.2">
      <c r="A185" s="37">
        <v>19511</v>
      </c>
      <c r="B185" s="38">
        <f>VLOOKUP(Table1[[#This Row],[Date]],Database!A:D,3,)</f>
        <v>50519</v>
      </c>
      <c r="C185" s="39">
        <f t="shared" si="5"/>
        <v>29</v>
      </c>
      <c r="D185" s="39">
        <f t="shared" si="4"/>
        <v>15.333333333333334</v>
      </c>
      <c r="E185" s="27">
        <f>VLOOKUP(Table1[[#This Row],[Date]],Database!A:D,4,)</f>
        <v>2.5</v>
      </c>
      <c r="F185" s="40">
        <v>7.7298446358309899E-3</v>
      </c>
      <c r="G185" s="27">
        <f>VLOOKUP(Table1[[#This Row],[Date]],Database!A:D,2,)</f>
        <v>58.9</v>
      </c>
      <c r="H185" s="26"/>
    </row>
    <row r="186" spans="1:8" x14ac:dyDescent="0.2">
      <c r="A186" s="37">
        <v>19541</v>
      </c>
      <c r="B186" s="38">
        <f>VLOOKUP(Table1[[#This Row],[Date]],Database!A:D,3,)</f>
        <v>50536</v>
      </c>
      <c r="C186" s="39">
        <f t="shared" si="5"/>
        <v>17</v>
      </c>
      <c r="D186" s="39">
        <f t="shared" si="4"/>
        <v>33.666666666666664</v>
      </c>
      <c r="E186" s="27">
        <f>VLOOKUP(Table1[[#This Row],[Date]],Database!A:D,4,)</f>
        <v>2.6</v>
      </c>
      <c r="F186" s="40">
        <v>-5.6269354314859646E-3</v>
      </c>
      <c r="G186" s="27">
        <f>VLOOKUP(Table1[[#This Row],[Date]],Database!A:D,2,)</f>
        <v>58.9</v>
      </c>
      <c r="H186" s="26"/>
    </row>
    <row r="187" spans="1:8" x14ac:dyDescent="0.2">
      <c r="A187" s="37">
        <v>19572</v>
      </c>
      <c r="B187" s="38">
        <f>VLOOKUP(Table1[[#This Row],[Date]],Database!A:D,3,)</f>
        <v>50489</v>
      </c>
      <c r="C187" s="39">
        <f t="shared" si="5"/>
        <v>-47</v>
      </c>
      <c r="D187" s="39">
        <f t="shared" si="4"/>
        <v>-0.33333333333333331</v>
      </c>
      <c r="E187" s="27">
        <f>VLOOKUP(Table1[[#This Row],[Date]],Database!A:D,4,)</f>
        <v>2.7</v>
      </c>
      <c r="F187" s="40">
        <v>-5.6269354314859646E-3</v>
      </c>
      <c r="G187" s="27">
        <f>VLOOKUP(Table1[[#This Row],[Date]],Database!A:D,2,)</f>
        <v>58.6</v>
      </c>
      <c r="H187" s="26"/>
    </row>
    <row r="188" spans="1:8" x14ac:dyDescent="0.2">
      <c r="A188" s="37">
        <v>19603</v>
      </c>
      <c r="B188" s="38">
        <f>VLOOKUP(Table1[[#This Row],[Date]],Database!A:D,3,)</f>
        <v>50368</v>
      </c>
      <c r="C188" s="39">
        <f t="shared" si="5"/>
        <v>-121</v>
      </c>
      <c r="D188" s="39">
        <f t="shared" si="4"/>
        <v>-50.333333333333336</v>
      </c>
      <c r="E188" s="27">
        <f>VLOOKUP(Table1[[#This Row],[Date]],Database!A:D,4,)</f>
        <v>2.9</v>
      </c>
      <c r="F188" s="40">
        <v>-5.6269354314859646E-3</v>
      </c>
      <c r="G188" s="27">
        <f>VLOOKUP(Table1[[#This Row],[Date]],Database!A:D,2,)</f>
        <v>58.5</v>
      </c>
      <c r="H188" s="26"/>
    </row>
    <row r="189" spans="1:8" x14ac:dyDescent="0.2">
      <c r="A189" s="37">
        <v>19633</v>
      </c>
      <c r="B189" s="38">
        <f>VLOOKUP(Table1[[#This Row],[Date]],Database!A:D,3,)</f>
        <v>50240</v>
      </c>
      <c r="C189" s="39">
        <f t="shared" si="5"/>
        <v>-128</v>
      </c>
      <c r="D189" s="39">
        <f t="shared" si="4"/>
        <v>-98.666666666666671</v>
      </c>
      <c r="E189" s="27">
        <f>VLOOKUP(Table1[[#This Row],[Date]],Database!A:D,4,)</f>
        <v>3.1</v>
      </c>
      <c r="F189" s="40">
        <v>-1.5139762322488178E-2</v>
      </c>
      <c r="G189" s="27">
        <f>VLOOKUP(Table1[[#This Row],[Date]],Database!A:D,2,)</f>
        <v>58.5</v>
      </c>
      <c r="H189" s="26"/>
    </row>
    <row r="190" spans="1:8" x14ac:dyDescent="0.2">
      <c r="A190" s="37">
        <v>19664</v>
      </c>
      <c r="B190" s="38">
        <f>VLOOKUP(Table1[[#This Row],[Date]],Database!A:D,3,)</f>
        <v>49908</v>
      </c>
      <c r="C190" s="39">
        <f t="shared" si="5"/>
        <v>-332</v>
      </c>
      <c r="D190" s="39">
        <f t="shared" si="4"/>
        <v>-193.66666666666666</v>
      </c>
      <c r="E190" s="27">
        <f>VLOOKUP(Table1[[#This Row],[Date]],Database!A:D,4,)</f>
        <v>3.5</v>
      </c>
      <c r="F190" s="40">
        <v>-1.5139762322488178E-2</v>
      </c>
      <c r="G190" s="27">
        <f>VLOOKUP(Table1[[#This Row],[Date]],Database!A:D,2,)</f>
        <v>58.6</v>
      </c>
      <c r="H190" s="26"/>
    </row>
    <row r="191" spans="1:8" x14ac:dyDescent="0.2">
      <c r="A191" s="37">
        <v>19694</v>
      </c>
      <c r="B191" s="38">
        <f>VLOOKUP(Table1[[#This Row],[Date]],Database!A:D,3,)</f>
        <v>49703</v>
      </c>
      <c r="C191" s="39">
        <f t="shared" si="5"/>
        <v>-205</v>
      </c>
      <c r="D191" s="39">
        <f t="shared" si="4"/>
        <v>-221.66666666666666</v>
      </c>
      <c r="E191" s="27">
        <f>VLOOKUP(Table1[[#This Row],[Date]],Database!A:D,4,)</f>
        <v>4.5</v>
      </c>
      <c r="F191" s="40">
        <v>-1.5139762322488178E-2</v>
      </c>
      <c r="G191" s="27">
        <f>VLOOKUP(Table1[[#This Row],[Date]],Database!A:D,2,)</f>
        <v>58.3</v>
      </c>
      <c r="H191" s="26"/>
    </row>
    <row r="192" spans="1:8" x14ac:dyDescent="0.2">
      <c r="A192" s="37">
        <v>19725</v>
      </c>
      <c r="B192" s="38">
        <f>VLOOKUP(Table1[[#This Row],[Date]],Database!A:D,3,)</f>
        <v>49469</v>
      </c>
      <c r="C192" s="39">
        <f t="shared" si="5"/>
        <v>-234</v>
      </c>
      <c r="D192" s="39">
        <f t="shared" si="4"/>
        <v>-257</v>
      </c>
      <c r="E192" s="27">
        <f>VLOOKUP(Table1[[#This Row],[Date]],Database!A:D,4,)</f>
        <v>4.9000000000000004</v>
      </c>
      <c r="F192" s="40">
        <v>-4.780126213059792E-3</v>
      </c>
      <c r="G192" s="27">
        <f>VLOOKUP(Table1[[#This Row],[Date]],Database!A:D,2,)</f>
        <v>58.6</v>
      </c>
      <c r="H192" s="26"/>
    </row>
    <row r="193" spans="1:8" x14ac:dyDescent="0.2">
      <c r="A193" s="37">
        <v>19756</v>
      </c>
      <c r="B193" s="38">
        <f>VLOOKUP(Table1[[#This Row],[Date]],Database!A:D,3,)</f>
        <v>49382</v>
      </c>
      <c r="C193" s="39">
        <f t="shared" si="5"/>
        <v>-87</v>
      </c>
      <c r="D193" s="39">
        <f t="shared" si="4"/>
        <v>-175.33333333333334</v>
      </c>
      <c r="E193" s="27">
        <f>VLOOKUP(Table1[[#This Row],[Date]],Database!A:D,4,)</f>
        <v>5.2</v>
      </c>
      <c r="F193" s="40">
        <v>-4.780126213059792E-3</v>
      </c>
      <c r="G193" s="27">
        <f>VLOOKUP(Table1[[#This Row],[Date]],Database!A:D,2,)</f>
        <v>59.3</v>
      </c>
      <c r="H193" s="26"/>
    </row>
    <row r="194" spans="1:8" x14ac:dyDescent="0.2">
      <c r="A194" s="37">
        <v>19784</v>
      </c>
      <c r="B194" s="38">
        <f>VLOOKUP(Table1[[#This Row],[Date]],Database!A:D,3,)</f>
        <v>49157</v>
      </c>
      <c r="C194" s="39">
        <f t="shared" si="5"/>
        <v>-225</v>
      </c>
      <c r="D194" s="39">
        <f t="shared" si="4"/>
        <v>-182</v>
      </c>
      <c r="E194" s="27">
        <f>VLOOKUP(Table1[[#This Row],[Date]],Database!A:D,4,)</f>
        <v>5.7</v>
      </c>
      <c r="F194" s="40">
        <v>-4.780126213059792E-3</v>
      </c>
      <c r="G194" s="27">
        <f>VLOOKUP(Table1[[#This Row],[Date]],Database!A:D,2,)</f>
        <v>59.1</v>
      </c>
      <c r="H194" s="26"/>
    </row>
    <row r="195" spans="1:8" x14ac:dyDescent="0.2">
      <c r="A195" s="37">
        <v>19815</v>
      </c>
      <c r="B195" s="38">
        <f>VLOOKUP(Table1[[#This Row],[Date]],Database!A:D,3,)</f>
        <v>49179</v>
      </c>
      <c r="C195" s="39">
        <f t="shared" si="5"/>
        <v>22</v>
      </c>
      <c r="D195" s="39">
        <f t="shared" si="4"/>
        <v>-96.666666666666671</v>
      </c>
      <c r="E195" s="27">
        <f>VLOOKUP(Table1[[#This Row],[Date]],Database!A:D,4,)</f>
        <v>5.9</v>
      </c>
      <c r="F195" s="40">
        <v>1.0899120862117139E-3</v>
      </c>
      <c r="G195" s="27">
        <f>VLOOKUP(Table1[[#This Row],[Date]],Database!A:D,2,)</f>
        <v>59.2</v>
      </c>
      <c r="H195" s="26"/>
    </row>
    <row r="196" spans="1:8" x14ac:dyDescent="0.2">
      <c r="A196" s="37">
        <v>19845</v>
      </c>
      <c r="B196" s="38">
        <f>VLOOKUP(Table1[[#This Row],[Date]],Database!A:D,3,)</f>
        <v>48965</v>
      </c>
      <c r="C196" s="39">
        <f t="shared" si="5"/>
        <v>-214</v>
      </c>
      <c r="D196" s="39">
        <f t="shared" si="4"/>
        <v>-139</v>
      </c>
      <c r="E196" s="27">
        <f>VLOOKUP(Table1[[#This Row],[Date]],Database!A:D,4,)</f>
        <v>5.9</v>
      </c>
      <c r="F196" s="40">
        <v>1.0899120862117139E-3</v>
      </c>
      <c r="G196" s="27">
        <f>VLOOKUP(Table1[[#This Row],[Date]],Database!A:D,2,)</f>
        <v>58.9</v>
      </c>
      <c r="H196" s="26"/>
    </row>
    <row r="197" spans="1:8" x14ac:dyDescent="0.2">
      <c r="A197" s="37">
        <v>19876</v>
      </c>
      <c r="B197" s="38">
        <f>VLOOKUP(Table1[[#This Row],[Date]],Database!A:D,3,)</f>
        <v>48895</v>
      </c>
      <c r="C197" s="39">
        <f t="shared" si="5"/>
        <v>-70</v>
      </c>
      <c r="D197" s="39">
        <f t="shared" si="4"/>
        <v>-87.333333333333329</v>
      </c>
      <c r="E197" s="27">
        <f>VLOOKUP(Table1[[#This Row],[Date]],Database!A:D,4,)</f>
        <v>5.6</v>
      </c>
      <c r="F197" s="40">
        <v>1.0899120862117139E-3</v>
      </c>
      <c r="G197" s="27">
        <f>VLOOKUP(Table1[[#This Row],[Date]],Database!A:D,2,)</f>
        <v>58.5</v>
      </c>
      <c r="H197" s="26"/>
    </row>
    <row r="198" spans="1:8" x14ac:dyDescent="0.2">
      <c r="A198" s="37">
        <v>19906</v>
      </c>
      <c r="B198" s="38">
        <f>VLOOKUP(Table1[[#This Row],[Date]],Database!A:D,3,)</f>
        <v>48835</v>
      </c>
      <c r="C198" s="39">
        <f t="shared" si="5"/>
        <v>-60</v>
      </c>
      <c r="D198" s="39">
        <f t="shared" si="4"/>
        <v>-114.66666666666667</v>
      </c>
      <c r="E198" s="27">
        <f>VLOOKUP(Table1[[#This Row],[Date]],Database!A:D,4,)</f>
        <v>5.8</v>
      </c>
      <c r="F198" s="40">
        <v>1.1293641850788095E-2</v>
      </c>
      <c r="G198" s="27">
        <f>VLOOKUP(Table1[[#This Row],[Date]],Database!A:D,2,)</f>
        <v>58.4</v>
      </c>
      <c r="H198" s="26"/>
    </row>
    <row r="199" spans="1:8" x14ac:dyDescent="0.2">
      <c r="A199" s="37">
        <v>19937</v>
      </c>
      <c r="B199" s="38">
        <f>VLOOKUP(Table1[[#This Row],[Date]],Database!A:D,3,)</f>
        <v>48826</v>
      </c>
      <c r="C199" s="39">
        <f t="shared" si="5"/>
        <v>-9</v>
      </c>
      <c r="D199" s="39">
        <f t="shared" si="4"/>
        <v>-46.333333333333336</v>
      </c>
      <c r="E199" s="27">
        <f>VLOOKUP(Table1[[#This Row],[Date]],Database!A:D,4,)</f>
        <v>6</v>
      </c>
      <c r="F199" s="40">
        <v>1.1293641850788095E-2</v>
      </c>
      <c r="G199" s="27">
        <f>VLOOKUP(Table1[[#This Row],[Date]],Database!A:D,2,)</f>
        <v>58.7</v>
      </c>
      <c r="H199" s="26"/>
    </row>
    <row r="200" spans="1:8" x14ac:dyDescent="0.2">
      <c r="A200" s="37">
        <v>19968</v>
      </c>
      <c r="B200" s="38">
        <f>VLOOKUP(Table1[[#This Row],[Date]],Database!A:D,3,)</f>
        <v>48886</v>
      </c>
      <c r="C200" s="39">
        <f t="shared" si="5"/>
        <v>60</v>
      </c>
      <c r="D200" s="39">
        <f t="shared" si="4"/>
        <v>-3</v>
      </c>
      <c r="E200" s="27">
        <f>VLOOKUP(Table1[[#This Row],[Date]],Database!A:D,4,)</f>
        <v>6.1</v>
      </c>
      <c r="F200" s="40">
        <v>1.1293641850788095E-2</v>
      </c>
      <c r="G200" s="27">
        <f>VLOOKUP(Table1[[#This Row],[Date]],Database!A:D,2,)</f>
        <v>59.2</v>
      </c>
      <c r="H200" s="26"/>
    </row>
    <row r="201" spans="1:8" x14ac:dyDescent="0.2">
      <c r="A201" s="37">
        <v>19998</v>
      </c>
      <c r="B201" s="38">
        <f>VLOOKUP(Table1[[#This Row],[Date]],Database!A:D,3,)</f>
        <v>48942</v>
      </c>
      <c r="C201" s="39">
        <f t="shared" si="5"/>
        <v>56</v>
      </c>
      <c r="D201" s="39">
        <f t="shared" si="4"/>
        <v>35.666666666666664</v>
      </c>
      <c r="E201" s="27">
        <f>VLOOKUP(Table1[[#This Row],[Date]],Database!A:D,4,)</f>
        <v>5.7</v>
      </c>
      <c r="F201" s="40">
        <v>1.9566830848120827E-2</v>
      </c>
      <c r="G201" s="27">
        <f>VLOOKUP(Table1[[#This Row],[Date]],Database!A:D,2,)</f>
        <v>58.8</v>
      </c>
      <c r="H201" s="26"/>
    </row>
    <row r="202" spans="1:8" x14ac:dyDescent="0.2">
      <c r="A202" s="37">
        <v>20029</v>
      </c>
      <c r="B202" s="38">
        <f>VLOOKUP(Table1[[#This Row],[Date]],Database!A:D,3,)</f>
        <v>49180</v>
      </c>
      <c r="C202" s="39">
        <f t="shared" si="5"/>
        <v>238</v>
      </c>
      <c r="D202" s="39">
        <f t="shared" si="4"/>
        <v>118</v>
      </c>
      <c r="E202" s="27">
        <f>VLOOKUP(Table1[[#This Row],[Date]],Database!A:D,4,)</f>
        <v>5.3</v>
      </c>
      <c r="F202" s="40">
        <v>1.9566830848120827E-2</v>
      </c>
      <c r="G202" s="27">
        <f>VLOOKUP(Table1[[#This Row],[Date]],Database!A:D,2,)</f>
        <v>58.6</v>
      </c>
      <c r="H202" s="26"/>
    </row>
    <row r="203" spans="1:8" x14ac:dyDescent="0.2">
      <c r="A203" s="37">
        <v>20059</v>
      </c>
      <c r="B203" s="38">
        <f>VLOOKUP(Table1[[#This Row],[Date]],Database!A:D,3,)</f>
        <v>49331</v>
      </c>
      <c r="C203" s="39">
        <f t="shared" si="5"/>
        <v>151</v>
      </c>
      <c r="D203" s="39">
        <f t="shared" si="4"/>
        <v>148.33333333333334</v>
      </c>
      <c r="E203" s="27">
        <f>VLOOKUP(Table1[[#This Row],[Date]],Database!A:D,4,)</f>
        <v>5</v>
      </c>
      <c r="F203" s="40">
        <v>1.9566830848120827E-2</v>
      </c>
      <c r="G203" s="27">
        <f>VLOOKUP(Table1[[#This Row],[Date]],Database!A:D,2,)</f>
        <v>58.1</v>
      </c>
      <c r="H203" s="26"/>
    </row>
    <row r="204" spans="1:8" x14ac:dyDescent="0.2">
      <c r="A204" s="37">
        <v>20090</v>
      </c>
      <c r="B204" s="38">
        <f>VLOOKUP(Table1[[#This Row],[Date]],Database!A:D,3,)</f>
        <v>49496</v>
      </c>
      <c r="C204" s="39">
        <f t="shared" si="5"/>
        <v>165</v>
      </c>
      <c r="D204" s="39">
        <f t="shared" ref="D204:D267" si="6">AVERAGE(C202:C204)</f>
        <v>184.66666666666666</v>
      </c>
      <c r="E204" s="27">
        <f>VLOOKUP(Table1[[#This Row],[Date]],Database!A:D,4,)</f>
        <v>4.9000000000000004</v>
      </c>
      <c r="F204" s="40">
        <v>2.8562486586369555E-2</v>
      </c>
      <c r="G204" s="27">
        <f>VLOOKUP(Table1[[#This Row],[Date]],Database!A:D,2,)</f>
        <v>58.6</v>
      </c>
      <c r="H204" s="26"/>
    </row>
    <row r="205" spans="1:8" x14ac:dyDescent="0.2">
      <c r="A205" s="37">
        <v>20121</v>
      </c>
      <c r="B205" s="38">
        <f>VLOOKUP(Table1[[#This Row],[Date]],Database!A:D,3,)</f>
        <v>49644</v>
      </c>
      <c r="C205" s="39">
        <f t="shared" ref="C205:C268" si="7">B205-B204</f>
        <v>148</v>
      </c>
      <c r="D205" s="39">
        <f t="shared" si="6"/>
        <v>154.66666666666666</v>
      </c>
      <c r="E205" s="27">
        <f>VLOOKUP(Table1[[#This Row],[Date]],Database!A:D,4,)</f>
        <v>4.7</v>
      </c>
      <c r="F205" s="40">
        <v>2.8562486586369555E-2</v>
      </c>
      <c r="G205" s="27">
        <f>VLOOKUP(Table1[[#This Row],[Date]],Database!A:D,2,)</f>
        <v>58.4</v>
      </c>
      <c r="H205" s="26"/>
    </row>
    <row r="206" spans="1:8" x14ac:dyDescent="0.2">
      <c r="A206" s="37">
        <v>20149</v>
      </c>
      <c r="B206" s="38">
        <f>VLOOKUP(Table1[[#This Row],[Date]],Database!A:D,3,)</f>
        <v>49962</v>
      </c>
      <c r="C206" s="39">
        <f t="shared" si="7"/>
        <v>318</v>
      </c>
      <c r="D206" s="39">
        <f t="shared" si="6"/>
        <v>210.33333333333334</v>
      </c>
      <c r="E206" s="27">
        <f>VLOOKUP(Table1[[#This Row],[Date]],Database!A:D,4,)</f>
        <v>4.5999999999999996</v>
      </c>
      <c r="F206" s="40">
        <v>2.8562486586369555E-2</v>
      </c>
      <c r="G206" s="27">
        <f>VLOOKUP(Table1[[#This Row],[Date]],Database!A:D,2,)</f>
        <v>58.5</v>
      </c>
      <c r="H206" s="26"/>
    </row>
    <row r="207" spans="1:8" x14ac:dyDescent="0.2">
      <c r="A207" s="37">
        <v>20180</v>
      </c>
      <c r="B207" s="38">
        <f>VLOOKUP(Table1[[#This Row],[Date]],Database!A:D,3,)</f>
        <v>50248</v>
      </c>
      <c r="C207" s="39">
        <f t="shared" si="7"/>
        <v>286</v>
      </c>
      <c r="D207" s="39">
        <f t="shared" si="6"/>
        <v>250.66666666666666</v>
      </c>
      <c r="E207" s="27">
        <f>VLOOKUP(Table1[[#This Row],[Date]],Database!A:D,4,)</f>
        <v>4.7</v>
      </c>
      <c r="F207" s="40">
        <v>1.6271791816613836E-2</v>
      </c>
      <c r="G207" s="27">
        <f>VLOOKUP(Table1[[#This Row],[Date]],Database!A:D,2,)</f>
        <v>59</v>
      </c>
      <c r="H207" s="26"/>
    </row>
    <row r="208" spans="1:8" x14ac:dyDescent="0.2">
      <c r="A208" s="37">
        <v>20210</v>
      </c>
      <c r="B208" s="38">
        <f>VLOOKUP(Table1[[#This Row],[Date]],Database!A:D,3,)</f>
        <v>50512</v>
      </c>
      <c r="C208" s="39">
        <f t="shared" si="7"/>
        <v>264</v>
      </c>
      <c r="D208" s="39">
        <f t="shared" si="6"/>
        <v>289.33333333333331</v>
      </c>
      <c r="E208" s="27">
        <f>VLOOKUP(Table1[[#This Row],[Date]],Database!A:D,4,)</f>
        <v>4.3</v>
      </c>
      <c r="F208" s="40">
        <v>1.6271791816613836E-2</v>
      </c>
      <c r="G208" s="27">
        <f>VLOOKUP(Table1[[#This Row],[Date]],Database!A:D,2,)</f>
        <v>58.8</v>
      </c>
      <c r="H208" s="26"/>
    </row>
    <row r="209" spans="1:8" x14ac:dyDescent="0.2">
      <c r="A209" s="37">
        <v>20241</v>
      </c>
      <c r="B209" s="38">
        <f>VLOOKUP(Table1[[#This Row],[Date]],Database!A:D,3,)</f>
        <v>50790</v>
      </c>
      <c r="C209" s="39">
        <f t="shared" si="7"/>
        <v>278</v>
      </c>
      <c r="D209" s="39">
        <f t="shared" si="6"/>
        <v>276</v>
      </c>
      <c r="E209" s="27">
        <f>VLOOKUP(Table1[[#This Row],[Date]],Database!A:D,4,)</f>
        <v>4.2</v>
      </c>
      <c r="F209" s="40">
        <v>1.6271791816613836E-2</v>
      </c>
      <c r="G209" s="27">
        <f>VLOOKUP(Table1[[#This Row],[Date]],Database!A:D,2,)</f>
        <v>58.8</v>
      </c>
      <c r="H209" s="26"/>
    </row>
    <row r="210" spans="1:8" x14ac:dyDescent="0.2">
      <c r="A210" s="37">
        <v>20271</v>
      </c>
      <c r="B210" s="38">
        <f>VLOOKUP(Table1[[#This Row],[Date]],Database!A:D,3,)</f>
        <v>50987</v>
      </c>
      <c r="C210" s="39">
        <f t="shared" si="7"/>
        <v>197</v>
      </c>
      <c r="D210" s="39">
        <f t="shared" si="6"/>
        <v>246.33333333333334</v>
      </c>
      <c r="E210" s="27">
        <f>VLOOKUP(Table1[[#This Row],[Date]],Database!A:D,4,)</f>
        <v>4</v>
      </c>
      <c r="F210" s="40">
        <v>1.3504778613971143E-2</v>
      </c>
      <c r="G210" s="27">
        <f>VLOOKUP(Table1[[#This Row],[Date]],Database!A:D,2,)</f>
        <v>59.3</v>
      </c>
      <c r="H210" s="26"/>
    </row>
    <row r="211" spans="1:8" x14ac:dyDescent="0.2">
      <c r="A211" s="37">
        <v>20302</v>
      </c>
      <c r="B211" s="38">
        <f>VLOOKUP(Table1[[#This Row],[Date]],Database!A:D,3,)</f>
        <v>51111</v>
      </c>
      <c r="C211" s="39">
        <f t="shared" si="7"/>
        <v>124</v>
      </c>
      <c r="D211" s="39">
        <f t="shared" si="6"/>
        <v>199.66666666666666</v>
      </c>
      <c r="E211" s="27">
        <f>VLOOKUP(Table1[[#This Row],[Date]],Database!A:D,4,)</f>
        <v>4.2</v>
      </c>
      <c r="F211" s="40">
        <v>1.3504778613971143E-2</v>
      </c>
      <c r="G211" s="27">
        <f>VLOOKUP(Table1[[#This Row],[Date]],Database!A:D,2,)</f>
        <v>59.7</v>
      </c>
      <c r="H211" s="26"/>
    </row>
    <row r="212" spans="1:8" x14ac:dyDescent="0.2">
      <c r="A212" s="37">
        <v>20333</v>
      </c>
      <c r="B212" s="38">
        <f>VLOOKUP(Table1[[#This Row],[Date]],Database!A:D,3,)</f>
        <v>51266</v>
      </c>
      <c r="C212" s="39">
        <f t="shared" si="7"/>
        <v>155</v>
      </c>
      <c r="D212" s="39">
        <f t="shared" si="6"/>
        <v>158.66666666666666</v>
      </c>
      <c r="E212" s="27">
        <f>VLOOKUP(Table1[[#This Row],[Date]],Database!A:D,4,)</f>
        <v>4.0999999999999996</v>
      </c>
      <c r="F212" s="40">
        <v>1.3504778613971143E-2</v>
      </c>
      <c r="G212" s="27">
        <f>VLOOKUP(Table1[[#This Row],[Date]],Database!A:D,2,)</f>
        <v>59.7</v>
      </c>
      <c r="H212" s="26"/>
    </row>
    <row r="213" spans="1:8" x14ac:dyDescent="0.2">
      <c r="A213" s="37">
        <v>20363</v>
      </c>
      <c r="B213" s="38">
        <f>VLOOKUP(Table1[[#This Row],[Date]],Database!A:D,3,)</f>
        <v>51429</v>
      </c>
      <c r="C213" s="39">
        <f t="shared" si="7"/>
        <v>163</v>
      </c>
      <c r="D213" s="39">
        <f t="shared" si="6"/>
        <v>147.33333333333334</v>
      </c>
      <c r="E213" s="27">
        <f>VLOOKUP(Table1[[#This Row],[Date]],Database!A:D,4,)</f>
        <v>4.3</v>
      </c>
      <c r="F213" s="40">
        <v>6.0032482076533677E-3</v>
      </c>
      <c r="G213" s="27">
        <f>VLOOKUP(Table1[[#This Row],[Date]],Database!A:D,2,)</f>
        <v>59.8</v>
      </c>
      <c r="H213" s="26"/>
    </row>
    <row r="214" spans="1:8" x14ac:dyDescent="0.2">
      <c r="A214" s="37">
        <v>20394</v>
      </c>
      <c r="B214" s="38">
        <f>VLOOKUP(Table1[[#This Row],[Date]],Database!A:D,3,)</f>
        <v>51592</v>
      </c>
      <c r="C214" s="39">
        <f t="shared" si="7"/>
        <v>163</v>
      </c>
      <c r="D214" s="39">
        <f t="shared" si="6"/>
        <v>160.33333333333334</v>
      </c>
      <c r="E214" s="27">
        <f>VLOOKUP(Table1[[#This Row],[Date]],Database!A:D,4,)</f>
        <v>4.2</v>
      </c>
      <c r="F214" s="40">
        <v>6.0032482076533677E-3</v>
      </c>
      <c r="G214" s="27">
        <f>VLOOKUP(Table1[[#This Row],[Date]],Database!A:D,2,)</f>
        <v>59.9</v>
      </c>
      <c r="H214" s="26"/>
    </row>
    <row r="215" spans="1:8" x14ac:dyDescent="0.2">
      <c r="A215" s="37">
        <v>20424</v>
      </c>
      <c r="B215" s="38">
        <f>VLOOKUP(Table1[[#This Row],[Date]],Database!A:D,3,)</f>
        <v>51805</v>
      </c>
      <c r="C215" s="39">
        <f t="shared" si="7"/>
        <v>213</v>
      </c>
      <c r="D215" s="39">
        <f t="shared" si="6"/>
        <v>179.66666666666666</v>
      </c>
      <c r="E215" s="27">
        <f>VLOOKUP(Table1[[#This Row],[Date]],Database!A:D,4,)</f>
        <v>4.2</v>
      </c>
      <c r="F215" s="40">
        <v>6.0032482076533677E-3</v>
      </c>
      <c r="G215" s="27">
        <f>VLOOKUP(Table1[[#This Row],[Date]],Database!A:D,2,)</f>
        <v>60.2</v>
      </c>
      <c r="H215" s="26"/>
    </row>
    <row r="216" spans="1:8" x14ac:dyDescent="0.2">
      <c r="A216" s="37">
        <v>20455</v>
      </c>
      <c r="B216" s="38">
        <f>VLOOKUP(Table1[[#This Row],[Date]],Database!A:D,3,)</f>
        <v>51975</v>
      </c>
      <c r="C216" s="39">
        <f t="shared" si="7"/>
        <v>170</v>
      </c>
      <c r="D216" s="39">
        <f t="shared" si="6"/>
        <v>182</v>
      </c>
      <c r="E216" s="27">
        <f>VLOOKUP(Table1[[#This Row],[Date]],Database!A:D,4,)</f>
        <v>4</v>
      </c>
      <c r="F216" s="40">
        <v>-3.8840573545116976E-3</v>
      </c>
      <c r="G216" s="27">
        <f>VLOOKUP(Table1[[#This Row],[Date]],Database!A:D,2,)</f>
        <v>60.2</v>
      </c>
      <c r="H216" s="26"/>
    </row>
    <row r="217" spans="1:8" x14ac:dyDescent="0.2">
      <c r="A217" s="37">
        <v>20486</v>
      </c>
      <c r="B217" s="38">
        <f>VLOOKUP(Table1[[#This Row],[Date]],Database!A:D,3,)</f>
        <v>52167</v>
      </c>
      <c r="C217" s="39">
        <f t="shared" si="7"/>
        <v>192</v>
      </c>
      <c r="D217" s="39">
        <f t="shared" si="6"/>
        <v>191.66666666666666</v>
      </c>
      <c r="E217" s="27">
        <f>VLOOKUP(Table1[[#This Row],[Date]],Database!A:D,4,)</f>
        <v>3.9</v>
      </c>
      <c r="F217" s="40">
        <v>-3.8840573545116976E-3</v>
      </c>
      <c r="G217" s="27">
        <f>VLOOKUP(Table1[[#This Row],[Date]],Database!A:D,2,)</f>
        <v>59.9</v>
      </c>
      <c r="H217" s="26"/>
    </row>
    <row r="218" spans="1:8" x14ac:dyDescent="0.2">
      <c r="A218" s="37">
        <v>20515</v>
      </c>
      <c r="B218" s="38">
        <f>VLOOKUP(Table1[[#This Row],[Date]],Database!A:D,3,)</f>
        <v>52294</v>
      </c>
      <c r="C218" s="39">
        <f t="shared" si="7"/>
        <v>127</v>
      </c>
      <c r="D218" s="39">
        <f t="shared" si="6"/>
        <v>163</v>
      </c>
      <c r="E218" s="27">
        <f>VLOOKUP(Table1[[#This Row],[Date]],Database!A:D,4,)</f>
        <v>4.2</v>
      </c>
      <c r="F218" s="40">
        <v>-3.8840573545116976E-3</v>
      </c>
      <c r="G218" s="27">
        <f>VLOOKUP(Table1[[#This Row],[Date]],Database!A:D,2,)</f>
        <v>59.8</v>
      </c>
      <c r="H218" s="26"/>
    </row>
    <row r="219" spans="1:8" x14ac:dyDescent="0.2">
      <c r="A219" s="37">
        <v>20546</v>
      </c>
      <c r="B219" s="38">
        <f>VLOOKUP(Table1[[#This Row],[Date]],Database!A:D,3,)</f>
        <v>52375</v>
      </c>
      <c r="C219" s="39">
        <f t="shared" si="7"/>
        <v>81</v>
      </c>
      <c r="D219" s="39">
        <f t="shared" si="6"/>
        <v>133.33333333333334</v>
      </c>
      <c r="E219" s="27">
        <f>VLOOKUP(Table1[[#This Row],[Date]],Database!A:D,4,)</f>
        <v>4</v>
      </c>
      <c r="F219" s="40">
        <v>8.2633328638127886E-3</v>
      </c>
      <c r="G219" s="27">
        <f>VLOOKUP(Table1[[#This Row],[Date]],Database!A:D,2,)</f>
        <v>59.9</v>
      </c>
      <c r="H219" s="26"/>
    </row>
    <row r="220" spans="1:8" x14ac:dyDescent="0.2">
      <c r="A220" s="37">
        <v>20576</v>
      </c>
      <c r="B220" s="38">
        <f>VLOOKUP(Table1[[#This Row],[Date]],Database!A:D,3,)</f>
        <v>52506</v>
      </c>
      <c r="C220" s="39">
        <f t="shared" si="7"/>
        <v>131</v>
      </c>
      <c r="D220" s="39">
        <f t="shared" si="6"/>
        <v>113</v>
      </c>
      <c r="E220" s="27">
        <f>VLOOKUP(Table1[[#This Row],[Date]],Database!A:D,4,)</f>
        <v>4.3</v>
      </c>
      <c r="F220" s="40">
        <v>8.2633328638127886E-3</v>
      </c>
      <c r="G220" s="27">
        <f>VLOOKUP(Table1[[#This Row],[Date]],Database!A:D,2,)</f>
        <v>60.2</v>
      </c>
      <c r="H220" s="26"/>
    </row>
    <row r="221" spans="1:8" x14ac:dyDescent="0.2">
      <c r="A221" s="37">
        <v>20607</v>
      </c>
      <c r="B221" s="38">
        <f>VLOOKUP(Table1[[#This Row],[Date]],Database!A:D,3,)</f>
        <v>52586</v>
      </c>
      <c r="C221" s="39">
        <f t="shared" si="7"/>
        <v>80</v>
      </c>
      <c r="D221" s="39">
        <f t="shared" si="6"/>
        <v>97.333333333333329</v>
      </c>
      <c r="E221" s="27">
        <f>VLOOKUP(Table1[[#This Row],[Date]],Database!A:D,4,)</f>
        <v>4.3</v>
      </c>
      <c r="F221" s="40">
        <v>8.2633328638127886E-3</v>
      </c>
      <c r="G221" s="27">
        <f>VLOOKUP(Table1[[#This Row],[Date]],Database!A:D,2,)</f>
        <v>60.1</v>
      </c>
      <c r="H221" s="26"/>
    </row>
    <row r="222" spans="1:8" x14ac:dyDescent="0.2">
      <c r="A222" s="37">
        <v>20637</v>
      </c>
      <c r="B222" s="38">
        <f>VLOOKUP(Table1[[#This Row],[Date]],Database!A:D,3,)</f>
        <v>51955</v>
      </c>
      <c r="C222" s="39">
        <f t="shared" si="7"/>
        <v>-631</v>
      </c>
      <c r="D222" s="39">
        <f t="shared" si="6"/>
        <v>-140</v>
      </c>
      <c r="E222" s="27">
        <f>VLOOKUP(Table1[[#This Row],[Date]],Database!A:D,4,)</f>
        <v>4.4000000000000004</v>
      </c>
      <c r="F222" s="40">
        <v>-8.9832682359494991E-4</v>
      </c>
      <c r="G222" s="27">
        <f>VLOOKUP(Table1[[#This Row],[Date]],Database!A:D,2,)</f>
        <v>60.1</v>
      </c>
      <c r="H222" s="26"/>
    </row>
    <row r="223" spans="1:8" x14ac:dyDescent="0.2">
      <c r="A223" s="37">
        <v>20668</v>
      </c>
      <c r="B223" s="38">
        <f>VLOOKUP(Table1[[#This Row],[Date]],Database!A:D,3,)</f>
        <v>52631</v>
      </c>
      <c r="C223" s="39">
        <f t="shared" si="7"/>
        <v>676</v>
      </c>
      <c r="D223" s="39">
        <f t="shared" si="6"/>
        <v>41.666666666666664</v>
      </c>
      <c r="E223" s="27">
        <f>VLOOKUP(Table1[[#This Row],[Date]],Database!A:D,4,)</f>
        <v>4.0999999999999996</v>
      </c>
      <c r="F223" s="40">
        <v>-8.9832682359494991E-4</v>
      </c>
      <c r="G223" s="27">
        <f>VLOOKUP(Table1[[#This Row],[Date]],Database!A:D,2,)</f>
        <v>60</v>
      </c>
      <c r="H223" s="26"/>
    </row>
    <row r="224" spans="1:8" x14ac:dyDescent="0.2">
      <c r="A224" s="37">
        <v>20699</v>
      </c>
      <c r="B224" s="38">
        <f>VLOOKUP(Table1[[#This Row],[Date]],Database!A:D,3,)</f>
        <v>52604</v>
      </c>
      <c r="C224" s="39">
        <f t="shared" si="7"/>
        <v>-27</v>
      </c>
      <c r="D224" s="39">
        <f t="shared" si="6"/>
        <v>6</v>
      </c>
      <c r="E224" s="27">
        <f>VLOOKUP(Table1[[#This Row],[Date]],Database!A:D,4,)</f>
        <v>3.9</v>
      </c>
      <c r="F224" s="40">
        <v>-8.9832682359494991E-4</v>
      </c>
      <c r="G224" s="27">
        <f>VLOOKUP(Table1[[#This Row],[Date]],Database!A:D,2,)</f>
        <v>60</v>
      </c>
      <c r="H224" s="26"/>
    </row>
    <row r="225" spans="1:8" x14ac:dyDescent="0.2">
      <c r="A225" s="37">
        <v>20729</v>
      </c>
      <c r="B225" s="38">
        <f>VLOOKUP(Table1[[#This Row],[Date]],Database!A:D,3,)</f>
        <v>52777</v>
      </c>
      <c r="C225" s="39">
        <f t="shared" si="7"/>
        <v>173</v>
      </c>
      <c r="D225" s="39">
        <f t="shared" si="6"/>
        <v>274</v>
      </c>
      <c r="E225" s="27">
        <f>VLOOKUP(Table1[[#This Row],[Date]],Database!A:D,4,)</f>
        <v>3.9</v>
      </c>
      <c r="F225" s="40">
        <v>1.6459290230715268E-2</v>
      </c>
      <c r="G225" s="27">
        <f>VLOOKUP(Table1[[#This Row],[Date]],Database!A:D,2,)</f>
        <v>59.8</v>
      </c>
      <c r="H225" s="26"/>
    </row>
    <row r="226" spans="1:8" x14ac:dyDescent="0.2">
      <c r="A226" s="37">
        <v>20760</v>
      </c>
      <c r="B226" s="38">
        <f>VLOOKUP(Table1[[#This Row],[Date]],Database!A:D,3,)</f>
        <v>52821</v>
      </c>
      <c r="C226" s="39">
        <f t="shared" si="7"/>
        <v>44</v>
      </c>
      <c r="D226" s="39">
        <f t="shared" si="6"/>
        <v>63.333333333333336</v>
      </c>
      <c r="E226" s="27">
        <f>VLOOKUP(Table1[[#This Row],[Date]],Database!A:D,4,)</f>
        <v>4.3</v>
      </c>
      <c r="F226" s="40">
        <v>1.6459290230715268E-2</v>
      </c>
      <c r="G226" s="27">
        <f>VLOOKUP(Table1[[#This Row],[Date]],Database!A:D,2,)</f>
        <v>59.8</v>
      </c>
      <c r="H226" s="26"/>
    </row>
    <row r="227" spans="1:8" x14ac:dyDescent="0.2">
      <c r="A227" s="37">
        <v>20790</v>
      </c>
      <c r="B227" s="38">
        <f>VLOOKUP(Table1[[#This Row],[Date]],Database!A:D,3,)</f>
        <v>52929</v>
      </c>
      <c r="C227" s="39">
        <f t="shared" si="7"/>
        <v>108</v>
      </c>
      <c r="D227" s="39">
        <f t="shared" si="6"/>
        <v>108.33333333333333</v>
      </c>
      <c r="E227" s="27">
        <f>VLOOKUP(Table1[[#This Row],[Date]],Database!A:D,4,)</f>
        <v>4.2</v>
      </c>
      <c r="F227" s="40">
        <v>1.6459290230715268E-2</v>
      </c>
      <c r="G227" s="27">
        <f>VLOOKUP(Table1[[#This Row],[Date]],Database!A:D,2,)</f>
        <v>59.8</v>
      </c>
      <c r="H227" s="26"/>
    </row>
    <row r="228" spans="1:8" x14ac:dyDescent="0.2">
      <c r="A228" s="37">
        <v>20821</v>
      </c>
      <c r="B228" s="38">
        <f>VLOOKUP(Table1[[#This Row],[Date]],Database!A:D,3,)</f>
        <v>52887</v>
      </c>
      <c r="C228" s="39">
        <f t="shared" si="7"/>
        <v>-42</v>
      </c>
      <c r="D228" s="39">
        <f t="shared" si="6"/>
        <v>36.666666666666664</v>
      </c>
      <c r="E228" s="27">
        <f>VLOOKUP(Table1[[#This Row],[Date]],Database!A:D,4,)</f>
        <v>4.2</v>
      </c>
      <c r="F228" s="40">
        <v>6.4039198447183848E-3</v>
      </c>
      <c r="G228" s="27">
        <f>VLOOKUP(Table1[[#This Row],[Date]],Database!A:D,2,)</f>
        <v>59.5</v>
      </c>
      <c r="H228" s="26"/>
    </row>
    <row r="229" spans="1:8" x14ac:dyDescent="0.2">
      <c r="A229" s="37">
        <v>20852</v>
      </c>
      <c r="B229" s="38">
        <f>VLOOKUP(Table1[[#This Row],[Date]],Database!A:D,3,)</f>
        <v>53097</v>
      </c>
      <c r="C229" s="39">
        <f t="shared" si="7"/>
        <v>210</v>
      </c>
      <c r="D229" s="39">
        <f t="shared" si="6"/>
        <v>92</v>
      </c>
      <c r="E229" s="27">
        <f>VLOOKUP(Table1[[#This Row],[Date]],Database!A:D,4,)</f>
        <v>3.9</v>
      </c>
      <c r="F229" s="40">
        <v>6.4039198447183848E-3</v>
      </c>
      <c r="G229" s="27">
        <f>VLOOKUP(Table1[[#This Row],[Date]],Database!A:D,2,)</f>
        <v>59.9</v>
      </c>
      <c r="H229" s="26"/>
    </row>
    <row r="230" spans="1:8" x14ac:dyDescent="0.2">
      <c r="A230" s="37">
        <v>20880</v>
      </c>
      <c r="B230" s="38">
        <f>VLOOKUP(Table1[[#This Row],[Date]],Database!A:D,3,)</f>
        <v>53156</v>
      </c>
      <c r="C230" s="39">
        <f t="shared" si="7"/>
        <v>59</v>
      </c>
      <c r="D230" s="39">
        <f t="shared" si="6"/>
        <v>75.666666666666671</v>
      </c>
      <c r="E230" s="27">
        <f>VLOOKUP(Table1[[#This Row],[Date]],Database!A:D,4,)</f>
        <v>3.7</v>
      </c>
      <c r="F230" s="40">
        <v>6.4039198447183848E-3</v>
      </c>
      <c r="G230" s="27">
        <f>VLOOKUP(Table1[[#This Row],[Date]],Database!A:D,2,)</f>
        <v>59.8</v>
      </c>
      <c r="H230" s="26"/>
    </row>
    <row r="231" spans="1:8" x14ac:dyDescent="0.2">
      <c r="A231" s="37">
        <v>20911</v>
      </c>
      <c r="B231" s="38">
        <f>VLOOKUP(Table1[[#This Row],[Date]],Database!A:D,3,)</f>
        <v>53238</v>
      </c>
      <c r="C231" s="39">
        <f t="shared" si="7"/>
        <v>82</v>
      </c>
      <c r="D231" s="39">
        <f t="shared" si="6"/>
        <v>117</v>
      </c>
      <c r="E231" s="27">
        <f>VLOOKUP(Table1[[#This Row],[Date]],Database!A:D,4,)</f>
        <v>3.9</v>
      </c>
      <c r="F231" s="40">
        <v>-2.1910160987548169E-3</v>
      </c>
      <c r="G231" s="27">
        <f>VLOOKUP(Table1[[#This Row],[Date]],Database!A:D,2,)</f>
        <v>59.5</v>
      </c>
      <c r="H231" s="26"/>
    </row>
    <row r="232" spans="1:8" x14ac:dyDescent="0.2">
      <c r="A232" s="37">
        <v>20941</v>
      </c>
      <c r="B232" s="38">
        <f>VLOOKUP(Table1[[#This Row],[Date]],Database!A:D,3,)</f>
        <v>53150</v>
      </c>
      <c r="C232" s="39">
        <f t="shared" si="7"/>
        <v>-88</v>
      </c>
      <c r="D232" s="39">
        <f t="shared" si="6"/>
        <v>17.666666666666668</v>
      </c>
      <c r="E232" s="27">
        <f>VLOOKUP(Table1[[#This Row],[Date]],Database!A:D,4,)</f>
        <v>4.0999999999999996</v>
      </c>
      <c r="F232" s="40">
        <v>-2.1910160987548169E-3</v>
      </c>
      <c r="G232" s="27">
        <f>VLOOKUP(Table1[[#This Row],[Date]],Database!A:D,2,)</f>
        <v>59.5</v>
      </c>
      <c r="H232" s="26"/>
    </row>
    <row r="233" spans="1:8" x14ac:dyDescent="0.2">
      <c r="A233" s="37">
        <v>20972</v>
      </c>
      <c r="B233" s="38">
        <f>VLOOKUP(Table1[[#This Row],[Date]],Database!A:D,3,)</f>
        <v>53067</v>
      </c>
      <c r="C233" s="39">
        <f t="shared" si="7"/>
        <v>-83</v>
      </c>
      <c r="D233" s="39">
        <f t="shared" si="6"/>
        <v>-29.666666666666668</v>
      </c>
      <c r="E233" s="27">
        <f>VLOOKUP(Table1[[#This Row],[Date]],Database!A:D,4,)</f>
        <v>4.3</v>
      </c>
      <c r="F233" s="40">
        <v>-2.1910160987548169E-3</v>
      </c>
      <c r="G233" s="27">
        <f>VLOOKUP(Table1[[#This Row],[Date]],Database!A:D,2,)</f>
        <v>59.8</v>
      </c>
      <c r="H233" s="26"/>
    </row>
    <row r="234" spans="1:8" x14ac:dyDescent="0.2">
      <c r="A234" s="37">
        <v>21002</v>
      </c>
      <c r="B234" s="38">
        <f>VLOOKUP(Table1[[#This Row],[Date]],Database!A:D,3,)</f>
        <v>53123</v>
      </c>
      <c r="C234" s="39">
        <f t="shared" si="7"/>
        <v>56</v>
      </c>
      <c r="D234" s="39">
        <f t="shared" si="6"/>
        <v>-38.333333333333336</v>
      </c>
      <c r="E234" s="27">
        <f>VLOOKUP(Table1[[#This Row],[Date]],Database!A:D,4,)</f>
        <v>4.2</v>
      </c>
      <c r="F234" s="40">
        <v>9.7988286018883767E-3</v>
      </c>
      <c r="G234" s="27">
        <f>VLOOKUP(Table1[[#This Row],[Date]],Database!A:D,2,)</f>
        <v>60</v>
      </c>
      <c r="H234" s="26"/>
    </row>
    <row r="235" spans="1:8" x14ac:dyDescent="0.2">
      <c r="A235" s="37">
        <v>21033</v>
      </c>
      <c r="B235" s="38">
        <f>VLOOKUP(Table1[[#This Row],[Date]],Database!A:D,3,)</f>
        <v>53128</v>
      </c>
      <c r="C235" s="39">
        <f t="shared" si="7"/>
        <v>5</v>
      </c>
      <c r="D235" s="39">
        <f t="shared" si="6"/>
        <v>-7.333333333333333</v>
      </c>
      <c r="E235" s="27">
        <f>VLOOKUP(Table1[[#This Row],[Date]],Database!A:D,4,)</f>
        <v>4.0999999999999996</v>
      </c>
      <c r="F235" s="40">
        <v>9.7988286018883767E-3</v>
      </c>
      <c r="G235" s="27">
        <f>VLOOKUP(Table1[[#This Row],[Date]],Database!A:D,2,)</f>
        <v>59.3</v>
      </c>
      <c r="H235" s="26"/>
    </row>
    <row r="236" spans="1:8" x14ac:dyDescent="0.2">
      <c r="A236" s="37">
        <v>21064</v>
      </c>
      <c r="B236" s="38">
        <f>VLOOKUP(Table1[[#This Row],[Date]],Database!A:D,3,)</f>
        <v>52934</v>
      </c>
      <c r="C236" s="39">
        <f t="shared" si="7"/>
        <v>-194</v>
      </c>
      <c r="D236" s="39">
        <f t="shared" si="6"/>
        <v>-44.333333333333336</v>
      </c>
      <c r="E236" s="27">
        <f>VLOOKUP(Table1[[#This Row],[Date]],Database!A:D,4,)</f>
        <v>4.4000000000000004</v>
      </c>
      <c r="F236" s="40">
        <v>9.7988286018883767E-3</v>
      </c>
      <c r="G236" s="27">
        <f>VLOOKUP(Table1[[#This Row],[Date]],Database!A:D,2,)</f>
        <v>59.6</v>
      </c>
      <c r="H236" s="26"/>
    </row>
    <row r="237" spans="1:8" x14ac:dyDescent="0.2">
      <c r="A237" s="37">
        <v>21094</v>
      </c>
      <c r="B237" s="38">
        <f>VLOOKUP(Table1[[#This Row],[Date]],Database!A:D,3,)</f>
        <v>52763</v>
      </c>
      <c r="C237" s="39">
        <f t="shared" si="7"/>
        <v>-171</v>
      </c>
      <c r="D237" s="39">
        <f t="shared" si="6"/>
        <v>-120</v>
      </c>
      <c r="E237" s="27">
        <f>VLOOKUP(Table1[[#This Row],[Date]],Database!A:D,4,)</f>
        <v>4.5</v>
      </c>
      <c r="F237" s="40">
        <v>-1.0345883255901737E-2</v>
      </c>
      <c r="G237" s="27">
        <f>VLOOKUP(Table1[[#This Row],[Date]],Database!A:D,2,)</f>
        <v>59.5</v>
      </c>
      <c r="H237" s="26"/>
    </row>
    <row r="238" spans="1:8" x14ac:dyDescent="0.2">
      <c r="A238" s="37">
        <v>21125</v>
      </c>
      <c r="B238" s="38">
        <f>VLOOKUP(Table1[[#This Row],[Date]],Database!A:D,3,)</f>
        <v>52558</v>
      </c>
      <c r="C238" s="39">
        <f t="shared" si="7"/>
        <v>-205</v>
      </c>
      <c r="D238" s="39">
        <f t="shared" si="6"/>
        <v>-190</v>
      </c>
      <c r="E238" s="27">
        <f>VLOOKUP(Table1[[#This Row],[Date]],Database!A:D,4,)</f>
        <v>5.0999999999999996</v>
      </c>
      <c r="F238" s="40">
        <v>-1.0345883255901737E-2</v>
      </c>
      <c r="G238" s="27">
        <f>VLOOKUP(Table1[[#This Row],[Date]],Database!A:D,2,)</f>
        <v>59.5</v>
      </c>
      <c r="H238" s="26"/>
    </row>
    <row r="239" spans="1:8" x14ac:dyDescent="0.2">
      <c r="A239" s="37">
        <v>21155</v>
      </c>
      <c r="B239" s="38">
        <f>VLOOKUP(Table1[[#This Row],[Date]],Database!A:D,3,)</f>
        <v>52384</v>
      </c>
      <c r="C239" s="39">
        <f t="shared" si="7"/>
        <v>-174</v>
      </c>
      <c r="D239" s="39">
        <f t="shared" si="6"/>
        <v>-183.33333333333334</v>
      </c>
      <c r="E239" s="27">
        <f>VLOOKUP(Table1[[#This Row],[Date]],Database!A:D,4,)</f>
        <v>5.2</v>
      </c>
      <c r="F239" s="40">
        <v>-1.0345883255901737E-2</v>
      </c>
      <c r="G239" s="27">
        <f>VLOOKUP(Table1[[#This Row],[Date]],Database!A:D,2,)</f>
        <v>59.6</v>
      </c>
      <c r="H239" s="26"/>
    </row>
    <row r="240" spans="1:8" x14ac:dyDescent="0.2">
      <c r="A240" s="37">
        <v>21186</v>
      </c>
      <c r="B240" s="38">
        <f>VLOOKUP(Table1[[#This Row],[Date]],Database!A:D,3,)</f>
        <v>52076</v>
      </c>
      <c r="C240" s="39">
        <f t="shared" si="7"/>
        <v>-308</v>
      </c>
      <c r="D240" s="39">
        <f t="shared" si="6"/>
        <v>-229</v>
      </c>
      <c r="E240" s="27">
        <f>VLOOKUP(Table1[[#This Row],[Date]],Database!A:D,4,)</f>
        <v>5.8</v>
      </c>
      <c r="F240" s="40">
        <v>-2.5958474082917096E-2</v>
      </c>
      <c r="G240" s="27">
        <f>VLOOKUP(Table1[[#This Row],[Date]],Database!A:D,2,)</f>
        <v>59.3</v>
      </c>
      <c r="H240" s="26"/>
    </row>
    <row r="241" spans="1:8" x14ac:dyDescent="0.2">
      <c r="A241" s="37">
        <v>21217</v>
      </c>
      <c r="B241" s="38">
        <f>VLOOKUP(Table1[[#This Row],[Date]],Database!A:D,3,)</f>
        <v>51576</v>
      </c>
      <c r="C241" s="39">
        <f t="shared" si="7"/>
        <v>-500</v>
      </c>
      <c r="D241" s="39">
        <f t="shared" si="6"/>
        <v>-327.33333333333331</v>
      </c>
      <c r="E241" s="27">
        <f>VLOOKUP(Table1[[#This Row],[Date]],Database!A:D,4,)</f>
        <v>6.4</v>
      </c>
      <c r="F241" s="40">
        <v>-2.5958474082917096E-2</v>
      </c>
      <c r="G241" s="27">
        <f>VLOOKUP(Table1[[#This Row],[Date]],Database!A:D,2,)</f>
        <v>59.3</v>
      </c>
      <c r="H241" s="26"/>
    </row>
    <row r="242" spans="1:8" x14ac:dyDescent="0.2">
      <c r="A242" s="37">
        <v>21245</v>
      </c>
      <c r="B242" s="38">
        <f>VLOOKUP(Table1[[#This Row],[Date]],Database!A:D,3,)</f>
        <v>51299</v>
      </c>
      <c r="C242" s="39">
        <f t="shared" si="7"/>
        <v>-277</v>
      </c>
      <c r="D242" s="39">
        <f t="shared" si="6"/>
        <v>-361.66666666666669</v>
      </c>
      <c r="E242" s="27">
        <f>VLOOKUP(Table1[[#This Row],[Date]],Database!A:D,4,)</f>
        <v>6.7</v>
      </c>
      <c r="F242" s="40">
        <v>-2.5958474082917096E-2</v>
      </c>
      <c r="G242" s="27">
        <f>VLOOKUP(Table1[[#This Row],[Date]],Database!A:D,2,)</f>
        <v>59.3</v>
      </c>
      <c r="H242" s="26"/>
    </row>
    <row r="243" spans="1:8" x14ac:dyDescent="0.2">
      <c r="A243" s="37">
        <v>21276</v>
      </c>
      <c r="B243" s="38">
        <f>VLOOKUP(Table1[[#This Row],[Date]],Database!A:D,3,)</f>
        <v>51027</v>
      </c>
      <c r="C243" s="39">
        <f t="shared" si="7"/>
        <v>-272</v>
      </c>
      <c r="D243" s="39">
        <f t="shared" si="6"/>
        <v>-349.66666666666669</v>
      </c>
      <c r="E243" s="27">
        <f>VLOOKUP(Table1[[#This Row],[Date]],Database!A:D,4,)</f>
        <v>7.4</v>
      </c>
      <c r="F243" s="40">
        <v>6.573709154745911E-3</v>
      </c>
      <c r="G243" s="27">
        <f>VLOOKUP(Table1[[#This Row],[Date]],Database!A:D,2,)</f>
        <v>59.6</v>
      </c>
      <c r="H243" s="26"/>
    </row>
    <row r="244" spans="1:8" x14ac:dyDescent="0.2">
      <c r="A244" s="37">
        <v>21306</v>
      </c>
      <c r="B244" s="38">
        <f>VLOOKUP(Table1[[#This Row],[Date]],Database!A:D,3,)</f>
        <v>50914</v>
      </c>
      <c r="C244" s="39">
        <f t="shared" si="7"/>
        <v>-113</v>
      </c>
      <c r="D244" s="39">
        <f t="shared" si="6"/>
        <v>-220.66666666666666</v>
      </c>
      <c r="E244" s="27">
        <f>VLOOKUP(Table1[[#This Row],[Date]],Database!A:D,4,)</f>
        <v>7.4</v>
      </c>
      <c r="F244" s="40">
        <v>6.573709154745911E-3</v>
      </c>
      <c r="G244" s="27">
        <f>VLOOKUP(Table1[[#This Row],[Date]],Database!A:D,2,)</f>
        <v>59.8</v>
      </c>
      <c r="H244" s="26"/>
    </row>
    <row r="245" spans="1:8" x14ac:dyDescent="0.2">
      <c r="A245" s="37">
        <v>21337</v>
      </c>
      <c r="B245" s="38">
        <f>VLOOKUP(Table1[[#This Row],[Date]],Database!A:D,3,)</f>
        <v>50914</v>
      </c>
      <c r="C245" s="39">
        <f t="shared" si="7"/>
        <v>0</v>
      </c>
      <c r="D245" s="39">
        <f t="shared" si="6"/>
        <v>-128.33333333333334</v>
      </c>
      <c r="E245" s="27">
        <f>VLOOKUP(Table1[[#This Row],[Date]],Database!A:D,4,)</f>
        <v>7.3</v>
      </c>
      <c r="F245" s="40">
        <v>6.573709154745911E-3</v>
      </c>
      <c r="G245" s="27">
        <f>VLOOKUP(Table1[[#This Row],[Date]],Database!A:D,2,)</f>
        <v>59.5</v>
      </c>
      <c r="H245" s="26"/>
    </row>
    <row r="246" spans="1:8" x14ac:dyDescent="0.2">
      <c r="A246" s="37">
        <v>21367</v>
      </c>
      <c r="B246" s="38">
        <f>VLOOKUP(Table1[[#This Row],[Date]],Database!A:D,3,)</f>
        <v>51039</v>
      </c>
      <c r="C246" s="39">
        <f t="shared" si="7"/>
        <v>125</v>
      </c>
      <c r="D246" s="39">
        <f t="shared" si="6"/>
        <v>4</v>
      </c>
      <c r="E246" s="27">
        <f>VLOOKUP(Table1[[#This Row],[Date]],Database!A:D,4,)</f>
        <v>7.5</v>
      </c>
      <c r="F246" s="40">
        <v>2.3138540339559525E-2</v>
      </c>
      <c r="G246" s="27">
        <f>VLOOKUP(Table1[[#This Row],[Date]],Database!A:D,2,)</f>
        <v>59.6</v>
      </c>
      <c r="H246" s="26"/>
    </row>
    <row r="247" spans="1:8" x14ac:dyDescent="0.2">
      <c r="A247" s="37">
        <v>21398</v>
      </c>
      <c r="B247" s="38">
        <f>VLOOKUP(Table1[[#This Row],[Date]],Database!A:D,3,)</f>
        <v>51233</v>
      </c>
      <c r="C247" s="39">
        <f t="shared" si="7"/>
        <v>194</v>
      </c>
      <c r="D247" s="39">
        <f t="shared" si="6"/>
        <v>106.33333333333333</v>
      </c>
      <c r="E247" s="27">
        <f>VLOOKUP(Table1[[#This Row],[Date]],Database!A:D,4,)</f>
        <v>7.4</v>
      </c>
      <c r="F247" s="40">
        <v>2.3138540339559525E-2</v>
      </c>
      <c r="G247" s="27">
        <f>VLOOKUP(Table1[[#This Row],[Date]],Database!A:D,2,)</f>
        <v>59.8</v>
      </c>
      <c r="H247" s="26"/>
    </row>
    <row r="248" spans="1:8" x14ac:dyDescent="0.2">
      <c r="A248" s="37">
        <v>21429</v>
      </c>
      <c r="B248" s="38">
        <f>VLOOKUP(Table1[[#This Row],[Date]],Database!A:D,3,)</f>
        <v>51506</v>
      </c>
      <c r="C248" s="39">
        <f t="shared" si="7"/>
        <v>273</v>
      </c>
      <c r="D248" s="39">
        <f t="shared" si="6"/>
        <v>197.33333333333334</v>
      </c>
      <c r="E248" s="27">
        <f>VLOOKUP(Table1[[#This Row],[Date]],Database!A:D,4,)</f>
        <v>7.1</v>
      </c>
      <c r="F248" s="40">
        <v>2.3138540339559525E-2</v>
      </c>
      <c r="G248" s="27">
        <f>VLOOKUP(Table1[[#This Row],[Date]],Database!A:D,2,)</f>
        <v>59.7</v>
      </c>
      <c r="H248" s="26"/>
    </row>
    <row r="249" spans="1:8" x14ac:dyDescent="0.2">
      <c r="A249" s="37">
        <v>21459</v>
      </c>
      <c r="B249" s="38">
        <f>VLOOKUP(Table1[[#This Row],[Date]],Database!A:D,3,)</f>
        <v>51485</v>
      </c>
      <c r="C249" s="39">
        <f t="shared" si="7"/>
        <v>-21</v>
      </c>
      <c r="D249" s="39">
        <f t="shared" si="6"/>
        <v>148.66666666666666</v>
      </c>
      <c r="E249" s="27">
        <f>VLOOKUP(Table1[[#This Row],[Date]],Database!A:D,4,)</f>
        <v>6.7</v>
      </c>
      <c r="F249" s="40">
        <v>2.339305354906732E-2</v>
      </c>
      <c r="G249" s="27">
        <f>VLOOKUP(Table1[[#This Row],[Date]],Database!A:D,2,)</f>
        <v>59.6</v>
      </c>
      <c r="H249" s="26"/>
    </row>
    <row r="250" spans="1:8" x14ac:dyDescent="0.2">
      <c r="A250" s="37">
        <v>21490</v>
      </c>
      <c r="B250" s="38">
        <f>VLOOKUP(Table1[[#This Row],[Date]],Database!A:D,3,)</f>
        <v>51944</v>
      </c>
      <c r="C250" s="39">
        <f t="shared" si="7"/>
        <v>459</v>
      </c>
      <c r="D250" s="39">
        <f t="shared" si="6"/>
        <v>237</v>
      </c>
      <c r="E250" s="27">
        <f>VLOOKUP(Table1[[#This Row],[Date]],Database!A:D,4,)</f>
        <v>6.2</v>
      </c>
      <c r="F250" s="40">
        <v>2.339305354906732E-2</v>
      </c>
      <c r="G250" s="27">
        <f>VLOOKUP(Table1[[#This Row],[Date]],Database!A:D,2,)</f>
        <v>59.2</v>
      </c>
      <c r="H250" s="26"/>
    </row>
    <row r="251" spans="1:8" x14ac:dyDescent="0.2">
      <c r="A251" s="37">
        <v>21520</v>
      </c>
      <c r="B251" s="38">
        <f>VLOOKUP(Table1[[#This Row],[Date]],Database!A:D,3,)</f>
        <v>52085</v>
      </c>
      <c r="C251" s="39">
        <f t="shared" si="7"/>
        <v>141</v>
      </c>
      <c r="D251" s="39">
        <f t="shared" si="6"/>
        <v>193</v>
      </c>
      <c r="E251" s="27">
        <f>VLOOKUP(Table1[[#This Row],[Date]],Database!A:D,4,)</f>
        <v>6.2</v>
      </c>
      <c r="F251" s="40">
        <v>2.339305354906732E-2</v>
      </c>
      <c r="G251" s="27">
        <f>VLOOKUP(Table1[[#This Row],[Date]],Database!A:D,2,)</f>
        <v>59.2</v>
      </c>
      <c r="H251" s="26"/>
    </row>
    <row r="252" spans="1:8" x14ac:dyDescent="0.2">
      <c r="A252" s="37">
        <v>21551</v>
      </c>
      <c r="B252" s="38">
        <f>VLOOKUP(Table1[[#This Row],[Date]],Database!A:D,3,)</f>
        <v>52478</v>
      </c>
      <c r="C252" s="39">
        <f t="shared" si="7"/>
        <v>393</v>
      </c>
      <c r="D252" s="39">
        <f t="shared" si="6"/>
        <v>331</v>
      </c>
      <c r="E252" s="27">
        <f>VLOOKUP(Table1[[#This Row],[Date]],Database!A:D,4,)</f>
        <v>6</v>
      </c>
      <c r="F252" s="40">
        <v>1.9212982989371862E-2</v>
      </c>
      <c r="G252" s="27">
        <f>VLOOKUP(Table1[[#This Row],[Date]],Database!A:D,2,)</f>
        <v>59.3</v>
      </c>
      <c r="H252" s="26"/>
    </row>
    <row r="253" spans="1:8" x14ac:dyDescent="0.2">
      <c r="A253" s="37">
        <v>21582</v>
      </c>
      <c r="B253" s="38">
        <f>VLOOKUP(Table1[[#This Row],[Date]],Database!A:D,3,)</f>
        <v>52688</v>
      </c>
      <c r="C253" s="39">
        <f t="shared" si="7"/>
        <v>210</v>
      </c>
      <c r="D253" s="39">
        <f t="shared" si="6"/>
        <v>248</v>
      </c>
      <c r="E253" s="27">
        <f>VLOOKUP(Table1[[#This Row],[Date]],Database!A:D,4,)</f>
        <v>5.9</v>
      </c>
      <c r="F253" s="40">
        <v>1.9212982989371862E-2</v>
      </c>
      <c r="G253" s="27">
        <f>VLOOKUP(Table1[[#This Row],[Date]],Database!A:D,2,)</f>
        <v>59</v>
      </c>
      <c r="H253" s="26"/>
    </row>
    <row r="254" spans="1:8" x14ac:dyDescent="0.2">
      <c r="A254" s="37">
        <v>21610</v>
      </c>
      <c r="B254" s="38">
        <f>VLOOKUP(Table1[[#This Row],[Date]],Database!A:D,3,)</f>
        <v>53014</v>
      </c>
      <c r="C254" s="39">
        <f t="shared" si="7"/>
        <v>326</v>
      </c>
      <c r="D254" s="39">
        <f t="shared" si="6"/>
        <v>309.66666666666669</v>
      </c>
      <c r="E254" s="27">
        <f>VLOOKUP(Table1[[#This Row],[Date]],Database!A:D,4,)</f>
        <v>5.6</v>
      </c>
      <c r="F254" s="40">
        <v>1.9212982989371862E-2</v>
      </c>
      <c r="G254" s="27">
        <f>VLOOKUP(Table1[[#This Row],[Date]],Database!A:D,2,)</f>
        <v>59.3</v>
      </c>
      <c r="H254" s="26"/>
    </row>
    <row r="255" spans="1:8" x14ac:dyDescent="0.2">
      <c r="A255" s="37">
        <v>21641</v>
      </c>
      <c r="B255" s="38">
        <f>VLOOKUP(Table1[[#This Row],[Date]],Database!A:D,3,)</f>
        <v>53321</v>
      </c>
      <c r="C255" s="39">
        <f t="shared" si="7"/>
        <v>307</v>
      </c>
      <c r="D255" s="39">
        <f t="shared" si="6"/>
        <v>281</v>
      </c>
      <c r="E255" s="27">
        <f>VLOOKUP(Table1[[#This Row],[Date]],Database!A:D,4,)</f>
        <v>5.2</v>
      </c>
      <c r="F255" s="40">
        <v>2.256420375049327E-2</v>
      </c>
      <c r="G255" s="27">
        <f>VLOOKUP(Table1[[#This Row],[Date]],Database!A:D,2,)</f>
        <v>59.4</v>
      </c>
      <c r="H255" s="26"/>
    </row>
    <row r="256" spans="1:8" x14ac:dyDescent="0.2">
      <c r="A256" s="37">
        <v>21671</v>
      </c>
      <c r="B256" s="38">
        <f>VLOOKUP(Table1[[#This Row],[Date]],Database!A:D,3,)</f>
        <v>53550</v>
      </c>
      <c r="C256" s="39">
        <f t="shared" si="7"/>
        <v>229</v>
      </c>
      <c r="D256" s="39">
        <f t="shared" si="6"/>
        <v>287.33333333333331</v>
      </c>
      <c r="E256" s="27">
        <f>VLOOKUP(Table1[[#This Row],[Date]],Database!A:D,4,)</f>
        <v>5.0999999999999996</v>
      </c>
      <c r="F256" s="40">
        <v>2.256420375049327E-2</v>
      </c>
      <c r="G256" s="27">
        <f>VLOOKUP(Table1[[#This Row],[Date]],Database!A:D,2,)</f>
        <v>59.2</v>
      </c>
      <c r="H256" s="26"/>
    </row>
    <row r="257" spans="1:8" x14ac:dyDescent="0.2">
      <c r="A257" s="37">
        <v>21702</v>
      </c>
      <c r="B257" s="38">
        <f>VLOOKUP(Table1[[#This Row],[Date]],Database!A:D,3,)</f>
        <v>53681</v>
      </c>
      <c r="C257" s="39">
        <f t="shared" si="7"/>
        <v>131</v>
      </c>
      <c r="D257" s="39">
        <f t="shared" si="6"/>
        <v>222.33333333333334</v>
      </c>
      <c r="E257" s="27">
        <f>VLOOKUP(Table1[[#This Row],[Date]],Database!A:D,4,)</f>
        <v>5</v>
      </c>
      <c r="F257" s="40">
        <v>2.256420375049327E-2</v>
      </c>
      <c r="G257" s="27">
        <f>VLOOKUP(Table1[[#This Row],[Date]],Database!A:D,2,)</f>
        <v>59.2</v>
      </c>
      <c r="H257" s="26"/>
    </row>
    <row r="258" spans="1:8" x14ac:dyDescent="0.2">
      <c r="A258" s="37">
        <v>21732</v>
      </c>
      <c r="B258" s="38">
        <f>VLOOKUP(Table1[[#This Row],[Date]],Database!A:D,3,)</f>
        <v>53804</v>
      </c>
      <c r="C258" s="39">
        <f t="shared" si="7"/>
        <v>123</v>
      </c>
      <c r="D258" s="39">
        <f t="shared" si="6"/>
        <v>161</v>
      </c>
      <c r="E258" s="27">
        <f>VLOOKUP(Table1[[#This Row],[Date]],Database!A:D,4,)</f>
        <v>5.0999999999999996</v>
      </c>
      <c r="F258" s="40">
        <v>7.1200796897602525E-4</v>
      </c>
      <c r="G258" s="27">
        <f>VLOOKUP(Table1[[#This Row],[Date]],Database!A:D,2,)</f>
        <v>59.4</v>
      </c>
      <c r="H258" s="26"/>
    </row>
    <row r="259" spans="1:8" x14ac:dyDescent="0.2">
      <c r="A259" s="37">
        <v>21763</v>
      </c>
      <c r="B259" s="38">
        <f>VLOOKUP(Table1[[#This Row],[Date]],Database!A:D,3,)</f>
        <v>53336</v>
      </c>
      <c r="C259" s="39">
        <f t="shared" si="7"/>
        <v>-468</v>
      </c>
      <c r="D259" s="39">
        <f t="shared" si="6"/>
        <v>-71.333333333333329</v>
      </c>
      <c r="E259" s="27">
        <f>VLOOKUP(Table1[[#This Row],[Date]],Database!A:D,4,)</f>
        <v>5.2</v>
      </c>
      <c r="F259" s="40">
        <v>7.1200796897602525E-4</v>
      </c>
      <c r="G259" s="27">
        <f>VLOOKUP(Table1[[#This Row],[Date]],Database!A:D,2,)</f>
        <v>59.2</v>
      </c>
      <c r="H259" s="26"/>
    </row>
    <row r="260" spans="1:8" x14ac:dyDescent="0.2">
      <c r="A260" s="37">
        <v>21794</v>
      </c>
      <c r="B260" s="38">
        <f>VLOOKUP(Table1[[#This Row],[Date]],Database!A:D,3,)</f>
        <v>53428</v>
      </c>
      <c r="C260" s="39">
        <f t="shared" si="7"/>
        <v>92</v>
      </c>
      <c r="D260" s="39">
        <f t="shared" si="6"/>
        <v>-84.333333333333329</v>
      </c>
      <c r="E260" s="27">
        <f>VLOOKUP(Table1[[#This Row],[Date]],Database!A:D,4,)</f>
        <v>5.5</v>
      </c>
      <c r="F260" s="40">
        <v>7.1200796897602525E-4</v>
      </c>
      <c r="G260" s="27">
        <f>VLOOKUP(Table1[[#This Row],[Date]],Database!A:D,2,)</f>
        <v>59.3</v>
      </c>
      <c r="H260" s="26"/>
    </row>
    <row r="261" spans="1:8" x14ac:dyDescent="0.2">
      <c r="A261" s="37">
        <v>21824</v>
      </c>
      <c r="B261" s="38">
        <f>VLOOKUP(Table1[[#This Row],[Date]],Database!A:D,3,)</f>
        <v>53358</v>
      </c>
      <c r="C261" s="39">
        <f t="shared" si="7"/>
        <v>-70</v>
      </c>
      <c r="D261" s="39">
        <f t="shared" si="6"/>
        <v>-148.66666666666666</v>
      </c>
      <c r="E261" s="27">
        <f>VLOOKUP(Table1[[#This Row],[Date]],Database!A:D,4,)</f>
        <v>5.7</v>
      </c>
      <c r="F261" s="40">
        <v>2.8503878198978803E-3</v>
      </c>
      <c r="G261" s="27">
        <f>VLOOKUP(Table1[[#This Row],[Date]],Database!A:D,2,)</f>
        <v>59.4</v>
      </c>
      <c r="H261" s="26"/>
    </row>
    <row r="262" spans="1:8" x14ac:dyDescent="0.2">
      <c r="A262" s="37">
        <v>21855</v>
      </c>
      <c r="B262" s="38">
        <f>VLOOKUP(Table1[[#This Row],[Date]],Database!A:D,3,)</f>
        <v>53634</v>
      </c>
      <c r="C262" s="39">
        <f t="shared" si="7"/>
        <v>276</v>
      </c>
      <c r="D262" s="39">
        <f t="shared" si="6"/>
        <v>99.333333333333329</v>
      </c>
      <c r="E262" s="27">
        <f>VLOOKUP(Table1[[#This Row],[Date]],Database!A:D,4,)</f>
        <v>5.8</v>
      </c>
      <c r="F262" s="40">
        <v>2.8503878198978803E-3</v>
      </c>
      <c r="G262" s="27">
        <f>VLOOKUP(Table1[[#This Row],[Date]],Database!A:D,2,)</f>
        <v>59.1</v>
      </c>
      <c r="H262" s="26"/>
    </row>
    <row r="263" spans="1:8" x14ac:dyDescent="0.2">
      <c r="A263" s="37">
        <v>21885</v>
      </c>
      <c r="B263" s="38">
        <f>VLOOKUP(Table1[[#This Row],[Date]],Database!A:D,3,)</f>
        <v>54174</v>
      </c>
      <c r="C263" s="39">
        <f t="shared" si="7"/>
        <v>540</v>
      </c>
      <c r="D263" s="39">
        <f t="shared" si="6"/>
        <v>248.66666666666666</v>
      </c>
      <c r="E263" s="27">
        <f>VLOOKUP(Table1[[#This Row],[Date]],Database!A:D,4,)</f>
        <v>5.3</v>
      </c>
      <c r="F263" s="40">
        <v>2.8503878198978803E-3</v>
      </c>
      <c r="G263" s="27">
        <f>VLOOKUP(Table1[[#This Row],[Date]],Database!A:D,2,)</f>
        <v>59.5</v>
      </c>
      <c r="H263" s="26"/>
    </row>
    <row r="264" spans="1:8" x14ac:dyDescent="0.2">
      <c r="A264" s="37">
        <v>21916</v>
      </c>
      <c r="B264" s="38">
        <f>VLOOKUP(Table1[[#This Row],[Date]],Database!A:D,3,)</f>
        <v>54274</v>
      </c>
      <c r="C264" s="39">
        <f t="shared" si="7"/>
        <v>100</v>
      </c>
      <c r="D264" s="39">
        <f t="shared" si="6"/>
        <v>305.33333333333331</v>
      </c>
      <c r="E264" s="27">
        <f>VLOOKUP(Table1[[#This Row],[Date]],Database!A:D,4,)</f>
        <v>5.2</v>
      </c>
      <c r="F264" s="40">
        <v>2.2472976275681174E-2</v>
      </c>
      <c r="G264" s="27">
        <f>VLOOKUP(Table1[[#This Row],[Date]],Database!A:D,2,)</f>
        <v>59.1</v>
      </c>
      <c r="H264" s="26"/>
    </row>
    <row r="265" spans="1:8" x14ac:dyDescent="0.2">
      <c r="A265" s="37">
        <v>21947</v>
      </c>
      <c r="B265" s="38">
        <f>VLOOKUP(Table1[[#This Row],[Date]],Database!A:D,3,)</f>
        <v>54513</v>
      </c>
      <c r="C265" s="39">
        <f t="shared" si="7"/>
        <v>239</v>
      </c>
      <c r="D265" s="39">
        <f t="shared" si="6"/>
        <v>293</v>
      </c>
      <c r="E265" s="27">
        <f>VLOOKUP(Table1[[#This Row],[Date]],Database!A:D,4,)</f>
        <v>4.8</v>
      </c>
      <c r="F265" s="40">
        <v>2.2472976275681174E-2</v>
      </c>
      <c r="G265" s="27">
        <f>VLOOKUP(Table1[[#This Row],[Date]],Database!A:D,2,)</f>
        <v>59.1</v>
      </c>
      <c r="H265" s="26"/>
    </row>
    <row r="266" spans="1:8" x14ac:dyDescent="0.2">
      <c r="A266" s="37">
        <v>21976</v>
      </c>
      <c r="B266" s="38">
        <f>VLOOKUP(Table1[[#This Row],[Date]],Database!A:D,3,)</f>
        <v>54454</v>
      </c>
      <c r="C266" s="39">
        <f t="shared" si="7"/>
        <v>-59</v>
      </c>
      <c r="D266" s="39">
        <f t="shared" si="6"/>
        <v>93.333333333333329</v>
      </c>
      <c r="E266" s="27">
        <f>VLOOKUP(Table1[[#This Row],[Date]],Database!A:D,4,)</f>
        <v>5.4</v>
      </c>
      <c r="F266" s="40">
        <v>2.2472976275681174E-2</v>
      </c>
      <c r="G266" s="27">
        <f>VLOOKUP(Table1[[#This Row],[Date]],Database!A:D,2,)</f>
        <v>58.5</v>
      </c>
      <c r="H266" s="26"/>
    </row>
    <row r="267" spans="1:8" x14ac:dyDescent="0.2">
      <c r="A267" s="37">
        <v>22007</v>
      </c>
      <c r="B267" s="38">
        <f>VLOOKUP(Table1[[#This Row],[Date]],Database!A:D,3,)</f>
        <v>54813</v>
      </c>
      <c r="C267" s="39">
        <f t="shared" si="7"/>
        <v>359</v>
      </c>
      <c r="D267" s="39">
        <f t="shared" si="6"/>
        <v>179.66666666666666</v>
      </c>
      <c r="E267" s="27">
        <f>VLOOKUP(Table1[[#This Row],[Date]],Database!A:D,4,)</f>
        <v>5.2</v>
      </c>
      <c r="F267" s="40">
        <v>-5.3938677380525688E-3</v>
      </c>
      <c r="G267" s="27">
        <f>VLOOKUP(Table1[[#This Row],[Date]],Database!A:D,2,)</f>
        <v>59.5</v>
      </c>
      <c r="H267" s="26"/>
    </row>
    <row r="268" spans="1:8" x14ac:dyDescent="0.2">
      <c r="A268" s="37">
        <v>22037</v>
      </c>
      <c r="B268" s="38">
        <f>VLOOKUP(Table1[[#This Row],[Date]],Database!A:D,3,)</f>
        <v>54475</v>
      </c>
      <c r="C268" s="39">
        <f t="shared" si="7"/>
        <v>-338</v>
      </c>
      <c r="D268" s="39">
        <f t="shared" ref="D268:D331" si="8">AVERAGE(C266:C268)</f>
        <v>-12.666666666666666</v>
      </c>
      <c r="E268" s="27">
        <f>VLOOKUP(Table1[[#This Row],[Date]],Database!A:D,4,)</f>
        <v>5.0999999999999996</v>
      </c>
      <c r="F268" s="40">
        <v>-5.3938677380525688E-3</v>
      </c>
      <c r="G268" s="27">
        <f>VLOOKUP(Table1[[#This Row],[Date]],Database!A:D,2,)</f>
        <v>59.5</v>
      </c>
      <c r="H268" s="26"/>
    </row>
    <row r="269" spans="1:8" x14ac:dyDescent="0.2">
      <c r="A269" s="37">
        <v>22068</v>
      </c>
      <c r="B269" s="38">
        <f>VLOOKUP(Table1[[#This Row],[Date]],Database!A:D,3,)</f>
        <v>54348</v>
      </c>
      <c r="C269" s="39">
        <f t="shared" ref="C269:C332" si="9">B269-B268</f>
        <v>-127</v>
      </c>
      <c r="D269" s="39">
        <f t="shared" si="8"/>
        <v>-35.333333333333336</v>
      </c>
      <c r="E269" s="27">
        <f>VLOOKUP(Table1[[#This Row],[Date]],Database!A:D,4,)</f>
        <v>5.4</v>
      </c>
      <c r="F269" s="40">
        <v>-5.3938677380525688E-3</v>
      </c>
      <c r="G269" s="27">
        <f>VLOOKUP(Table1[[#This Row],[Date]],Database!A:D,2,)</f>
        <v>59.7</v>
      </c>
      <c r="H269" s="26"/>
    </row>
    <row r="270" spans="1:8" x14ac:dyDescent="0.2">
      <c r="A270" s="37">
        <v>22098</v>
      </c>
      <c r="B270" s="38">
        <f>VLOOKUP(Table1[[#This Row],[Date]],Database!A:D,3,)</f>
        <v>54306</v>
      </c>
      <c r="C270" s="39">
        <f t="shared" si="9"/>
        <v>-42</v>
      </c>
      <c r="D270" s="39">
        <f t="shared" si="8"/>
        <v>-169</v>
      </c>
      <c r="E270" s="27">
        <f>VLOOKUP(Table1[[#This Row],[Date]],Database!A:D,4,)</f>
        <v>5.5</v>
      </c>
      <c r="F270" s="40">
        <v>4.8927469116855664E-3</v>
      </c>
      <c r="G270" s="27">
        <f>VLOOKUP(Table1[[#This Row],[Date]],Database!A:D,2,)</f>
        <v>59.5</v>
      </c>
      <c r="H270" s="26"/>
    </row>
    <row r="271" spans="1:8" x14ac:dyDescent="0.2">
      <c r="A271" s="37">
        <v>22129</v>
      </c>
      <c r="B271" s="38">
        <f>VLOOKUP(Table1[[#This Row],[Date]],Database!A:D,3,)</f>
        <v>54272</v>
      </c>
      <c r="C271" s="39">
        <f t="shared" si="9"/>
        <v>-34</v>
      </c>
      <c r="D271" s="39">
        <f t="shared" si="8"/>
        <v>-67.666666666666671</v>
      </c>
      <c r="E271" s="27">
        <f>VLOOKUP(Table1[[#This Row],[Date]],Database!A:D,4,)</f>
        <v>5.6</v>
      </c>
      <c r="F271" s="40">
        <v>4.8927469116855664E-3</v>
      </c>
      <c r="G271" s="27">
        <f>VLOOKUP(Table1[[#This Row],[Date]],Database!A:D,2,)</f>
        <v>59.5</v>
      </c>
      <c r="H271" s="26"/>
    </row>
    <row r="272" spans="1:8" x14ac:dyDescent="0.2">
      <c r="A272" s="37">
        <v>22160</v>
      </c>
      <c r="B272" s="38">
        <f>VLOOKUP(Table1[[#This Row],[Date]],Database!A:D,3,)</f>
        <v>54227</v>
      </c>
      <c r="C272" s="39">
        <f t="shared" si="9"/>
        <v>-45</v>
      </c>
      <c r="D272" s="39">
        <f t="shared" si="8"/>
        <v>-40.333333333333336</v>
      </c>
      <c r="E272" s="27">
        <f>VLOOKUP(Table1[[#This Row],[Date]],Database!A:D,4,)</f>
        <v>5.5</v>
      </c>
      <c r="F272" s="40">
        <v>4.8927469116855664E-3</v>
      </c>
      <c r="G272" s="27">
        <f>VLOOKUP(Table1[[#This Row],[Date]],Database!A:D,2,)</f>
        <v>59.7</v>
      </c>
      <c r="H272" s="26"/>
    </row>
    <row r="273" spans="1:8" x14ac:dyDescent="0.2">
      <c r="A273" s="37">
        <v>22190</v>
      </c>
      <c r="B273" s="38">
        <f>VLOOKUP(Table1[[#This Row],[Date]],Database!A:D,3,)</f>
        <v>54142</v>
      </c>
      <c r="C273" s="39">
        <f t="shared" si="9"/>
        <v>-85</v>
      </c>
      <c r="D273" s="39">
        <f t="shared" si="8"/>
        <v>-54.666666666666664</v>
      </c>
      <c r="E273" s="27">
        <f>VLOOKUP(Table1[[#This Row],[Date]],Database!A:D,4,)</f>
        <v>6.1</v>
      </c>
      <c r="F273" s="40">
        <v>-1.2834339585874157E-2</v>
      </c>
      <c r="G273" s="27">
        <f>VLOOKUP(Table1[[#This Row],[Date]],Database!A:D,2,)</f>
        <v>59.4</v>
      </c>
      <c r="H273" s="26"/>
    </row>
    <row r="274" spans="1:8" x14ac:dyDescent="0.2">
      <c r="A274" s="37">
        <v>22221</v>
      </c>
      <c r="B274" s="38">
        <f>VLOOKUP(Table1[[#This Row],[Date]],Database!A:D,3,)</f>
        <v>53961</v>
      </c>
      <c r="C274" s="39">
        <f t="shared" si="9"/>
        <v>-181</v>
      </c>
      <c r="D274" s="39">
        <f t="shared" si="8"/>
        <v>-103.66666666666667</v>
      </c>
      <c r="E274" s="27">
        <f>VLOOKUP(Table1[[#This Row],[Date]],Database!A:D,4,)</f>
        <v>6.1</v>
      </c>
      <c r="F274" s="40">
        <v>-1.2834339585874157E-2</v>
      </c>
      <c r="G274" s="27">
        <f>VLOOKUP(Table1[[#This Row],[Date]],Database!A:D,2,)</f>
        <v>59.8</v>
      </c>
      <c r="H274" s="26"/>
    </row>
    <row r="275" spans="1:8" x14ac:dyDescent="0.2">
      <c r="A275" s="37">
        <v>22251</v>
      </c>
      <c r="B275" s="38">
        <f>VLOOKUP(Table1[[#This Row],[Date]],Database!A:D,3,)</f>
        <v>53742</v>
      </c>
      <c r="C275" s="39">
        <f t="shared" si="9"/>
        <v>-219</v>
      </c>
      <c r="D275" s="39">
        <f t="shared" si="8"/>
        <v>-161.66666666666666</v>
      </c>
      <c r="E275" s="27">
        <f>VLOOKUP(Table1[[#This Row],[Date]],Database!A:D,4,)</f>
        <v>6.6</v>
      </c>
      <c r="F275" s="40">
        <v>-1.2834339585874157E-2</v>
      </c>
      <c r="G275" s="27">
        <f>VLOOKUP(Table1[[#This Row],[Date]],Database!A:D,2,)</f>
        <v>59.7</v>
      </c>
      <c r="H275" s="26"/>
    </row>
    <row r="276" spans="1:8" x14ac:dyDescent="0.2">
      <c r="A276" s="37">
        <v>22282</v>
      </c>
      <c r="B276" s="38">
        <f>VLOOKUP(Table1[[#This Row],[Date]],Database!A:D,3,)</f>
        <v>53683</v>
      </c>
      <c r="C276" s="39">
        <f t="shared" si="9"/>
        <v>-59</v>
      </c>
      <c r="D276" s="39">
        <f t="shared" si="8"/>
        <v>-153</v>
      </c>
      <c r="E276" s="27">
        <f>VLOOKUP(Table1[[#This Row],[Date]],Database!A:D,4,)</f>
        <v>6.6</v>
      </c>
      <c r="F276" s="40">
        <v>6.7502906087204603E-3</v>
      </c>
      <c r="G276" s="27">
        <f>VLOOKUP(Table1[[#This Row],[Date]],Database!A:D,2,)</f>
        <v>59.6</v>
      </c>
      <c r="H276" s="26"/>
    </row>
    <row r="277" spans="1:8" x14ac:dyDescent="0.2">
      <c r="A277" s="37">
        <v>22313</v>
      </c>
      <c r="B277" s="38">
        <f>VLOOKUP(Table1[[#This Row],[Date]],Database!A:D,3,)</f>
        <v>53557</v>
      </c>
      <c r="C277" s="39">
        <f t="shared" si="9"/>
        <v>-126</v>
      </c>
      <c r="D277" s="39">
        <f t="shared" si="8"/>
        <v>-134.66666666666666</v>
      </c>
      <c r="E277" s="27">
        <f>VLOOKUP(Table1[[#This Row],[Date]],Database!A:D,4,)</f>
        <v>6.9</v>
      </c>
      <c r="F277" s="40">
        <v>6.7502906087204603E-3</v>
      </c>
      <c r="G277" s="27">
        <f>VLOOKUP(Table1[[#This Row],[Date]],Database!A:D,2,)</f>
        <v>59.6</v>
      </c>
      <c r="H277" s="26"/>
    </row>
    <row r="278" spans="1:8" x14ac:dyDescent="0.2">
      <c r="A278" s="37">
        <v>22341</v>
      </c>
      <c r="B278" s="38">
        <f>VLOOKUP(Table1[[#This Row],[Date]],Database!A:D,3,)</f>
        <v>53659</v>
      </c>
      <c r="C278" s="39">
        <f t="shared" si="9"/>
        <v>102</v>
      </c>
      <c r="D278" s="39">
        <f t="shared" si="8"/>
        <v>-27.666666666666668</v>
      </c>
      <c r="E278" s="27">
        <f>VLOOKUP(Table1[[#This Row],[Date]],Database!A:D,4,)</f>
        <v>6.9</v>
      </c>
      <c r="F278" s="40">
        <v>6.7502906087204603E-3</v>
      </c>
      <c r="G278" s="27">
        <f>VLOOKUP(Table1[[#This Row],[Date]],Database!A:D,2,)</f>
        <v>59.7</v>
      </c>
      <c r="H278" s="26"/>
    </row>
    <row r="279" spans="1:8" x14ac:dyDescent="0.2">
      <c r="A279" s="37">
        <v>22372</v>
      </c>
      <c r="B279" s="38">
        <f>VLOOKUP(Table1[[#This Row],[Date]],Database!A:D,3,)</f>
        <v>53627</v>
      </c>
      <c r="C279" s="39">
        <f t="shared" si="9"/>
        <v>-32</v>
      </c>
      <c r="D279" s="39">
        <f t="shared" si="8"/>
        <v>-18.666666666666668</v>
      </c>
      <c r="E279" s="27">
        <f>VLOOKUP(Table1[[#This Row],[Date]],Database!A:D,4,)</f>
        <v>7</v>
      </c>
      <c r="F279" s="40">
        <v>1.6974785990400278E-2</v>
      </c>
      <c r="G279" s="27">
        <f>VLOOKUP(Table1[[#This Row],[Date]],Database!A:D,2,)</f>
        <v>59.3</v>
      </c>
      <c r="H279" s="26"/>
    </row>
    <row r="280" spans="1:8" x14ac:dyDescent="0.2">
      <c r="A280" s="37">
        <v>22402</v>
      </c>
      <c r="B280" s="38">
        <f>VLOOKUP(Table1[[#This Row],[Date]],Database!A:D,3,)</f>
        <v>53786</v>
      </c>
      <c r="C280" s="39">
        <f t="shared" si="9"/>
        <v>159</v>
      </c>
      <c r="D280" s="39">
        <f t="shared" si="8"/>
        <v>76.333333333333329</v>
      </c>
      <c r="E280" s="27">
        <f>VLOOKUP(Table1[[#This Row],[Date]],Database!A:D,4,)</f>
        <v>7.1</v>
      </c>
      <c r="F280" s="40">
        <v>1.6974785990400278E-2</v>
      </c>
      <c r="G280" s="27">
        <f>VLOOKUP(Table1[[#This Row],[Date]],Database!A:D,2,)</f>
        <v>59.4</v>
      </c>
      <c r="H280" s="26"/>
    </row>
    <row r="281" spans="1:8" x14ac:dyDescent="0.2">
      <c r="A281" s="37">
        <v>22433</v>
      </c>
      <c r="B281" s="38">
        <f>VLOOKUP(Table1[[#This Row],[Date]],Database!A:D,3,)</f>
        <v>53977</v>
      </c>
      <c r="C281" s="39">
        <f t="shared" si="9"/>
        <v>191</v>
      </c>
      <c r="D281" s="39">
        <f t="shared" si="8"/>
        <v>106</v>
      </c>
      <c r="E281" s="27">
        <f>VLOOKUP(Table1[[#This Row],[Date]],Database!A:D,4,)</f>
        <v>6.9</v>
      </c>
      <c r="F281" s="40">
        <v>1.6974785990400278E-2</v>
      </c>
      <c r="G281" s="27">
        <f>VLOOKUP(Table1[[#This Row],[Date]],Database!A:D,2,)</f>
        <v>59.7</v>
      </c>
      <c r="H281" s="26"/>
    </row>
    <row r="282" spans="1:8" x14ac:dyDescent="0.2">
      <c r="A282" s="37">
        <v>22463</v>
      </c>
      <c r="B282" s="38">
        <f>VLOOKUP(Table1[[#This Row],[Date]],Database!A:D,3,)</f>
        <v>54123</v>
      </c>
      <c r="C282" s="39">
        <f t="shared" si="9"/>
        <v>146</v>
      </c>
      <c r="D282" s="39">
        <f t="shared" si="8"/>
        <v>165.33333333333334</v>
      </c>
      <c r="E282" s="27">
        <f>VLOOKUP(Table1[[#This Row],[Date]],Database!A:D,4,)</f>
        <v>7</v>
      </c>
      <c r="F282" s="40">
        <v>1.9196393899292799E-2</v>
      </c>
      <c r="G282" s="27">
        <f>VLOOKUP(Table1[[#This Row],[Date]],Database!A:D,2,)</f>
        <v>59.3</v>
      </c>
      <c r="H282" s="26"/>
    </row>
    <row r="283" spans="1:8" x14ac:dyDescent="0.2">
      <c r="A283" s="37">
        <v>22494</v>
      </c>
      <c r="B283" s="38">
        <f>VLOOKUP(Table1[[#This Row],[Date]],Database!A:D,3,)</f>
        <v>54298</v>
      </c>
      <c r="C283" s="39">
        <f t="shared" si="9"/>
        <v>175</v>
      </c>
      <c r="D283" s="39">
        <f t="shared" si="8"/>
        <v>170.66666666666666</v>
      </c>
      <c r="E283" s="27">
        <f>VLOOKUP(Table1[[#This Row],[Date]],Database!A:D,4,)</f>
        <v>6.6</v>
      </c>
      <c r="F283" s="40">
        <v>1.9196393899292799E-2</v>
      </c>
      <c r="G283" s="27">
        <f>VLOOKUP(Table1[[#This Row],[Date]],Database!A:D,2,)</f>
        <v>59.3</v>
      </c>
      <c r="H283" s="26"/>
    </row>
    <row r="284" spans="1:8" x14ac:dyDescent="0.2">
      <c r="A284" s="37">
        <v>22525</v>
      </c>
      <c r="B284" s="38">
        <f>VLOOKUP(Table1[[#This Row],[Date]],Database!A:D,3,)</f>
        <v>54388</v>
      </c>
      <c r="C284" s="39">
        <f t="shared" si="9"/>
        <v>90</v>
      </c>
      <c r="D284" s="39">
        <f t="shared" si="8"/>
        <v>137</v>
      </c>
      <c r="E284" s="27">
        <f>VLOOKUP(Table1[[#This Row],[Date]],Database!A:D,4,)</f>
        <v>6.7</v>
      </c>
      <c r="F284" s="40">
        <v>1.9196393899292799E-2</v>
      </c>
      <c r="G284" s="27">
        <f>VLOOKUP(Table1[[#This Row],[Date]],Database!A:D,2,)</f>
        <v>59</v>
      </c>
      <c r="H284" s="26"/>
    </row>
    <row r="285" spans="1:8" x14ac:dyDescent="0.2">
      <c r="A285" s="37">
        <v>22555</v>
      </c>
      <c r="B285" s="38">
        <f>VLOOKUP(Table1[[#This Row],[Date]],Database!A:D,3,)</f>
        <v>54522</v>
      </c>
      <c r="C285" s="39">
        <f t="shared" si="9"/>
        <v>134</v>
      </c>
      <c r="D285" s="39">
        <f t="shared" si="8"/>
        <v>133</v>
      </c>
      <c r="E285" s="27">
        <f>VLOOKUP(Table1[[#This Row],[Date]],Database!A:D,4,)</f>
        <v>6.5</v>
      </c>
      <c r="F285" s="40">
        <v>1.9611093106436842E-2</v>
      </c>
      <c r="G285" s="27">
        <f>VLOOKUP(Table1[[#This Row],[Date]],Database!A:D,2,)</f>
        <v>59.1</v>
      </c>
      <c r="H285" s="26"/>
    </row>
    <row r="286" spans="1:8" x14ac:dyDescent="0.2">
      <c r="A286" s="37">
        <v>22586</v>
      </c>
      <c r="B286" s="38">
        <f>VLOOKUP(Table1[[#This Row],[Date]],Database!A:D,3,)</f>
        <v>54742</v>
      </c>
      <c r="C286" s="39">
        <f t="shared" si="9"/>
        <v>220</v>
      </c>
      <c r="D286" s="39">
        <f t="shared" si="8"/>
        <v>148</v>
      </c>
      <c r="E286" s="27">
        <f>VLOOKUP(Table1[[#This Row],[Date]],Database!A:D,4,)</f>
        <v>6.1</v>
      </c>
      <c r="F286" s="40">
        <v>1.9611093106436842E-2</v>
      </c>
      <c r="G286" s="27">
        <f>VLOOKUP(Table1[[#This Row],[Date]],Database!A:D,2,)</f>
        <v>59.1</v>
      </c>
      <c r="H286" s="26"/>
    </row>
    <row r="287" spans="1:8" x14ac:dyDescent="0.2">
      <c r="A287" s="37">
        <v>22616</v>
      </c>
      <c r="B287" s="38">
        <f>VLOOKUP(Table1[[#This Row],[Date]],Database!A:D,3,)</f>
        <v>54872</v>
      </c>
      <c r="C287" s="39">
        <f t="shared" si="9"/>
        <v>130</v>
      </c>
      <c r="D287" s="39">
        <f t="shared" si="8"/>
        <v>161.33333333333334</v>
      </c>
      <c r="E287" s="27">
        <f>VLOOKUP(Table1[[#This Row],[Date]],Database!A:D,4,)</f>
        <v>6</v>
      </c>
      <c r="F287" s="40">
        <v>1.9611093106436842E-2</v>
      </c>
      <c r="G287" s="27">
        <f>VLOOKUP(Table1[[#This Row],[Date]],Database!A:D,2,)</f>
        <v>58.8</v>
      </c>
      <c r="H287" s="26"/>
    </row>
    <row r="288" spans="1:8" x14ac:dyDescent="0.2">
      <c r="A288" s="37">
        <v>22647</v>
      </c>
      <c r="B288" s="38">
        <f>VLOOKUP(Table1[[#This Row],[Date]],Database!A:D,3,)</f>
        <v>54891</v>
      </c>
      <c r="C288" s="39">
        <f t="shared" si="9"/>
        <v>19</v>
      </c>
      <c r="D288" s="39">
        <f t="shared" si="8"/>
        <v>123</v>
      </c>
      <c r="E288" s="27">
        <f>VLOOKUP(Table1[[#This Row],[Date]],Database!A:D,4,)</f>
        <v>5.8</v>
      </c>
      <c r="F288" s="40">
        <v>1.7835991928394333E-2</v>
      </c>
      <c r="G288" s="27">
        <f>VLOOKUP(Table1[[#This Row],[Date]],Database!A:D,2,)</f>
        <v>58.8</v>
      </c>
      <c r="H288" s="26"/>
    </row>
    <row r="289" spans="1:8" x14ac:dyDescent="0.2">
      <c r="A289" s="37">
        <v>22678</v>
      </c>
      <c r="B289" s="38">
        <f>VLOOKUP(Table1[[#This Row],[Date]],Database!A:D,3,)</f>
        <v>55188</v>
      </c>
      <c r="C289" s="39">
        <f t="shared" si="9"/>
        <v>297</v>
      </c>
      <c r="D289" s="39">
        <f t="shared" si="8"/>
        <v>148.66666666666666</v>
      </c>
      <c r="E289" s="27">
        <f>VLOOKUP(Table1[[#This Row],[Date]],Database!A:D,4,)</f>
        <v>5.5</v>
      </c>
      <c r="F289" s="40">
        <v>1.7835991928394333E-2</v>
      </c>
      <c r="G289" s="27">
        <f>VLOOKUP(Table1[[#This Row],[Date]],Database!A:D,2,)</f>
        <v>59</v>
      </c>
      <c r="H289" s="26"/>
    </row>
    <row r="290" spans="1:8" x14ac:dyDescent="0.2">
      <c r="A290" s="37">
        <v>22706</v>
      </c>
      <c r="B290" s="38">
        <f>VLOOKUP(Table1[[#This Row],[Date]],Database!A:D,3,)</f>
        <v>55275</v>
      </c>
      <c r="C290" s="39">
        <f t="shared" si="9"/>
        <v>87</v>
      </c>
      <c r="D290" s="39">
        <f t="shared" si="8"/>
        <v>134.33333333333334</v>
      </c>
      <c r="E290" s="27">
        <f>VLOOKUP(Table1[[#This Row],[Date]],Database!A:D,4,)</f>
        <v>5.6</v>
      </c>
      <c r="F290" s="40">
        <v>1.7835991928394333E-2</v>
      </c>
      <c r="G290" s="27">
        <f>VLOOKUP(Table1[[#This Row],[Date]],Database!A:D,2,)</f>
        <v>58.9</v>
      </c>
      <c r="H290" s="26"/>
    </row>
    <row r="291" spans="1:8" x14ac:dyDescent="0.2">
      <c r="A291" s="37">
        <v>22737</v>
      </c>
      <c r="B291" s="38">
        <f>VLOOKUP(Table1[[#This Row],[Date]],Database!A:D,3,)</f>
        <v>55602</v>
      </c>
      <c r="C291" s="39">
        <f t="shared" si="9"/>
        <v>327</v>
      </c>
      <c r="D291" s="39">
        <f t="shared" si="8"/>
        <v>237</v>
      </c>
      <c r="E291" s="27">
        <f>VLOOKUP(Table1[[#This Row],[Date]],Database!A:D,4,)</f>
        <v>5.6</v>
      </c>
      <c r="F291" s="40">
        <v>9.0367177192123057E-3</v>
      </c>
      <c r="G291" s="27">
        <f>VLOOKUP(Table1[[#This Row],[Date]],Database!A:D,2,)</f>
        <v>58.7</v>
      </c>
      <c r="H291" s="26"/>
    </row>
    <row r="292" spans="1:8" x14ac:dyDescent="0.2">
      <c r="A292" s="37">
        <v>22767</v>
      </c>
      <c r="B292" s="38">
        <f>VLOOKUP(Table1[[#This Row],[Date]],Database!A:D,3,)</f>
        <v>55628</v>
      </c>
      <c r="C292" s="39">
        <f t="shared" si="9"/>
        <v>26</v>
      </c>
      <c r="D292" s="39">
        <f t="shared" si="8"/>
        <v>146.66666666666666</v>
      </c>
      <c r="E292" s="27">
        <f>VLOOKUP(Table1[[#This Row],[Date]],Database!A:D,4,)</f>
        <v>5.5</v>
      </c>
      <c r="F292" s="40">
        <v>9.0367177192123057E-3</v>
      </c>
      <c r="G292" s="27">
        <f>VLOOKUP(Table1[[#This Row],[Date]],Database!A:D,2,)</f>
        <v>58.9</v>
      </c>
      <c r="H292" s="26"/>
    </row>
    <row r="293" spans="1:8" x14ac:dyDescent="0.2">
      <c r="A293" s="37">
        <v>22798</v>
      </c>
      <c r="B293" s="38">
        <f>VLOOKUP(Table1[[#This Row],[Date]],Database!A:D,3,)</f>
        <v>55644</v>
      </c>
      <c r="C293" s="39">
        <f t="shared" si="9"/>
        <v>16</v>
      </c>
      <c r="D293" s="39">
        <f t="shared" si="8"/>
        <v>123</v>
      </c>
      <c r="E293" s="27">
        <f>VLOOKUP(Table1[[#This Row],[Date]],Database!A:D,4,)</f>
        <v>5.5</v>
      </c>
      <c r="F293" s="40">
        <v>9.0367177192123057E-3</v>
      </c>
      <c r="G293" s="27">
        <f>VLOOKUP(Table1[[#This Row],[Date]],Database!A:D,2,)</f>
        <v>58.8</v>
      </c>
      <c r="H293" s="26"/>
    </row>
    <row r="294" spans="1:8" x14ac:dyDescent="0.2">
      <c r="A294" s="37">
        <v>22828</v>
      </c>
      <c r="B294" s="38">
        <f>VLOOKUP(Table1[[#This Row],[Date]],Database!A:D,3,)</f>
        <v>55746</v>
      </c>
      <c r="C294" s="39">
        <f t="shared" si="9"/>
        <v>102</v>
      </c>
      <c r="D294" s="39">
        <f t="shared" si="8"/>
        <v>48</v>
      </c>
      <c r="E294" s="27">
        <f>VLOOKUP(Table1[[#This Row],[Date]],Database!A:D,4,)</f>
        <v>5.4</v>
      </c>
      <c r="F294" s="40">
        <v>1.2285077681094303E-2</v>
      </c>
      <c r="G294" s="27">
        <f>VLOOKUP(Table1[[#This Row],[Date]],Database!A:D,2,)</f>
        <v>58.5</v>
      </c>
      <c r="H294" s="26"/>
    </row>
    <row r="295" spans="1:8" x14ac:dyDescent="0.2">
      <c r="A295" s="37">
        <v>22859</v>
      </c>
      <c r="B295" s="38">
        <f>VLOOKUP(Table1[[#This Row],[Date]],Database!A:D,3,)</f>
        <v>55838</v>
      </c>
      <c r="C295" s="39">
        <f t="shared" si="9"/>
        <v>92</v>
      </c>
      <c r="D295" s="39">
        <f t="shared" si="8"/>
        <v>70</v>
      </c>
      <c r="E295" s="27">
        <f>VLOOKUP(Table1[[#This Row],[Date]],Database!A:D,4,)</f>
        <v>5.7</v>
      </c>
      <c r="F295" s="40">
        <v>1.2285077681094303E-2</v>
      </c>
      <c r="G295" s="27">
        <f>VLOOKUP(Table1[[#This Row],[Date]],Database!A:D,2,)</f>
        <v>59</v>
      </c>
      <c r="H295" s="26"/>
    </row>
    <row r="296" spans="1:8" x14ac:dyDescent="0.2">
      <c r="A296" s="37">
        <v>22890</v>
      </c>
      <c r="B296" s="38">
        <f>VLOOKUP(Table1[[#This Row],[Date]],Database!A:D,3,)</f>
        <v>55978</v>
      </c>
      <c r="C296" s="39">
        <f t="shared" si="9"/>
        <v>140</v>
      </c>
      <c r="D296" s="39">
        <f t="shared" si="8"/>
        <v>111.33333333333333</v>
      </c>
      <c r="E296" s="27">
        <f>VLOOKUP(Table1[[#This Row],[Date]],Database!A:D,4,)</f>
        <v>5.6</v>
      </c>
      <c r="F296" s="40">
        <v>1.2285077681094303E-2</v>
      </c>
      <c r="G296" s="27">
        <f>VLOOKUP(Table1[[#This Row],[Date]],Database!A:D,2,)</f>
        <v>59</v>
      </c>
      <c r="H296" s="26"/>
    </row>
    <row r="297" spans="1:8" x14ac:dyDescent="0.2">
      <c r="A297" s="37">
        <v>22920</v>
      </c>
      <c r="B297" s="38">
        <f>VLOOKUP(Table1[[#This Row],[Date]],Database!A:D,3,)</f>
        <v>56041</v>
      </c>
      <c r="C297" s="39">
        <f t="shared" si="9"/>
        <v>63</v>
      </c>
      <c r="D297" s="39">
        <f t="shared" si="8"/>
        <v>98.333333333333329</v>
      </c>
      <c r="E297" s="27">
        <f>VLOOKUP(Table1[[#This Row],[Date]],Database!A:D,4,)</f>
        <v>5.4</v>
      </c>
      <c r="F297" s="40">
        <v>3.2886069363676968E-3</v>
      </c>
      <c r="G297" s="27">
        <f>VLOOKUP(Table1[[#This Row],[Date]],Database!A:D,2,)</f>
        <v>58.7</v>
      </c>
      <c r="H297" s="26"/>
    </row>
    <row r="298" spans="1:8" x14ac:dyDescent="0.2">
      <c r="A298" s="37">
        <v>22951</v>
      </c>
      <c r="B298" s="38">
        <f>VLOOKUP(Table1[[#This Row],[Date]],Database!A:D,3,)</f>
        <v>56056</v>
      </c>
      <c r="C298" s="39">
        <f t="shared" si="9"/>
        <v>15</v>
      </c>
      <c r="D298" s="39">
        <f t="shared" si="8"/>
        <v>72.666666666666671</v>
      </c>
      <c r="E298" s="27">
        <f>VLOOKUP(Table1[[#This Row],[Date]],Database!A:D,4,)</f>
        <v>5.7</v>
      </c>
      <c r="F298" s="40">
        <v>3.2886069363676968E-3</v>
      </c>
      <c r="G298" s="27">
        <f>VLOOKUP(Table1[[#This Row],[Date]],Database!A:D,2,)</f>
        <v>58.5</v>
      </c>
      <c r="H298" s="26"/>
    </row>
    <row r="299" spans="1:8" x14ac:dyDescent="0.2">
      <c r="A299" s="37">
        <v>22981</v>
      </c>
      <c r="B299" s="38">
        <f>VLOOKUP(Table1[[#This Row],[Date]],Database!A:D,3,)</f>
        <v>56028</v>
      </c>
      <c r="C299" s="39">
        <f t="shared" si="9"/>
        <v>-28</v>
      </c>
      <c r="D299" s="39">
        <f t="shared" si="8"/>
        <v>16.666666666666668</v>
      </c>
      <c r="E299" s="27">
        <f>VLOOKUP(Table1[[#This Row],[Date]],Database!A:D,4,)</f>
        <v>5.5</v>
      </c>
      <c r="F299" s="40">
        <v>3.2886069363676968E-3</v>
      </c>
      <c r="G299" s="27">
        <f>VLOOKUP(Table1[[#This Row],[Date]],Database!A:D,2,)</f>
        <v>58.4</v>
      </c>
      <c r="H299" s="26"/>
    </row>
    <row r="300" spans="1:8" x14ac:dyDescent="0.2">
      <c r="A300" s="37">
        <v>23012</v>
      </c>
      <c r="B300" s="38">
        <f>VLOOKUP(Table1[[#This Row],[Date]],Database!A:D,3,)</f>
        <v>56115</v>
      </c>
      <c r="C300" s="39">
        <f t="shared" si="9"/>
        <v>87</v>
      </c>
      <c r="D300" s="39">
        <f t="shared" si="8"/>
        <v>24.666666666666668</v>
      </c>
      <c r="E300" s="27">
        <f>VLOOKUP(Table1[[#This Row],[Date]],Database!A:D,4,)</f>
        <v>5.7</v>
      </c>
      <c r="F300" s="40">
        <v>1.0916054774874839E-2</v>
      </c>
      <c r="G300" s="27">
        <f>VLOOKUP(Table1[[#This Row],[Date]],Database!A:D,2,)</f>
        <v>58.6</v>
      </c>
      <c r="H300" s="26"/>
    </row>
    <row r="301" spans="1:8" x14ac:dyDescent="0.2">
      <c r="A301" s="37">
        <v>23043</v>
      </c>
      <c r="B301" s="38">
        <f>VLOOKUP(Table1[[#This Row],[Date]],Database!A:D,3,)</f>
        <v>56230</v>
      </c>
      <c r="C301" s="39">
        <f t="shared" si="9"/>
        <v>115</v>
      </c>
      <c r="D301" s="39">
        <f t="shared" si="8"/>
        <v>58</v>
      </c>
      <c r="E301" s="27">
        <f>VLOOKUP(Table1[[#This Row],[Date]],Database!A:D,4,)</f>
        <v>5.9</v>
      </c>
      <c r="F301" s="40">
        <v>1.0916054774874839E-2</v>
      </c>
      <c r="G301" s="27">
        <f>VLOOKUP(Table1[[#This Row],[Date]],Database!A:D,2,)</f>
        <v>58.6</v>
      </c>
      <c r="H301" s="26"/>
    </row>
    <row r="302" spans="1:8" x14ac:dyDescent="0.2">
      <c r="A302" s="37">
        <v>23071</v>
      </c>
      <c r="B302" s="38">
        <f>VLOOKUP(Table1[[#This Row],[Date]],Database!A:D,3,)</f>
        <v>56320</v>
      </c>
      <c r="C302" s="39">
        <f t="shared" si="9"/>
        <v>90</v>
      </c>
      <c r="D302" s="39">
        <f t="shared" si="8"/>
        <v>97.333333333333329</v>
      </c>
      <c r="E302" s="27">
        <f>VLOOKUP(Table1[[#This Row],[Date]],Database!A:D,4,)</f>
        <v>5.7</v>
      </c>
      <c r="F302" s="40">
        <v>1.0916054774874839E-2</v>
      </c>
      <c r="G302" s="27">
        <f>VLOOKUP(Table1[[#This Row],[Date]],Database!A:D,2,)</f>
        <v>58.6</v>
      </c>
      <c r="H302" s="26"/>
    </row>
    <row r="303" spans="1:8" x14ac:dyDescent="0.2">
      <c r="A303" s="37">
        <v>23102</v>
      </c>
      <c r="B303" s="38">
        <f>VLOOKUP(Table1[[#This Row],[Date]],Database!A:D,3,)</f>
        <v>56580</v>
      </c>
      <c r="C303" s="39">
        <f t="shared" si="9"/>
        <v>260</v>
      </c>
      <c r="D303" s="39">
        <f t="shared" si="8"/>
        <v>155</v>
      </c>
      <c r="E303" s="27">
        <f>VLOOKUP(Table1[[#This Row],[Date]],Database!A:D,4,)</f>
        <v>5.7</v>
      </c>
      <c r="F303" s="40">
        <v>1.1221239162587902E-2</v>
      </c>
      <c r="G303" s="27">
        <f>VLOOKUP(Table1[[#This Row],[Date]],Database!A:D,2,)</f>
        <v>58.8</v>
      </c>
      <c r="H303" s="26"/>
    </row>
    <row r="304" spans="1:8" x14ac:dyDescent="0.2">
      <c r="A304" s="37">
        <v>23132</v>
      </c>
      <c r="B304" s="38">
        <f>VLOOKUP(Table1[[#This Row],[Date]],Database!A:D,3,)</f>
        <v>56616</v>
      </c>
      <c r="C304" s="39">
        <f t="shared" si="9"/>
        <v>36</v>
      </c>
      <c r="D304" s="39">
        <f t="shared" si="8"/>
        <v>128.66666666666666</v>
      </c>
      <c r="E304" s="27">
        <f>VLOOKUP(Table1[[#This Row],[Date]],Database!A:D,4,)</f>
        <v>5.9</v>
      </c>
      <c r="F304" s="40">
        <v>1.1221239162587902E-2</v>
      </c>
      <c r="G304" s="27">
        <f>VLOOKUP(Table1[[#This Row],[Date]],Database!A:D,2,)</f>
        <v>58.8</v>
      </c>
      <c r="H304" s="26"/>
    </row>
    <row r="305" spans="1:8" x14ac:dyDescent="0.2">
      <c r="A305" s="37">
        <v>23163</v>
      </c>
      <c r="B305" s="38">
        <f>VLOOKUP(Table1[[#This Row],[Date]],Database!A:D,3,)</f>
        <v>56659</v>
      </c>
      <c r="C305" s="39">
        <f t="shared" si="9"/>
        <v>43</v>
      </c>
      <c r="D305" s="39">
        <f t="shared" si="8"/>
        <v>113</v>
      </c>
      <c r="E305" s="27">
        <f>VLOOKUP(Table1[[#This Row],[Date]],Database!A:D,4,)</f>
        <v>5.6</v>
      </c>
      <c r="F305" s="40">
        <v>1.1221239162587902E-2</v>
      </c>
      <c r="G305" s="27">
        <f>VLOOKUP(Table1[[#This Row],[Date]],Database!A:D,2,)</f>
        <v>58.5</v>
      </c>
      <c r="H305" s="26"/>
    </row>
    <row r="306" spans="1:8" x14ac:dyDescent="0.2">
      <c r="A306" s="37">
        <v>23193</v>
      </c>
      <c r="B306" s="38">
        <f>VLOOKUP(Table1[[#This Row],[Date]],Database!A:D,3,)</f>
        <v>56794</v>
      </c>
      <c r="C306" s="39">
        <f t="shared" si="9"/>
        <v>135</v>
      </c>
      <c r="D306" s="39">
        <f t="shared" si="8"/>
        <v>71.333333333333329</v>
      </c>
      <c r="E306" s="27">
        <f>VLOOKUP(Table1[[#This Row],[Date]],Database!A:D,4,)</f>
        <v>5.6</v>
      </c>
      <c r="F306" s="40">
        <v>2.1984258737289875E-2</v>
      </c>
      <c r="G306" s="27">
        <f>VLOOKUP(Table1[[#This Row],[Date]],Database!A:D,2,)</f>
        <v>58.7</v>
      </c>
      <c r="H306" s="26"/>
    </row>
    <row r="307" spans="1:8" x14ac:dyDescent="0.2">
      <c r="A307" s="37">
        <v>23224</v>
      </c>
      <c r="B307" s="38">
        <f>VLOOKUP(Table1[[#This Row],[Date]],Database!A:D,3,)</f>
        <v>56910</v>
      </c>
      <c r="C307" s="39">
        <f t="shared" si="9"/>
        <v>116</v>
      </c>
      <c r="D307" s="39">
        <f t="shared" si="8"/>
        <v>98</v>
      </c>
      <c r="E307" s="27">
        <f>VLOOKUP(Table1[[#This Row],[Date]],Database!A:D,4,)</f>
        <v>5.4</v>
      </c>
      <c r="F307" s="40">
        <v>2.1984258737289875E-2</v>
      </c>
      <c r="G307" s="27">
        <f>VLOOKUP(Table1[[#This Row],[Date]],Database!A:D,2,)</f>
        <v>58.5</v>
      </c>
      <c r="H307" s="26"/>
    </row>
    <row r="308" spans="1:8" x14ac:dyDescent="0.2">
      <c r="A308" s="37">
        <v>23255</v>
      </c>
      <c r="B308" s="38">
        <f>VLOOKUP(Table1[[#This Row],[Date]],Database!A:D,3,)</f>
        <v>57078</v>
      </c>
      <c r="C308" s="39">
        <f t="shared" si="9"/>
        <v>168</v>
      </c>
      <c r="D308" s="39">
        <f t="shared" si="8"/>
        <v>139.66666666666666</v>
      </c>
      <c r="E308" s="27">
        <f>VLOOKUP(Table1[[#This Row],[Date]],Database!A:D,4,)</f>
        <v>5.5</v>
      </c>
      <c r="F308" s="40">
        <v>2.1984258737289875E-2</v>
      </c>
      <c r="G308" s="27">
        <f>VLOOKUP(Table1[[#This Row],[Date]],Database!A:D,2,)</f>
        <v>58.7</v>
      </c>
      <c r="H308" s="26"/>
    </row>
    <row r="309" spans="1:8" x14ac:dyDescent="0.2">
      <c r="A309" s="37">
        <v>23285</v>
      </c>
      <c r="B309" s="38">
        <f>VLOOKUP(Table1[[#This Row],[Date]],Database!A:D,3,)</f>
        <v>57283</v>
      </c>
      <c r="C309" s="39">
        <f t="shared" si="9"/>
        <v>205</v>
      </c>
      <c r="D309" s="39">
        <f t="shared" si="8"/>
        <v>163</v>
      </c>
      <c r="E309" s="27">
        <f>VLOOKUP(Table1[[#This Row],[Date]],Database!A:D,4,)</f>
        <v>5.5</v>
      </c>
      <c r="F309" s="40">
        <v>6.5559587519260672E-3</v>
      </c>
      <c r="G309" s="27">
        <f>VLOOKUP(Table1[[#This Row],[Date]],Database!A:D,2,)</f>
        <v>58.8</v>
      </c>
      <c r="H309" s="26"/>
    </row>
    <row r="310" spans="1:8" x14ac:dyDescent="0.2">
      <c r="A310" s="37">
        <v>23316</v>
      </c>
      <c r="B310" s="38">
        <f>VLOOKUP(Table1[[#This Row],[Date]],Database!A:D,3,)</f>
        <v>57255</v>
      </c>
      <c r="C310" s="39">
        <f t="shared" si="9"/>
        <v>-28</v>
      </c>
      <c r="D310" s="39">
        <f t="shared" si="8"/>
        <v>115</v>
      </c>
      <c r="E310" s="27">
        <f>VLOOKUP(Table1[[#This Row],[Date]],Database!A:D,4,)</f>
        <v>5.7</v>
      </c>
      <c r="F310" s="40">
        <v>6.5559587519260672E-3</v>
      </c>
      <c r="G310" s="27">
        <f>VLOOKUP(Table1[[#This Row],[Date]],Database!A:D,2,)</f>
        <v>58.8</v>
      </c>
      <c r="H310" s="26"/>
    </row>
    <row r="311" spans="1:8" x14ac:dyDescent="0.2">
      <c r="A311" s="37">
        <v>23346</v>
      </c>
      <c r="B311" s="38">
        <f>VLOOKUP(Table1[[#This Row],[Date]],Database!A:D,3,)</f>
        <v>57361</v>
      </c>
      <c r="C311" s="39">
        <f t="shared" si="9"/>
        <v>106</v>
      </c>
      <c r="D311" s="39">
        <f t="shared" si="8"/>
        <v>94.333333333333329</v>
      </c>
      <c r="E311" s="27">
        <f>VLOOKUP(Table1[[#This Row],[Date]],Database!A:D,4,)</f>
        <v>5.5</v>
      </c>
      <c r="F311" s="40">
        <v>6.5559587519260672E-3</v>
      </c>
      <c r="G311" s="27">
        <f>VLOOKUP(Table1[[#This Row],[Date]],Database!A:D,2,)</f>
        <v>58.5</v>
      </c>
      <c r="H311" s="26"/>
    </row>
    <row r="312" spans="1:8" x14ac:dyDescent="0.2">
      <c r="A312" s="37">
        <v>23377</v>
      </c>
      <c r="B312" s="38">
        <f>VLOOKUP(Table1[[#This Row],[Date]],Database!A:D,3,)</f>
        <v>57487</v>
      </c>
      <c r="C312" s="39">
        <f t="shared" si="9"/>
        <v>126</v>
      </c>
      <c r="D312" s="39">
        <f t="shared" si="8"/>
        <v>68</v>
      </c>
      <c r="E312" s="27">
        <f>VLOOKUP(Table1[[#This Row],[Date]],Database!A:D,4,)</f>
        <v>5.6</v>
      </c>
      <c r="F312" s="40">
        <v>2.1082785745437628E-2</v>
      </c>
      <c r="G312" s="27">
        <f>VLOOKUP(Table1[[#This Row],[Date]],Database!A:D,2,)</f>
        <v>58.6</v>
      </c>
      <c r="H312" s="26"/>
    </row>
    <row r="313" spans="1:8" x14ac:dyDescent="0.2">
      <c r="A313" s="37">
        <v>23408</v>
      </c>
      <c r="B313" s="38">
        <f>VLOOKUP(Table1[[#This Row],[Date]],Database!A:D,3,)</f>
        <v>57753</v>
      </c>
      <c r="C313" s="39">
        <f t="shared" si="9"/>
        <v>266</v>
      </c>
      <c r="D313" s="39">
        <f t="shared" si="8"/>
        <v>166</v>
      </c>
      <c r="E313" s="27">
        <f>VLOOKUP(Table1[[#This Row],[Date]],Database!A:D,4,)</f>
        <v>5.4</v>
      </c>
      <c r="F313" s="40">
        <v>2.1082785745437628E-2</v>
      </c>
      <c r="G313" s="27">
        <f>VLOOKUP(Table1[[#This Row],[Date]],Database!A:D,2,)</f>
        <v>58.8</v>
      </c>
      <c r="H313" s="26"/>
    </row>
    <row r="314" spans="1:8" x14ac:dyDescent="0.2">
      <c r="A314" s="37">
        <v>23437</v>
      </c>
      <c r="B314" s="38">
        <f>VLOOKUP(Table1[[#This Row],[Date]],Database!A:D,3,)</f>
        <v>57897</v>
      </c>
      <c r="C314" s="39">
        <f t="shared" si="9"/>
        <v>144</v>
      </c>
      <c r="D314" s="39">
        <f t="shared" si="8"/>
        <v>178.66666666666666</v>
      </c>
      <c r="E314" s="27">
        <f>VLOOKUP(Table1[[#This Row],[Date]],Database!A:D,4,)</f>
        <v>5.4</v>
      </c>
      <c r="F314" s="40">
        <v>2.1082785745437628E-2</v>
      </c>
      <c r="G314" s="27">
        <f>VLOOKUP(Table1[[#This Row],[Date]],Database!A:D,2,)</f>
        <v>58.7</v>
      </c>
      <c r="H314" s="26"/>
    </row>
    <row r="315" spans="1:8" x14ac:dyDescent="0.2">
      <c r="A315" s="37">
        <v>23468</v>
      </c>
      <c r="B315" s="38">
        <f>VLOOKUP(Table1[[#This Row],[Date]],Database!A:D,3,)</f>
        <v>57922</v>
      </c>
      <c r="C315" s="39">
        <f t="shared" si="9"/>
        <v>25</v>
      </c>
      <c r="D315" s="39">
        <f t="shared" si="8"/>
        <v>145</v>
      </c>
      <c r="E315" s="27">
        <f>VLOOKUP(Table1[[#This Row],[Date]],Database!A:D,4,)</f>
        <v>5.3</v>
      </c>
      <c r="F315" s="40">
        <v>1.0887046310322061E-2</v>
      </c>
      <c r="G315" s="27">
        <f>VLOOKUP(Table1[[#This Row],[Date]],Database!A:D,2,)</f>
        <v>59.1</v>
      </c>
      <c r="H315" s="26"/>
    </row>
    <row r="316" spans="1:8" x14ac:dyDescent="0.2">
      <c r="A316" s="37">
        <v>23498</v>
      </c>
      <c r="B316" s="38">
        <f>VLOOKUP(Table1[[#This Row],[Date]],Database!A:D,3,)</f>
        <v>58089</v>
      </c>
      <c r="C316" s="39">
        <f t="shared" si="9"/>
        <v>167</v>
      </c>
      <c r="D316" s="39">
        <f t="shared" si="8"/>
        <v>112</v>
      </c>
      <c r="E316" s="27">
        <f>VLOOKUP(Table1[[#This Row],[Date]],Database!A:D,4,)</f>
        <v>5.0999999999999996</v>
      </c>
      <c r="F316" s="40">
        <v>1.0887046310322061E-2</v>
      </c>
      <c r="G316" s="27">
        <f>VLOOKUP(Table1[[#This Row],[Date]],Database!A:D,2,)</f>
        <v>59.1</v>
      </c>
      <c r="H316" s="26"/>
    </row>
    <row r="317" spans="1:8" x14ac:dyDescent="0.2">
      <c r="A317" s="37">
        <v>23529</v>
      </c>
      <c r="B317" s="38">
        <f>VLOOKUP(Table1[[#This Row],[Date]],Database!A:D,3,)</f>
        <v>58219</v>
      </c>
      <c r="C317" s="39">
        <f t="shared" si="9"/>
        <v>130</v>
      </c>
      <c r="D317" s="39">
        <f t="shared" si="8"/>
        <v>107.33333333333333</v>
      </c>
      <c r="E317" s="27">
        <f>VLOOKUP(Table1[[#This Row],[Date]],Database!A:D,4,)</f>
        <v>5.2</v>
      </c>
      <c r="F317" s="40">
        <v>1.0887046310322061E-2</v>
      </c>
      <c r="G317" s="27">
        <f>VLOOKUP(Table1[[#This Row],[Date]],Database!A:D,2,)</f>
        <v>58.7</v>
      </c>
      <c r="H317" s="26"/>
    </row>
    <row r="318" spans="1:8" x14ac:dyDescent="0.2">
      <c r="A318" s="37">
        <v>23559</v>
      </c>
      <c r="B318" s="38">
        <f>VLOOKUP(Table1[[#This Row],[Date]],Database!A:D,3,)</f>
        <v>58412</v>
      </c>
      <c r="C318" s="39">
        <f t="shared" si="9"/>
        <v>193</v>
      </c>
      <c r="D318" s="39">
        <f t="shared" si="8"/>
        <v>163.33333333333334</v>
      </c>
      <c r="E318" s="27">
        <f>VLOOKUP(Table1[[#This Row],[Date]],Database!A:D,4,)</f>
        <v>4.9000000000000004</v>
      </c>
      <c r="F318" s="40">
        <v>1.5623009398720333E-2</v>
      </c>
      <c r="G318" s="27">
        <f>VLOOKUP(Table1[[#This Row],[Date]],Database!A:D,2,)</f>
        <v>58.6</v>
      </c>
      <c r="H318" s="26"/>
    </row>
    <row r="319" spans="1:8" x14ac:dyDescent="0.2">
      <c r="A319" s="37">
        <v>23590</v>
      </c>
      <c r="B319" s="38">
        <f>VLOOKUP(Table1[[#This Row],[Date]],Database!A:D,3,)</f>
        <v>58619</v>
      </c>
      <c r="C319" s="39">
        <f t="shared" si="9"/>
        <v>207</v>
      </c>
      <c r="D319" s="39">
        <f t="shared" si="8"/>
        <v>176.66666666666666</v>
      </c>
      <c r="E319" s="27">
        <f>VLOOKUP(Table1[[#This Row],[Date]],Database!A:D,4,)</f>
        <v>5</v>
      </c>
      <c r="F319" s="40">
        <v>1.5623009398720333E-2</v>
      </c>
      <c r="G319" s="27">
        <f>VLOOKUP(Table1[[#This Row],[Date]],Database!A:D,2,)</f>
        <v>58.6</v>
      </c>
      <c r="H319" s="26"/>
    </row>
    <row r="320" spans="1:8" x14ac:dyDescent="0.2">
      <c r="A320" s="37">
        <v>23621</v>
      </c>
      <c r="B320" s="38">
        <f>VLOOKUP(Table1[[#This Row],[Date]],Database!A:D,3,)</f>
        <v>58903</v>
      </c>
      <c r="C320" s="39">
        <f t="shared" si="9"/>
        <v>284</v>
      </c>
      <c r="D320" s="39">
        <f t="shared" si="8"/>
        <v>228</v>
      </c>
      <c r="E320" s="27">
        <f>VLOOKUP(Table1[[#This Row],[Date]],Database!A:D,4,)</f>
        <v>5.0999999999999996</v>
      </c>
      <c r="F320" s="40">
        <v>1.5623009398720333E-2</v>
      </c>
      <c r="G320" s="27">
        <f>VLOOKUP(Table1[[#This Row],[Date]],Database!A:D,2,)</f>
        <v>58.7</v>
      </c>
      <c r="H320" s="26"/>
    </row>
    <row r="321" spans="1:8" x14ac:dyDescent="0.2">
      <c r="A321" s="37">
        <v>23651</v>
      </c>
      <c r="B321" s="38">
        <f>VLOOKUP(Table1[[#This Row],[Date]],Database!A:D,3,)</f>
        <v>58793</v>
      </c>
      <c r="C321" s="39">
        <f t="shared" si="9"/>
        <v>-110</v>
      </c>
      <c r="D321" s="39">
        <f t="shared" si="8"/>
        <v>127</v>
      </c>
      <c r="E321" s="27">
        <f>VLOOKUP(Table1[[#This Row],[Date]],Database!A:D,4,)</f>
        <v>5.0999999999999996</v>
      </c>
      <c r="F321" s="40">
        <v>3.0889292462218383E-3</v>
      </c>
      <c r="G321" s="27">
        <f>VLOOKUP(Table1[[#This Row],[Date]],Database!A:D,2,)</f>
        <v>58.6</v>
      </c>
      <c r="H321" s="26"/>
    </row>
    <row r="322" spans="1:8" x14ac:dyDescent="0.2">
      <c r="A322" s="37">
        <v>23682</v>
      </c>
      <c r="B322" s="38">
        <f>VLOOKUP(Table1[[#This Row],[Date]],Database!A:D,3,)</f>
        <v>59218</v>
      </c>
      <c r="C322" s="39">
        <f t="shared" si="9"/>
        <v>425</v>
      </c>
      <c r="D322" s="39">
        <f t="shared" si="8"/>
        <v>199.66666666666666</v>
      </c>
      <c r="E322" s="27">
        <f>VLOOKUP(Table1[[#This Row],[Date]],Database!A:D,4,)</f>
        <v>4.8</v>
      </c>
      <c r="F322" s="40">
        <v>3.0889292462218383E-3</v>
      </c>
      <c r="G322" s="27">
        <f>VLOOKUP(Table1[[#This Row],[Date]],Database!A:D,2,)</f>
        <v>58.5</v>
      </c>
      <c r="H322" s="26"/>
    </row>
    <row r="323" spans="1:8" x14ac:dyDescent="0.2">
      <c r="A323" s="37">
        <v>23712</v>
      </c>
      <c r="B323" s="38">
        <f>VLOOKUP(Table1[[#This Row],[Date]],Database!A:D,3,)</f>
        <v>59421</v>
      </c>
      <c r="C323" s="39">
        <f t="shared" si="9"/>
        <v>203</v>
      </c>
      <c r="D323" s="39">
        <f t="shared" si="8"/>
        <v>172.66666666666666</v>
      </c>
      <c r="E323" s="27">
        <f>VLOOKUP(Table1[[#This Row],[Date]],Database!A:D,4,)</f>
        <v>5</v>
      </c>
      <c r="F323" s="40">
        <v>3.0889292462218383E-3</v>
      </c>
      <c r="G323" s="27">
        <f>VLOOKUP(Table1[[#This Row],[Date]],Database!A:D,2,)</f>
        <v>58.6</v>
      </c>
      <c r="H323" s="26"/>
    </row>
    <row r="324" spans="1:8" x14ac:dyDescent="0.2">
      <c r="A324" s="37">
        <v>23743</v>
      </c>
      <c r="B324" s="38">
        <f>VLOOKUP(Table1[[#This Row],[Date]],Database!A:D,3,)</f>
        <v>59582</v>
      </c>
      <c r="C324" s="39">
        <f t="shared" si="9"/>
        <v>161</v>
      </c>
      <c r="D324" s="39">
        <f t="shared" si="8"/>
        <v>263</v>
      </c>
      <c r="E324" s="27">
        <f>VLOOKUP(Table1[[#This Row],[Date]],Database!A:D,4,)</f>
        <v>4.9000000000000004</v>
      </c>
      <c r="F324" s="40">
        <v>2.4197653501280177E-2</v>
      </c>
      <c r="G324" s="27">
        <f>VLOOKUP(Table1[[#This Row],[Date]],Database!A:D,2,)</f>
        <v>58.6</v>
      </c>
      <c r="H324" s="26"/>
    </row>
    <row r="325" spans="1:8" x14ac:dyDescent="0.2">
      <c r="A325" s="37">
        <v>23774</v>
      </c>
      <c r="B325" s="38">
        <f>VLOOKUP(Table1[[#This Row],[Date]],Database!A:D,3,)</f>
        <v>59800</v>
      </c>
      <c r="C325" s="39">
        <f t="shared" si="9"/>
        <v>218</v>
      </c>
      <c r="D325" s="39">
        <f t="shared" si="8"/>
        <v>194</v>
      </c>
      <c r="E325" s="27">
        <f>VLOOKUP(Table1[[#This Row],[Date]],Database!A:D,4,)</f>
        <v>5.0999999999999996</v>
      </c>
      <c r="F325" s="40">
        <v>2.4197653501280177E-2</v>
      </c>
      <c r="G325" s="27">
        <f>VLOOKUP(Table1[[#This Row],[Date]],Database!A:D,2,)</f>
        <v>58.7</v>
      </c>
      <c r="H325" s="26"/>
    </row>
    <row r="326" spans="1:8" x14ac:dyDescent="0.2">
      <c r="A326" s="37">
        <v>23802</v>
      </c>
      <c r="B326" s="38">
        <f>VLOOKUP(Table1[[#This Row],[Date]],Database!A:D,3,)</f>
        <v>60003</v>
      </c>
      <c r="C326" s="39">
        <f t="shared" si="9"/>
        <v>203</v>
      </c>
      <c r="D326" s="39">
        <f t="shared" si="8"/>
        <v>194</v>
      </c>
      <c r="E326" s="27">
        <f>VLOOKUP(Table1[[#This Row],[Date]],Database!A:D,4,)</f>
        <v>4.7</v>
      </c>
      <c r="F326" s="40">
        <v>2.4197653501280177E-2</v>
      </c>
      <c r="G326" s="27">
        <f>VLOOKUP(Table1[[#This Row],[Date]],Database!A:D,2,)</f>
        <v>58.7</v>
      </c>
      <c r="H326" s="26"/>
    </row>
    <row r="327" spans="1:8" x14ac:dyDescent="0.2">
      <c r="A327" s="37">
        <v>23833</v>
      </c>
      <c r="B327" s="38">
        <f>VLOOKUP(Table1[[#This Row],[Date]],Database!A:D,3,)</f>
        <v>60259</v>
      </c>
      <c r="C327" s="39">
        <f t="shared" si="9"/>
        <v>256</v>
      </c>
      <c r="D327" s="39">
        <f t="shared" si="8"/>
        <v>225.66666666666666</v>
      </c>
      <c r="E327" s="27">
        <f>VLOOKUP(Table1[[#This Row],[Date]],Database!A:D,4,)</f>
        <v>4.8</v>
      </c>
      <c r="F327" s="40">
        <v>1.2632710789498824E-2</v>
      </c>
      <c r="G327" s="27">
        <f>VLOOKUP(Table1[[#This Row],[Date]],Database!A:D,2,)</f>
        <v>58.8</v>
      </c>
      <c r="H327" s="26"/>
    </row>
    <row r="328" spans="1:8" x14ac:dyDescent="0.2">
      <c r="A328" s="37">
        <v>23863</v>
      </c>
      <c r="B328" s="38">
        <f>VLOOKUP(Table1[[#This Row],[Date]],Database!A:D,3,)</f>
        <v>60491</v>
      </c>
      <c r="C328" s="39">
        <f t="shared" si="9"/>
        <v>232</v>
      </c>
      <c r="D328" s="39">
        <f t="shared" si="8"/>
        <v>230.33333333333334</v>
      </c>
      <c r="E328" s="27">
        <f>VLOOKUP(Table1[[#This Row],[Date]],Database!A:D,4,)</f>
        <v>4.5999999999999996</v>
      </c>
      <c r="F328" s="40">
        <v>1.2632710789498824E-2</v>
      </c>
      <c r="G328" s="27">
        <f>VLOOKUP(Table1[[#This Row],[Date]],Database!A:D,2,)</f>
        <v>59</v>
      </c>
      <c r="H328" s="26"/>
    </row>
    <row r="329" spans="1:8" x14ac:dyDescent="0.2">
      <c r="A329" s="37">
        <v>23894</v>
      </c>
      <c r="B329" s="38">
        <f>VLOOKUP(Table1[[#This Row],[Date]],Database!A:D,3,)</f>
        <v>60690</v>
      </c>
      <c r="C329" s="39">
        <f t="shared" si="9"/>
        <v>199</v>
      </c>
      <c r="D329" s="39">
        <f t="shared" si="8"/>
        <v>229</v>
      </c>
      <c r="E329" s="27">
        <f>VLOOKUP(Table1[[#This Row],[Date]],Database!A:D,4,)</f>
        <v>4.5999999999999996</v>
      </c>
      <c r="F329" s="40">
        <v>1.2632710789498824E-2</v>
      </c>
      <c r="G329" s="27">
        <f>VLOOKUP(Table1[[#This Row],[Date]],Database!A:D,2,)</f>
        <v>58.8</v>
      </c>
      <c r="H329" s="26"/>
    </row>
    <row r="330" spans="1:8" x14ac:dyDescent="0.2">
      <c r="A330" s="37">
        <v>23924</v>
      </c>
      <c r="B330" s="38">
        <f>VLOOKUP(Table1[[#This Row],[Date]],Database!A:D,3,)</f>
        <v>60965</v>
      </c>
      <c r="C330" s="39">
        <f t="shared" si="9"/>
        <v>275</v>
      </c>
      <c r="D330" s="39">
        <f t="shared" si="8"/>
        <v>235.33333333333334</v>
      </c>
      <c r="E330" s="27">
        <f>VLOOKUP(Table1[[#This Row],[Date]],Database!A:D,4,)</f>
        <v>4.4000000000000004</v>
      </c>
      <c r="F330" s="40">
        <v>2.2232680681704729E-2</v>
      </c>
      <c r="G330" s="27">
        <f>VLOOKUP(Table1[[#This Row],[Date]],Database!A:D,2,)</f>
        <v>59.1</v>
      </c>
      <c r="H330" s="26"/>
    </row>
    <row r="331" spans="1:8" x14ac:dyDescent="0.2">
      <c r="A331" s="37">
        <v>23955</v>
      </c>
      <c r="B331" s="38">
        <f>VLOOKUP(Table1[[#This Row],[Date]],Database!A:D,3,)</f>
        <v>61228</v>
      </c>
      <c r="C331" s="39">
        <f t="shared" si="9"/>
        <v>263</v>
      </c>
      <c r="D331" s="39">
        <f t="shared" si="8"/>
        <v>245.66666666666666</v>
      </c>
      <c r="E331" s="27">
        <f>VLOOKUP(Table1[[#This Row],[Date]],Database!A:D,4,)</f>
        <v>4.4000000000000004</v>
      </c>
      <c r="F331" s="40">
        <v>2.2232680681704729E-2</v>
      </c>
      <c r="G331" s="27">
        <f>VLOOKUP(Table1[[#This Row],[Date]],Database!A:D,2,)</f>
        <v>58.9</v>
      </c>
      <c r="H331" s="26"/>
    </row>
    <row r="332" spans="1:8" x14ac:dyDescent="0.2">
      <c r="A332" s="37">
        <v>23986</v>
      </c>
      <c r="B332" s="38">
        <f>VLOOKUP(Table1[[#This Row],[Date]],Database!A:D,3,)</f>
        <v>61490</v>
      </c>
      <c r="C332" s="39">
        <f t="shared" si="9"/>
        <v>262</v>
      </c>
      <c r="D332" s="39">
        <f t="shared" ref="D332:D395" si="10">AVERAGE(C330:C332)</f>
        <v>266.66666666666669</v>
      </c>
      <c r="E332" s="27">
        <f>VLOOKUP(Table1[[#This Row],[Date]],Database!A:D,4,)</f>
        <v>4.3</v>
      </c>
      <c r="F332" s="40">
        <v>2.2232680681704729E-2</v>
      </c>
      <c r="G332" s="27">
        <f>VLOOKUP(Table1[[#This Row],[Date]],Database!A:D,2,)</f>
        <v>58.7</v>
      </c>
      <c r="H332" s="26"/>
    </row>
    <row r="333" spans="1:8" x14ac:dyDescent="0.2">
      <c r="A333" s="37">
        <v>24016</v>
      </c>
      <c r="B333" s="38">
        <f>VLOOKUP(Table1[[#This Row],[Date]],Database!A:D,3,)</f>
        <v>61719</v>
      </c>
      <c r="C333" s="39">
        <f t="shared" ref="C333:C396" si="11">B333-B332</f>
        <v>229</v>
      </c>
      <c r="D333" s="39">
        <f t="shared" si="10"/>
        <v>251.33333333333334</v>
      </c>
      <c r="E333" s="27">
        <f>VLOOKUP(Table1[[#This Row],[Date]],Database!A:D,4,)</f>
        <v>4.2</v>
      </c>
      <c r="F333" s="40">
        <v>2.3040432466779445E-2</v>
      </c>
      <c r="G333" s="27">
        <f>VLOOKUP(Table1[[#This Row],[Date]],Database!A:D,2,)</f>
        <v>58.9</v>
      </c>
      <c r="H333" s="26"/>
    </row>
    <row r="334" spans="1:8" x14ac:dyDescent="0.2">
      <c r="A334" s="37">
        <v>24047</v>
      </c>
      <c r="B334" s="38">
        <f>VLOOKUP(Table1[[#This Row],[Date]],Database!A:D,3,)</f>
        <v>61996</v>
      </c>
      <c r="C334" s="39">
        <f t="shared" si="11"/>
        <v>277</v>
      </c>
      <c r="D334" s="39">
        <f t="shared" si="10"/>
        <v>256</v>
      </c>
      <c r="E334" s="27">
        <f>VLOOKUP(Table1[[#This Row],[Date]],Database!A:D,4,)</f>
        <v>4.0999999999999996</v>
      </c>
      <c r="F334" s="40">
        <v>2.3040432466779445E-2</v>
      </c>
      <c r="G334" s="27">
        <f>VLOOKUP(Table1[[#This Row],[Date]],Database!A:D,2,)</f>
        <v>58.8</v>
      </c>
      <c r="H334" s="26"/>
    </row>
    <row r="335" spans="1:8" x14ac:dyDescent="0.2">
      <c r="A335" s="37">
        <v>24077</v>
      </c>
      <c r="B335" s="38">
        <f>VLOOKUP(Table1[[#This Row],[Date]],Database!A:D,3,)</f>
        <v>62322</v>
      </c>
      <c r="C335" s="39">
        <f t="shared" si="11"/>
        <v>326</v>
      </c>
      <c r="D335" s="39">
        <f t="shared" si="10"/>
        <v>277.33333333333331</v>
      </c>
      <c r="E335" s="27">
        <f>VLOOKUP(Table1[[#This Row],[Date]],Database!A:D,4,)</f>
        <v>4</v>
      </c>
      <c r="F335" s="40">
        <v>2.3040432466779445E-2</v>
      </c>
      <c r="G335" s="27">
        <f>VLOOKUP(Table1[[#This Row],[Date]],Database!A:D,2,)</f>
        <v>59</v>
      </c>
      <c r="H335" s="26"/>
    </row>
    <row r="336" spans="1:8" x14ac:dyDescent="0.2">
      <c r="A336" s="37">
        <v>24108</v>
      </c>
      <c r="B336" s="38">
        <f>VLOOKUP(Table1[[#This Row],[Date]],Database!A:D,3,)</f>
        <v>62529</v>
      </c>
      <c r="C336" s="39">
        <f t="shared" si="11"/>
        <v>207</v>
      </c>
      <c r="D336" s="39">
        <f t="shared" si="10"/>
        <v>270</v>
      </c>
      <c r="E336" s="27">
        <f>VLOOKUP(Table1[[#This Row],[Date]],Database!A:D,4,)</f>
        <v>4</v>
      </c>
      <c r="F336" s="40">
        <v>2.4342319210278691E-2</v>
      </c>
      <c r="G336" s="27">
        <f>VLOOKUP(Table1[[#This Row],[Date]],Database!A:D,2,)</f>
        <v>59</v>
      </c>
      <c r="H336" s="26"/>
    </row>
    <row r="337" spans="1:8" x14ac:dyDescent="0.2">
      <c r="A337" s="37">
        <v>24139</v>
      </c>
      <c r="B337" s="38">
        <f>VLOOKUP(Table1[[#This Row],[Date]],Database!A:D,3,)</f>
        <v>62796</v>
      </c>
      <c r="C337" s="39">
        <f t="shared" si="11"/>
        <v>267</v>
      </c>
      <c r="D337" s="39">
        <f t="shared" si="10"/>
        <v>266.66666666666669</v>
      </c>
      <c r="E337" s="27">
        <f>VLOOKUP(Table1[[#This Row],[Date]],Database!A:D,4,)</f>
        <v>3.8</v>
      </c>
      <c r="F337" s="40">
        <v>2.4342319210278691E-2</v>
      </c>
      <c r="G337" s="27">
        <f>VLOOKUP(Table1[[#This Row],[Date]],Database!A:D,2,)</f>
        <v>58.8</v>
      </c>
      <c r="H337" s="26"/>
    </row>
    <row r="338" spans="1:8" x14ac:dyDescent="0.2">
      <c r="A338" s="37">
        <v>24167</v>
      </c>
      <c r="B338" s="38">
        <f>VLOOKUP(Table1[[#This Row],[Date]],Database!A:D,3,)</f>
        <v>63192</v>
      </c>
      <c r="C338" s="39">
        <f t="shared" si="11"/>
        <v>396</v>
      </c>
      <c r="D338" s="39">
        <f t="shared" si="10"/>
        <v>290</v>
      </c>
      <c r="E338" s="27">
        <f>VLOOKUP(Table1[[#This Row],[Date]],Database!A:D,4,)</f>
        <v>3.8</v>
      </c>
      <c r="F338" s="40">
        <v>2.4342319210278691E-2</v>
      </c>
      <c r="G338" s="27">
        <f>VLOOKUP(Table1[[#This Row],[Date]],Database!A:D,2,)</f>
        <v>58.8</v>
      </c>
      <c r="H338" s="26"/>
    </row>
    <row r="339" spans="1:8" x14ac:dyDescent="0.2">
      <c r="A339" s="37">
        <v>24198</v>
      </c>
      <c r="B339" s="38">
        <f>VLOOKUP(Table1[[#This Row],[Date]],Database!A:D,3,)</f>
        <v>63437</v>
      </c>
      <c r="C339" s="39">
        <f t="shared" si="11"/>
        <v>245</v>
      </c>
      <c r="D339" s="39">
        <f t="shared" si="10"/>
        <v>302.66666666666669</v>
      </c>
      <c r="E339" s="27">
        <f>VLOOKUP(Table1[[#This Row],[Date]],Database!A:D,4,)</f>
        <v>3.8</v>
      </c>
      <c r="F339" s="40">
        <v>3.4161671802415295E-3</v>
      </c>
      <c r="G339" s="27">
        <f>VLOOKUP(Table1[[#This Row],[Date]],Database!A:D,2,)</f>
        <v>59</v>
      </c>
      <c r="H339" s="26"/>
    </row>
    <row r="340" spans="1:8" x14ac:dyDescent="0.2">
      <c r="A340" s="37">
        <v>24228</v>
      </c>
      <c r="B340" s="38">
        <f>VLOOKUP(Table1[[#This Row],[Date]],Database!A:D,3,)</f>
        <v>63712</v>
      </c>
      <c r="C340" s="39">
        <f t="shared" si="11"/>
        <v>275</v>
      </c>
      <c r="D340" s="39">
        <f t="shared" si="10"/>
        <v>305.33333333333331</v>
      </c>
      <c r="E340" s="27">
        <f>VLOOKUP(Table1[[#This Row],[Date]],Database!A:D,4,)</f>
        <v>3.9</v>
      </c>
      <c r="F340" s="40">
        <v>3.4161671802415295E-3</v>
      </c>
      <c r="G340" s="27">
        <f>VLOOKUP(Table1[[#This Row],[Date]],Database!A:D,2,)</f>
        <v>59</v>
      </c>
      <c r="H340" s="26"/>
    </row>
    <row r="341" spans="1:8" x14ac:dyDescent="0.2">
      <c r="A341" s="37">
        <v>24259</v>
      </c>
      <c r="B341" s="38">
        <f>VLOOKUP(Table1[[#This Row],[Date]],Database!A:D,3,)</f>
        <v>64111</v>
      </c>
      <c r="C341" s="39">
        <f t="shared" si="11"/>
        <v>399</v>
      </c>
      <c r="D341" s="39">
        <f t="shared" si="10"/>
        <v>306.33333333333331</v>
      </c>
      <c r="E341" s="27">
        <f>VLOOKUP(Table1[[#This Row],[Date]],Database!A:D,4,)</f>
        <v>3.8</v>
      </c>
      <c r="F341" s="40">
        <v>3.4161671802415295E-3</v>
      </c>
      <c r="G341" s="27">
        <f>VLOOKUP(Table1[[#This Row],[Date]],Database!A:D,2,)</f>
        <v>59.1</v>
      </c>
      <c r="H341" s="26"/>
    </row>
    <row r="342" spans="1:8" x14ac:dyDescent="0.2">
      <c r="A342" s="37">
        <v>24289</v>
      </c>
      <c r="B342" s="38">
        <f>VLOOKUP(Table1[[#This Row],[Date]],Database!A:D,3,)</f>
        <v>64301</v>
      </c>
      <c r="C342" s="39">
        <f t="shared" si="11"/>
        <v>190</v>
      </c>
      <c r="D342" s="39">
        <f t="shared" si="10"/>
        <v>288</v>
      </c>
      <c r="E342" s="27">
        <f>VLOOKUP(Table1[[#This Row],[Date]],Database!A:D,4,)</f>
        <v>3.8</v>
      </c>
      <c r="F342" s="40">
        <v>8.4690508072939059E-3</v>
      </c>
      <c r="G342" s="27">
        <f>VLOOKUP(Table1[[#This Row],[Date]],Database!A:D,2,)</f>
        <v>59.1</v>
      </c>
      <c r="H342" s="26"/>
    </row>
    <row r="343" spans="1:8" x14ac:dyDescent="0.2">
      <c r="A343" s="37">
        <v>24320</v>
      </c>
      <c r="B343" s="38">
        <f>VLOOKUP(Table1[[#This Row],[Date]],Database!A:D,3,)</f>
        <v>64507</v>
      </c>
      <c r="C343" s="39">
        <f t="shared" si="11"/>
        <v>206</v>
      </c>
      <c r="D343" s="39">
        <f t="shared" si="10"/>
        <v>265</v>
      </c>
      <c r="E343" s="27">
        <f>VLOOKUP(Table1[[#This Row],[Date]],Database!A:D,4,)</f>
        <v>3.8</v>
      </c>
      <c r="F343" s="40">
        <v>8.4690508072939059E-3</v>
      </c>
      <c r="G343" s="27">
        <f>VLOOKUP(Table1[[#This Row],[Date]],Database!A:D,2,)</f>
        <v>59.3</v>
      </c>
      <c r="H343" s="26"/>
    </row>
    <row r="344" spans="1:8" x14ac:dyDescent="0.2">
      <c r="A344" s="37">
        <v>24351</v>
      </c>
      <c r="B344" s="38">
        <f>VLOOKUP(Table1[[#This Row],[Date]],Database!A:D,3,)</f>
        <v>64643</v>
      </c>
      <c r="C344" s="39">
        <f t="shared" si="11"/>
        <v>136</v>
      </c>
      <c r="D344" s="39">
        <f t="shared" si="10"/>
        <v>177.33333333333334</v>
      </c>
      <c r="E344" s="27">
        <f>VLOOKUP(Table1[[#This Row],[Date]],Database!A:D,4,)</f>
        <v>3.7</v>
      </c>
      <c r="F344" s="40">
        <v>8.4690508072939059E-3</v>
      </c>
      <c r="G344" s="27">
        <f>VLOOKUP(Table1[[#This Row],[Date]],Database!A:D,2,)</f>
        <v>59.3</v>
      </c>
      <c r="H344" s="26"/>
    </row>
    <row r="345" spans="1:8" x14ac:dyDescent="0.2">
      <c r="A345" s="37">
        <v>24381</v>
      </c>
      <c r="B345" s="38">
        <f>VLOOKUP(Table1[[#This Row],[Date]],Database!A:D,3,)</f>
        <v>64854</v>
      </c>
      <c r="C345" s="39">
        <f t="shared" si="11"/>
        <v>211</v>
      </c>
      <c r="D345" s="39">
        <f t="shared" si="10"/>
        <v>184.33333333333334</v>
      </c>
      <c r="E345" s="27">
        <f>VLOOKUP(Table1[[#This Row],[Date]],Database!A:D,4,)</f>
        <v>3.7</v>
      </c>
      <c r="F345" s="40">
        <v>8.2037228692623532E-3</v>
      </c>
      <c r="G345" s="27">
        <f>VLOOKUP(Table1[[#This Row],[Date]],Database!A:D,2,)</f>
        <v>59.3</v>
      </c>
      <c r="H345" s="26"/>
    </row>
    <row r="346" spans="1:8" x14ac:dyDescent="0.2">
      <c r="A346" s="37">
        <v>24412</v>
      </c>
      <c r="B346" s="38">
        <f>VLOOKUP(Table1[[#This Row],[Date]],Database!A:D,3,)</f>
        <v>65019</v>
      </c>
      <c r="C346" s="39">
        <f t="shared" si="11"/>
        <v>165</v>
      </c>
      <c r="D346" s="39">
        <f t="shared" si="10"/>
        <v>170.66666666666666</v>
      </c>
      <c r="E346" s="27">
        <f>VLOOKUP(Table1[[#This Row],[Date]],Database!A:D,4,)</f>
        <v>3.6</v>
      </c>
      <c r="F346" s="40">
        <v>8.2037228692623532E-3</v>
      </c>
      <c r="G346" s="27">
        <f>VLOOKUP(Table1[[#This Row],[Date]],Database!A:D,2,)</f>
        <v>59.6</v>
      </c>
      <c r="H346" s="26"/>
    </row>
    <row r="347" spans="1:8" x14ac:dyDescent="0.2">
      <c r="A347" s="37">
        <v>24442</v>
      </c>
      <c r="B347" s="38">
        <f>VLOOKUP(Table1[[#This Row],[Date]],Database!A:D,3,)</f>
        <v>65199</v>
      </c>
      <c r="C347" s="39">
        <f t="shared" si="11"/>
        <v>180</v>
      </c>
      <c r="D347" s="39">
        <f t="shared" si="10"/>
        <v>185.33333333333334</v>
      </c>
      <c r="E347" s="27">
        <f>VLOOKUP(Table1[[#This Row],[Date]],Database!A:D,4,)</f>
        <v>3.8</v>
      </c>
      <c r="F347" s="40">
        <v>8.2037228692623532E-3</v>
      </c>
      <c r="G347" s="27">
        <f>VLOOKUP(Table1[[#This Row],[Date]],Database!A:D,2,)</f>
        <v>59.5</v>
      </c>
      <c r="H347" s="26"/>
    </row>
    <row r="348" spans="1:8" x14ac:dyDescent="0.2">
      <c r="A348" s="37">
        <v>24473</v>
      </c>
      <c r="B348" s="38">
        <f>VLOOKUP(Table1[[#This Row],[Date]],Database!A:D,3,)</f>
        <v>65407</v>
      </c>
      <c r="C348" s="39">
        <f t="shared" si="11"/>
        <v>208</v>
      </c>
      <c r="D348" s="39">
        <f t="shared" si="10"/>
        <v>184.33333333333334</v>
      </c>
      <c r="E348" s="27">
        <f>VLOOKUP(Table1[[#This Row],[Date]],Database!A:D,4,)</f>
        <v>3.9</v>
      </c>
      <c r="F348" s="40">
        <v>8.8558662940800455E-3</v>
      </c>
      <c r="G348" s="27">
        <f>VLOOKUP(Table1[[#This Row],[Date]],Database!A:D,2,)</f>
        <v>59.5</v>
      </c>
      <c r="H348" s="26"/>
    </row>
    <row r="349" spans="1:8" x14ac:dyDescent="0.2">
      <c r="A349" s="37">
        <v>24504</v>
      </c>
      <c r="B349" s="38">
        <f>VLOOKUP(Table1[[#This Row],[Date]],Database!A:D,3,)</f>
        <v>65429</v>
      </c>
      <c r="C349" s="39">
        <f t="shared" si="11"/>
        <v>22</v>
      </c>
      <c r="D349" s="39">
        <f t="shared" si="10"/>
        <v>136.66666666666666</v>
      </c>
      <c r="E349" s="27">
        <f>VLOOKUP(Table1[[#This Row],[Date]],Database!A:D,4,)</f>
        <v>3.8</v>
      </c>
      <c r="F349" s="40">
        <v>8.8558662940800455E-3</v>
      </c>
      <c r="G349" s="27">
        <f>VLOOKUP(Table1[[#This Row],[Date]],Database!A:D,2,)</f>
        <v>59.3</v>
      </c>
      <c r="H349" s="26"/>
    </row>
    <row r="350" spans="1:8" x14ac:dyDescent="0.2">
      <c r="A350" s="37">
        <v>24532</v>
      </c>
      <c r="B350" s="38">
        <f>VLOOKUP(Table1[[#This Row],[Date]],Database!A:D,3,)</f>
        <v>65530</v>
      </c>
      <c r="C350" s="39">
        <f t="shared" si="11"/>
        <v>101</v>
      </c>
      <c r="D350" s="39">
        <f t="shared" si="10"/>
        <v>110.33333333333333</v>
      </c>
      <c r="E350" s="27">
        <f>VLOOKUP(Table1[[#This Row],[Date]],Database!A:D,4,)</f>
        <v>3.8</v>
      </c>
      <c r="F350" s="40">
        <v>8.8558662940800455E-3</v>
      </c>
      <c r="G350" s="27">
        <f>VLOOKUP(Table1[[#This Row],[Date]],Database!A:D,2,)</f>
        <v>59.1</v>
      </c>
      <c r="H350" s="26"/>
    </row>
    <row r="351" spans="1:8" x14ac:dyDescent="0.2">
      <c r="A351" s="37">
        <v>24563</v>
      </c>
      <c r="B351" s="38">
        <f>VLOOKUP(Table1[[#This Row],[Date]],Database!A:D,3,)</f>
        <v>65466</v>
      </c>
      <c r="C351" s="39">
        <f t="shared" si="11"/>
        <v>-64</v>
      </c>
      <c r="D351" s="39">
        <f t="shared" si="10"/>
        <v>19.666666666666668</v>
      </c>
      <c r="E351" s="27">
        <f>VLOOKUP(Table1[[#This Row],[Date]],Database!A:D,4,)</f>
        <v>3.8</v>
      </c>
      <c r="F351" s="40">
        <v>6.1270956750719837E-4</v>
      </c>
      <c r="G351" s="27">
        <f>VLOOKUP(Table1[[#This Row],[Date]],Database!A:D,2,)</f>
        <v>59.4</v>
      </c>
      <c r="H351" s="26"/>
    </row>
    <row r="352" spans="1:8" x14ac:dyDescent="0.2">
      <c r="A352" s="37">
        <v>24593</v>
      </c>
      <c r="B352" s="38">
        <f>VLOOKUP(Table1[[#This Row],[Date]],Database!A:D,3,)</f>
        <v>65620</v>
      </c>
      <c r="C352" s="39">
        <f t="shared" si="11"/>
        <v>154</v>
      </c>
      <c r="D352" s="39">
        <f t="shared" si="10"/>
        <v>63.666666666666664</v>
      </c>
      <c r="E352" s="27">
        <f>VLOOKUP(Table1[[#This Row],[Date]],Database!A:D,4,)</f>
        <v>3.8</v>
      </c>
      <c r="F352" s="40">
        <v>6.1270956750719837E-4</v>
      </c>
      <c r="G352" s="27">
        <f>VLOOKUP(Table1[[#This Row],[Date]],Database!A:D,2,)</f>
        <v>59.3</v>
      </c>
      <c r="H352" s="26"/>
    </row>
    <row r="353" spans="1:8" x14ac:dyDescent="0.2">
      <c r="A353" s="37">
        <v>24624</v>
      </c>
      <c r="B353" s="38">
        <f>VLOOKUP(Table1[[#This Row],[Date]],Database!A:D,3,)</f>
        <v>65750</v>
      </c>
      <c r="C353" s="39">
        <f t="shared" si="11"/>
        <v>130</v>
      </c>
      <c r="D353" s="39">
        <f t="shared" si="10"/>
        <v>73.333333333333329</v>
      </c>
      <c r="E353" s="27">
        <f>VLOOKUP(Table1[[#This Row],[Date]],Database!A:D,4,)</f>
        <v>3.9</v>
      </c>
      <c r="F353" s="40">
        <v>6.1270956750719837E-4</v>
      </c>
      <c r="G353" s="27">
        <f>VLOOKUP(Table1[[#This Row],[Date]],Database!A:D,2,)</f>
        <v>59.6</v>
      </c>
      <c r="H353" s="26"/>
    </row>
    <row r="354" spans="1:8" x14ac:dyDescent="0.2">
      <c r="A354" s="37">
        <v>24654</v>
      </c>
      <c r="B354" s="38">
        <f>VLOOKUP(Table1[[#This Row],[Date]],Database!A:D,3,)</f>
        <v>65888</v>
      </c>
      <c r="C354" s="39">
        <f t="shared" si="11"/>
        <v>138</v>
      </c>
      <c r="D354" s="39">
        <f t="shared" si="10"/>
        <v>140.66666666666666</v>
      </c>
      <c r="E354" s="27">
        <f>VLOOKUP(Table1[[#This Row],[Date]],Database!A:D,4,)</f>
        <v>3.8</v>
      </c>
      <c r="F354" s="40">
        <v>9.4613264233635221E-3</v>
      </c>
      <c r="G354" s="27">
        <f>VLOOKUP(Table1[[#This Row],[Date]],Database!A:D,2,)</f>
        <v>59.6</v>
      </c>
      <c r="H354" s="26"/>
    </row>
    <row r="355" spans="1:8" x14ac:dyDescent="0.2">
      <c r="A355" s="37">
        <v>24685</v>
      </c>
      <c r="B355" s="38">
        <f>VLOOKUP(Table1[[#This Row],[Date]],Database!A:D,3,)</f>
        <v>66143</v>
      </c>
      <c r="C355" s="39">
        <f t="shared" si="11"/>
        <v>255</v>
      </c>
      <c r="D355" s="39">
        <f t="shared" si="10"/>
        <v>174.33333333333334</v>
      </c>
      <c r="E355" s="27">
        <f>VLOOKUP(Table1[[#This Row],[Date]],Database!A:D,4,)</f>
        <v>3.8</v>
      </c>
      <c r="F355" s="40">
        <v>9.4613264233635221E-3</v>
      </c>
      <c r="G355" s="27">
        <f>VLOOKUP(Table1[[#This Row],[Date]],Database!A:D,2,)</f>
        <v>59.7</v>
      </c>
      <c r="H355" s="26"/>
    </row>
    <row r="356" spans="1:8" x14ac:dyDescent="0.2">
      <c r="A356" s="37">
        <v>24716</v>
      </c>
      <c r="B356" s="38">
        <f>VLOOKUP(Table1[[#This Row],[Date]],Database!A:D,3,)</f>
        <v>66164</v>
      </c>
      <c r="C356" s="39">
        <f t="shared" si="11"/>
        <v>21</v>
      </c>
      <c r="D356" s="39">
        <f t="shared" si="10"/>
        <v>138</v>
      </c>
      <c r="E356" s="27">
        <f>VLOOKUP(Table1[[#This Row],[Date]],Database!A:D,4,)</f>
        <v>3.8</v>
      </c>
      <c r="F356" s="40">
        <v>9.4613264233635221E-3</v>
      </c>
      <c r="G356" s="27">
        <f>VLOOKUP(Table1[[#This Row],[Date]],Database!A:D,2,)</f>
        <v>59.7</v>
      </c>
      <c r="H356" s="26"/>
    </row>
    <row r="357" spans="1:8" x14ac:dyDescent="0.2">
      <c r="A357" s="37">
        <v>24746</v>
      </c>
      <c r="B357" s="38">
        <f>VLOOKUP(Table1[[#This Row],[Date]],Database!A:D,3,)</f>
        <v>66225</v>
      </c>
      <c r="C357" s="39">
        <f t="shared" si="11"/>
        <v>61</v>
      </c>
      <c r="D357" s="39">
        <f t="shared" si="10"/>
        <v>112.33333333333333</v>
      </c>
      <c r="E357" s="27">
        <f>VLOOKUP(Table1[[#This Row],[Date]],Database!A:D,4,)</f>
        <v>4</v>
      </c>
      <c r="F357" s="40">
        <v>7.5402030293088432E-3</v>
      </c>
      <c r="G357" s="27">
        <f>VLOOKUP(Table1[[#This Row],[Date]],Database!A:D,2,)</f>
        <v>59.9</v>
      </c>
      <c r="H357" s="26"/>
    </row>
    <row r="358" spans="1:8" x14ac:dyDescent="0.2">
      <c r="A358" s="37">
        <v>24777</v>
      </c>
      <c r="B358" s="38">
        <f>VLOOKUP(Table1[[#This Row],[Date]],Database!A:D,3,)</f>
        <v>66703</v>
      </c>
      <c r="C358" s="39">
        <f t="shared" si="11"/>
        <v>478</v>
      </c>
      <c r="D358" s="39">
        <f t="shared" si="10"/>
        <v>186.66666666666666</v>
      </c>
      <c r="E358" s="27">
        <f>VLOOKUP(Table1[[#This Row],[Date]],Database!A:D,4,)</f>
        <v>3.9</v>
      </c>
      <c r="F358" s="40">
        <v>7.5402030293088432E-3</v>
      </c>
      <c r="G358" s="27">
        <f>VLOOKUP(Table1[[#This Row],[Date]],Database!A:D,2,)</f>
        <v>59.8</v>
      </c>
      <c r="H358" s="26"/>
    </row>
    <row r="359" spans="1:8" x14ac:dyDescent="0.2">
      <c r="A359" s="37">
        <v>24807</v>
      </c>
      <c r="B359" s="38">
        <f>VLOOKUP(Table1[[#This Row],[Date]],Database!A:D,3,)</f>
        <v>66900</v>
      </c>
      <c r="C359" s="39">
        <f t="shared" si="11"/>
        <v>197</v>
      </c>
      <c r="D359" s="39">
        <f t="shared" si="10"/>
        <v>245.33333333333334</v>
      </c>
      <c r="E359" s="27">
        <f>VLOOKUP(Table1[[#This Row],[Date]],Database!A:D,4,)</f>
        <v>3.8</v>
      </c>
      <c r="F359" s="40">
        <v>7.5402030293088432E-3</v>
      </c>
      <c r="G359" s="27">
        <f>VLOOKUP(Table1[[#This Row],[Date]],Database!A:D,2,)</f>
        <v>59.9</v>
      </c>
      <c r="H359" s="26"/>
    </row>
    <row r="360" spans="1:8" x14ac:dyDescent="0.2">
      <c r="A360" s="37">
        <v>24838</v>
      </c>
      <c r="B360" s="38">
        <f>VLOOKUP(Table1[[#This Row],[Date]],Database!A:D,3,)</f>
        <v>66804</v>
      </c>
      <c r="C360" s="39">
        <f t="shared" si="11"/>
        <v>-96</v>
      </c>
      <c r="D360" s="39">
        <f t="shared" si="10"/>
        <v>193</v>
      </c>
      <c r="E360" s="27">
        <f>VLOOKUP(Table1[[#This Row],[Date]],Database!A:D,4,)</f>
        <v>3.7</v>
      </c>
      <c r="F360" s="40">
        <v>2.0394930254494743E-2</v>
      </c>
      <c r="G360" s="27">
        <f>VLOOKUP(Table1[[#This Row],[Date]],Database!A:D,2,)</f>
        <v>59.2</v>
      </c>
      <c r="H360" s="26"/>
    </row>
    <row r="361" spans="1:8" x14ac:dyDescent="0.2">
      <c r="A361" s="37">
        <v>24869</v>
      </c>
      <c r="B361" s="38">
        <f>VLOOKUP(Table1[[#This Row],[Date]],Database!A:D,3,)</f>
        <v>67215</v>
      </c>
      <c r="C361" s="39">
        <f t="shared" si="11"/>
        <v>411</v>
      </c>
      <c r="D361" s="39">
        <f t="shared" si="10"/>
        <v>170.66666666666666</v>
      </c>
      <c r="E361" s="27">
        <f>VLOOKUP(Table1[[#This Row],[Date]],Database!A:D,4,)</f>
        <v>3.8</v>
      </c>
      <c r="F361" s="40">
        <v>2.0394930254494743E-2</v>
      </c>
      <c r="G361" s="27">
        <f>VLOOKUP(Table1[[#This Row],[Date]],Database!A:D,2,)</f>
        <v>59.6</v>
      </c>
      <c r="H361" s="26"/>
    </row>
    <row r="362" spans="1:8" x14ac:dyDescent="0.2">
      <c r="A362" s="37">
        <v>24898</v>
      </c>
      <c r="B362" s="38">
        <f>VLOOKUP(Table1[[#This Row],[Date]],Database!A:D,3,)</f>
        <v>67295</v>
      </c>
      <c r="C362" s="39">
        <f t="shared" si="11"/>
        <v>80</v>
      </c>
      <c r="D362" s="39">
        <f t="shared" si="10"/>
        <v>131.66666666666666</v>
      </c>
      <c r="E362" s="27">
        <f>VLOOKUP(Table1[[#This Row],[Date]],Database!A:D,4,)</f>
        <v>3.7</v>
      </c>
      <c r="F362" s="40">
        <v>2.0394930254494743E-2</v>
      </c>
      <c r="G362" s="27">
        <f>VLOOKUP(Table1[[#This Row],[Date]],Database!A:D,2,)</f>
        <v>59.6</v>
      </c>
      <c r="H362" s="26"/>
    </row>
    <row r="363" spans="1:8" x14ac:dyDescent="0.2">
      <c r="A363" s="37">
        <v>24929</v>
      </c>
      <c r="B363" s="38">
        <f>VLOOKUP(Table1[[#This Row],[Date]],Database!A:D,3,)</f>
        <v>67556</v>
      </c>
      <c r="C363" s="39">
        <f t="shared" si="11"/>
        <v>261</v>
      </c>
      <c r="D363" s="39">
        <f t="shared" si="10"/>
        <v>250.66666666666666</v>
      </c>
      <c r="E363" s="27">
        <f>VLOOKUP(Table1[[#This Row],[Date]],Database!A:D,4,)</f>
        <v>3.5</v>
      </c>
      <c r="F363" s="40">
        <v>1.6708092772112337E-2</v>
      </c>
      <c r="G363" s="27">
        <f>VLOOKUP(Table1[[#This Row],[Date]],Database!A:D,2,)</f>
        <v>59.5</v>
      </c>
      <c r="H363" s="26"/>
    </row>
    <row r="364" spans="1:8" x14ac:dyDescent="0.2">
      <c r="A364" s="37">
        <v>24959</v>
      </c>
      <c r="B364" s="38">
        <f>VLOOKUP(Table1[[#This Row],[Date]],Database!A:D,3,)</f>
        <v>67652</v>
      </c>
      <c r="C364" s="39">
        <f t="shared" si="11"/>
        <v>96</v>
      </c>
      <c r="D364" s="39">
        <f t="shared" si="10"/>
        <v>145.66666666666666</v>
      </c>
      <c r="E364" s="27">
        <f>VLOOKUP(Table1[[#This Row],[Date]],Database!A:D,4,)</f>
        <v>3.5</v>
      </c>
      <c r="F364" s="40">
        <v>1.6708092772112337E-2</v>
      </c>
      <c r="G364" s="27">
        <f>VLOOKUP(Table1[[#This Row],[Date]],Database!A:D,2,)</f>
        <v>59.9</v>
      </c>
      <c r="H364" s="26"/>
    </row>
    <row r="365" spans="1:8" x14ac:dyDescent="0.2">
      <c r="A365" s="37">
        <v>24990</v>
      </c>
      <c r="B365" s="38">
        <f>VLOOKUP(Table1[[#This Row],[Date]],Database!A:D,3,)</f>
        <v>67905</v>
      </c>
      <c r="C365" s="39">
        <f t="shared" si="11"/>
        <v>253</v>
      </c>
      <c r="D365" s="39">
        <f t="shared" si="10"/>
        <v>203.33333333333334</v>
      </c>
      <c r="E365" s="27">
        <f>VLOOKUP(Table1[[#This Row],[Date]],Database!A:D,4,)</f>
        <v>3.7</v>
      </c>
      <c r="F365" s="40">
        <v>1.6708092772112337E-2</v>
      </c>
      <c r="G365" s="27">
        <f>VLOOKUP(Table1[[#This Row],[Date]],Database!A:D,2,)</f>
        <v>60</v>
      </c>
      <c r="H365" s="26"/>
    </row>
    <row r="366" spans="1:8" x14ac:dyDescent="0.2">
      <c r="A366" s="37">
        <v>25020</v>
      </c>
      <c r="B366" s="38">
        <f>VLOOKUP(Table1[[#This Row],[Date]],Database!A:D,3,)</f>
        <v>68126</v>
      </c>
      <c r="C366" s="39">
        <f t="shared" si="11"/>
        <v>221</v>
      </c>
      <c r="D366" s="39">
        <f t="shared" si="10"/>
        <v>190</v>
      </c>
      <c r="E366" s="27">
        <f>VLOOKUP(Table1[[#This Row],[Date]],Database!A:D,4,)</f>
        <v>3.7</v>
      </c>
      <c r="F366" s="40">
        <v>7.7497218444801319E-3</v>
      </c>
      <c r="G366" s="27">
        <f>VLOOKUP(Table1[[#This Row],[Date]],Database!A:D,2,)</f>
        <v>59.8</v>
      </c>
      <c r="H366" s="26"/>
    </row>
    <row r="367" spans="1:8" x14ac:dyDescent="0.2">
      <c r="A367" s="37">
        <v>25051</v>
      </c>
      <c r="B367" s="38">
        <f>VLOOKUP(Table1[[#This Row],[Date]],Database!A:D,3,)</f>
        <v>68330</v>
      </c>
      <c r="C367" s="39">
        <f t="shared" si="11"/>
        <v>204</v>
      </c>
      <c r="D367" s="39">
        <f t="shared" si="10"/>
        <v>226</v>
      </c>
      <c r="E367" s="27">
        <f>VLOOKUP(Table1[[#This Row],[Date]],Database!A:D,4,)</f>
        <v>3.5</v>
      </c>
      <c r="F367" s="40">
        <v>7.7497218444801319E-3</v>
      </c>
      <c r="G367" s="27">
        <f>VLOOKUP(Table1[[#This Row],[Date]],Database!A:D,2,)</f>
        <v>59.6</v>
      </c>
      <c r="H367" s="26"/>
    </row>
    <row r="368" spans="1:8" x14ac:dyDescent="0.2">
      <c r="A368" s="37">
        <v>25082</v>
      </c>
      <c r="B368" s="38">
        <f>VLOOKUP(Table1[[#This Row],[Date]],Database!A:D,3,)</f>
        <v>68484</v>
      </c>
      <c r="C368" s="39">
        <f t="shared" si="11"/>
        <v>154</v>
      </c>
      <c r="D368" s="39">
        <f t="shared" si="10"/>
        <v>193</v>
      </c>
      <c r="E368" s="27">
        <f>VLOOKUP(Table1[[#This Row],[Date]],Database!A:D,4,)</f>
        <v>3.4</v>
      </c>
      <c r="F368" s="40">
        <v>7.7497218444801319E-3</v>
      </c>
      <c r="G368" s="27">
        <f>VLOOKUP(Table1[[#This Row],[Date]],Database!A:D,2,)</f>
        <v>59.5</v>
      </c>
      <c r="H368" s="26"/>
    </row>
    <row r="369" spans="1:8" x14ac:dyDescent="0.2">
      <c r="A369" s="37">
        <v>25112</v>
      </c>
      <c r="B369" s="38">
        <f>VLOOKUP(Table1[[#This Row],[Date]],Database!A:D,3,)</f>
        <v>68721</v>
      </c>
      <c r="C369" s="39">
        <f t="shared" si="11"/>
        <v>237</v>
      </c>
      <c r="D369" s="39">
        <f t="shared" si="10"/>
        <v>198.33333333333334</v>
      </c>
      <c r="E369" s="27">
        <f>VLOOKUP(Table1[[#This Row],[Date]],Database!A:D,4,)</f>
        <v>3.4</v>
      </c>
      <c r="F369" s="40">
        <v>3.9330274634315418E-3</v>
      </c>
      <c r="G369" s="27">
        <f>VLOOKUP(Table1[[#This Row],[Date]],Database!A:D,2,)</f>
        <v>59.5</v>
      </c>
      <c r="H369" s="26"/>
    </row>
    <row r="370" spans="1:8" x14ac:dyDescent="0.2">
      <c r="A370" s="37">
        <v>25143</v>
      </c>
      <c r="B370" s="38">
        <f>VLOOKUP(Table1[[#This Row],[Date]],Database!A:D,3,)</f>
        <v>68984</v>
      </c>
      <c r="C370" s="39">
        <f t="shared" si="11"/>
        <v>263</v>
      </c>
      <c r="D370" s="39">
        <f t="shared" si="10"/>
        <v>218</v>
      </c>
      <c r="E370" s="27">
        <f>VLOOKUP(Table1[[#This Row],[Date]],Database!A:D,4,)</f>
        <v>3.4</v>
      </c>
      <c r="F370" s="40">
        <v>3.9330274634315418E-3</v>
      </c>
      <c r="G370" s="27">
        <f>VLOOKUP(Table1[[#This Row],[Date]],Database!A:D,2,)</f>
        <v>59.6</v>
      </c>
      <c r="H370" s="26"/>
    </row>
    <row r="371" spans="1:8" x14ac:dyDescent="0.2">
      <c r="A371" s="37">
        <v>25173</v>
      </c>
      <c r="B371" s="38">
        <f>VLOOKUP(Table1[[#This Row],[Date]],Database!A:D,3,)</f>
        <v>69248</v>
      </c>
      <c r="C371" s="39">
        <f t="shared" si="11"/>
        <v>264</v>
      </c>
      <c r="D371" s="39">
        <f t="shared" si="10"/>
        <v>254.66666666666666</v>
      </c>
      <c r="E371" s="27">
        <f>VLOOKUP(Table1[[#This Row],[Date]],Database!A:D,4,)</f>
        <v>3.4</v>
      </c>
      <c r="F371" s="40">
        <v>3.9330274634315418E-3</v>
      </c>
      <c r="G371" s="27">
        <f>VLOOKUP(Table1[[#This Row],[Date]],Database!A:D,2,)</f>
        <v>59.7</v>
      </c>
      <c r="H371" s="26"/>
    </row>
    <row r="372" spans="1:8" x14ac:dyDescent="0.2">
      <c r="A372" s="37">
        <v>25204</v>
      </c>
      <c r="B372" s="38">
        <f>VLOOKUP(Table1[[#This Row],[Date]],Database!A:D,3,)</f>
        <v>69439</v>
      </c>
      <c r="C372" s="39">
        <f t="shared" si="11"/>
        <v>191</v>
      </c>
      <c r="D372" s="39">
        <f t="shared" si="10"/>
        <v>239.33333333333334</v>
      </c>
      <c r="E372" s="27">
        <f>VLOOKUP(Table1[[#This Row],[Date]],Database!A:D,4,)</f>
        <v>3.4</v>
      </c>
      <c r="F372" s="40">
        <v>1.5651075105799276E-2</v>
      </c>
      <c r="G372" s="27">
        <f>VLOOKUP(Table1[[#This Row],[Date]],Database!A:D,2,)</f>
        <v>59.6</v>
      </c>
      <c r="H372" s="26"/>
    </row>
    <row r="373" spans="1:8" x14ac:dyDescent="0.2">
      <c r="A373" s="37">
        <v>25235</v>
      </c>
      <c r="B373" s="38">
        <f>VLOOKUP(Table1[[#This Row],[Date]],Database!A:D,3,)</f>
        <v>69699</v>
      </c>
      <c r="C373" s="39">
        <f t="shared" si="11"/>
        <v>260</v>
      </c>
      <c r="D373" s="39">
        <f t="shared" si="10"/>
        <v>238.33333333333334</v>
      </c>
      <c r="E373" s="27">
        <f>VLOOKUP(Table1[[#This Row],[Date]],Database!A:D,4,)</f>
        <v>3.4</v>
      </c>
      <c r="F373" s="40">
        <v>1.5651075105799276E-2</v>
      </c>
      <c r="G373" s="27">
        <f>VLOOKUP(Table1[[#This Row],[Date]],Database!A:D,2,)</f>
        <v>60</v>
      </c>
      <c r="H373" s="26"/>
    </row>
    <row r="374" spans="1:8" x14ac:dyDescent="0.2">
      <c r="A374" s="37">
        <v>25263</v>
      </c>
      <c r="B374" s="38">
        <f>VLOOKUP(Table1[[#This Row],[Date]],Database!A:D,3,)</f>
        <v>69905</v>
      </c>
      <c r="C374" s="39">
        <f t="shared" si="11"/>
        <v>206</v>
      </c>
      <c r="D374" s="39">
        <f t="shared" si="10"/>
        <v>219</v>
      </c>
      <c r="E374" s="27">
        <f>VLOOKUP(Table1[[#This Row],[Date]],Database!A:D,4,)</f>
        <v>3.4</v>
      </c>
      <c r="F374" s="40">
        <v>1.5651075105799276E-2</v>
      </c>
      <c r="G374" s="27">
        <f>VLOOKUP(Table1[[#This Row],[Date]],Database!A:D,2,)</f>
        <v>59.9</v>
      </c>
      <c r="H374" s="26"/>
    </row>
    <row r="375" spans="1:8" x14ac:dyDescent="0.2">
      <c r="A375" s="37">
        <v>25294</v>
      </c>
      <c r="B375" s="38">
        <f>VLOOKUP(Table1[[#This Row],[Date]],Database!A:D,3,)</f>
        <v>70072</v>
      </c>
      <c r="C375" s="39">
        <f t="shared" si="11"/>
        <v>167</v>
      </c>
      <c r="D375" s="39">
        <f t="shared" si="10"/>
        <v>211</v>
      </c>
      <c r="E375" s="27">
        <f>VLOOKUP(Table1[[#This Row],[Date]],Database!A:D,4,)</f>
        <v>3.4</v>
      </c>
      <c r="F375" s="40">
        <v>3.0400733243169781E-3</v>
      </c>
      <c r="G375" s="27">
        <f>VLOOKUP(Table1[[#This Row],[Date]],Database!A:D,2,)</f>
        <v>60</v>
      </c>
      <c r="H375" s="26"/>
    </row>
    <row r="376" spans="1:8" x14ac:dyDescent="0.2">
      <c r="A376" s="37">
        <v>25324</v>
      </c>
      <c r="B376" s="38">
        <f>VLOOKUP(Table1[[#This Row],[Date]],Database!A:D,3,)</f>
        <v>70328</v>
      </c>
      <c r="C376" s="39">
        <f t="shared" si="11"/>
        <v>256</v>
      </c>
      <c r="D376" s="39">
        <f t="shared" si="10"/>
        <v>209.66666666666666</v>
      </c>
      <c r="E376" s="27">
        <f>VLOOKUP(Table1[[#This Row],[Date]],Database!A:D,4,)</f>
        <v>3.4</v>
      </c>
      <c r="F376" s="40">
        <v>3.0400733243169781E-3</v>
      </c>
      <c r="G376" s="27">
        <f>VLOOKUP(Table1[[#This Row],[Date]],Database!A:D,2,)</f>
        <v>59.8</v>
      </c>
      <c r="H376" s="26"/>
    </row>
    <row r="377" spans="1:8" x14ac:dyDescent="0.2">
      <c r="A377" s="37">
        <v>25355</v>
      </c>
      <c r="B377" s="38">
        <f>VLOOKUP(Table1[[#This Row],[Date]],Database!A:D,3,)</f>
        <v>70636</v>
      </c>
      <c r="C377" s="39">
        <f t="shared" si="11"/>
        <v>308</v>
      </c>
      <c r="D377" s="39">
        <f t="shared" si="10"/>
        <v>243.66666666666666</v>
      </c>
      <c r="E377" s="27">
        <f>VLOOKUP(Table1[[#This Row],[Date]],Database!A:D,4,)</f>
        <v>3.5</v>
      </c>
      <c r="F377" s="40">
        <v>3.0400733243169781E-3</v>
      </c>
      <c r="G377" s="27">
        <f>VLOOKUP(Table1[[#This Row],[Date]],Database!A:D,2,)</f>
        <v>60.1</v>
      </c>
      <c r="H377" s="26"/>
    </row>
    <row r="378" spans="1:8" x14ac:dyDescent="0.2">
      <c r="A378" s="37">
        <v>25385</v>
      </c>
      <c r="B378" s="38">
        <f>VLOOKUP(Table1[[#This Row],[Date]],Database!A:D,3,)</f>
        <v>70729</v>
      </c>
      <c r="C378" s="39">
        <f t="shared" si="11"/>
        <v>93</v>
      </c>
      <c r="D378" s="39">
        <f t="shared" si="10"/>
        <v>219</v>
      </c>
      <c r="E378" s="27">
        <f>VLOOKUP(Table1[[#This Row],[Date]],Database!A:D,4,)</f>
        <v>3.5</v>
      </c>
      <c r="F378" s="40">
        <v>6.6051215220792299E-3</v>
      </c>
      <c r="G378" s="27">
        <f>VLOOKUP(Table1[[#This Row],[Date]],Database!A:D,2,)</f>
        <v>60.1</v>
      </c>
      <c r="H378" s="26"/>
    </row>
    <row r="379" spans="1:8" x14ac:dyDescent="0.2">
      <c r="A379" s="37">
        <v>25416</v>
      </c>
      <c r="B379" s="38">
        <f>VLOOKUP(Table1[[#This Row],[Date]],Database!A:D,3,)</f>
        <v>71008</v>
      </c>
      <c r="C379" s="39">
        <f t="shared" si="11"/>
        <v>279</v>
      </c>
      <c r="D379" s="39">
        <f t="shared" si="10"/>
        <v>226.66666666666666</v>
      </c>
      <c r="E379" s="27">
        <f>VLOOKUP(Table1[[#This Row],[Date]],Database!A:D,4,)</f>
        <v>3.5</v>
      </c>
      <c r="F379" s="40">
        <v>6.6051215220792299E-3</v>
      </c>
      <c r="G379" s="27">
        <f>VLOOKUP(Table1[[#This Row],[Date]],Database!A:D,2,)</f>
        <v>60.3</v>
      </c>
      <c r="H379" s="26"/>
    </row>
    <row r="380" spans="1:8" x14ac:dyDescent="0.2">
      <c r="A380" s="37">
        <v>25447</v>
      </c>
      <c r="B380" s="38">
        <f>VLOOKUP(Table1[[#This Row],[Date]],Database!A:D,3,)</f>
        <v>70914</v>
      </c>
      <c r="C380" s="39">
        <f t="shared" si="11"/>
        <v>-94</v>
      </c>
      <c r="D380" s="39">
        <f t="shared" si="10"/>
        <v>92.666666666666671</v>
      </c>
      <c r="E380" s="27">
        <f>VLOOKUP(Table1[[#This Row],[Date]],Database!A:D,4,)</f>
        <v>3.7</v>
      </c>
      <c r="F380" s="40">
        <v>6.6051215220792299E-3</v>
      </c>
      <c r="G380" s="27">
        <f>VLOOKUP(Table1[[#This Row],[Date]],Database!A:D,2,)</f>
        <v>60.3</v>
      </c>
      <c r="H380" s="26"/>
    </row>
    <row r="381" spans="1:8" x14ac:dyDescent="0.2">
      <c r="A381" s="37">
        <v>25477</v>
      </c>
      <c r="B381" s="38">
        <f>VLOOKUP(Table1[[#This Row],[Date]],Database!A:D,3,)</f>
        <v>71121</v>
      </c>
      <c r="C381" s="39">
        <f t="shared" si="11"/>
        <v>207</v>
      </c>
      <c r="D381" s="39">
        <f t="shared" si="10"/>
        <v>130.66666666666666</v>
      </c>
      <c r="E381" s="27">
        <f>VLOOKUP(Table1[[#This Row],[Date]],Database!A:D,4,)</f>
        <v>3.7</v>
      </c>
      <c r="F381" s="40">
        <v>-4.8768518913625556E-3</v>
      </c>
      <c r="G381" s="27">
        <f>VLOOKUP(Table1[[#This Row],[Date]],Database!A:D,2,)</f>
        <v>60.4</v>
      </c>
      <c r="H381" s="26"/>
    </row>
    <row r="382" spans="1:8" x14ac:dyDescent="0.2">
      <c r="A382" s="37">
        <v>25508</v>
      </c>
      <c r="B382" s="38">
        <f>VLOOKUP(Table1[[#This Row],[Date]],Database!A:D,3,)</f>
        <v>71086</v>
      </c>
      <c r="C382" s="39">
        <f t="shared" si="11"/>
        <v>-35</v>
      </c>
      <c r="D382" s="39">
        <f t="shared" si="10"/>
        <v>26</v>
      </c>
      <c r="E382" s="27">
        <f>VLOOKUP(Table1[[#This Row],[Date]],Database!A:D,4,)</f>
        <v>3.5</v>
      </c>
      <c r="F382" s="40">
        <v>-4.8768518913625556E-3</v>
      </c>
      <c r="G382" s="27">
        <f>VLOOKUP(Table1[[#This Row],[Date]],Database!A:D,2,)</f>
        <v>60.2</v>
      </c>
      <c r="H382" s="26"/>
    </row>
    <row r="383" spans="1:8" x14ac:dyDescent="0.2">
      <c r="A383" s="37">
        <v>25538</v>
      </c>
      <c r="B383" s="38">
        <f>VLOOKUP(Table1[[#This Row],[Date]],Database!A:D,3,)</f>
        <v>71241</v>
      </c>
      <c r="C383" s="39">
        <f t="shared" si="11"/>
        <v>155</v>
      </c>
      <c r="D383" s="39">
        <f t="shared" si="10"/>
        <v>109</v>
      </c>
      <c r="E383" s="27">
        <f>VLOOKUP(Table1[[#This Row],[Date]],Database!A:D,4,)</f>
        <v>3.5</v>
      </c>
      <c r="F383" s="40">
        <v>-4.8768518913625556E-3</v>
      </c>
      <c r="G383" s="27">
        <f>VLOOKUP(Table1[[#This Row],[Date]],Database!A:D,2,)</f>
        <v>60.2</v>
      </c>
      <c r="H383" s="26"/>
    </row>
    <row r="384" spans="1:8" x14ac:dyDescent="0.2">
      <c r="A384" s="37">
        <v>25569</v>
      </c>
      <c r="B384" s="38">
        <f>VLOOKUP(Table1[[#This Row],[Date]],Database!A:D,3,)</f>
        <v>71176</v>
      </c>
      <c r="C384" s="39">
        <f t="shared" si="11"/>
        <v>-65</v>
      </c>
      <c r="D384" s="39">
        <f t="shared" si="10"/>
        <v>18.333333333333332</v>
      </c>
      <c r="E384" s="27">
        <f>VLOOKUP(Table1[[#This Row],[Date]],Database!A:D,4,)</f>
        <v>3.9</v>
      </c>
      <c r="F384" s="40">
        <v>-1.4848496187753982E-3</v>
      </c>
      <c r="G384" s="27">
        <f>VLOOKUP(Table1[[#This Row],[Date]],Database!A:D,2,)</f>
        <v>60.4</v>
      </c>
      <c r="H384" s="26"/>
    </row>
    <row r="385" spans="1:8" x14ac:dyDescent="0.2">
      <c r="A385" s="37">
        <v>25600</v>
      </c>
      <c r="B385" s="38">
        <f>VLOOKUP(Table1[[#This Row],[Date]],Database!A:D,3,)</f>
        <v>71305</v>
      </c>
      <c r="C385" s="39">
        <f t="shared" si="11"/>
        <v>129</v>
      </c>
      <c r="D385" s="39">
        <f t="shared" si="10"/>
        <v>73</v>
      </c>
      <c r="E385" s="27">
        <f>VLOOKUP(Table1[[#This Row],[Date]],Database!A:D,4,)</f>
        <v>4.2</v>
      </c>
      <c r="F385" s="40">
        <v>-1.4848496187753982E-3</v>
      </c>
      <c r="G385" s="27">
        <f>VLOOKUP(Table1[[#This Row],[Date]],Database!A:D,2,)</f>
        <v>60.4</v>
      </c>
      <c r="H385" s="26"/>
    </row>
    <row r="386" spans="1:8" x14ac:dyDescent="0.2">
      <c r="A386" s="37">
        <v>25628</v>
      </c>
      <c r="B386" s="38">
        <f>VLOOKUP(Table1[[#This Row],[Date]],Database!A:D,3,)</f>
        <v>71451</v>
      </c>
      <c r="C386" s="39">
        <f t="shared" si="11"/>
        <v>146</v>
      </c>
      <c r="D386" s="39">
        <f t="shared" si="10"/>
        <v>70</v>
      </c>
      <c r="E386" s="27">
        <f>VLOOKUP(Table1[[#This Row],[Date]],Database!A:D,4,)</f>
        <v>4.4000000000000004</v>
      </c>
      <c r="F386" s="40">
        <v>-1.4848496187753982E-3</v>
      </c>
      <c r="G386" s="27">
        <f>VLOOKUP(Table1[[#This Row],[Date]],Database!A:D,2,)</f>
        <v>60.6</v>
      </c>
      <c r="H386" s="26"/>
    </row>
    <row r="387" spans="1:8" x14ac:dyDescent="0.2">
      <c r="A387" s="37">
        <v>25659</v>
      </c>
      <c r="B387" s="38">
        <f>VLOOKUP(Table1[[#This Row],[Date]],Database!A:D,3,)</f>
        <v>71348</v>
      </c>
      <c r="C387" s="39">
        <f t="shared" si="11"/>
        <v>-103</v>
      </c>
      <c r="D387" s="39">
        <f t="shared" si="10"/>
        <v>57.333333333333336</v>
      </c>
      <c r="E387" s="27">
        <f>VLOOKUP(Table1[[#This Row],[Date]],Database!A:D,4,)</f>
        <v>4.5999999999999996</v>
      </c>
      <c r="F387" s="40">
        <v>1.4191971225505505E-3</v>
      </c>
      <c r="G387" s="27">
        <f>VLOOKUP(Table1[[#This Row],[Date]],Database!A:D,2,)</f>
        <v>60.6</v>
      </c>
      <c r="H387" s="26"/>
    </row>
    <row r="388" spans="1:8" x14ac:dyDescent="0.2">
      <c r="A388" s="37">
        <v>25689</v>
      </c>
      <c r="B388" s="38">
        <f>VLOOKUP(Table1[[#This Row],[Date]],Database!A:D,3,)</f>
        <v>71124</v>
      </c>
      <c r="C388" s="39">
        <f t="shared" si="11"/>
        <v>-224</v>
      </c>
      <c r="D388" s="39">
        <f t="shared" si="10"/>
        <v>-60.333333333333336</v>
      </c>
      <c r="E388" s="27">
        <f>VLOOKUP(Table1[[#This Row],[Date]],Database!A:D,4,)</f>
        <v>4.8</v>
      </c>
      <c r="F388" s="40">
        <v>1.4191971225505505E-3</v>
      </c>
      <c r="G388" s="27">
        <f>VLOOKUP(Table1[[#This Row],[Date]],Database!A:D,2,)</f>
        <v>60.3</v>
      </c>
      <c r="H388" s="26"/>
    </row>
    <row r="389" spans="1:8" x14ac:dyDescent="0.2">
      <c r="A389" s="37">
        <v>25720</v>
      </c>
      <c r="B389" s="38">
        <f>VLOOKUP(Table1[[#This Row],[Date]],Database!A:D,3,)</f>
        <v>71029</v>
      </c>
      <c r="C389" s="39">
        <f t="shared" si="11"/>
        <v>-95</v>
      </c>
      <c r="D389" s="39">
        <f t="shared" si="10"/>
        <v>-140.66666666666666</v>
      </c>
      <c r="E389" s="27">
        <f>VLOOKUP(Table1[[#This Row],[Date]],Database!A:D,4,)</f>
        <v>4.9000000000000004</v>
      </c>
      <c r="F389" s="40">
        <v>1.4191971225505505E-3</v>
      </c>
      <c r="G389" s="27">
        <f>VLOOKUP(Table1[[#This Row],[Date]],Database!A:D,2,)</f>
        <v>60.2</v>
      </c>
      <c r="H389" s="26"/>
    </row>
    <row r="390" spans="1:8" x14ac:dyDescent="0.2">
      <c r="A390" s="37">
        <v>25750</v>
      </c>
      <c r="B390" s="38">
        <f>VLOOKUP(Table1[[#This Row],[Date]],Database!A:D,3,)</f>
        <v>71053</v>
      </c>
      <c r="C390" s="39">
        <f t="shared" si="11"/>
        <v>24</v>
      </c>
      <c r="D390" s="39">
        <f t="shared" si="10"/>
        <v>-98.333333333333329</v>
      </c>
      <c r="E390" s="27">
        <f>VLOOKUP(Table1[[#This Row],[Date]],Database!A:D,4,)</f>
        <v>5</v>
      </c>
      <c r="F390" s="40">
        <v>9.2157537017556607E-3</v>
      </c>
      <c r="G390" s="27">
        <f>VLOOKUP(Table1[[#This Row],[Date]],Database!A:D,2,)</f>
        <v>60.4</v>
      </c>
      <c r="H390" s="26"/>
    </row>
    <row r="391" spans="1:8" x14ac:dyDescent="0.2">
      <c r="A391" s="37">
        <v>25781</v>
      </c>
      <c r="B391" s="38">
        <f>VLOOKUP(Table1[[#This Row],[Date]],Database!A:D,3,)</f>
        <v>70937</v>
      </c>
      <c r="C391" s="39">
        <f t="shared" si="11"/>
        <v>-116</v>
      </c>
      <c r="D391" s="39">
        <f t="shared" si="10"/>
        <v>-62.333333333333336</v>
      </c>
      <c r="E391" s="27">
        <f>VLOOKUP(Table1[[#This Row],[Date]],Database!A:D,4,)</f>
        <v>5.0999999999999996</v>
      </c>
      <c r="F391" s="40">
        <v>9.2157537017556607E-3</v>
      </c>
      <c r="G391" s="27">
        <f>VLOOKUP(Table1[[#This Row],[Date]],Database!A:D,2,)</f>
        <v>60.3</v>
      </c>
      <c r="H391" s="26"/>
    </row>
    <row r="392" spans="1:8" x14ac:dyDescent="0.2">
      <c r="A392" s="37">
        <v>25812</v>
      </c>
      <c r="B392" s="38">
        <f>VLOOKUP(Table1[[#This Row],[Date]],Database!A:D,3,)</f>
        <v>70944</v>
      </c>
      <c r="C392" s="39">
        <f t="shared" si="11"/>
        <v>7</v>
      </c>
      <c r="D392" s="39">
        <f t="shared" si="10"/>
        <v>-28.333333333333332</v>
      </c>
      <c r="E392" s="27">
        <f>VLOOKUP(Table1[[#This Row],[Date]],Database!A:D,4,)</f>
        <v>5.4</v>
      </c>
      <c r="F392" s="40">
        <v>9.2157537017556607E-3</v>
      </c>
      <c r="G392" s="27">
        <f>VLOOKUP(Table1[[#This Row],[Date]],Database!A:D,2,)</f>
        <v>60.2</v>
      </c>
      <c r="H392" s="26"/>
    </row>
    <row r="393" spans="1:8" x14ac:dyDescent="0.2">
      <c r="A393" s="37">
        <v>25842</v>
      </c>
      <c r="B393" s="38">
        <f>VLOOKUP(Table1[[#This Row],[Date]],Database!A:D,3,)</f>
        <v>70521</v>
      </c>
      <c r="C393" s="39">
        <f t="shared" si="11"/>
        <v>-423</v>
      </c>
      <c r="D393" s="39">
        <f t="shared" si="10"/>
        <v>-177.33333333333334</v>
      </c>
      <c r="E393" s="27">
        <f>VLOOKUP(Table1[[#This Row],[Date]],Database!A:D,4,)</f>
        <v>5.5</v>
      </c>
      <c r="F393" s="40">
        <v>-1.0716435375180355E-2</v>
      </c>
      <c r="G393" s="27">
        <f>VLOOKUP(Table1[[#This Row],[Date]],Database!A:D,2,)</f>
        <v>60.4</v>
      </c>
      <c r="H393" s="26"/>
    </row>
    <row r="394" spans="1:8" x14ac:dyDescent="0.2">
      <c r="A394" s="37">
        <v>25873</v>
      </c>
      <c r="B394" s="38">
        <f>VLOOKUP(Table1[[#This Row],[Date]],Database!A:D,3,)</f>
        <v>70409</v>
      </c>
      <c r="C394" s="39">
        <f t="shared" si="11"/>
        <v>-112</v>
      </c>
      <c r="D394" s="39">
        <f t="shared" si="10"/>
        <v>-176</v>
      </c>
      <c r="E394" s="27">
        <f>VLOOKUP(Table1[[#This Row],[Date]],Database!A:D,4,)</f>
        <v>5.9</v>
      </c>
      <c r="F394" s="40">
        <v>-1.0716435375180355E-2</v>
      </c>
      <c r="G394" s="27">
        <f>VLOOKUP(Table1[[#This Row],[Date]],Database!A:D,2,)</f>
        <v>60.4</v>
      </c>
      <c r="H394" s="26"/>
    </row>
    <row r="395" spans="1:8" x14ac:dyDescent="0.2">
      <c r="A395" s="37">
        <v>25903</v>
      </c>
      <c r="B395" s="38">
        <f>VLOOKUP(Table1[[#This Row],[Date]],Database!A:D,3,)</f>
        <v>70792</v>
      </c>
      <c r="C395" s="39">
        <f t="shared" si="11"/>
        <v>383</v>
      </c>
      <c r="D395" s="39">
        <f t="shared" si="10"/>
        <v>-50.666666666666664</v>
      </c>
      <c r="E395" s="27">
        <f>VLOOKUP(Table1[[#This Row],[Date]],Database!A:D,4,)</f>
        <v>6.1</v>
      </c>
      <c r="F395" s="40">
        <v>-1.0716435375180355E-2</v>
      </c>
      <c r="G395" s="27">
        <f>VLOOKUP(Table1[[#This Row],[Date]],Database!A:D,2,)</f>
        <v>60.4</v>
      </c>
      <c r="H395" s="26"/>
    </row>
    <row r="396" spans="1:8" x14ac:dyDescent="0.2">
      <c r="A396" s="37">
        <v>25934</v>
      </c>
      <c r="B396" s="38">
        <f>VLOOKUP(Table1[[#This Row],[Date]],Database!A:D,3,)</f>
        <v>70865</v>
      </c>
      <c r="C396" s="39">
        <f t="shared" si="11"/>
        <v>73</v>
      </c>
      <c r="D396" s="39">
        <f t="shared" ref="D396:D459" si="12">AVERAGE(C394:C396)</f>
        <v>114.66666666666667</v>
      </c>
      <c r="E396" s="27">
        <f>VLOOKUP(Table1[[#This Row],[Date]],Database!A:D,4,)</f>
        <v>5.9</v>
      </c>
      <c r="F396" s="40">
        <v>2.7159914524667535E-2</v>
      </c>
      <c r="G396" s="27">
        <f>VLOOKUP(Table1[[#This Row],[Date]],Database!A:D,2,)</f>
        <v>60.4</v>
      </c>
      <c r="H396" s="26"/>
    </row>
    <row r="397" spans="1:8" x14ac:dyDescent="0.2">
      <c r="A397" s="37">
        <v>25965</v>
      </c>
      <c r="B397" s="38">
        <f>VLOOKUP(Table1[[#This Row],[Date]],Database!A:D,3,)</f>
        <v>70807</v>
      </c>
      <c r="C397" s="39">
        <f t="shared" ref="C397:C460" si="13">B397-B396</f>
        <v>-58</v>
      </c>
      <c r="D397" s="39">
        <f t="shared" si="12"/>
        <v>132.66666666666666</v>
      </c>
      <c r="E397" s="27">
        <f>VLOOKUP(Table1[[#This Row],[Date]],Database!A:D,4,)</f>
        <v>5.9</v>
      </c>
      <c r="F397" s="40">
        <v>2.7159914524667535E-2</v>
      </c>
      <c r="G397" s="27">
        <f>VLOOKUP(Table1[[#This Row],[Date]],Database!A:D,2,)</f>
        <v>60.1</v>
      </c>
      <c r="H397" s="26"/>
    </row>
    <row r="398" spans="1:8" x14ac:dyDescent="0.2">
      <c r="A398" s="37">
        <v>25993</v>
      </c>
      <c r="B398" s="38">
        <f>VLOOKUP(Table1[[#This Row],[Date]],Database!A:D,3,)</f>
        <v>70860</v>
      </c>
      <c r="C398" s="39">
        <f t="shared" si="13"/>
        <v>53</v>
      </c>
      <c r="D398" s="39">
        <f t="shared" si="12"/>
        <v>22.666666666666668</v>
      </c>
      <c r="E398" s="27">
        <f>VLOOKUP(Table1[[#This Row],[Date]],Database!A:D,4,)</f>
        <v>6</v>
      </c>
      <c r="F398" s="40">
        <v>2.7159914524667535E-2</v>
      </c>
      <c r="G398" s="27">
        <f>VLOOKUP(Table1[[#This Row],[Date]],Database!A:D,2,)</f>
        <v>60</v>
      </c>
      <c r="H398" s="26"/>
    </row>
    <row r="399" spans="1:8" x14ac:dyDescent="0.2">
      <c r="A399" s="37">
        <v>26024</v>
      </c>
      <c r="B399" s="38">
        <f>VLOOKUP(Table1[[#This Row],[Date]],Database!A:D,3,)</f>
        <v>71036</v>
      </c>
      <c r="C399" s="39">
        <f t="shared" si="13"/>
        <v>176</v>
      </c>
      <c r="D399" s="39">
        <f t="shared" si="12"/>
        <v>57</v>
      </c>
      <c r="E399" s="27">
        <f>VLOOKUP(Table1[[#This Row],[Date]],Database!A:D,4,)</f>
        <v>5.9</v>
      </c>
      <c r="F399" s="40">
        <v>5.4111192158344803E-3</v>
      </c>
      <c r="G399" s="27">
        <f>VLOOKUP(Table1[[#This Row],[Date]],Database!A:D,2,)</f>
        <v>60.1</v>
      </c>
      <c r="H399" s="26"/>
    </row>
    <row r="400" spans="1:8" x14ac:dyDescent="0.2">
      <c r="A400" s="37">
        <v>26054</v>
      </c>
      <c r="B400" s="38">
        <f>VLOOKUP(Table1[[#This Row],[Date]],Database!A:D,3,)</f>
        <v>71247</v>
      </c>
      <c r="C400" s="39">
        <f t="shared" si="13"/>
        <v>211</v>
      </c>
      <c r="D400" s="39">
        <f t="shared" si="12"/>
        <v>146.66666666666666</v>
      </c>
      <c r="E400" s="27">
        <f>VLOOKUP(Table1[[#This Row],[Date]],Database!A:D,4,)</f>
        <v>5.9</v>
      </c>
      <c r="F400" s="40">
        <v>5.4111192158344803E-3</v>
      </c>
      <c r="G400" s="27">
        <f>VLOOKUP(Table1[[#This Row],[Date]],Database!A:D,2,)</f>
        <v>60.2</v>
      </c>
      <c r="H400" s="26"/>
    </row>
    <row r="401" spans="1:8" x14ac:dyDescent="0.2">
      <c r="A401" s="37">
        <v>26085</v>
      </c>
      <c r="B401" s="38">
        <f>VLOOKUP(Table1[[#This Row],[Date]],Database!A:D,3,)</f>
        <v>71254</v>
      </c>
      <c r="C401" s="39">
        <f t="shared" si="13"/>
        <v>7</v>
      </c>
      <c r="D401" s="39">
        <f t="shared" si="12"/>
        <v>131.33333333333334</v>
      </c>
      <c r="E401" s="27">
        <f>VLOOKUP(Table1[[#This Row],[Date]],Database!A:D,4,)</f>
        <v>5.9</v>
      </c>
      <c r="F401" s="40">
        <v>5.4111192158344803E-3</v>
      </c>
      <c r="G401" s="27">
        <f>VLOOKUP(Table1[[#This Row],[Date]],Database!A:D,2,)</f>
        <v>59.8</v>
      </c>
      <c r="H401" s="26"/>
    </row>
    <row r="402" spans="1:8" x14ac:dyDescent="0.2">
      <c r="A402" s="37">
        <v>26115</v>
      </c>
      <c r="B402" s="38">
        <f>VLOOKUP(Table1[[#This Row],[Date]],Database!A:D,3,)</f>
        <v>71315</v>
      </c>
      <c r="C402" s="39">
        <f t="shared" si="13"/>
        <v>61</v>
      </c>
      <c r="D402" s="39">
        <f t="shared" si="12"/>
        <v>93</v>
      </c>
      <c r="E402" s="27">
        <f>VLOOKUP(Table1[[#This Row],[Date]],Database!A:D,4,)</f>
        <v>6</v>
      </c>
      <c r="F402" s="40">
        <v>8.2298463522665413E-3</v>
      </c>
      <c r="G402" s="27">
        <f>VLOOKUP(Table1[[#This Row],[Date]],Database!A:D,2,)</f>
        <v>60.1</v>
      </c>
      <c r="H402" s="26"/>
    </row>
    <row r="403" spans="1:8" x14ac:dyDescent="0.2">
      <c r="A403" s="37">
        <v>26146</v>
      </c>
      <c r="B403" s="38">
        <f>VLOOKUP(Table1[[#This Row],[Date]],Database!A:D,3,)</f>
        <v>71373</v>
      </c>
      <c r="C403" s="39">
        <f t="shared" si="13"/>
        <v>58</v>
      </c>
      <c r="D403" s="39">
        <f t="shared" si="12"/>
        <v>42</v>
      </c>
      <c r="E403" s="27">
        <f>VLOOKUP(Table1[[#This Row],[Date]],Database!A:D,4,)</f>
        <v>6.1</v>
      </c>
      <c r="F403" s="40">
        <v>8.2298463522665413E-3</v>
      </c>
      <c r="G403" s="27">
        <f>VLOOKUP(Table1[[#This Row],[Date]],Database!A:D,2,)</f>
        <v>60.2</v>
      </c>
      <c r="H403" s="26"/>
    </row>
    <row r="404" spans="1:8" x14ac:dyDescent="0.2">
      <c r="A404" s="37">
        <v>26177</v>
      </c>
      <c r="B404" s="38">
        <f>VLOOKUP(Table1[[#This Row],[Date]],Database!A:D,3,)</f>
        <v>71614</v>
      </c>
      <c r="C404" s="39">
        <f t="shared" si="13"/>
        <v>241</v>
      </c>
      <c r="D404" s="39">
        <f t="shared" si="12"/>
        <v>120</v>
      </c>
      <c r="E404" s="27">
        <f>VLOOKUP(Table1[[#This Row],[Date]],Database!A:D,4,)</f>
        <v>6</v>
      </c>
      <c r="F404" s="40">
        <v>8.2298463522665413E-3</v>
      </c>
      <c r="G404" s="27">
        <f>VLOOKUP(Table1[[#This Row],[Date]],Database!A:D,2,)</f>
        <v>60.1</v>
      </c>
      <c r="H404" s="26"/>
    </row>
    <row r="405" spans="1:8" x14ac:dyDescent="0.2">
      <c r="A405" s="37">
        <v>26207</v>
      </c>
      <c r="B405" s="38">
        <f>VLOOKUP(Table1[[#This Row],[Date]],Database!A:D,3,)</f>
        <v>71642</v>
      </c>
      <c r="C405" s="39">
        <f t="shared" si="13"/>
        <v>28</v>
      </c>
      <c r="D405" s="39">
        <f t="shared" si="12"/>
        <v>109</v>
      </c>
      <c r="E405" s="27">
        <f>VLOOKUP(Table1[[#This Row],[Date]],Database!A:D,4,)</f>
        <v>5.8</v>
      </c>
      <c r="F405" s="40">
        <v>2.357792995231913E-3</v>
      </c>
      <c r="G405" s="27">
        <f>VLOOKUP(Table1[[#This Row],[Date]],Database!A:D,2,)</f>
        <v>60.1</v>
      </c>
      <c r="H405" s="26"/>
    </row>
    <row r="406" spans="1:8" x14ac:dyDescent="0.2">
      <c r="A406" s="37">
        <v>26238</v>
      </c>
      <c r="B406" s="38">
        <f>VLOOKUP(Table1[[#This Row],[Date]],Database!A:D,3,)</f>
        <v>71847</v>
      </c>
      <c r="C406" s="39">
        <f t="shared" si="13"/>
        <v>205</v>
      </c>
      <c r="D406" s="39">
        <f t="shared" si="12"/>
        <v>158</v>
      </c>
      <c r="E406" s="27">
        <f>VLOOKUP(Table1[[#This Row],[Date]],Database!A:D,4,)</f>
        <v>6</v>
      </c>
      <c r="F406" s="40">
        <v>2.357792995231913E-3</v>
      </c>
      <c r="G406" s="27">
        <f>VLOOKUP(Table1[[#This Row],[Date]],Database!A:D,2,)</f>
        <v>60.4</v>
      </c>
      <c r="H406" s="26"/>
    </row>
    <row r="407" spans="1:8" x14ac:dyDescent="0.2">
      <c r="A407" s="37">
        <v>26268</v>
      </c>
      <c r="B407" s="38">
        <f>VLOOKUP(Table1[[#This Row],[Date]],Database!A:D,3,)</f>
        <v>72109</v>
      </c>
      <c r="C407" s="39">
        <f t="shared" si="13"/>
        <v>262</v>
      </c>
      <c r="D407" s="39">
        <f t="shared" si="12"/>
        <v>165</v>
      </c>
      <c r="E407" s="27">
        <f>VLOOKUP(Table1[[#This Row],[Date]],Database!A:D,4,)</f>
        <v>6</v>
      </c>
      <c r="F407" s="40">
        <v>2.357792995231913E-3</v>
      </c>
      <c r="G407" s="27">
        <f>VLOOKUP(Table1[[#This Row],[Date]],Database!A:D,2,)</f>
        <v>60.4</v>
      </c>
      <c r="H407" s="26"/>
    </row>
    <row r="408" spans="1:8" x14ac:dyDescent="0.2">
      <c r="A408" s="37">
        <v>26299</v>
      </c>
      <c r="B408" s="38">
        <f>VLOOKUP(Table1[[#This Row],[Date]],Database!A:D,3,)</f>
        <v>72441</v>
      </c>
      <c r="C408" s="39">
        <f t="shared" si="13"/>
        <v>332</v>
      </c>
      <c r="D408" s="39">
        <f t="shared" si="12"/>
        <v>266.33333333333331</v>
      </c>
      <c r="E408" s="27">
        <f>VLOOKUP(Table1[[#This Row],[Date]],Database!A:D,4,)</f>
        <v>5.8</v>
      </c>
      <c r="F408" s="40">
        <v>1.8389534957083242E-2</v>
      </c>
      <c r="G408" s="27">
        <f>VLOOKUP(Table1[[#This Row],[Date]],Database!A:D,2,)</f>
        <v>60.2</v>
      </c>
      <c r="H408" s="26"/>
    </row>
    <row r="409" spans="1:8" x14ac:dyDescent="0.2">
      <c r="A409" s="37">
        <v>26330</v>
      </c>
      <c r="B409" s="38">
        <f>VLOOKUP(Table1[[#This Row],[Date]],Database!A:D,3,)</f>
        <v>72648</v>
      </c>
      <c r="C409" s="39">
        <f t="shared" si="13"/>
        <v>207</v>
      </c>
      <c r="D409" s="39">
        <f t="shared" si="12"/>
        <v>267</v>
      </c>
      <c r="E409" s="27">
        <f>VLOOKUP(Table1[[#This Row],[Date]],Database!A:D,4,)</f>
        <v>5.7</v>
      </c>
      <c r="F409" s="40">
        <v>1.8389534957083242E-2</v>
      </c>
      <c r="G409" s="27">
        <f>VLOOKUP(Table1[[#This Row],[Date]],Database!A:D,2,)</f>
        <v>60.2</v>
      </c>
      <c r="H409" s="26"/>
    </row>
    <row r="410" spans="1:8" x14ac:dyDescent="0.2">
      <c r="A410" s="37">
        <v>26359</v>
      </c>
      <c r="B410" s="38">
        <f>VLOOKUP(Table1[[#This Row],[Date]],Database!A:D,3,)</f>
        <v>72944</v>
      </c>
      <c r="C410" s="39">
        <f t="shared" si="13"/>
        <v>296</v>
      </c>
      <c r="D410" s="39">
        <f t="shared" si="12"/>
        <v>278.33333333333331</v>
      </c>
      <c r="E410" s="27">
        <f>VLOOKUP(Table1[[#This Row],[Date]],Database!A:D,4,)</f>
        <v>5.8</v>
      </c>
      <c r="F410" s="40">
        <v>1.8389534957083242E-2</v>
      </c>
      <c r="G410" s="27">
        <f>VLOOKUP(Table1[[#This Row],[Date]],Database!A:D,2,)</f>
        <v>60.5</v>
      </c>
      <c r="H410" s="26"/>
    </row>
    <row r="411" spans="1:8" x14ac:dyDescent="0.2">
      <c r="A411" s="37">
        <v>26390</v>
      </c>
      <c r="B411" s="38">
        <f>VLOOKUP(Table1[[#This Row],[Date]],Database!A:D,3,)</f>
        <v>73162</v>
      </c>
      <c r="C411" s="39">
        <f t="shared" si="13"/>
        <v>218</v>
      </c>
      <c r="D411" s="39">
        <f t="shared" si="12"/>
        <v>240.33333333333334</v>
      </c>
      <c r="E411" s="27">
        <f>VLOOKUP(Table1[[#This Row],[Date]],Database!A:D,4,)</f>
        <v>5.7</v>
      </c>
      <c r="F411" s="40">
        <v>2.2697596290031156E-2</v>
      </c>
      <c r="G411" s="27">
        <f>VLOOKUP(Table1[[#This Row],[Date]],Database!A:D,2,)</f>
        <v>60.4</v>
      </c>
      <c r="H411" s="26"/>
    </row>
    <row r="412" spans="1:8" x14ac:dyDescent="0.2">
      <c r="A412" s="37">
        <v>26420</v>
      </c>
      <c r="B412" s="38">
        <f>VLOOKUP(Table1[[#This Row],[Date]],Database!A:D,3,)</f>
        <v>73469</v>
      </c>
      <c r="C412" s="39">
        <f t="shared" si="13"/>
        <v>307</v>
      </c>
      <c r="D412" s="39">
        <f t="shared" si="12"/>
        <v>273.66666666666669</v>
      </c>
      <c r="E412" s="27">
        <f>VLOOKUP(Table1[[#This Row],[Date]],Database!A:D,4,)</f>
        <v>5.7</v>
      </c>
      <c r="F412" s="40">
        <v>2.2697596290031156E-2</v>
      </c>
      <c r="G412" s="27">
        <f>VLOOKUP(Table1[[#This Row],[Date]],Database!A:D,2,)</f>
        <v>60.4</v>
      </c>
      <c r="H412" s="26"/>
    </row>
    <row r="413" spans="1:8" x14ac:dyDescent="0.2">
      <c r="A413" s="37">
        <v>26451</v>
      </c>
      <c r="B413" s="38">
        <f>VLOOKUP(Table1[[#This Row],[Date]],Database!A:D,3,)</f>
        <v>73758</v>
      </c>
      <c r="C413" s="39">
        <f t="shared" si="13"/>
        <v>289</v>
      </c>
      <c r="D413" s="39">
        <f t="shared" si="12"/>
        <v>271.33333333333331</v>
      </c>
      <c r="E413" s="27">
        <f>VLOOKUP(Table1[[#This Row],[Date]],Database!A:D,4,)</f>
        <v>5.7</v>
      </c>
      <c r="F413" s="40">
        <v>2.2697596290031156E-2</v>
      </c>
      <c r="G413" s="27">
        <f>VLOOKUP(Table1[[#This Row],[Date]],Database!A:D,2,)</f>
        <v>60.4</v>
      </c>
      <c r="H413" s="26"/>
    </row>
    <row r="414" spans="1:8" x14ac:dyDescent="0.2">
      <c r="A414" s="37">
        <v>26481</v>
      </c>
      <c r="B414" s="38">
        <f>VLOOKUP(Table1[[#This Row],[Date]],Database!A:D,3,)</f>
        <v>73709</v>
      </c>
      <c r="C414" s="39">
        <f t="shared" si="13"/>
        <v>-49</v>
      </c>
      <c r="D414" s="39">
        <f t="shared" si="12"/>
        <v>182.33333333333334</v>
      </c>
      <c r="E414" s="27">
        <f>VLOOKUP(Table1[[#This Row],[Date]],Database!A:D,4,)</f>
        <v>5.6</v>
      </c>
      <c r="F414" s="40">
        <v>9.4439096037405787E-3</v>
      </c>
      <c r="G414" s="27">
        <f>VLOOKUP(Table1[[#This Row],[Date]],Database!A:D,2,)</f>
        <v>60.4</v>
      </c>
      <c r="H414" s="26"/>
    </row>
    <row r="415" spans="1:8" x14ac:dyDescent="0.2">
      <c r="A415" s="37">
        <v>26512</v>
      </c>
      <c r="B415" s="38">
        <f>VLOOKUP(Table1[[#This Row],[Date]],Database!A:D,3,)</f>
        <v>74141</v>
      </c>
      <c r="C415" s="39">
        <f t="shared" si="13"/>
        <v>432</v>
      </c>
      <c r="D415" s="39">
        <f t="shared" si="12"/>
        <v>224</v>
      </c>
      <c r="E415" s="27">
        <f>VLOOKUP(Table1[[#This Row],[Date]],Database!A:D,4,)</f>
        <v>5.6</v>
      </c>
      <c r="F415" s="40">
        <v>9.4439096037405787E-3</v>
      </c>
      <c r="G415" s="27">
        <f>VLOOKUP(Table1[[#This Row],[Date]],Database!A:D,2,)</f>
        <v>60.6</v>
      </c>
      <c r="H415" s="26"/>
    </row>
    <row r="416" spans="1:8" x14ac:dyDescent="0.2">
      <c r="A416" s="37">
        <v>26543</v>
      </c>
      <c r="B416" s="38">
        <f>VLOOKUP(Table1[[#This Row],[Date]],Database!A:D,3,)</f>
        <v>74264</v>
      </c>
      <c r="C416" s="39">
        <f t="shared" si="13"/>
        <v>123</v>
      </c>
      <c r="D416" s="39">
        <f t="shared" si="12"/>
        <v>168.66666666666666</v>
      </c>
      <c r="E416" s="27">
        <f>VLOOKUP(Table1[[#This Row],[Date]],Database!A:D,4,)</f>
        <v>5.5</v>
      </c>
      <c r="F416" s="40">
        <v>9.4439096037405787E-3</v>
      </c>
      <c r="G416" s="27">
        <f>VLOOKUP(Table1[[#This Row],[Date]],Database!A:D,2,)</f>
        <v>60.4</v>
      </c>
      <c r="H416" s="26"/>
    </row>
    <row r="417" spans="1:8" x14ac:dyDescent="0.2">
      <c r="A417" s="37">
        <v>26573</v>
      </c>
      <c r="B417" s="38">
        <f>VLOOKUP(Table1[[#This Row],[Date]],Database!A:D,3,)</f>
        <v>74674</v>
      </c>
      <c r="C417" s="39">
        <f t="shared" si="13"/>
        <v>410</v>
      </c>
      <c r="D417" s="39">
        <f t="shared" si="12"/>
        <v>321.66666666666669</v>
      </c>
      <c r="E417" s="27">
        <f>VLOOKUP(Table1[[#This Row],[Date]],Database!A:D,4,)</f>
        <v>5.6</v>
      </c>
      <c r="F417" s="40">
        <v>1.6744612712049547E-2</v>
      </c>
      <c r="G417" s="27">
        <f>VLOOKUP(Table1[[#This Row],[Date]],Database!A:D,2,)</f>
        <v>60.3</v>
      </c>
      <c r="H417" s="26"/>
    </row>
    <row r="418" spans="1:8" x14ac:dyDescent="0.2">
      <c r="A418" s="37">
        <v>26604</v>
      </c>
      <c r="B418" s="38">
        <f>VLOOKUP(Table1[[#This Row],[Date]],Database!A:D,3,)</f>
        <v>74973</v>
      </c>
      <c r="C418" s="39">
        <f t="shared" si="13"/>
        <v>299</v>
      </c>
      <c r="D418" s="39">
        <f t="shared" si="12"/>
        <v>277.33333333333331</v>
      </c>
      <c r="E418" s="27">
        <f>VLOOKUP(Table1[[#This Row],[Date]],Database!A:D,4,)</f>
        <v>5.3</v>
      </c>
      <c r="F418" s="40">
        <v>1.6744612712049547E-2</v>
      </c>
      <c r="G418" s="27">
        <f>VLOOKUP(Table1[[#This Row],[Date]],Database!A:D,2,)</f>
        <v>60.3</v>
      </c>
      <c r="H418" s="26"/>
    </row>
    <row r="419" spans="1:8" x14ac:dyDescent="0.2">
      <c r="A419" s="37">
        <v>26634</v>
      </c>
      <c r="B419" s="38">
        <f>VLOOKUP(Table1[[#This Row],[Date]],Database!A:D,3,)</f>
        <v>75268</v>
      </c>
      <c r="C419" s="39">
        <f t="shared" si="13"/>
        <v>295</v>
      </c>
      <c r="D419" s="39">
        <f t="shared" si="12"/>
        <v>334.66666666666669</v>
      </c>
      <c r="E419" s="27">
        <f>VLOOKUP(Table1[[#This Row],[Date]],Database!A:D,4,)</f>
        <v>5.2</v>
      </c>
      <c r="F419" s="40">
        <v>1.6744612712049547E-2</v>
      </c>
      <c r="G419" s="27">
        <f>VLOOKUP(Table1[[#This Row],[Date]],Database!A:D,2,)</f>
        <v>60.5</v>
      </c>
      <c r="H419" s="26"/>
    </row>
    <row r="420" spans="1:8" x14ac:dyDescent="0.2">
      <c r="A420" s="37">
        <v>26665</v>
      </c>
      <c r="B420" s="38">
        <f>VLOOKUP(Table1[[#This Row],[Date]],Database!A:D,3,)</f>
        <v>75617</v>
      </c>
      <c r="C420" s="39">
        <f t="shared" si="13"/>
        <v>349</v>
      </c>
      <c r="D420" s="39">
        <f t="shared" si="12"/>
        <v>314.33333333333331</v>
      </c>
      <c r="E420" s="27">
        <f>VLOOKUP(Table1[[#This Row],[Date]],Database!A:D,4,)</f>
        <v>4.9000000000000004</v>
      </c>
      <c r="F420" s="40">
        <v>2.4748129266402224E-2</v>
      </c>
      <c r="G420" s="27">
        <f>VLOOKUP(Table1[[#This Row],[Date]],Database!A:D,2,)</f>
        <v>60</v>
      </c>
      <c r="H420" s="26"/>
    </row>
    <row r="421" spans="1:8" x14ac:dyDescent="0.2">
      <c r="A421" s="37">
        <v>26696</v>
      </c>
      <c r="B421" s="38">
        <f>VLOOKUP(Table1[[#This Row],[Date]],Database!A:D,3,)</f>
        <v>76014</v>
      </c>
      <c r="C421" s="39">
        <f t="shared" si="13"/>
        <v>397</v>
      </c>
      <c r="D421" s="39">
        <f t="shared" si="12"/>
        <v>347</v>
      </c>
      <c r="E421" s="27">
        <f>VLOOKUP(Table1[[#This Row],[Date]],Database!A:D,4,)</f>
        <v>5</v>
      </c>
      <c r="F421" s="40">
        <v>2.4748129266402224E-2</v>
      </c>
      <c r="G421" s="27">
        <f>VLOOKUP(Table1[[#This Row],[Date]],Database!A:D,2,)</f>
        <v>60.5</v>
      </c>
      <c r="H421" s="26"/>
    </row>
    <row r="422" spans="1:8" x14ac:dyDescent="0.2">
      <c r="A422" s="37">
        <v>26724</v>
      </c>
      <c r="B422" s="38">
        <f>VLOOKUP(Table1[[#This Row],[Date]],Database!A:D,3,)</f>
        <v>76284</v>
      </c>
      <c r="C422" s="39">
        <f t="shared" si="13"/>
        <v>270</v>
      </c>
      <c r="D422" s="39">
        <f t="shared" si="12"/>
        <v>338.66666666666669</v>
      </c>
      <c r="E422" s="27">
        <f>VLOOKUP(Table1[[#This Row],[Date]],Database!A:D,4,)</f>
        <v>4.9000000000000004</v>
      </c>
      <c r="F422" s="40">
        <v>2.4748129266402224E-2</v>
      </c>
      <c r="G422" s="27">
        <f>VLOOKUP(Table1[[#This Row],[Date]],Database!A:D,2,)</f>
        <v>60.8</v>
      </c>
      <c r="H422" s="26"/>
    </row>
    <row r="423" spans="1:8" x14ac:dyDescent="0.2">
      <c r="A423" s="37">
        <v>26755</v>
      </c>
      <c r="B423" s="38">
        <f>VLOOKUP(Table1[[#This Row],[Date]],Database!A:D,3,)</f>
        <v>76455</v>
      </c>
      <c r="C423" s="39">
        <f t="shared" si="13"/>
        <v>171</v>
      </c>
      <c r="D423" s="39">
        <f t="shared" si="12"/>
        <v>279.33333333333331</v>
      </c>
      <c r="E423" s="27">
        <f>VLOOKUP(Table1[[#This Row],[Date]],Database!A:D,4,)</f>
        <v>5</v>
      </c>
      <c r="F423" s="40">
        <v>1.0886514874432665E-2</v>
      </c>
      <c r="G423" s="27">
        <f>VLOOKUP(Table1[[#This Row],[Date]],Database!A:D,2,)</f>
        <v>60.8</v>
      </c>
      <c r="H423" s="26"/>
    </row>
    <row r="424" spans="1:8" x14ac:dyDescent="0.2">
      <c r="A424" s="37">
        <v>26785</v>
      </c>
      <c r="B424" s="38">
        <f>VLOOKUP(Table1[[#This Row],[Date]],Database!A:D,3,)</f>
        <v>76648</v>
      </c>
      <c r="C424" s="39">
        <f t="shared" si="13"/>
        <v>193</v>
      </c>
      <c r="D424" s="39">
        <f t="shared" si="12"/>
        <v>211.33333333333334</v>
      </c>
      <c r="E424" s="27">
        <f>VLOOKUP(Table1[[#This Row],[Date]],Database!A:D,4,)</f>
        <v>4.9000000000000004</v>
      </c>
      <c r="F424" s="40">
        <v>1.0886514874432665E-2</v>
      </c>
      <c r="G424" s="27">
        <f>VLOOKUP(Table1[[#This Row],[Date]],Database!A:D,2,)</f>
        <v>60.6</v>
      </c>
      <c r="H424" s="26"/>
    </row>
    <row r="425" spans="1:8" x14ac:dyDescent="0.2">
      <c r="A425" s="37">
        <v>26816</v>
      </c>
      <c r="B425" s="38">
        <f>VLOOKUP(Table1[[#This Row],[Date]],Database!A:D,3,)</f>
        <v>76887</v>
      </c>
      <c r="C425" s="39">
        <f t="shared" si="13"/>
        <v>239</v>
      </c>
      <c r="D425" s="39">
        <f t="shared" si="12"/>
        <v>201</v>
      </c>
      <c r="E425" s="27">
        <f>VLOOKUP(Table1[[#This Row],[Date]],Database!A:D,4,)</f>
        <v>4.9000000000000004</v>
      </c>
      <c r="F425" s="40">
        <v>1.0886514874432665E-2</v>
      </c>
      <c r="G425" s="27">
        <f>VLOOKUP(Table1[[#This Row],[Date]],Database!A:D,2,)</f>
        <v>60.9</v>
      </c>
      <c r="H425" s="26"/>
    </row>
    <row r="426" spans="1:8" x14ac:dyDescent="0.2">
      <c r="A426" s="37">
        <v>26846</v>
      </c>
      <c r="B426" s="38">
        <f>VLOOKUP(Table1[[#This Row],[Date]],Database!A:D,3,)</f>
        <v>76913</v>
      </c>
      <c r="C426" s="39">
        <f t="shared" si="13"/>
        <v>26</v>
      </c>
      <c r="D426" s="39">
        <f t="shared" si="12"/>
        <v>152.66666666666666</v>
      </c>
      <c r="E426" s="27">
        <f>VLOOKUP(Table1[[#This Row],[Date]],Database!A:D,4,)</f>
        <v>4.8</v>
      </c>
      <c r="F426" s="40">
        <v>-5.2590260546013746E-3</v>
      </c>
      <c r="G426" s="27">
        <f>VLOOKUP(Table1[[#This Row],[Date]],Database!A:D,2,)</f>
        <v>60.9</v>
      </c>
      <c r="H426" s="26"/>
    </row>
    <row r="427" spans="1:8" x14ac:dyDescent="0.2">
      <c r="A427" s="37">
        <v>26877</v>
      </c>
      <c r="B427" s="38">
        <f>VLOOKUP(Table1[[#This Row],[Date]],Database!A:D,3,)</f>
        <v>77168</v>
      </c>
      <c r="C427" s="39">
        <f t="shared" si="13"/>
        <v>255</v>
      </c>
      <c r="D427" s="39">
        <f t="shared" si="12"/>
        <v>173.33333333333334</v>
      </c>
      <c r="E427" s="27">
        <f>VLOOKUP(Table1[[#This Row],[Date]],Database!A:D,4,)</f>
        <v>4.8</v>
      </c>
      <c r="F427" s="40">
        <v>-5.2590260546013746E-3</v>
      </c>
      <c r="G427" s="27">
        <f>VLOOKUP(Table1[[#This Row],[Date]],Database!A:D,2,)</f>
        <v>60.7</v>
      </c>
      <c r="H427" s="26"/>
    </row>
    <row r="428" spans="1:8" x14ac:dyDescent="0.2">
      <c r="A428" s="37">
        <v>26908</v>
      </c>
      <c r="B428" s="38">
        <f>VLOOKUP(Table1[[#This Row],[Date]],Database!A:D,3,)</f>
        <v>77276</v>
      </c>
      <c r="C428" s="39">
        <f t="shared" si="13"/>
        <v>108</v>
      </c>
      <c r="D428" s="39">
        <f t="shared" si="12"/>
        <v>129.66666666666666</v>
      </c>
      <c r="E428" s="27">
        <f>VLOOKUP(Table1[[#This Row],[Date]],Database!A:D,4,)</f>
        <v>4.8</v>
      </c>
      <c r="F428" s="40">
        <v>-5.2590260546013746E-3</v>
      </c>
      <c r="G428" s="27">
        <f>VLOOKUP(Table1[[#This Row],[Date]],Database!A:D,2,)</f>
        <v>60.8</v>
      </c>
      <c r="H428" s="26"/>
    </row>
    <row r="429" spans="1:8" x14ac:dyDescent="0.2">
      <c r="A429" s="37">
        <v>26938</v>
      </c>
      <c r="B429" s="38">
        <f>VLOOKUP(Table1[[#This Row],[Date]],Database!A:D,3,)</f>
        <v>77607</v>
      </c>
      <c r="C429" s="39">
        <f t="shared" si="13"/>
        <v>331</v>
      </c>
      <c r="D429" s="39">
        <f t="shared" si="12"/>
        <v>231.33333333333334</v>
      </c>
      <c r="E429" s="27">
        <f>VLOOKUP(Table1[[#This Row],[Date]],Database!A:D,4,)</f>
        <v>4.5999999999999996</v>
      </c>
      <c r="F429" s="40">
        <v>9.4922542782114646E-3</v>
      </c>
      <c r="G429" s="27">
        <f>VLOOKUP(Table1[[#This Row],[Date]],Database!A:D,2,)</f>
        <v>60.9</v>
      </c>
      <c r="H429" s="26"/>
    </row>
    <row r="430" spans="1:8" x14ac:dyDescent="0.2">
      <c r="A430" s="37">
        <v>26969</v>
      </c>
      <c r="B430" s="38">
        <f>VLOOKUP(Table1[[#This Row],[Date]],Database!A:D,3,)</f>
        <v>77920</v>
      </c>
      <c r="C430" s="39">
        <f t="shared" si="13"/>
        <v>313</v>
      </c>
      <c r="D430" s="39">
        <f t="shared" si="12"/>
        <v>250.66666666666666</v>
      </c>
      <c r="E430" s="27">
        <f>VLOOKUP(Table1[[#This Row],[Date]],Database!A:D,4,)</f>
        <v>4.8</v>
      </c>
      <c r="F430" s="40">
        <v>9.4922542782114646E-3</v>
      </c>
      <c r="G430" s="27">
        <f>VLOOKUP(Table1[[#This Row],[Date]],Database!A:D,2,)</f>
        <v>61.2</v>
      </c>
      <c r="H430" s="26"/>
    </row>
    <row r="431" spans="1:8" x14ac:dyDescent="0.2">
      <c r="A431" s="37">
        <v>26999</v>
      </c>
      <c r="B431" s="38">
        <f>VLOOKUP(Table1[[#This Row],[Date]],Database!A:D,3,)</f>
        <v>78031</v>
      </c>
      <c r="C431" s="39">
        <f t="shared" si="13"/>
        <v>111</v>
      </c>
      <c r="D431" s="39">
        <f t="shared" si="12"/>
        <v>251.66666666666666</v>
      </c>
      <c r="E431" s="27">
        <f>VLOOKUP(Table1[[#This Row],[Date]],Database!A:D,4,)</f>
        <v>4.9000000000000004</v>
      </c>
      <c r="F431" s="40">
        <v>9.4922542782114646E-3</v>
      </c>
      <c r="G431" s="27">
        <f>VLOOKUP(Table1[[#This Row],[Date]],Database!A:D,2,)</f>
        <v>61.2</v>
      </c>
      <c r="H431" s="26"/>
    </row>
    <row r="432" spans="1:8" x14ac:dyDescent="0.2">
      <c r="A432" s="37">
        <v>27030</v>
      </c>
      <c r="B432" s="38">
        <f>VLOOKUP(Table1[[#This Row],[Date]],Database!A:D,3,)</f>
        <v>78100</v>
      </c>
      <c r="C432" s="39">
        <f t="shared" si="13"/>
        <v>69</v>
      </c>
      <c r="D432" s="39">
        <f t="shared" si="12"/>
        <v>164.33333333333334</v>
      </c>
      <c r="E432" s="27">
        <f>VLOOKUP(Table1[[#This Row],[Date]],Database!A:D,4,)</f>
        <v>5.0999999999999996</v>
      </c>
      <c r="F432" s="40">
        <v>-8.5976508215840023E-3</v>
      </c>
      <c r="G432" s="27">
        <f>VLOOKUP(Table1[[#This Row],[Date]],Database!A:D,2,)</f>
        <v>61.3</v>
      </c>
      <c r="H432" s="26"/>
    </row>
    <row r="433" spans="1:8" x14ac:dyDescent="0.2">
      <c r="A433" s="37">
        <v>27061</v>
      </c>
      <c r="B433" s="38">
        <f>VLOOKUP(Table1[[#This Row],[Date]],Database!A:D,3,)</f>
        <v>78254</v>
      </c>
      <c r="C433" s="39">
        <f t="shared" si="13"/>
        <v>154</v>
      </c>
      <c r="D433" s="39">
        <f t="shared" si="12"/>
        <v>111.33333333333333</v>
      </c>
      <c r="E433" s="27">
        <f>VLOOKUP(Table1[[#This Row],[Date]],Database!A:D,4,)</f>
        <v>5.2</v>
      </c>
      <c r="F433" s="40">
        <v>-8.5976508215840023E-3</v>
      </c>
      <c r="G433" s="27">
        <f>VLOOKUP(Table1[[#This Row],[Date]],Database!A:D,2,)</f>
        <v>61.4</v>
      </c>
      <c r="H433" s="26"/>
    </row>
    <row r="434" spans="1:8" x14ac:dyDescent="0.2">
      <c r="A434" s="37">
        <v>27089</v>
      </c>
      <c r="B434" s="38">
        <f>VLOOKUP(Table1[[#This Row],[Date]],Database!A:D,3,)</f>
        <v>78296</v>
      </c>
      <c r="C434" s="39">
        <f t="shared" si="13"/>
        <v>42</v>
      </c>
      <c r="D434" s="39">
        <f t="shared" si="12"/>
        <v>88.333333333333329</v>
      </c>
      <c r="E434" s="27">
        <f>VLOOKUP(Table1[[#This Row],[Date]],Database!A:D,4,)</f>
        <v>5.0999999999999996</v>
      </c>
      <c r="F434" s="40">
        <v>-8.5976508215840023E-3</v>
      </c>
      <c r="G434" s="27">
        <f>VLOOKUP(Table1[[#This Row],[Date]],Database!A:D,2,)</f>
        <v>61.3</v>
      </c>
      <c r="H434" s="26"/>
    </row>
    <row r="435" spans="1:8" x14ac:dyDescent="0.2">
      <c r="A435" s="37">
        <v>27120</v>
      </c>
      <c r="B435" s="38">
        <f>VLOOKUP(Table1[[#This Row],[Date]],Database!A:D,3,)</f>
        <v>78382</v>
      </c>
      <c r="C435" s="39">
        <f t="shared" si="13"/>
        <v>86</v>
      </c>
      <c r="D435" s="39">
        <f t="shared" si="12"/>
        <v>94</v>
      </c>
      <c r="E435" s="27">
        <f>VLOOKUP(Table1[[#This Row],[Date]],Database!A:D,4,)</f>
        <v>5.0999999999999996</v>
      </c>
      <c r="F435" s="40">
        <v>2.3767709338366454E-3</v>
      </c>
      <c r="G435" s="27">
        <f>VLOOKUP(Table1[[#This Row],[Date]],Database!A:D,2,)</f>
        <v>61.1</v>
      </c>
      <c r="H435" s="26"/>
    </row>
    <row r="436" spans="1:8" x14ac:dyDescent="0.2">
      <c r="A436" s="37">
        <v>27150</v>
      </c>
      <c r="B436" s="38">
        <f>VLOOKUP(Table1[[#This Row],[Date]],Database!A:D,3,)</f>
        <v>78549</v>
      </c>
      <c r="C436" s="39">
        <f t="shared" si="13"/>
        <v>167</v>
      </c>
      <c r="D436" s="39">
        <f t="shared" si="12"/>
        <v>98.333333333333329</v>
      </c>
      <c r="E436" s="27">
        <f>VLOOKUP(Table1[[#This Row],[Date]],Database!A:D,4,)</f>
        <v>5.0999999999999996</v>
      </c>
      <c r="F436" s="40">
        <v>2.3767709338366454E-3</v>
      </c>
      <c r="G436" s="27">
        <f>VLOOKUP(Table1[[#This Row],[Date]],Database!A:D,2,)</f>
        <v>61.2</v>
      </c>
      <c r="H436" s="26"/>
    </row>
    <row r="437" spans="1:8" x14ac:dyDescent="0.2">
      <c r="A437" s="37">
        <v>27181</v>
      </c>
      <c r="B437" s="38">
        <f>VLOOKUP(Table1[[#This Row],[Date]],Database!A:D,3,)</f>
        <v>78604</v>
      </c>
      <c r="C437" s="39">
        <f t="shared" si="13"/>
        <v>55</v>
      </c>
      <c r="D437" s="39">
        <f t="shared" si="12"/>
        <v>102.66666666666667</v>
      </c>
      <c r="E437" s="27">
        <f>VLOOKUP(Table1[[#This Row],[Date]],Database!A:D,4,)</f>
        <v>5.4</v>
      </c>
      <c r="F437" s="40">
        <v>2.3767709338366454E-3</v>
      </c>
      <c r="G437" s="27">
        <f>VLOOKUP(Table1[[#This Row],[Date]],Database!A:D,2,)</f>
        <v>61.2</v>
      </c>
      <c r="H437" s="26"/>
    </row>
    <row r="438" spans="1:8" x14ac:dyDescent="0.2">
      <c r="A438" s="37">
        <v>27211</v>
      </c>
      <c r="B438" s="38">
        <f>VLOOKUP(Table1[[#This Row],[Date]],Database!A:D,3,)</f>
        <v>78636</v>
      </c>
      <c r="C438" s="39">
        <f t="shared" si="13"/>
        <v>32</v>
      </c>
      <c r="D438" s="39">
        <f t="shared" si="12"/>
        <v>84.666666666666671</v>
      </c>
      <c r="E438" s="27">
        <f>VLOOKUP(Table1[[#This Row],[Date]],Database!A:D,4,)</f>
        <v>5.5</v>
      </c>
      <c r="F438" s="40">
        <v>-9.4513378810690361E-3</v>
      </c>
      <c r="G438" s="27">
        <f>VLOOKUP(Table1[[#This Row],[Date]],Database!A:D,2,)</f>
        <v>61.4</v>
      </c>
      <c r="H438" s="26"/>
    </row>
    <row r="439" spans="1:8" x14ac:dyDescent="0.2">
      <c r="A439" s="37">
        <v>27242</v>
      </c>
      <c r="B439" s="38">
        <f>VLOOKUP(Table1[[#This Row],[Date]],Database!A:D,3,)</f>
        <v>78619</v>
      </c>
      <c r="C439" s="39">
        <f t="shared" si="13"/>
        <v>-17</v>
      </c>
      <c r="D439" s="39">
        <f t="shared" si="12"/>
        <v>23.333333333333332</v>
      </c>
      <c r="E439" s="27">
        <f>VLOOKUP(Table1[[#This Row],[Date]],Database!A:D,4,)</f>
        <v>5.5</v>
      </c>
      <c r="F439" s="40">
        <v>-9.4513378810690361E-3</v>
      </c>
      <c r="G439" s="27">
        <f>VLOOKUP(Table1[[#This Row],[Date]],Database!A:D,2,)</f>
        <v>61.2</v>
      </c>
      <c r="H439" s="26"/>
    </row>
    <row r="440" spans="1:8" x14ac:dyDescent="0.2">
      <c r="A440" s="37">
        <v>27273</v>
      </c>
      <c r="B440" s="38">
        <f>VLOOKUP(Table1[[#This Row],[Date]],Database!A:D,3,)</f>
        <v>78610</v>
      </c>
      <c r="C440" s="39">
        <f t="shared" si="13"/>
        <v>-9</v>
      </c>
      <c r="D440" s="39">
        <f t="shared" si="12"/>
        <v>2</v>
      </c>
      <c r="E440" s="27">
        <f>VLOOKUP(Table1[[#This Row],[Date]],Database!A:D,4,)</f>
        <v>5.9</v>
      </c>
      <c r="F440" s="40">
        <v>-9.4513378810690361E-3</v>
      </c>
      <c r="G440" s="27">
        <f>VLOOKUP(Table1[[#This Row],[Date]],Database!A:D,2,)</f>
        <v>61.4</v>
      </c>
      <c r="H440" s="26"/>
    </row>
    <row r="441" spans="1:8" x14ac:dyDescent="0.2">
      <c r="A441" s="37">
        <v>27303</v>
      </c>
      <c r="B441" s="38">
        <f>VLOOKUP(Table1[[#This Row],[Date]],Database!A:D,3,)</f>
        <v>78630</v>
      </c>
      <c r="C441" s="39">
        <f t="shared" si="13"/>
        <v>20</v>
      </c>
      <c r="D441" s="39">
        <f t="shared" si="12"/>
        <v>-2</v>
      </c>
      <c r="E441" s="27">
        <f>VLOOKUP(Table1[[#This Row],[Date]],Database!A:D,4,)</f>
        <v>6</v>
      </c>
      <c r="F441" s="40">
        <v>-3.8814126887877129E-3</v>
      </c>
      <c r="G441" s="27">
        <f>VLOOKUP(Table1[[#This Row],[Date]],Database!A:D,2,)</f>
        <v>61.3</v>
      </c>
      <c r="H441" s="26"/>
    </row>
    <row r="442" spans="1:8" x14ac:dyDescent="0.2">
      <c r="A442" s="37">
        <v>27334</v>
      </c>
      <c r="B442" s="38">
        <f>VLOOKUP(Table1[[#This Row],[Date]],Database!A:D,3,)</f>
        <v>78265</v>
      </c>
      <c r="C442" s="39">
        <f t="shared" si="13"/>
        <v>-365</v>
      </c>
      <c r="D442" s="39">
        <f t="shared" si="12"/>
        <v>-118</v>
      </c>
      <c r="E442" s="27">
        <f>VLOOKUP(Table1[[#This Row],[Date]],Database!A:D,4,)</f>
        <v>6.6</v>
      </c>
      <c r="F442" s="40">
        <v>-3.8814126887877129E-3</v>
      </c>
      <c r="G442" s="27">
        <f>VLOOKUP(Table1[[#This Row],[Date]],Database!A:D,2,)</f>
        <v>61.3</v>
      </c>
      <c r="H442" s="26"/>
    </row>
    <row r="443" spans="1:8" x14ac:dyDescent="0.2">
      <c r="A443" s="37">
        <v>27364</v>
      </c>
      <c r="B443" s="38">
        <f>VLOOKUP(Table1[[#This Row],[Date]],Database!A:D,3,)</f>
        <v>77652</v>
      </c>
      <c r="C443" s="39">
        <f t="shared" si="13"/>
        <v>-613</v>
      </c>
      <c r="D443" s="39">
        <f t="shared" si="12"/>
        <v>-319.33333333333331</v>
      </c>
      <c r="E443" s="27">
        <f>VLOOKUP(Table1[[#This Row],[Date]],Database!A:D,4,)</f>
        <v>7.2</v>
      </c>
      <c r="F443" s="40">
        <v>-3.8814126887877129E-3</v>
      </c>
      <c r="G443" s="27">
        <f>VLOOKUP(Table1[[#This Row],[Date]],Database!A:D,2,)</f>
        <v>61.2</v>
      </c>
      <c r="H443" s="26"/>
    </row>
    <row r="444" spans="1:8" x14ac:dyDescent="0.2">
      <c r="A444" s="37">
        <v>27395</v>
      </c>
      <c r="B444" s="38">
        <f>VLOOKUP(Table1[[#This Row],[Date]],Database!A:D,3,)</f>
        <v>77293</v>
      </c>
      <c r="C444" s="39">
        <f t="shared" si="13"/>
        <v>-359</v>
      </c>
      <c r="D444" s="39">
        <f t="shared" si="12"/>
        <v>-445.66666666666669</v>
      </c>
      <c r="E444" s="27">
        <f>VLOOKUP(Table1[[#This Row],[Date]],Database!A:D,4,)</f>
        <v>8.1</v>
      </c>
      <c r="F444" s="40">
        <v>-1.2173005163690133E-2</v>
      </c>
      <c r="G444" s="27">
        <f>VLOOKUP(Table1[[#This Row],[Date]],Database!A:D,2,)</f>
        <v>61.4</v>
      </c>
      <c r="H444" s="26"/>
    </row>
    <row r="445" spans="1:8" x14ac:dyDescent="0.2">
      <c r="A445" s="37">
        <v>27426</v>
      </c>
      <c r="B445" s="38">
        <f>VLOOKUP(Table1[[#This Row],[Date]],Database!A:D,3,)</f>
        <v>76918</v>
      </c>
      <c r="C445" s="39">
        <f t="shared" si="13"/>
        <v>-375</v>
      </c>
      <c r="D445" s="39">
        <f t="shared" si="12"/>
        <v>-449</v>
      </c>
      <c r="E445" s="27">
        <f>VLOOKUP(Table1[[#This Row],[Date]],Database!A:D,4,)</f>
        <v>8.1</v>
      </c>
      <c r="F445" s="40">
        <v>-1.2173005163690133E-2</v>
      </c>
      <c r="G445" s="27">
        <f>VLOOKUP(Table1[[#This Row],[Date]],Database!A:D,2,)</f>
        <v>61</v>
      </c>
      <c r="H445" s="26"/>
    </row>
    <row r="446" spans="1:8" x14ac:dyDescent="0.2">
      <c r="A446" s="37">
        <v>27454</v>
      </c>
      <c r="B446" s="38">
        <f>VLOOKUP(Table1[[#This Row],[Date]],Database!A:D,3,)</f>
        <v>76648</v>
      </c>
      <c r="C446" s="39">
        <f t="shared" si="13"/>
        <v>-270</v>
      </c>
      <c r="D446" s="39">
        <f t="shared" si="12"/>
        <v>-334.66666666666669</v>
      </c>
      <c r="E446" s="27">
        <f>VLOOKUP(Table1[[#This Row],[Date]],Database!A:D,4,)</f>
        <v>8.6</v>
      </c>
      <c r="F446" s="40">
        <v>-1.2173005163690133E-2</v>
      </c>
      <c r="G446" s="27">
        <f>VLOOKUP(Table1[[#This Row],[Date]],Database!A:D,2,)</f>
        <v>61.2</v>
      </c>
      <c r="H446" s="26"/>
    </row>
    <row r="447" spans="1:8" x14ac:dyDescent="0.2">
      <c r="A447" s="37">
        <v>27485</v>
      </c>
      <c r="B447" s="38">
        <f>VLOOKUP(Table1[[#This Row],[Date]],Database!A:D,3,)</f>
        <v>76460</v>
      </c>
      <c r="C447" s="39">
        <f t="shared" si="13"/>
        <v>-188</v>
      </c>
      <c r="D447" s="39">
        <f t="shared" si="12"/>
        <v>-277.66666666666669</v>
      </c>
      <c r="E447" s="27">
        <f>VLOOKUP(Table1[[#This Row],[Date]],Database!A:D,4,)</f>
        <v>8.8000000000000007</v>
      </c>
      <c r="F447" s="40">
        <v>7.145437150649735E-3</v>
      </c>
      <c r="G447" s="27">
        <f>VLOOKUP(Table1[[#This Row],[Date]],Database!A:D,2,)</f>
        <v>61.3</v>
      </c>
      <c r="H447" s="26"/>
    </row>
    <row r="448" spans="1:8" x14ac:dyDescent="0.2">
      <c r="A448" s="37">
        <v>27515</v>
      </c>
      <c r="B448" s="38">
        <f>VLOOKUP(Table1[[#This Row],[Date]],Database!A:D,3,)</f>
        <v>76624</v>
      </c>
      <c r="C448" s="39">
        <f t="shared" si="13"/>
        <v>164</v>
      </c>
      <c r="D448" s="39">
        <f t="shared" si="12"/>
        <v>-98</v>
      </c>
      <c r="E448" s="27">
        <f>VLOOKUP(Table1[[#This Row],[Date]],Database!A:D,4,)</f>
        <v>9</v>
      </c>
      <c r="F448" s="40">
        <v>7.145437150649735E-3</v>
      </c>
      <c r="G448" s="27">
        <f>VLOOKUP(Table1[[#This Row],[Date]],Database!A:D,2,)</f>
        <v>61.5</v>
      </c>
      <c r="H448" s="26"/>
    </row>
    <row r="449" spans="1:8" x14ac:dyDescent="0.2">
      <c r="A449" s="37">
        <v>27546</v>
      </c>
      <c r="B449" s="38">
        <f>VLOOKUP(Table1[[#This Row],[Date]],Database!A:D,3,)</f>
        <v>76521</v>
      </c>
      <c r="C449" s="39">
        <f t="shared" si="13"/>
        <v>-103</v>
      </c>
      <c r="D449" s="39">
        <f t="shared" si="12"/>
        <v>-42.333333333333336</v>
      </c>
      <c r="E449" s="27">
        <f>VLOOKUP(Table1[[#This Row],[Date]],Database!A:D,4,)</f>
        <v>8.8000000000000007</v>
      </c>
      <c r="F449" s="40">
        <v>7.145437150649735E-3</v>
      </c>
      <c r="G449" s="27">
        <f>VLOOKUP(Table1[[#This Row],[Date]],Database!A:D,2,)</f>
        <v>61.2</v>
      </c>
      <c r="H449" s="26"/>
    </row>
    <row r="450" spans="1:8" x14ac:dyDescent="0.2">
      <c r="A450" s="37">
        <v>27576</v>
      </c>
      <c r="B450" s="38">
        <f>VLOOKUP(Table1[[#This Row],[Date]],Database!A:D,3,)</f>
        <v>76770</v>
      </c>
      <c r="C450" s="39">
        <f t="shared" si="13"/>
        <v>249</v>
      </c>
      <c r="D450" s="39">
        <f t="shared" si="12"/>
        <v>103.33333333333333</v>
      </c>
      <c r="E450" s="27">
        <f>VLOOKUP(Table1[[#This Row],[Date]],Database!A:D,4,)</f>
        <v>8.6</v>
      </c>
      <c r="F450" s="40">
        <v>1.7116575396399339E-2</v>
      </c>
      <c r="G450" s="27">
        <f>VLOOKUP(Table1[[#This Row],[Date]],Database!A:D,2,)</f>
        <v>61.3</v>
      </c>
      <c r="H450" s="26"/>
    </row>
    <row r="451" spans="1:8" x14ac:dyDescent="0.2">
      <c r="A451" s="37">
        <v>27607</v>
      </c>
      <c r="B451" s="38">
        <f>VLOOKUP(Table1[[#This Row],[Date]],Database!A:D,3,)</f>
        <v>77153</v>
      </c>
      <c r="C451" s="39">
        <f t="shared" si="13"/>
        <v>383</v>
      </c>
      <c r="D451" s="39">
        <f t="shared" si="12"/>
        <v>176.33333333333334</v>
      </c>
      <c r="E451" s="27">
        <f>VLOOKUP(Table1[[#This Row],[Date]],Database!A:D,4,)</f>
        <v>8.4</v>
      </c>
      <c r="F451" s="40">
        <v>1.7116575396399339E-2</v>
      </c>
      <c r="G451" s="27">
        <f>VLOOKUP(Table1[[#This Row],[Date]],Database!A:D,2,)</f>
        <v>61.3</v>
      </c>
      <c r="H451" s="26"/>
    </row>
    <row r="452" spans="1:8" x14ac:dyDescent="0.2">
      <c r="A452" s="37">
        <v>27638</v>
      </c>
      <c r="B452" s="38">
        <f>VLOOKUP(Table1[[#This Row],[Date]],Database!A:D,3,)</f>
        <v>77228</v>
      </c>
      <c r="C452" s="39">
        <f t="shared" si="13"/>
        <v>75</v>
      </c>
      <c r="D452" s="39">
        <f t="shared" si="12"/>
        <v>235.66666666666666</v>
      </c>
      <c r="E452" s="27">
        <f>VLOOKUP(Table1[[#This Row],[Date]],Database!A:D,4,)</f>
        <v>8.4</v>
      </c>
      <c r="F452" s="40">
        <v>1.7116575396399339E-2</v>
      </c>
      <c r="G452" s="27">
        <f>VLOOKUP(Table1[[#This Row],[Date]],Database!A:D,2,)</f>
        <v>61.2</v>
      </c>
      <c r="H452" s="26"/>
    </row>
    <row r="453" spans="1:8" x14ac:dyDescent="0.2">
      <c r="A453" s="37">
        <v>27668</v>
      </c>
      <c r="B453" s="38">
        <f>VLOOKUP(Table1[[#This Row],[Date]],Database!A:D,3,)</f>
        <v>77540</v>
      </c>
      <c r="C453" s="39">
        <f t="shared" si="13"/>
        <v>312</v>
      </c>
      <c r="D453" s="39">
        <f t="shared" si="12"/>
        <v>256.66666666666669</v>
      </c>
      <c r="E453" s="27">
        <f>VLOOKUP(Table1[[#This Row],[Date]],Database!A:D,4,)</f>
        <v>8.4</v>
      </c>
      <c r="F453" s="40">
        <v>1.3465075049564899E-2</v>
      </c>
      <c r="G453" s="27">
        <f>VLOOKUP(Table1[[#This Row],[Date]],Database!A:D,2,)</f>
        <v>61.2</v>
      </c>
      <c r="H453" s="26"/>
    </row>
    <row r="454" spans="1:8" x14ac:dyDescent="0.2">
      <c r="A454" s="37">
        <v>27699</v>
      </c>
      <c r="B454" s="38">
        <f>VLOOKUP(Table1[[#This Row],[Date]],Database!A:D,3,)</f>
        <v>77685</v>
      </c>
      <c r="C454" s="39">
        <f t="shared" si="13"/>
        <v>145</v>
      </c>
      <c r="D454" s="39">
        <f t="shared" si="12"/>
        <v>177.33333333333334</v>
      </c>
      <c r="E454" s="27">
        <f>VLOOKUP(Table1[[#This Row],[Date]],Database!A:D,4,)</f>
        <v>8.3000000000000007</v>
      </c>
      <c r="F454" s="40">
        <v>1.3465075049564899E-2</v>
      </c>
      <c r="G454" s="27">
        <f>VLOOKUP(Table1[[#This Row],[Date]],Database!A:D,2,)</f>
        <v>61.1</v>
      </c>
      <c r="H454" s="26"/>
    </row>
    <row r="455" spans="1:8" x14ac:dyDescent="0.2">
      <c r="A455" s="37">
        <v>27729</v>
      </c>
      <c r="B455" s="38">
        <f>VLOOKUP(Table1[[#This Row],[Date]],Database!A:D,3,)</f>
        <v>78017</v>
      </c>
      <c r="C455" s="39">
        <f t="shared" si="13"/>
        <v>332</v>
      </c>
      <c r="D455" s="39">
        <f t="shared" si="12"/>
        <v>263</v>
      </c>
      <c r="E455" s="27">
        <f>VLOOKUP(Table1[[#This Row],[Date]],Database!A:D,4,)</f>
        <v>8.1999999999999993</v>
      </c>
      <c r="F455" s="40">
        <v>1.3465075049564899E-2</v>
      </c>
      <c r="G455" s="27">
        <f>VLOOKUP(Table1[[#This Row],[Date]],Database!A:D,2,)</f>
        <v>61.1</v>
      </c>
      <c r="H455" s="26"/>
    </row>
    <row r="456" spans="1:8" x14ac:dyDescent="0.2">
      <c r="A456" s="37">
        <v>27760</v>
      </c>
      <c r="B456" s="38">
        <f>VLOOKUP(Table1[[#This Row],[Date]],Database!A:D,3,)</f>
        <v>78503</v>
      </c>
      <c r="C456" s="39">
        <f t="shared" si="13"/>
        <v>486</v>
      </c>
      <c r="D456" s="39">
        <f t="shared" si="12"/>
        <v>321</v>
      </c>
      <c r="E456" s="27">
        <f>VLOOKUP(Table1[[#This Row],[Date]],Database!A:D,4,)</f>
        <v>7.9</v>
      </c>
      <c r="F456" s="40">
        <v>2.2487609314767548E-2</v>
      </c>
      <c r="G456" s="27">
        <f>VLOOKUP(Table1[[#This Row],[Date]],Database!A:D,2,)</f>
        <v>61.3</v>
      </c>
      <c r="H456" s="26"/>
    </row>
    <row r="457" spans="1:8" x14ac:dyDescent="0.2">
      <c r="A457" s="37">
        <v>27791</v>
      </c>
      <c r="B457" s="38">
        <f>VLOOKUP(Table1[[#This Row],[Date]],Database!A:D,3,)</f>
        <v>78816</v>
      </c>
      <c r="C457" s="39">
        <f t="shared" si="13"/>
        <v>313</v>
      </c>
      <c r="D457" s="39">
        <f t="shared" si="12"/>
        <v>377</v>
      </c>
      <c r="E457" s="27">
        <f>VLOOKUP(Table1[[#This Row],[Date]],Database!A:D,4,)</f>
        <v>7.7</v>
      </c>
      <c r="F457" s="40">
        <v>2.2487609314767548E-2</v>
      </c>
      <c r="G457" s="27">
        <f>VLOOKUP(Table1[[#This Row],[Date]],Database!A:D,2,)</f>
        <v>61.3</v>
      </c>
      <c r="H457" s="26"/>
    </row>
    <row r="458" spans="1:8" x14ac:dyDescent="0.2">
      <c r="A458" s="37">
        <v>27820</v>
      </c>
      <c r="B458" s="38">
        <f>VLOOKUP(Table1[[#This Row],[Date]],Database!A:D,3,)</f>
        <v>79048</v>
      </c>
      <c r="C458" s="39">
        <f t="shared" si="13"/>
        <v>232</v>
      </c>
      <c r="D458" s="39">
        <f t="shared" si="12"/>
        <v>343.66666666666669</v>
      </c>
      <c r="E458" s="27">
        <f>VLOOKUP(Table1[[#This Row],[Date]],Database!A:D,4,)</f>
        <v>7.6</v>
      </c>
      <c r="F458" s="40">
        <v>2.2487609314767548E-2</v>
      </c>
      <c r="G458" s="27">
        <f>VLOOKUP(Table1[[#This Row],[Date]],Database!A:D,2,)</f>
        <v>61.3</v>
      </c>
      <c r="H458" s="26"/>
    </row>
    <row r="459" spans="1:8" x14ac:dyDescent="0.2">
      <c r="A459" s="37">
        <v>27851</v>
      </c>
      <c r="B459" s="38">
        <f>VLOOKUP(Table1[[#This Row],[Date]],Database!A:D,3,)</f>
        <v>79292</v>
      </c>
      <c r="C459" s="39">
        <f t="shared" si="13"/>
        <v>244</v>
      </c>
      <c r="D459" s="39">
        <f t="shared" si="12"/>
        <v>263</v>
      </c>
      <c r="E459" s="27">
        <f>VLOOKUP(Table1[[#This Row],[Date]],Database!A:D,4,)</f>
        <v>7.7</v>
      </c>
      <c r="F459" s="40">
        <v>7.3369555989473197E-3</v>
      </c>
      <c r="G459" s="27">
        <f>VLOOKUP(Table1[[#This Row],[Date]],Database!A:D,2,)</f>
        <v>61.6</v>
      </c>
      <c r="H459" s="26"/>
    </row>
    <row r="460" spans="1:8" x14ac:dyDescent="0.2">
      <c r="A460" s="37">
        <v>27881</v>
      </c>
      <c r="B460" s="38">
        <f>VLOOKUP(Table1[[#This Row],[Date]],Database!A:D,3,)</f>
        <v>79312</v>
      </c>
      <c r="C460" s="39">
        <f t="shared" si="13"/>
        <v>20</v>
      </c>
      <c r="D460" s="39">
        <f t="shared" ref="D460:D523" si="14">AVERAGE(C458:C460)</f>
        <v>165.33333333333334</v>
      </c>
      <c r="E460" s="27">
        <f>VLOOKUP(Table1[[#This Row],[Date]],Database!A:D,4,)</f>
        <v>7.4</v>
      </c>
      <c r="F460" s="40">
        <v>7.3369555989473197E-3</v>
      </c>
      <c r="G460" s="27">
        <f>VLOOKUP(Table1[[#This Row],[Date]],Database!A:D,2,)</f>
        <v>61.5</v>
      </c>
      <c r="H460" s="26"/>
    </row>
    <row r="461" spans="1:8" x14ac:dyDescent="0.2">
      <c r="A461" s="37">
        <v>27912</v>
      </c>
      <c r="B461" s="38">
        <f>VLOOKUP(Table1[[#This Row],[Date]],Database!A:D,3,)</f>
        <v>79376</v>
      </c>
      <c r="C461" s="39">
        <f t="shared" ref="C461:C524" si="15">B461-B460</f>
        <v>64</v>
      </c>
      <c r="D461" s="39">
        <f t="shared" si="14"/>
        <v>109.33333333333333</v>
      </c>
      <c r="E461" s="27">
        <f>VLOOKUP(Table1[[#This Row],[Date]],Database!A:D,4,)</f>
        <v>7.6</v>
      </c>
      <c r="F461" s="40">
        <v>7.3369555989473197E-3</v>
      </c>
      <c r="G461" s="27">
        <f>VLOOKUP(Table1[[#This Row],[Date]],Database!A:D,2,)</f>
        <v>61.5</v>
      </c>
      <c r="H461" s="26"/>
    </row>
    <row r="462" spans="1:8" x14ac:dyDescent="0.2">
      <c r="A462" s="37">
        <v>27942</v>
      </c>
      <c r="B462" s="38">
        <f>VLOOKUP(Table1[[#This Row],[Date]],Database!A:D,3,)</f>
        <v>79547</v>
      </c>
      <c r="C462" s="39">
        <f t="shared" si="15"/>
        <v>171</v>
      </c>
      <c r="D462" s="39">
        <f t="shared" si="14"/>
        <v>85</v>
      </c>
      <c r="E462" s="27">
        <f>VLOOKUP(Table1[[#This Row],[Date]],Database!A:D,4,)</f>
        <v>7.8</v>
      </c>
      <c r="F462" s="40">
        <v>5.4872047534424125E-3</v>
      </c>
      <c r="G462" s="27">
        <f>VLOOKUP(Table1[[#This Row],[Date]],Database!A:D,2,)</f>
        <v>61.8</v>
      </c>
      <c r="H462" s="26"/>
    </row>
    <row r="463" spans="1:8" x14ac:dyDescent="0.2">
      <c r="A463" s="37">
        <v>27973</v>
      </c>
      <c r="B463" s="38">
        <f>VLOOKUP(Table1[[#This Row],[Date]],Database!A:D,3,)</f>
        <v>79704</v>
      </c>
      <c r="C463" s="39">
        <f t="shared" si="15"/>
        <v>157</v>
      </c>
      <c r="D463" s="39">
        <f t="shared" si="14"/>
        <v>130.66666666666666</v>
      </c>
      <c r="E463" s="27">
        <f>VLOOKUP(Table1[[#This Row],[Date]],Database!A:D,4,)</f>
        <v>7.8</v>
      </c>
      <c r="F463" s="40">
        <v>5.4872047534424125E-3</v>
      </c>
      <c r="G463" s="27">
        <f>VLOOKUP(Table1[[#This Row],[Date]],Database!A:D,2,)</f>
        <v>61.8</v>
      </c>
      <c r="H463" s="26"/>
    </row>
    <row r="464" spans="1:8" x14ac:dyDescent="0.2">
      <c r="A464" s="37">
        <v>28004</v>
      </c>
      <c r="B464" s="38">
        <f>VLOOKUP(Table1[[#This Row],[Date]],Database!A:D,3,)</f>
        <v>79892</v>
      </c>
      <c r="C464" s="39">
        <f t="shared" si="15"/>
        <v>188</v>
      </c>
      <c r="D464" s="39">
        <f t="shared" si="14"/>
        <v>172</v>
      </c>
      <c r="E464" s="27">
        <f>VLOOKUP(Table1[[#This Row],[Date]],Database!A:D,4,)</f>
        <v>7.6</v>
      </c>
      <c r="F464" s="40">
        <v>5.4872047534424125E-3</v>
      </c>
      <c r="G464" s="27">
        <f>VLOOKUP(Table1[[#This Row],[Date]],Database!A:D,2,)</f>
        <v>61.6</v>
      </c>
      <c r="H464" s="26"/>
    </row>
    <row r="465" spans="1:8" x14ac:dyDescent="0.2">
      <c r="A465" s="37">
        <v>28034</v>
      </c>
      <c r="B465" s="38">
        <f>VLOOKUP(Table1[[#This Row],[Date]],Database!A:D,3,)</f>
        <v>79911</v>
      </c>
      <c r="C465" s="39">
        <f t="shared" si="15"/>
        <v>19</v>
      </c>
      <c r="D465" s="39">
        <f t="shared" si="14"/>
        <v>121.33333333333333</v>
      </c>
      <c r="E465" s="27">
        <f>VLOOKUP(Table1[[#This Row],[Date]],Database!A:D,4,)</f>
        <v>7.7</v>
      </c>
      <c r="F465" s="40">
        <v>7.2484625578242666E-3</v>
      </c>
      <c r="G465" s="27">
        <f>VLOOKUP(Table1[[#This Row],[Date]],Database!A:D,2,)</f>
        <v>61.6</v>
      </c>
      <c r="H465" s="26"/>
    </row>
    <row r="466" spans="1:8" x14ac:dyDescent="0.2">
      <c r="A466" s="37">
        <v>28065</v>
      </c>
      <c r="B466" s="38">
        <f>VLOOKUP(Table1[[#This Row],[Date]],Database!A:D,3,)</f>
        <v>80240</v>
      </c>
      <c r="C466" s="39">
        <f t="shared" si="15"/>
        <v>329</v>
      </c>
      <c r="D466" s="39">
        <f t="shared" si="14"/>
        <v>178.66666666666666</v>
      </c>
      <c r="E466" s="27">
        <f>VLOOKUP(Table1[[#This Row],[Date]],Database!A:D,4,)</f>
        <v>7.8</v>
      </c>
      <c r="F466" s="40">
        <v>7.2484625578242666E-3</v>
      </c>
      <c r="G466" s="27">
        <f>VLOOKUP(Table1[[#This Row],[Date]],Database!A:D,2,)</f>
        <v>61.9</v>
      </c>
      <c r="H466" s="26"/>
    </row>
    <row r="467" spans="1:8" x14ac:dyDescent="0.2">
      <c r="A467" s="37">
        <v>28095</v>
      </c>
      <c r="B467" s="38">
        <f>VLOOKUP(Table1[[#This Row],[Date]],Database!A:D,3,)</f>
        <v>80448</v>
      </c>
      <c r="C467" s="39">
        <f t="shared" si="15"/>
        <v>208</v>
      </c>
      <c r="D467" s="39">
        <f t="shared" si="14"/>
        <v>185.33333333333334</v>
      </c>
      <c r="E467" s="27">
        <f>VLOOKUP(Table1[[#This Row],[Date]],Database!A:D,4,)</f>
        <v>7.8</v>
      </c>
      <c r="F467" s="40">
        <v>7.2484625578242666E-3</v>
      </c>
      <c r="G467" s="27">
        <f>VLOOKUP(Table1[[#This Row],[Date]],Database!A:D,2,)</f>
        <v>61.8</v>
      </c>
      <c r="H467" s="26"/>
    </row>
    <row r="468" spans="1:8" x14ac:dyDescent="0.2">
      <c r="A468" s="37">
        <v>28126</v>
      </c>
      <c r="B468" s="38">
        <f>VLOOKUP(Table1[[#This Row],[Date]],Database!A:D,3,)</f>
        <v>80690</v>
      </c>
      <c r="C468" s="39">
        <f t="shared" si="15"/>
        <v>242</v>
      </c>
      <c r="D468" s="39">
        <f t="shared" si="14"/>
        <v>259.66666666666669</v>
      </c>
      <c r="E468" s="27">
        <f>VLOOKUP(Table1[[#This Row],[Date]],Database!A:D,4,)</f>
        <v>7.5</v>
      </c>
      <c r="F468" s="40">
        <v>1.1814920985323432E-2</v>
      </c>
      <c r="G468" s="27">
        <f>VLOOKUP(Table1[[#This Row],[Date]],Database!A:D,2,)</f>
        <v>61.6</v>
      </c>
      <c r="H468" s="26"/>
    </row>
    <row r="469" spans="1:8" x14ac:dyDescent="0.2">
      <c r="A469" s="37">
        <v>28157</v>
      </c>
      <c r="B469" s="38">
        <f>VLOOKUP(Table1[[#This Row],[Date]],Database!A:D,3,)</f>
        <v>80988</v>
      </c>
      <c r="C469" s="39">
        <f t="shared" si="15"/>
        <v>298</v>
      </c>
      <c r="D469" s="39">
        <f t="shared" si="14"/>
        <v>249.33333333333334</v>
      </c>
      <c r="E469" s="27">
        <f>VLOOKUP(Table1[[#This Row],[Date]],Database!A:D,4,)</f>
        <v>7.6</v>
      </c>
      <c r="F469" s="40">
        <v>1.1814920985323432E-2</v>
      </c>
      <c r="G469" s="27">
        <f>VLOOKUP(Table1[[#This Row],[Date]],Database!A:D,2,)</f>
        <v>61.9</v>
      </c>
      <c r="H469" s="26"/>
    </row>
    <row r="470" spans="1:8" x14ac:dyDescent="0.2">
      <c r="A470" s="37">
        <v>28185</v>
      </c>
      <c r="B470" s="38">
        <f>VLOOKUP(Table1[[#This Row],[Date]],Database!A:D,3,)</f>
        <v>81391</v>
      </c>
      <c r="C470" s="39">
        <f t="shared" si="15"/>
        <v>403</v>
      </c>
      <c r="D470" s="39">
        <f t="shared" si="14"/>
        <v>314.33333333333331</v>
      </c>
      <c r="E470" s="27">
        <f>VLOOKUP(Table1[[#This Row],[Date]],Database!A:D,4,)</f>
        <v>7.4</v>
      </c>
      <c r="F470" s="40">
        <v>1.1814920985323432E-2</v>
      </c>
      <c r="G470" s="27">
        <f>VLOOKUP(Table1[[#This Row],[Date]],Database!A:D,2,)</f>
        <v>62</v>
      </c>
      <c r="H470" s="26"/>
    </row>
    <row r="471" spans="1:8" x14ac:dyDescent="0.2">
      <c r="A471" s="37">
        <v>28216</v>
      </c>
      <c r="B471" s="38">
        <f>VLOOKUP(Table1[[#This Row],[Date]],Database!A:D,3,)</f>
        <v>81728</v>
      </c>
      <c r="C471" s="39">
        <f t="shared" si="15"/>
        <v>337</v>
      </c>
      <c r="D471" s="39">
        <f t="shared" si="14"/>
        <v>346</v>
      </c>
      <c r="E471" s="27">
        <f>VLOOKUP(Table1[[#This Row],[Date]],Database!A:D,4,)</f>
        <v>7.2</v>
      </c>
      <c r="F471" s="40">
        <v>1.9441091643482174E-2</v>
      </c>
      <c r="G471" s="27">
        <f>VLOOKUP(Table1[[#This Row],[Date]],Database!A:D,2,)</f>
        <v>62.1</v>
      </c>
      <c r="H471" s="26"/>
    </row>
    <row r="472" spans="1:8" x14ac:dyDescent="0.2">
      <c r="A472" s="37">
        <v>28246</v>
      </c>
      <c r="B472" s="38">
        <f>VLOOKUP(Table1[[#This Row],[Date]],Database!A:D,3,)</f>
        <v>82088</v>
      </c>
      <c r="C472" s="39">
        <f t="shared" si="15"/>
        <v>360</v>
      </c>
      <c r="D472" s="39">
        <f t="shared" si="14"/>
        <v>366.66666666666669</v>
      </c>
      <c r="E472" s="27">
        <f>VLOOKUP(Table1[[#This Row],[Date]],Database!A:D,4,)</f>
        <v>7</v>
      </c>
      <c r="F472" s="40">
        <v>1.9441091643482174E-2</v>
      </c>
      <c r="G472" s="27">
        <f>VLOOKUP(Table1[[#This Row],[Date]],Database!A:D,2,)</f>
        <v>62.2</v>
      </c>
      <c r="H472" s="26"/>
    </row>
    <row r="473" spans="1:8" x14ac:dyDescent="0.2">
      <c r="A473" s="37">
        <v>28277</v>
      </c>
      <c r="B473" s="38">
        <f>VLOOKUP(Table1[[#This Row],[Date]],Database!A:D,3,)</f>
        <v>82488</v>
      </c>
      <c r="C473" s="39">
        <f t="shared" si="15"/>
        <v>400</v>
      </c>
      <c r="D473" s="39">
        <f t="shared" si="14"/>
        <v>365.66666666666669</v>
      </c>
      <c r="E473" s="27">
        <f>VLOOKUP(Table1[[#This Row],[Date]],Database!A:D,4,)</f>
        <v>7.2</v>
      </c>
      <c r="F473" s="40">
        <v>1.9441091643482174E-2</v>
      </c>
      <c r="G473" s="27">
        <f>VLOOKUP(Table1[[#This Row],[Date]],Database!A:D,2,)</f>
        <v>62.4</v>
      </c>
      <c r="H473" s="26"/>
    </row>
    <row r="474" spans="1:8" x14ac:dyDescent="0.2">
      <c r="A474" s="37">
        <v>28307</v>
      </c>
      <c r="B474" s="38">
        <f>VLOOKUP(Table1[[#This Row],[Date]],Database!A:D,3,)</f>
        <v>82834</v>
      </c>
      <c r="C474" s="39">
        <f t="shared" si="15"/>
        <v>346</v>
      </c>
      <c r="D474" s="39">
        <f t="shared" si="14"/>
        <v>368.66666666666669</v>
      </c>
      <c r="E474" s="27">
        <f>VLOOKUP(Table1[[#This Row],[Date]],Database!A:D,4,)</f>
        <v>6.9</v>
      </c>
      <c r="F474" s="40">
        <v>1.8043508496558301E-2</v>
      </c>
      <c r="G474" s="27">
        <f>VLOOKUP(Table1[[#This Row],[Date]],Database!A:D,2,)</f>
        <v>62.1</v>
      </c>
      <c r="H474" s="26"/>
    </row>
    <row r="475" spans="1:8" x14ac:dyDescent="0.2">
      <c r="A475" s="37">
        <v>28338</v>
      </c>
      <c r="B475" s="38">
        <f>VLOOKUP(Table1[[#This Row],[Date]],Database!A:D,3,)</f>
        <v>83075</v>
      </c>
      <c r="C475" s="39">
        <f t="shared" si="15"/>
        <v>241</v>
      </c>
      <c r="D475" s="39">
        <f t="shared" si="14"/>
        <v>329</v>
      </c>
      <c r="E475" s="27">
        <f>VLOOKUP(Table1[[#This Row],[Date]],Database!A:D,4,)</f>
        <v>7</v>
      </c>
      <c r="F475" s="40">
        <v>1.8043508496558301E-2</v>
      </c>
      <c r="G475" s="27">
        <f>VLOOKUP(Table1[[#This Row],[Date]],Database!A:D,2,)</f>
        <v>62.3</v>
      </c>
      <c r="H475" s="26"/>
    </row>
    <row r="476" spans="1:8" x14ac:dyDescent="0.2">
      <c r="A476" s="37">
        <v>28369</v>
      </c>
      <c r="B476" s="38">
        <f>VLOOKUP(Table1[[#This Row],[Date]],Database!A:D,3,)</f>
        <v>83532</v>
      </c>
      <c r="C476" s="39">
        <f t="shared" si="15"/>
        <v>457</v>
      </c>
      <c r="D476" s="39">
        <f t="shared" si="14"/>
        <v>348</v>
      </c>
      <c r="E476" s="27">
        <f>VLOOKUP(Table1[[#This Row],[Date]],Database!A:D,4,)</f>
        <v>6.8</v>
      </c>
      <c r="F476" s="40">
        <v>1.8043508496558301E-2</v>
      </c>
      <c r="G476" s="27">
        <f>VLOOKUP(Table1[[#This Row],[Date]],Database!A:D,2,)</f>
        <v>62.3</v>
      </c>
      <c r="H476" s="26"/>
    </row>
    <row r="477" spans="1:8" x14ac:dyDescent="0.2">
      <c r="A477" s="37">
        <v>28399</v>
      </c>
      <c r="B477" s="38">
        <f>VLOOKUP(Table1[[#This Row],[Date]],Database!A:D,3,)</f>
        <v>83800</v>
      </c>
      <c r="C477" s="39">
        <f t="shared" si="15"/>
        <v>268</v>
      </c>
      <c r="D477" s="39">
        <f t="shared" si="14"/>
        <v>322</v>
      </c>
      <c r="E477" s="27">
        <f>VLOOKUP(Table1[[#This Row],[Date]],Database!A:D,4,)</f>
        <v>6.8</v>
      </c>
      <c r="F477" s="40">
        <v>2.1871732117548193E-5</v>
      </c>
      <c r="G477" s="27">
        <f>VLOOKUP(Table1[[#This Row],[Date]],Database!A:D,2,)</f>
        <v>62.4</v>
      </c>
      <c r="H477" s="26"/>
    </row>
    <row r="478" spans="1:8" x14ac:dyDescent="0.2">
      <c r="A478" s="37">
        <v>28430</v>
      </c>
      <c r="B478" s="38">
        <f>VLOOKUP(Table1[[#This Row],[Date]],Database!A:D,3,)</f>
        <v>84173</v>
      </c>
      <c r="C478" s="39">
        <f t="shared" si="15"/>
        <v>373</v>
      </c>
      <c r="D478" s="39">
        <f t="shared" si="14"/>
        <v>366</v>
      </c>
      <c r="E478" s="27">
        <f>VLOOKUP(Table1[[#This Row],[Date]],Database!A:D,4,)</f>
        <v>6.8</v>
      </c>
      <c r="F478" s="40">
        <v>2.1871732117548193E-5</v>
      </c>
      <c r="G478" s="27">
        <f>VLOOKUP(Table1[[#This Row],[Date]],Database!A:D,2,)</f>
        <v>62.8</v>
      </c>
      <c r="H478" s="26"/>
    </row>
    <row r="479" spans="1:8" x14ac:dyDescent="0.2">
      <c r="A479" s="37">
        <v>28460</v>
      </c>
      <c r="B479" s="38">
        <f>VLOOKUP(Table1[[#This Row],[Date]],Database!A:D,3,)</f>
        <v>84410</v>
      </c>
      <c r="C479" s="39">
        <f t="shared" si="15"/>
        <v>237</v>
      </c>
      <c r="D479" s="39">
        <f t="shared" si="14"/>
        <v>292.66666666666669</v>
      </c>
      <c r="E479" s="27">
        <f>VLOOKUP(Table1[[#This Row],[Date]],Database!A:D,4,)</f>
        <v>6.4</v>
      </c>
      <c r="F479" s="40">
        <v>2.1871732117548193E-5</v>
      </c>
      <c r="G479" s="27">
        <f>VLOOKUP(Table1[[#This Row],[Date]],Database!A:D,2,)</f>
        <v>62.7</v>
      </c>
      <c r="H479" s="26"/>
    </row>
    <row r="480" spans="1:8" x14ac:dyDescent="0.2">
      <c r="A480" s="37">
        <v>28491</v>
      </c>
      <c r="B480" s="38">
        <f>VLOOKUP(Table1[[#This Row],[Date]],Database!A:D,3,)</f>
        <v>84594</v>
      </c>
      <c r="C480" s="39">
        <f t="shared" si="15"/>
        <v>184</v>
      </c>
      <c r="D480" s="39">
        <f t="shared" si="14"/>
        <v>264.66666666666669</v>
      </c>
      <c r="E480" s="27">
        <f>VLOOKUP(Table1[[#This Row],[Date]],Database!A:D,4,)</f>
        <v>6.4</v>
      </c>
      <c r="F480" s="40">
        <v>3.1917766621677589E-3</v>
      </c>
      <c r="G480" s="27">
        <f>VLOOKUP(Table1[[#This Row],[Date]],Database!A:D,2,)</f>
        <v>62.8</v>
      </c>
      <c r="H480" s="26"/>
    </row>
    <row r="481" spans="1:8" x14ac:dyDescent="0.2">
      <c r="A481" s="37">
        <v>28522</v>
      </c>
      <c r="B481" s="38">
        <f>VLOOKUP(Table1[[#This Row],[Date]],Database!A:D,3,)</f>
        <v>84948</v>
      </c>
      <c r="C481" s="39">
        <f t="shared" si="15"/>
        <v>354</v>
      </c>
      <c r="D481" s="39">
        <f t="shared" si="14"/>
        <v>258.33333333333331</v>
      </c>
      <c r="E481" s="27">
        <f>VLOOKUP(Table1[[#This Row],[Date]],Database!A:D,4,)</f>
        <v>6.3</v>
      </c>
      <c r="F481" s="40">
        <v>3.1917766621677589E-3</v>
      </c>
      <c r="G481" s="27">
        <f>VLOOKUP(Table1[[#This Row],[Date]],Database!A:D,2,)</f>
        <v>62.7</v>
      </c>
      <c r="H481" s="26"/>
    </row>
    <row r="482" spans="1:8" x14ac:dyDescent="0.2">
      <c r="A482" s="37">
        <v>28550</v>
      </c>
      <c r="B482" s="38">
        <f>VLOOKUP(Table1[[#This Row],[Date]],Database!A:D,3,)</f>
        <v>85460</v>
      </c>
      <c r="C482" s="39">
        <f t="shared" si="15"/>
        <v>512</v>
      </c>
      <c r="D482" s="39">
        <f t="shared" si="14"/>
        <v>350</v>
      </c>
      <c r="E482" s="27">
        <f>VLOOKUP(Table1[[#This Row],[Date]],Database!A:D,4,)</f>
        <v>6.3</v>
      </c>
      <c r="F482" s="40">
        <v>3.1917766621677589E-3</v>
      </c>
      <c r="G482" s="27">
        <f>VLOOKUP(Table1[[#This Row],[Date]],Database!A:D,2,)</f>
        <v>62.8</v>
      </c>
      <c r="H482" s="26"/>
    </row>
    <row r="483" spans="1:8" x14ac:dyDescent="0.2">
      <c r="A483" s="37">
        <v>28581</v>
      </c>
      <c r="B483" s="38">
        <f>VLOOKUP(Table1[[#This Row],[Date]],Database!A:D,3,)</f>
        <v>86162</v>
      </c>
      <c r="C483" s="39">
        <f t="shared" si="15"/>
        <v>702</v>
      </c>
      <c r="D483" s="39">
        <f t="shared" si="14"/>
        <v>522.66666666666663</v>
      </c>
      <c r="E483" s="27">
        <f>VLOOKUP(Table1[[#This Row],[Date]],Database!A:D,4,)</f>
        <v>6.1</v>
      </c>
      <c r="F483" s="40">
        <v>3.8642508101768315E-2</v>
      </c>
      <c r="G483" s="27">
        <f>VLOOKUP(Table1[[#This Row],[Date]],Database!A:D,2,)</f>
        <v>63</v>
      </c>
      <c r="H483" s="26"/>
    </row>
    <row r="484" spans="1:8" x14ac:dyDescent="0.2">
      <c r="A484" s="37">
        <v>28611</v>
      </c>
      <c r="B484" s="38">
        <f>VLOOKUP(Table1[[#This Row],[Date]],Database!A:D,3,)</f>
        <v>86509</v>
      </c>
      <c r="C484" s="39">
        <f t="shared" si="15"/>
        <v>347</v>
      </c>
      <c r="D484" s="39">
        <f t="shared" si="14"/>
        <v>520.33333333333337</v>
      </c>
      <c r="E484" s="27">
        <f>VLOOKUP(Table1[[#This Row],[Date]],Database!A:D,4,)</f>
        <v>6</v>
      </c>
      <c r="F484" s="40">
        <v>3.8642508101768315E-2</v>
      </c>
      <c r="G484" s="27">
        <f>VLOOKUP(Table1[[#This Row],[Date]],Database!A:D,2,)</f>
        <v>63.1</v>
      </c>
      <c r="H484" s="26"/>
    </row>
    <row r="485" spans="1:8" x14ac:dyDescent="0.2">
      <c r="A485" s="37">
        <v>28642</v>
      </c>
      <c r="B485" s="38">
        <f>VLOOKUP(Table1[[#This Row],[Date]],Database!A:D,3,)</f>
        <v>86950</v>
      </c>
      <c r="C485" s="39">
        <f t="shared" si="15"/>
        <v>441</v>
      </c>
      <c r="D485" s="39">
        <f t="shared" si="14"/>
        <v>496.66666666666669</v>
      </c>
      <c r="E485" s="27">
        <f>VLOOKUP(Table1[[#This Row],[Date]],Database!A:D,4,)</f>
        <v>5.9</v>
      </c>
      <c r="F485" s="40">
        <v>3.8642508101768315E-2</v>
      </c>
      <c r="G485" s="27">
        <f>VLOOKUP(Table1[[#This Row],[Date]],Database!A:D,2,)</f>
        <v>63.3</v>
      </c>
      <c r="H485" s="26"/>
    </row>
    <row r="486" spans="1:8" x14ac:dyDescent="0.2">
      <c r="A486" s="37">
        <v>28672</v>
      </c>
      <c r="B486" s="38">
        <f>VLOOKUP(Table1[[#This Row],[Date]],Database!A:D,3,)</f>
        <v>87204</v>
      </c>
      <c r="C486" s="39">
        <f t="shared" si="15"/>
        <v>254</v>
      </c>
      <c r="D486" s="39">
        <f t="shared" si="14"/>
        <v>347.33333333333331</v>
      </c>
      <c r="E486" s="27">
        <f>VLOOKUP(Table1[[#This Row],[Date]],Database!A:D,4,)</f>
        <v>6.2</v>
      </c>
      <c r="F486" s="40">
        <v>1.0055229458550523E-2</v>
      </c>
      <c r="G486" s="27">
        <f>VLOOKUP(Table1[[#This Row],[Date]],Database!A:D,2,)</f>
        <v>63.2</v>
      </c>
      <c r="H486" s="26"/>
    </row>
    <row r="487" spans="1:8" x14ac:dyDescent="0.2">
      <c r="A487" s="37">
        <v>28703</v>
      </c>
      <c r="B487" s="38">
        <f>VLOOKUP(Table1[[#This Row],[Date]],Database!A:D,3,)</f>
        <v>87483</v>
      </c>
      <c r="C487" s="39">
        <f t="shared" si="15"/>
        <v>279</v>
      </c>
      <c r="D487" s="39">
        <f t="shared" si="14"/>
        <v>324.66666666666669</v>
      </c>
      <c r="E487" s="27">
        <f>VLOOKUP(Table1[[#This Row],[Date]],Database!A:D,4,)</f>
        <v>5.9</v>
      </c>
      <c r="F487" s="40">
        <v>1.0055229458550523E-2</v>
      </c>
      <c r="G487" s="27">
        <f>VLOOKUP(Table1[[#This Row],[Date]],Database!A:D,2,)</f>
        <v>63.2</v>
      </c>
      <c r="H487" s="26"/>
    </row>
    <row r="488" spans="1:8" x14ac:dyDescent="0.2">
      <c r="A488" s="37">
        <v>28734</v>
      </c>
      <c r="B488" s="38">
        <f>VLOOKUP(Table1[[#This Row],[Date]],Database!A:D,3,)</f>
        <v>87621</v>
      </c>
      <c r="C488" s="39">
        <f t="shared" si="15"/>
        <v>138</v>
      </c>
      <c r="D488" s="39">
        <f t="shared" si="14"/>
        <v>223.66666666666666</v>
      </c>
      <c r="E488" s="27">
        <f>VLOOKUP(Table1[[#This Row],[Date]],Database!A:D,4,)</f>
        <v>6</v>
      </c>
      <c r="F488" s="40">
        <v>1.0055229458550523E-2</v>
      </c>
      <c r="G488" s="27">
        <f>VLOOKUP(Table1[[#This Row],[Date]],Database!A:D,2,)</f>
        <v>63.3</v>
      </c>
      <c r="H488" s="26"/>
    </row>
    <row r="489" spans="1:8" x14ac:dyDescent="0.2">
      <c r="A489" s="37">
        <v>28764</v>
      </c>
      <c r="B489" s="38">
        <f>VLOOKUP(Table1[[#This Row],[Date]],Database!A:D,3,)</f>
        <v>87956</v>
      </c>
      <c r="C489" s="39">
        <f t="shared" si="15"/>
        <v>335</v>
      </c>
      <c r="D489" s="39">
        <f t="shared" si="14"/>
        <v>250.66666666666666</v>
      </c>
      <c r="E489" s="27">
        <f>VLOOKUP(Table1[[#This Row],[Date]],Database!A:D,4,)</f>
        <v>5.8</v>
      </c>
      <c r="F489" s="40">
        <v>1.3441463794050326E-2</v>
      </c>
      <c r="G489" s="27">
        <f>VLOOKUP(Table1[[#This Row],[Date]],Database!A:D,2,)</f>
        <v>63.3</v>
      </c>
      <c r="H489" s="26"/>
    </row>
    <row r="490" spans="1:8" x14ac:dyDescent="0.2">
      <c r="A490" s="37">
        <v>28795</v>
      </c>
      <c r="B490" s="38">
        <f>VLOOKUP(Table1[[#This Row],[Date]],Database!A:D,3,)</f>
        <v>88391</v>
      </c>
      <c r="C490" s="39">
        <f t="shared" si="15"/>
        <v>435</v>
      </c>
      <c r="D490" s="39">
        <f t="shared" si="14"/>
        <v>302.66666666666669</v>
      </c>
      <c r="E490" s="27">
        <f>VLOOKUP(Table1[[#This Row],[Date]],Database!A:D,4,)</f>
        <v>5.9</v>
      </c>
      <c r="F490" s="40">
        <v>1.3441463794050326E-2</v>
      </c>
      <c r="G490" s="27">
        <f>VLOOKUP(Table1[[#This Row],[Date]],Database!A:D,2,)</f>
        <v>63.5</v>
      </c>
      <c r="H490" s="26"/>
    </row>
    <row r="491" spans="1:8" x14ac:dyDescent="0.2">
      <c r="A491" s="37">
        <v>28825</v>
      </c>
      <c r="B491" s="38">
        <f>VLOOKUP(Table1[[#This Row],[Date]],Database!A:D,3,)</f>
        <v>88671</v>
      </c>
      <c r="C491" s="39">
        <f t="shared" si="15"/>
        <v>280</v>
      </c>
      <c r="D491" s="39">
        <f t="shared" si="14"/>
        <v>350</v>
      </c>
      <c r="E491" s="27">
        <f>VLOOKUP(Table1[[#This Row],[Date]],Database!A:D,4,)</f>
        <v>6</v>
      </c>
      <c r="F491" s="40">
        <v>1.3441463794050326E-2</v>
      </c>
      <c r="G491" s="27">
        <f>VLOOKUP(Table1[[#This Row],[Date]],Database!A:D,2,)</f>
        <v>63.6</v>
      </c>
      <c r="H491" s="26"/>
    </row>
    <row r="492" spans="1:8" x14ac:dyDescent="0.2">
      <c r="A492" s="37">
        <v>28856</v>
      </c>
      <c r="B492" s="38">
        <f>VLOOKUP(Table1[[#This Row],[Date]],Database!A:D,3,)</f>
        <v>88808</v>
      </c>
      <c r="C492" s="39">
        <f t="shared" si="15"/>
        <v>137</v>
      </c>
      <c r="D492" s="39">
        <f t="shared" si="14"/>
        <v>284</v>
      </c>
      <c r="E492" s="27">
        <f>VLOOKUP(Table1[[#This Row],[Date]],Database!A:D,4,)</f>
        <v>5.9</v>
      </c>
      <c r="F492" s="40">
        <v>1.7978366225813807E-3</v>
      </c>
      <c r="G492" s="27">
        <f>VLOOKUP(Table1[[#This Row],[Date]],Database!A:D,2,)</f>
        <v>63.6</v>
      </c>
      <c r="H492" s="26"/>
    </row>
    <row r="493" spans="1:8" x14ac:dyDescent="0.2">
      <c r="A493" s="37">
        <v>28887</v>
      </c>
      <c r="B493" s="38">
        <f>VLOOKUP(Table1[[#This Row],[Date]],Database!A:D,3,)</f>
        <v>89055</v>
      </c>
      <c r="C493" s="39">
        <f t="shared" si="15"/>
        <v>247</v>
      </c>
      <c r="D493" s="39">
        <f t="shared" si="14"/>
        <v>221.33333333333334</v>
      </c>
      <c r="E493" s="27">
        <f>VLOOKUP(Table1[[#This Row],[Date]],Database!A:D,4,)</f>
        <v>5.9</v>
      </c>
      <c r="F493" s="40">
        <v>1.7978366225813807E-3</v>
      </c>
      <c r="G493" s="27">
        <f>VLOOKUP(Table1[[#This Row],[Date]],Database!A:D,2,)</f>
        <v>63.8</v>
      </c>
      <c r="H493" s="26"/>
    </row>
    <row r="494" spans="1:8" x14ac:dyDescent="0.2">
      <c r="A494" s="37">
        <v>28915</v>
      </c>
      <c r="B494" s="38">
        <f>VLOOKUP(Table1[[#This Row],[Date]],Database!A:D,3,)</f>
        <v>89479</v>
      </c>
      <c r="C494" s="39">
        <f t="shared" si="15"/>
        <v>424</v>
      </c>
      <c r="D494" s="39">
        <f t="shared" si="14"/>
        <v>269.33333333333331</v>
      </c>
      <c r="E494" s="27">
        <f>VLOOKUP(Table1[[#This Row],[Date]],Database!A:D,4,)</f>
        <v>5.8</v>
      </c>
      <c r="F494" s="40">
        <v>1.7978366225813807E-3</v>
      </c>
      <c r="G494" s="27">
        <f>VLOOKUP(Table1[[#This Row],[Date]],Database!A:D,2,)</f>
        <v>63.8</v>
      </c>
      <c r="H494" s="26"/>
    </row>
    <row r="495" spans="1:8" x14ac:dyDescent="0.2">
      <c r="A495" s="37">
        <v>28946</v>
      </c>
      <c r="B495" s="38">
        <f>VLOOKUP(Table1[[#This Row],[Date]],Database!A:D,3,)</f>
        <v>89417</v>
      </c>
      <c r="C495" s="39">
        <f t="shared" si="15"/>
        <v>-62</v>
      </c>
      <c r="D495" s="39">
        <f t="shared" si="14"/>
        <v>203</v>
      </c>
      <c r="E495" s="27">
        <f>VLOOKUP(Table1[[#This Row],[Date]],Database!A:D,4,)</f>
        <v>5.8</v>
      </c>
      <c r="F495" s="40">
        <v>1.0692904355389234E-3</v>
      </c>
      <c r="G495" s="27">
        <f>VLOOKUP(Table1[[#This Row],[Date]],Database!A:D,2,)</f>
        <v>63.5</v>
      </c>
      <c r="H495" s="26"/>
    </row>
    <row r="496" spans="1:8" x14ac:dyDescent="0.2">
      <c r="A496" s="37">
        <v>28976</v>
      </c>
      <c r="B496" s="38">
        <f>VLOOKUP(Table1[[#This Row],[Date]],Database!A:D,3,)</f>
        <v>89789</v>
      </c>
      <c r="C496" s="39">
        <f t="shared" si="15"/>
        <v>372</v>
      </c>
      <c r="D496" s="39">
        <f t="shared" si="14"/>
        <v>244.66666666666666</v>
      </c>
      <c r="E496" s="27">
        <f>VLOOKUP(Table1[[#This Row],[Date]],Database!A:D,4,)</f>
        <v>5.6</v>
      </c>
      <c r="F496" s="40">
        <v>1.0692904355389234E-3</v>
      </c>
      <c r="G496" s="27">
        <f>VLOOKUP(Table1[[#This Row],[Date]],Database!A:D,2,)</f>
        <v>63.3</v>
      </c>
      <c r="H496" s="26"/>
    </row>
    <row r="497" spans="1:8" x14ac:dyDescent="0.2">
      <c r="A497" s="37">
        <v>29007</v>
      </c>
      <c r="B497" s="38">
        <f>VLOOKUP(Table1[[#This Row],[Date]],Database!A:D,3,)</f>
        <v>90108</v>
      </c>
      <c r="C497" s="39">
        <f t="shared" si="15"/>
        <v>319</v>
      </c>
      <c r="D497" s="39">
        <f t="shared" si="14"/>
        <v>209.66666666666666</v>
      </c>
      <c r="E497" s="27">
        <f>VLOOKUP(Table1[[#This Row],[Date]],Database!A:D,4,)</f>
        <v>5.7</v>
      </c>
      <c r="F497" s="40">
        <v>1.0692904355389234E-3</v>
      </c>
      <c r="G497" s="27">
        <f>VLOOKUP(Table1[[#This Row],[Date]],Database!A:D,2,)</f>
        <v>63.5</v>
      </c>
      <c r="H497" s="26"/>
    </row>
    <row r="498" spans="1:8" x14ac:dyDescent="0.2">
      <c r="A498" s="37">
        <v>29037</v>
      </c>
      <c r="B498" s="38">
        <f>VLOOKUP(Table1[[#This Row],[Date]],Database!A:D,3,)</f>
        <v>90217</v>
      </c>
      <c r="C498" s="39">
        <f t="shared" si="15"/>
        <v>109</v>
      </c>
      <c r="D498" s="39">
        <f t="shared" si="14"/>
        <v>266.66666666666669</v>
      </c>
      <c r="E498" s="27">
        <f>VLOOKUP(Table1[[#This Row],[Date]],Database!A:D,4,)</f>
        <v>5.7</v>
      </c>
      <c r="F498" s="40">
        <v>7.42873492216619E-3</v>
      </c>
      <c r="G498" s="27">
        <f>VLOOKUP(Table1[[#This Row],[Date]],Database!A:D,2,)</f>
        <v>63.6</v>
      </c>
      <c r="H498" s="26"/>
    </row>
    <row r="499" spans="1:8" x14ac:dyDescent="0.2">
      <c r="A499" s="37">
        <v>29068</v>
      </c>
      <c r="B499" s="38">
        <f>VLOOKUP(Table1[[#This Row],[Date]],Database!A:D,3,)</f>
        <v>90300</v>
      </c>
      <c r="C499" s="39">
        <f t="shared" si="15"/>
        <v>83</v>
      </c>
      <c r="D499" s="39">
        <f t="shared" si="14"/>
        <v>170.33333333333334</v>
      </c>
      <c r="E499" s="27">
        <f>VLOOKUP(Table1[[#This Row],[Date]],Database!A:D,4,)</f>
        <v>6</v>
      </c>
      <c r="F499" s="40">
        <v>7.42873492216619E-3</v>
      </c>
      <c r="G499" s="27">
        <f>VLOOKUP(Table1[[#This Row],[Date]],Database!A:D,2,)</f>
        <v>63.6</v>
      </c>
      <c r="H499" s="26"/>
    </row>
    <row r="500" spans="1:8" x14ac:dyDescent="0.2">
      <c r="A500" s="37">
        <v>29099</v>
      </c>
      <c r="B500" s="38">
        <f>VLOOKUP(Table1[[#This Row],[Date]],Database!A:D,3,)</f>
        <v>90327</v>
      </c>
      <c r="C500" s="39">
        <f t="shared" si="15"/>
        <v>27</v>
      </c>
      <c r="D500" s="39">
        <f t="shared" si="14"/>
        <v>73</v>
      </c>
      <c r="E500" s="27">
        <f>VLOOKUP(Table1[[#This Row],[Date]],Database!A:D,4,)</f>
        <v>5.9</v>
      </c>
      <c r="F500" s="40">
        <v>7.42873492216619E-3</v>
      </c>
      <c r="G500" s="27">
        <f>VLOOKUP(Table1[[#This Row],[Date]],Database!A:D,2,)</f>
        <v>63.8</v>
      </c>
      <c r="H500" s="26"/>
    </row>
    <row r="501" spans="1:8" x14ac:dyDescent="0.2">
      <c r="A501" s="37">
        <v>29129</v>
      </c>
      <c r="B501" s="38">
        <f>VLOOKUP(Table1[[#This Row],[Date]],Database!A:D,3,)</f>
        <v>90481</v>
      </c>
      <c r="C501" s="39">
        <f t="shared" si="15"/>
        <v>154</v>
      </c>
      <c r="D501" s="39">
        <f t="shared" si="14"/>
        <v>88</v>
      </c>
      <c r="E501" s="27">
        <f>VLOOKUP(Table1[[#This Row],[Date]],Database!A:D,4,)</f>
        <v>6</v>
      </c>
      <c r="F501" s="40">
        <v>2.5007353806331058E-3</v>
      </c>
      <c r="G501" s="27">
        <f>VLOOKUP(Table1[[#This Row],[Date]],Database!A:D,2,)</f>
        <v>63.7</v>
      </c>
      <c r="H501" s="26"/>
    </row>
    <row r="502" spans="1:8" x14ac:dyDescent="0.2">
      <c r="A502" s="37">
        <v>29160</v>
      </c>
      <c r="B502" s="38">
        <f>VLOOKUP(Table1[[#This Row],[Date]],Database!A:D,3,)</f>
        <v>90573</v>
      </c>
      <c r="C502" s="39">
        <f t="shared" si="15"/>
        <v>92</v>
      </c>
      <c r="D502" s="39">
        <f t="shared" si="14"/>
        <v>91</v>
      </c>
      <c r="E502" s="27">
        <f>VLOOKUP(Table1[[#This Row],[Date]],Database!A:D,4,)</f>
        <v>5.9</v>
      </c>
      <c r="F502" s="40">
        <v>2.5007353806331058E-3</v>
      </c>
      <c r="G502" s="27">
        <f>VLOOKUP(Table1[[#This Row],[Date]],Database!A:D,2,)</f>
        <v>63.7</v>
      </c>
      <c r="H502" s="26"/>
    </row>
    <row r="503" spans="1:8" x14ac:dyDescent="0.2">
      <c r="A503" s="37">
        <v>29190</v>
      </c>
      <c r="B503" s="38">
        <f>VLOOKUP(Table1[[#This Row],[Date]],Database!A:D,3,)</f>
        <v>90672</v>
      </c>
      <c r="C503" s="39">
        <f t="shared" si="15"/>
        <v>99</v>
      </c>
      <c r="D503" s="39">
        <f t="shared" si="14"/>
        <v>115</v>
      </c>
      <c r="E503" s="27">
        <f>VLOOKUP(Table1[[#This Row],[Date]],Database!A:D,4,)</f>
        <v>6</v>
      </c>
      <c r="F503" s="40">
        <v>2.5007353806331058E-3</v>
      </c>
      <c r="G503" s="27">
        <f>VLOOKUP(Table1[[#This Row],[Date]],Database!A:D,2,)</f>
        <v>63.9</v>
      </c>
      <c r="H503" s="26"/>
    </row>
    <row r="504" spans="1:8" x14ac:dyDescent="0.2">
      <c r="A504" s="37">
        <v>29221</v>
      </c>
      <c r="B504" s="38">
        <f>VLOOKUP(Table1[[#This Row],[Date]],Database!A:D,3,)</f>
        <v>90800</v>
      </c>
      <c r="C504" s="39">
        <f t="shared" si="15"/>
        <v>128</v>
      </c>
      <c r="D504" s="39">
        <f t="shared" si="14"/>
        <v>106.33333333333333</v>
      </c>
      <c r="E504" s="27">
        <f>VLOOKUP(Table1[[#This Row],[Date]],Database!A:D,4,)</f>
        <v>6.3</v>
      </c>
      <c r="F504" s="40">
        <v>3.1451528072152768E-3</v>
      </c>
      <c r="G504" s="27">
        <f>VLOOKUP(Table1[[#This Row],[Date]],Database!A:D,2,)</f>
        <v>64</v>
      </c>
      <c r="H504" s="26"/>
    </row>
    <row r="505" spans="1:8" x14ac:dyDescent="0.2">
      <c r="A505" s="37">
        <v>29252</v>
      </c>
      <c r="B505" s="38">
        <f>VLOOKUP(Table1[[#This Row],[Date]],Database!A:D,3,)</f>
        <v>90883</v>
      </c>
      <c r="C505" s="39">
        <f t="shared" si="15"/>
        <v>83</v>
      </c>
      <c r="D505" s="39">
        <f t="shared" si="14"/>
        <v>103.33333333333333</v>
      </c>
      <c r="E505" s="27">
        <f>VLOOKUP(Table1[[#This Row],[Date]],Database!A:D,4,)</f>
        <v>6.3</v>
      </c>
      <c r="F505" s="40">
        <v>3.1451528072152768E-3</v>
      </c>
      <c r="G505" s="27">
        <f>VLOOKUP(Table1[[#This Row],[Date]],Database!A:D,2,)</f>
        <v>64</v>
      </c>
      <c r="H505" s="26"/>
    </row>
    <row r="506" spans="1:8" x14ac:dyDescent="0.2">
      <c r="A506" s="37">
        <v>29281</v>
      </c>
      <c r="B506" s="38">
        <f>VLOOKUP(Table1[[#This Row],[Date]],Database!A:D,3,)</f>
        <v>90994</v>
      </c>
      <c r="C506" s="39">
        <f t="shared" si="15"/>
        <v>111</v>
      </c>
      <c r="D506" s="39">
        <f t="shared" si="14"/>
        <v>107.33333333333333</v>
      </c>
      <c r="E506" s="27">
        <f>VLOOKUP(Table1[[#This Row],[Date]],Database!A:D,4,)</f>
        <v>6.3</v>
      </c>
      <c r="F506" s="40">
        <v>3.1451528072152768E-3</v>
      </c>
      <c r="G506" s="27">
        <f>VLOOKUP(Table1[[#This Row],[Date]],Database!A:D,2,)</f>
        <v>63.7</v>
      </c>
      <c r="H506" s="26"/>
    </row>
    <row r="507" spans="1:8" x14ac:dyDescent="0.2">
      <c r="A507" s="37">
        <v>29312</v>
      </c>
      <c r="B507" s="38">
        <f>VLOOKUP(Table1[[#This Row],[Date]],Database!A:D,3,)</f>
        <v>90849</v>
      </c>
      <c r="C507" s="39">
        <f t="shared" si="15"/>
        <v>-145</v>
      </c>
      <c r="D507" s="39">
        <f t="shared" si="14"/>
        <v>16.333333333333332</v>
      </c>
      <c r="E507" s="27">
        <f>VLOOKUP(Table1[[#This Row],[Date]],Database!A:D,4,)</f>
        <v>6.9</v>
      </c>
      <c r="F507" s="40">
        <v>-2.0604767053432598E-2</v>
      </c>
      <c r="G507" s="27">
        <f>VLOOKUP(Table1[[#This Row],[Date]],Database!A:D,2,)</f>
        <v>63.8</v>
      </c>
      <c r="H507" s="26"/>
    </row>
    <row r="508" spans="1:8" x14ac:dyDescent="0.2">
      <c r="A508" s="37">
        <v>29342</v>
      </c>
      <c r="B508" s="38">
        <f>VLOOKUP(Table1[[#This Row],[Date]],Database!A:D,3,)</f>
        <v>90420</v>
      </c>
      <c r="C508" s="39">
        <f t="shared" si="15"/>
        <v>-429</v>
      </c>
      <c r="D508" s="39">
        <f t="shared" si="14"/>
        <v>-154.33333333333334</v>
      </c>
      <c r="E508" s="27">
        <f>VLOOKUP(Table1[[#This Row],[Date]],Database!A:D,4,)</f>
        <v>7.5</v>
      </c>
      <c r="F508" s="40">
        <v>-2.0604767053432598E-2</v>
      </c>
      <c r="G508" s="27">
        <f>VLOOKUP(Table1[[#This Row],[Date]],Database!A:D,2,)</f>
        <v>63.9</v>
      </c>
      <c r="H508" s="26"/>
    </row>
    <row r="509" spans="1:8" x14ac:dyDescent="0.2">
      <c r="A509" s="37">
        <v>29373</v>
      </c>
      <c r="B509" s="38">
        <f>VLOOKUP(Table1[[#This Row],[Date]],Database!A:D,3,)</f>
        <v>90101</v>
      </c>
      <c r="C509" s="39">
        <f t="shared" si="15"/>
        <v>-319</v>
      </c>
      <c r="D509" s="39">
        <f t="shared" si="14"/>
        <v>-297.66666666666669</v>
      </c>
      <c r="E509" s="27">
        <f>VLOOKUP(Table1[[#This Row],[Date]],Database!A:D,4,)</f>
        <v>7.6</v>
      </c>
      <c r="F509" s="40">
        <v>-2.0604767053432598E-2</v>
      </c>
      <c r="G509" s="27">
        <f>VLOOKUP(Table1[[#This Row],[Date]],Database!A:D,2,)</f>
        <v>63.7</v>
      </c>
      <c r="H509" s="26"/>
    </row>
    <row r="510" spans="1:8" x14ac:dyDescent="0.2">
      <c r="A510" s="37">
        <v>29403</v>
      </c>
      <c r="B510" s="38">
        <f>VLOOKUP(Table1[[#This Row],[Date]],Database!A:D,3,)</f>
        <v>89840</v>
      </c>
      <c r="C510" s="39">
        <f t="shared" si="15"/>
        <v>-261</v>
      </c>
      <c r="D510" s="39">
        <f t="shared" si="14"/>
        <v>-336.33333333333331</v>
      </c>
      <c r="E510" s="27">
        <f>VLOOKUP(Table1[[#This Row],[Date]],Database!A:D,4,)</f>
        <v>7.8</v>
      </c>
      <c r="F510" s="40">
        <v>-1.1884864202098887E-3</v>
      </c>
      <c r="G510" s="27">
        <f>VLOOKUP(Table1[[#This Row],[Date]],Database!A:D,2,)</f>
        <v>63.8</v>
      </c>
      <c r="H510" s="26"/>
    </row>
    <row r="511" spans="1:8" x14ac:dyDescent="0.2">
      <c r="A511" s="37">
        <v>29434</v>
      </c>
      <c r="B511" s="38">
        <f>VLOOKUP(Table1[[#This Row],[Date]],Database!A:D,3,)</f>
        <v>90099</v>
      </c>
      <c r="C511" s="39">
        <f t="shared" si="15"/>
        <v>259</v>
      </c>
      <c r="D511" s="39">
        <f t="shared" si="14"/>
        <v>-107</v>
      </c>
      <c r="E511" s="27">
        <f>VLOOKUP(Table1[[#This Row],[Date]],Database!A:D,4,)</f>
        <v>7.7</v>
      </c>
      <c r="F511" s="40">
        <v>-1.1884864202098887E-3</v>
      </c>
      <c r="G511" s="27">
        <f>VLOOKUP(Table1[[#This Row],[Date]],Database!A:D,2,)</f>
        <v>63.7</v>
      </c>
      <c r="H511" s="26"/>
    </row>
    <row r="512" spans="1:8" x14ac:dyDescent="0.2">
      <c r="A512" s="37">
        <v>29465</v>
      </c>
      <c r="B512" s="38">
        <f>VLOOKUP(Table1[[#This Row],[Date]],Database!A:D,3,)</f>
        <v>90213</v>
      </c>
      <c r="C512" s="39">
        <f t="shared" si="15"/>
        <v>114</v>
      </c>
      <c r="D512" s="39">
        <f t="shared" si="14"/>
        <v>37.333333333333336</v>
      </c>
      <c r="E512" s="27">
        <f>VLOOKUP(Table1[[#This Row],[Date]],Database!A:D,4,)</f>
        <v>7.5</v>
      </c>
      <c r="F512" s="40">
        <v>-1.1884864202098887E-3</v>
      </c>
      <c r="G512" s="27">
        <f>VLOOKUP(Table1[[#This Row],[Date]],Database!A:D,2,)</f>
        <v>63.6</v>
      </c>
      <c r="H512" s="26"/>
    </row>
    <row r="513" spans="1:8" x14ac:dyDescent="0.2">
      <c r="A513" s="37">
        <v>29495</v>
      </c>
      <c r="B513" s="38">
        <f>VLOOKUP(Table1[[#This Row],[Date]],Database!A:D,3,)</f>
        <v>90490</v>
      </c>
      <c r="C513" s="39">
        <f t="shared" si="15"/>
        <v>277</v>
      </c>
      <c r="D513" s="39">
        <f t="shared" si="14"/>
        <v>216.66666666666666</v>
      </c>
      <c r="E513" s="27">
        <f>VLOOKUP(Table1[[#This Row],[Date]],Database!A:D,4,)</f>
        <v>7.5</v>
      </c>
      <c r="F513" s="40">
        <v>1.8649251270109378E-2</v>
      </c>
      <c r="G513" s="27">
        <f>VLOOKUP(Table1[[#This Row],[Date]],Database!A:D,2,)</f>
        <v>63.7</v>
      </c>
      <c r="H513" s="26"/>
    </row>
    <row r="514" spans="1:8" x14ac:dyDescent="0.2">
      <c r="A514" s="37">
        <v>29526</v>
      </c>
      <c r="B514" s="38">
        <f>VLOOKUP(Table1[[#This Row],[Date]],Database!A:D,3,)</f>
        <v>90747</v>
      </c>
      <c r="C514" s="39">
        <f t="shared" si="15"/>
        <v>257</v>
      </c>
      <c r="D514" s="39">
        <f t="shared" si="14"/>
        <v>216</v>
      </c>
      <c r="E514" s="27">
        <f>VLOOKUP(Table1[[#This Row],[Date]],Database!A:D,4,)</f>
        <v>7.5</v>
      </c>
      <c r="F514" s="40">
        <v>1.8649251270109378E-2</v>
      </c>
      <c r="G514" s="27">
        <f>VLOOKUP(Table1[[#This Row],[Date]],Database!A:D,2,)</f>
        <v>63.8</v>
      </c>
      <c r="H514" s="26"/>
    </row>
    <row r="515" spans="1:8" x14ac:dyDescent="0.2">
      <c r="A515" s="37">
        <v>29556</v>
      </c>
      <c r="B515" s="38">
        <f>VLOOKUP(Table1[[#This Row],[Date]],Database!A:D,3,)</f>
        <v>90943</v>
      </c>
      <c r="C515" s="39">
        <f t="shared" si="15"/>
        <v>196</v>
      </c>
      <c r="D515" s="39">
        <f t="shared" si="14"/>
        <v>243.33333333333334</v>
      </c>
      <c r="E515" s="27">
        <f>VLOOKUP(Table1[[#This Row],[Date]],Database!A:D,4,)</f>
        <v>7.2</v>
      </c>
      <c r="F515" s="40">
        <v>1.8649251270109378E-2</v>
      </c>
      <c r="G515" s="27">
        <f>VLOOKUP(Table1[[#This Row],[Date]],Database!A:D,2,)</f>
        <v>63.6</v>
      </c>
      <c r="H515" s="26"/>
    </row>
    <row r="516" spans="1:8" x14ac:dyDescent="0.2">
      <c r="A516" s="37">
        <v>29587</v>
      </c>
      <c r="B516" s="38">
        <f>VLOOKUP(Table1[[#This Row],[Date]],Database!A:D,3,)</f>
        <v>91033</v>
      </c>
      <c r="C516" s="39">
        <f t="shared" si="15"/>
        <v>90</v>
      </c>
      <c r="D516" s="39">
        <f t="shared" si="14"/>
        <v>181</v>
      </c>
      <c r="E516" s="27">
        <f>VLOOKUP(Table1[[#This Row],[Date]],Database!A:D,4,)</f>
        <v>7.5</v>
      </c>
      <c r="F516" s="40">
        <v>1.9594380890389573E-2</v>
      </c>
      <c r="G516" s="27">
        <f>VLOOKUP(Table1[[#This Row],[Date]],Database!A:D,2,)</f>
        <v>63.9</v>
      </c>
      <c r="H516" s="26"/>
    </row>
    <row r="517" spans="1:8" x14ac:dyDescent="0.2">
      <c r="A517" s="37">
        <v>29618</v>
      </c>
      <c r="B517" s="38">
        <f>VLOOKUP(Table1[[#This Row],[Date]],Database!A:D,3,)</f>
        <v>91105</v>
      </c>
      <c r="C517" s="39">
        <f t="shared" si="15"/>
        <v>72</v>
      </c>
      <c r="D517" s="39">
        <f t="shared" si="14"/>
        <v>119.33333333333333</v>
      </c>
      <c r="E517" s="27">
        <f>VLOOKUP(Table1[[#This Row],[Date]],Database!A:D,4,)</f>
        <v>7.4</v>
      </c>
      <c r="F517" s="40">
        <v>1.9594380890389573E-2</v>
      </c>
      <c r="G517" s="27">
        <f>VLOOKUP(Table1[[#This Row],[Date]],Database!A:D,2,)</f>
        <v>63.9</v>
      </c>
      <c r="H517" s="26"/>
    </row>
    <row r="518" spans="1:8" x14ac:dyDescent="0.2">
      <c r="A518" s="37">
        <v>29646</v>
      </c>
      <c r="B518" s="38">
        <f>VLOOKUP(Table1[[#This Row],[Date]],Database!A:D,3,)</f>
        <v>91210</v>
      </c>
      <c r="C518" s="39">
        <f t="shared" si="15"/>
        <v>105</v>
      </c>
      <c r="D518" s="39">
        <f t="shared" si="14"/>
        <v>89</v>
      </c>
      <c r="E518" s="27">
        <f>VLOOKUP(Table1[[#This Row],[Date]],Database!A:D,4,)</f>
        <v>7.4</v>
      </c>
      <c r="F518" s="40">
        <v>1.9594380890389573E-2</v>
      </c>
      <c r="G518" s="27">
        <f>VLOOKUP(Table1[[#This Row],[Date]],Database!A:D,2,)</f>
        <v>64.099999999999994</v>
      </c>
      <c r="H518" s="26"/>
    </row>
    <row r="519" spans="1:8" x14ac:dyDescent="0.2">
      <c r="A519" s="37">
        <v>29677</v>
      </c>
      <c r="B519" s="38">
        <f>VLOOKUP(Table1[[#This Row],[Date]],Database!A:D,3,)</f>
        <v>91283</v>
      </c>
      <c r="C519" s="39">
        <f t="shared" si="15"/>
        <v>73</v>
      </c>
      <c r="D519" s="39">
        <f t="shared" si="14"/>
        <v>83.333333333333329</v>
      </c>
      <c r="E519" s="27">
        <f>VLOOKUP(Table1[[#This Row],[Date]],Database!A:D,4,)</f>
        <v>7.2</v>
      </c>
      <c r="F519" s="40">
        <v>-7.4107800125578875E-3</v>
      </c>
      <c r="G519" s="27">
        <f>VLOOKUP(Table1[[#This Row],[Date]],Database!A:D,2,)</f>
        <v>64.2</v>
      </c>
      <c r="H519" s="26"/>
    </row>
    <row r="520" spans="1:8" x14ac:dyDescent="0.2">
      <c r="A520" s="37">
        <v>29707</v>
      </c>
      <c r="B520" s="38">
        <f>VLOOKUP(Table1[[#This Row],[Date]],Database!A:D,3,)</f>
        <v>91296</v>
      </c>
      <c r="C520" s="39">
        <f t="shared" si="15"/>
        <v>13</v>
      </c>
      <c r="D520" s="39">
        <f t="shared" si="14"/>
        <v>63.666666666666664</v>
      </c>
      <c r="E520" s="27">
        <f>VLOOKUP(Table1[[#This Row],[Date]],Database!A:D,4,)</f>
        <v>7.5</v>
      </c>
      <c r="F520" s="40">
        <v>-7.4107800125578875E-3</v>
      </c>
      <c r="G520" s="27">
        <f>VLOOKUP(Table1[[#This Row],[Date]],Database!A:D,2,)</f>
        <v>64.3</v>
      </c>
      <c r="H520" s="26"/>
    </row>
    <row r="521" spans="1:8" x14ac:dyDescent="0.2">
      <c r="A521" s="37">
        <v>29738</v>
      </c>
      <c r="B521" s="38">
        <f>VLOOKUP(Table1[[#This Row],[Date]],Database!A:D,3,)</f>
        <v>91490</v>
      </c>
      <c r="C521" s="39">
        <f t="shared" si="15"/>
        <v>194</v>
      </c>
      <c r="D521" s="39">
        <f t="shared" si="14"/>
        <v>93.333333333333329</v>
      </c>
      <c r="E521" s="27">
        <f>VLOOKUP(Table1[[#This Row],[Date]],Database!A:D,4,)</f>
        <v>7.5</v>
      </c>
      <c r="F521" s="40">
        <v>-7.4107800125578875E-3</v>
      </c>
      <c r="G521" s="27">
        <f>VLOOKUP(Table1[[#This Row],[Date]],Database!A:D,2,)</f>
        <v>63.7</v>
      </c>
      <c r="H521" s="26"/>
    </row>
    <row r="522" spans="1:8" x14ac:dyDescent="0.2">
      <c r="A522" s="37">
        <v>29768</v>
      </c>
      <c r="B522" s="38">
        <f>VLOOKUP(Table1[[#This Row],[Date]],Database!A:D,3,)</f>
        <v>91601</v>
      </c>
      <c r="C522" s="39">
        <f t="shared" si="15"/>
        <v>111</v>
      </c>
      <c r="D522" s="39">
        <f t="shared" si="14"/>
        <v>106</v>
      </c>
      <c r="E522" s="27">
        <f>VLOOKUP(Table1[[#This Row],[Date]],Database!A:D,4,)</f>
        <v>7.2</v>
      </c>
      <c r="F522" s="40">
        <v>1.1975243776465406E-2</v>
      </c>
      <c r="G522" s="27">
        <f>VLOOKUP(Table1[[#This Row],[Date]],Database!A:D,2,)</f>
        <v>63.8</v>
      </c>
      <c r="H522" s="26"/>
    </row>
    <row r="523" spans="1:8" x14ac:dyDescent="0.2">
      <c r="A523" s="37">
        <v>29799</v>
      </c>
      <c r="B523" s="38">
        <f>VLOOKUP(Table1[[#This Row],[Date]],Database!A:D,3,)</f>
        <v>91565</v>
      </c>
      <c r="C523" s="39">
        <f t="shared" si="15"/>
        <v>-36</v>
      </c>
      <c r="D523" s="39">
        <f t="shared" si="14"/>
        <v>89.666666666666671</v>
      </c>
      <c r="E523" s="27">
        <f>VLOOKUP(Table1[[#This Row],[Date]],Database!A:D,4,)</f>
        <v>7.4</v>
      </c>
      <c r="F523" s="40">
        <v>1.1975243776465406E-2</v>
      </c>
      <c r="G523" s="27">
        <f>VLOOKUP(Table1[[#This Row],[Date]],Database!A:D,2,)</f>
        <v>63.8</v>
      </c>
      <c r="H523" s="26"/>
    </row>
    <row r="524" spans="1:8" x14ac:dyDescent="0.2">
      <c r="A524" s="37">
        <v>29830</v>
      </c>
      <c r="B524" s="38">
        <f>VLOOKUP(Table1[[#This Row],[Date]],Database!A:D,3,)</f>
        <v>91477</v>
      </c>
      <c r="C524" s="39">
        <f t="shared" si="15"/>
        <v>-88</v>
      </c>
      <c r="D524" s="39">
        <f t="shared" ref="D524:D587" si="16">AVERAGE(C522:C524)</f>
        <v>-4.333333333333333</v>
      </c>
      <c r="E524" s="27">
        <f>VLOOKUP(Table1[[#This Row],[Date]],Database!A:D,4,)</f>
        <v>7.6</v>
      </c>
      <c r="F524" s="40">
        <v>1.1975243776465406E-2</v>
      </c>
      <c r="G524" s="27">
        <f>VLOOKUP(Table1[[#This Row],[Date]],Database!A:D,2,)</f>
        <v>63.5</v>
      </c>
      <c r="H524" s="26"/>
    </row>
    <row r="525" spans="1:8" x14ac:dyDescent="0.2">
      <c r="A525" s="37">
        <v>29860</v>
      </c>
      <c r="B525" s="38">
        <f>VLOOKUP(Table1[[#This Row],[Date]],Database!A:D,3,)</f>
        <v>91380</v>
      </c>
      <c r="C525" s="39">
        <f t="shared" ref="C525:C588" si="17">B525-B524</f>
        <v>-97</v>
      </c>
      <c r="D525" s="39">
        <f t="shared" si="16"/>
        <v>-73.666666666666671</v>
      </c>
      <c r="E525" s="27">
        <f>VLOOKUP(Table1[[#This Row],[Date]],Database!A:D,4,)</f>
        <v>7.9</v>
      </c>
      <c r="F525" s="40">
        <v>-1.0895461323118662E-2</v>
      </c>
      <c r="G525" s="27">
        <f>VLOOKUP(Table1[[#This Row],[Date]],Database!A:D,2,)</f>
        <v>63.8</v>
      </c>
      <c r="H525" s="26"/>
    </row>
    <row r="526" spans="1:8" x14ac:dyDescent="0.2">
      <c r="A526" s="37">
        <v>29891</v>
      </c>
      <c r="B526" s="38">
        <f>VLOOKUP(Table1[[#This Row],[Date]],Database!A:D,3,)</f>
        <v>91171</v>
      </c>
      <c r="C526" s="39">
        <f t="shared" si="17"/>
        <v>-209</v>
      </c>
      <c r="D526" s="39">
        <f t="shared" si="16"/>
        <v>-131.33333333333334</v>
      </c>
      <c r="E526" s="27">
        <f>VLOOKUP(Table1[[#This Row],[Date]],Database!A:D,4,)</f>
        <v>8.3000000000000007</v>
      </c>
      <c r="F526" s="40">
        <v>-1.0895461323118662E-2</v>
      </c>
      <c r="G526" s="27">
        <f>VLOOKUP(Table1[[#This Row],[Date]],Database!A:D,2,)</f>
        <v>63.9</v>
      </c>
      <c r="H526" s="26"/>
    </row>
    <row r="527" spans="1:8" x14ac:dyDescent="0.2">
      <c r="A527" s="37">
        <v>29921</v>
      </c>
      <c r="B527" s="38">
        <f>VLOOKUP(Table1[[#This Row],[Date]],Database!A:D,3,)</f>
        <v>90895</v>
      </c>
      <c r="C527" s="39">
        <f t="shared" si="17"/>
        <v>-276</v>
      </c>
      <c r="D527" s="39">
        <f t="shared" si="16"/>
        <v>-194</v>
      </c>
      <c r="E527" s="27">
        <f>VLOOKUP(Table1[[#This Row],[Date]],Database!A:D,4,)</f>
        <v>8.5</v>
      </c>
      <c r="F527" s="40">
        <v>-1.0895461323118662E-2</v>
      </c>
      <c r="G527" s="27">
        <f>VLOOKUP(Table1[[#This Row],[Date]],Database!A:D,2,)</f>
        <v>63.6</v>
      </c>
      <c r="H527" s="26"/>
    </row>
    <row r="528" spans="1:8" x14ac:dyDescent="0.2">
      <c r="A528" s="37">
        <v>29952</v>
      </c>
      <c r="B528" s="38">
        <f>VLOOKUP(Table1[[#This Row],[Date]],Database!A:D,3,)</f>
        <v>90565</v>
      </c>
      <c r="C528" s="39">
        <f t="shared" si="17"/>
        <v>-330</v>
      </c>
      <c r="D528" s="39">
        <f t="shared" si="16"/>
        <v>-271.66666666666669</v>
      </c>
      <c r="E528" s="27">
        <f>VLOOKUP(Table1[[#This Row],[Date]],Database!A:D,4,)</f>
        <v>8.6</v>
      </c>
      <c r="F528" s="40">
        <v>-1.5535405503103745E-2</v>
      </c>
      <c r="G528" s="27">
        <f>VLOOKUP(Table1[[#This Row],[Date]],Database!A:D,2,)</f>
        <v>63.7</v>
      </c>
      <c r="H528" s="26"/>
    </row>
    <row r="529" spans="1:8" x14ac:dyDescent="0.2">
      <c r="A529" s="37">
        <v>29983</v>
      </c>
      <c r="B529" s="38">
        <f>VLOOKUP(Table1[[#This Row],[Date]],Database!A:D,3,)</f>
        <v>90563</v>
      </c>
      <c r="C529" s="39">
        <f t="shared" si="17"/>
        <v>-2</v>
      </c>
      <c r="D529" s="39">
        <f t="shared" si="16"/>
        <v>-202.66666666666666</v>
      </c>
      <c r="E529" s="27">
        <f>VLOOKUP(Table1[[#This Row],[Date]],Database!A:D,4,)</f>
        <v>8.9</v>
      </c>
      <c r="F529" s="40">
        <v>-1.5535405503103745E-2</v>
      </c>
      <c r="G529" s="27">
        <f>VLOOKUP(Table1[[#This Row],[Date]],Database!A:D,2,)</f>
        <v>63.8</v>
      </c>
      <c r="H529" s="26"/>
    </row>
    <row r="530" spans="1:8" x14ac:dyDescent="0.2">
      <c r="A530" s="37">
        <v>30011</v>
      </c>
      <c r="B530" s="38">
        <f>VLOOKUP(Table1[[#This Row],[Date]],Database!A:D,3,)</f>
        <v>90434</v>
      </c>
      <c r="C530" s="39">
        <f t="shared" si="17"/>
        <v>-129</v>
      </c>
      <c r="D530" s="39">
        <f t="shared" si="16"/>
        <v>-153.66666666666666</v>
      </c>
      <c r="E530" s="27">
        <f>VLOOKUP(Table1[[#This Row],[Date]],Database!A:D,4,)</f>
        <v>9</v>
      </c>
      <c r="F530" s="40">
        <v>-1.5535405503103745E-2</v>
      </c>
      <c r="G530" s="27">
        <f>VLOOKUP(Table1[[#This Row],[Date]],Database!A:D,2,)</f>
        <v>63.8</v>
      </c>
      <c r="H530" s="26"/>
    </row>
    <row r="531" spans="1:8" x14ac:dyDescent="0.2">
      <c r="A531" s="37">
        <v>30042</v>
      </c>
      <c r="B531" s="38">
        <f>VLOOKUP(Table1[[#This Row],[Date]],Database!A:D,3,)</f>
        <v>90150</v>
      </c>
      <c r="C531" s="39">
        <f t="shared" si="17"/>
        <v>-284</v>
      </c>
      <c r="D531" s="39">
        <f t="shared" si="16"/>
        <v>-138.33333333333334</v>
      </c>
      <c r="E531" s="27">
        <f>VLOOKUP(Table1[[#This Row],[Date]],Database!A:D,4,)</f>
        <v>9.3000000000000007</v>
      </c>
      <c r="F531" s="40">
        <v>4.5619656452993715E-3</v>
      </c>
      <c r="G531" s="27">
        <f>VLOOKUP(Table1[[#This Row],[Date]],Database!A:D,2,)</f>
        <v>63.9</v>
      </c>
      <c r="H531" s="26"/>
    </row>
    <row r="532" spans="1:8" x14ac:dyDescent="0.2">
      <c r="A532" s="37">
        <v>30072</v>
      </c>
      <c r="B532" s="38">
        <f>VLOOKUP(Table1[[#This Row],[Date]],Database!A:D,3,)</f>
        <v>90107</v>
      </c>
      <c r="C532" s="39">
        <f t="shared" si="17"/>
        <v>-43</v>
      </c>
      <c r="D532" s="39">
        <f t="shared" si="16"/>
        <v>-152</v>
      </c>
      <c r="E532" s="27">
        <f>VLOOKUP(Table1[[#This Row],[Date]],Database!A:D,4,)</f>
        <v>9.4</v>
      </c>
      <c r="F532" s="40">
        <v>4.5619656452993715E-3</v>
      </c>
      <c r="G532" s="27">
        <f>VLOOKUP(Table1[[#This Row],[Date]],Database!A:D,2,)</f>
        <v>64.2</v>
      </c>
      <c r="H532" s="26"/>
    </row>
    <row r="533" spans="1:8" x14ac:dyDescent="0.2">
      <c r="A533" s="37">
        <v>30103</v>
      </c>
      <c r="B533" s="38">
        <f>VLOOKUP(Table1[[#This Row],[Date]],Database!A:D,3,)</f>
        <v>89865</v>
      </c>
      <c r="C533" s="39">
        <f t="shared" si="17"/>
        <v>-242</v>
      </c>
      <c r="D533" s="39">
        <f t="shared" si="16"/>
        <v>-189.66666666666666</v>
      </c>
      <c r="E533" s="27">
        <f>VLOOKUP(Table1[[#This Row],[Date]],Database!A:D,4,)</f>
        <v>9.6</v>
      </c>
      <c r="F533" s="40">
        <v>4.5619656452993715E-3</v>
      </c>
      <c r="G533" s="27">
        <f>VLOOKUP(Table1[[#This Row],[Date]],Database!A:D,2,)</f>
        <v>63.9</v>
      </c>
      <c r="H533" s="26"/>
    </row>
    <row r="534" spans="1:8" x14ac:dyDescent="0.2">
      <c r="A534" s="37">
        <v>30133</v>
      </c>
      <c r="B534" s="38">
        <f>VLOOKUP(Table1[[#This Row],[Date]],Database!A:D,3,)</f>
        <v>89521</v>
      </c>
      <c r="C534" s="39">
        <f t="shared" si="17"/>
        <v>-344</v>
      </c>
      <c r="D534" s="39">
        <f t="shared" si="16"/>
        <v>-209.66666666666666</v>
      </c>
      <c r="E534" s="27">
        <f>VLOOKUP(Table1[[#This Row],[Date]],Database!A:D,4,)</f>
        <v>9.8000000000000007</v>
      </c>
      <c r="F534" s="40">
        <v>-3.8229525411830295E-3</v>
      </c>
      <c r="G534" s="27">
        <f>VLOOKUP(Table1[[#This Row],[Date]],Database!A:D,2,)</f>
        <v>64</v>
      </c>
      <c r="H534" s="26"/>
    </row>
    <row r="535" spans="1:8" x14ac:dyDescent="0.2">
      <c r="A535" s="37">
        <v>30164</v>
      </c>
      <c r="B535" s="38">
        <f>VLOOKUP(Table1[[#This Row],[Date]],Database!A:D,3,)</f>
        <v>89363</v>
      </c>
      <c r="C535" s="39">
        <f t="shared" si="17"/>
        <v>-158</v>
      </c>
      <c r="D535" s="39">
        <f t="shared" si="16"/>
        <v>-248</v>
      </c>
      <c r="E535" s="27">
        <f>VLOOKUP(Table1[[#This Row],[Date]],Database!A:D,4,)</f>
        <v>9.8000000000000007</v>
      </c>
      <c r="F535" s="40">
        <v>-3.8229525411830295E-3</v>
      </c>
      <c r="G535" s="27">
        <f>VLOOKUP(Table1[[#This Row],[Date]],Database!A:D,2,)</f>
        <v>64.099999999999994</v>
      </c>
      <c r="H535" s="26"/>
    </row>
    <row r="536" spans="1:8" x14ac:dyDescent="0.2">
      <c r="A536" s="37">
        <v>30195</v>
      </c>
      <c r="B536" s="38">
        <f>VLOOKUP(Table1[[#This Row],[Date]],Database!A:D,3,)</f>
        <v>89183</v>
      </c>
      <c r="C536" s="39">
        <f t="shared" si="17"/>
        <v>-180</v>
      </c>
      <c r="D536" s="39">
        <f t="shared" si="16"/>
        <v>-227.33333333333334</v>
      </c>
      <c r="E536" s="27">
        <f>VLOOKUP(Table1[[#This Row],[Date]],Database!A:D,4,)</f>
        <v>10.1</v>
      </c>
      <c r="F536" s="40">
        <v>-3.8229525411830295E-3</v>
      </c>
      <c r="G536" s="27">
        <f>VLOOKUP(Table1[[#This Row],[Date]],Database!A:D,2,)</f>
        <v>64.099999999999994</v>
      </c>
      <c r="H536" s="26"/>
    </row>
    <row r="537" spans="1:8" x14ac:dyDescent="0.2">
      <c r="A537" s="37">
        <v>30225</v>
      </c>
      <c r="B537" s="38">
        <f>VLOOKUP(Table1[[#This Row],[Date]],Database!A:D,3,)</f>
        <v>88907</v>
      </c>
      <c r="C537" s="39">
        <f t="shared" si="17"/>
        <v>-276</v>
      </c>
      <c r="D537" s="39">
        <f t="shared" si="16"/>
        <v>-204.66666666666666</v>
      </c>
      <c r="E537" s="27">
        <f>VLOOKUP(Table1[[#This Row],[Date]],Database!A:D,4,)</f>
        <v>10.4</v>
      </c>
      <c r="F537" s="40">
        <v>3.9942462852852898E-4</v>
      </c>
      <c r="G537" s="27">
        <f>VLOOKUP(Table1[[#This Row],[Date]],Database!A:D,2,)</f>
        <v>64.099999999999994</v>
      </c>
      <c r="H537" s="26"/>
    </row>
    <row r="538" spans="1:8" x14ac:dyDescent="0.2">
      <c r="A538" s="37">
        <v>30256</v>
      </c>
      <c r="B538" s="38">
        <f>VLOOKUP(Table1[[#This Row],[Date]],Database!A:D,3,)</f>
        <v>88786</v>
      </c>
      <c r="C538" s="39">
        <f t="shared" si="17"/>
        <v>-121</v>
      </c>
      <c r="D538" s="39">
        <f t="shared" si="16"/>
        <v>-192.33333333333334</v>
      </c>
      <c r="E538" s="27">
        <f>VLOOKUP(Table1[[#This Row],[Date]],Database!A:D,4,)</f>
        <v>10.8</v>
      </c>
      <c r="F538" s="40">
        <v>3.9942462852852898E-4</v>
      </c>
      <c r="G538" s="27">
        <f>VLOOKUP(Table1[[#This Row],[Date]],Database!A:D,2,)</f>
        <v>64.2</v>
      </c>
      <c r="H538" s="26"/>
    </row>
    <row r="539" spans="1:8" x14ac:dyDescent="0.2">
      <c r="A539" s="37">
        <v>30286</v>
      </c>
      <c r="B539" s="38">
        <f>VLOOKUP(Table1[[#This Row],[Date]],Database!A:D,3,)</f>
        <v>88771</v>
      </c>
      <c r="C539" s="39">
        <f t="shared" si="17"/>
        <v>-15</v>
      </c>
      <c r="D539" s="39">
        <f t="shared" si="16"/>
        <v>-137.33333333333334</v>
      </c>
      <c r="E539" s="27">
        <f>VLOOKUP(Table1[[#This Row],[Date]],Database!A:D,4,)</f>
        <v>10.8</v>
      </c>
      <c r="F539" s="40">
        <v>3.9942462852852898E-4</v>
      </c>
      <c r="G539" s="27">
        <f>VLOOKUP(Table1[[#This Row],[Date]],Database!A:D,2,)</f>
        <v>64.099999999999994</v>
      </c>
      <c r="H539" s="26"/>
    </row>
    <row r="540" spans="1:8" x14ac:dyDescent="0.2">
      <c r="A540" s="37">
        <v>30317</v>
      </c>
      <c r="B540" s="38">
        <f>VLOOKUP(Table1[[#This Row],[Date]],Database!A:D,3,)</f>
        <v>88990</v>
      </c>
      <c r="C540" s="39">
        <f t="shared" si="17"/>
        <v>219</v>
      </c>
      <c r="D540" s="39">
        <f t="shared" si="16"/>
        <v>27.666666666666668</v>
      </c>
      <c r="E540" s="27">
        <f>VLOOKUP(Table1[[#This Row],[Date]],Database!A:D,4,)</f>
        <v>10.4</v>
      </c>
      <c r="F540" s="40">
        <v>1.3178543114388722E-2</v>
      </c>
      <c r="G540" s="27">
        <f>VLOOKUP(Table1[[#This Row],[Date]],Database!A:D,2,)</f>
        <v>63.9</v>
      </c>
      <c r="H540" s="26"/>
    </row>
    <row r="541" spans="1:8" x14ac:dyDescent="0.2">
      <c r="A541" s="37">
        <v>30348</v>
      </c>
      <c r="B541" s="38">
        <f>VLOOKUP(Table1[[#This Row],[Date]],Database!A:D,3,)</f>
        <v>88917</v>
      </c>
      <c r="C541" s="39">
        <f t="shared" si="17"/>
        <v>-73</v>
      </c>
      <c r="D541" s="39">
        <f t="shared" si="16"/>
        <v>43.666666666666664</v>
      </c>
      <c r="E541" s="27">
        <f>VLOOKUP(Table1[[#This Row],[Date]],Database!A:D,4,)</f>
        <v>10.4</v>
      </c>
      <c r="F541" s="40">
        <v>1.3178543114388722E-2</v>
      </c>
      <c r="G541" s="27">
        <f>VLOOKUP(Table1[[#This Row],[Date]],Database!A:D,2,)</f>
        <v>63.8</v>
      </c>
      <c r="H541" s="26"/>
    </row>
    <row r="542" spans="1:8" x14ac:dyDescent="0.2">
      <c r="A542" s="37">
        <v>30376</v>
      </c>
      <c r="B542" s="38">
        <f>VLOOKUP(Table1[[#This Row],[Date]],Database!A:D,3,)</f>
        <v>89090</v>
      </c>
      <c r="C542" s="39">
        <f t="shared" si="17"/>
        <v>173</v>
      </c>
      <c r="D542" s="39">
        <f t="shared" si="16"/>
        <v>106.33333333333333</v>
      </c>
      <c r="E542" s="27">
        <f>VLOOKUP(Table1[[#This Row],[Date]],Database!A:D,4,)</f>
        <v>10.3</v>
      </c>
      <c r="F542" s="40">
        <v>1.3178543114388722E-2</v>
      </c>
      <c r="G542" s="27">
        <f>VLOOKUP(Table1[[#This Row],[Date]],Database!A:D,2,)</f>
        <v>63.7</v>
      </c>
      <c r="H542" s="26"/>
    </row>
    <row r="543" spans="1:8" x14ac:dyDescent="0.2">
      <c r="A543" s="37">
        <v>30407</v>
      </c>
      <c r="B543" s="38">
        <f>VLOOKUP(Table1[[#This Row],[Date]],Database!A:D,3,)</f>
        <v>89364</v>
      </c>
      <c r="C543" s="39">
        <f t="shared" si="17"/>
        <v>274</v>
      </c>
      <c r="D543" s="39">
        <f t="shared" si="16"/>
        <v>124.66666666666667</v>
      </c>
      <c r="E543" s="27">
        <f>VLOOKUP(Table1[[#This Row],[Date]],Database!A:D,4,)</f>
        <v>10.199999999999999</v>
      </c>
      <c r="F543" s="40">
        <v>2.275605384913602E-2</v>
      </c>
      <c r="G543" s="27">
        <f>VLOOKUP(Table1[[#This Row],[Date]],Database!A:D,2,)</f>
        <v>63.8</v>
      </c>
      <c r="H543" s="26"/>
    </row>
    <row r="544" spans="1:8" x14ac:dyDescent="0.2">
      <c r="A544" s="37">
        <v>30437</v>
      </c>
      <c r="B544" s="38">
        <f>VLOOKUP(Table1[[#This Row],[Date]],Database!A:D,3,)</f>
        <v>89644</v>
      </c>
      <c r="C544" s="39">
        <f t="shared" si="17"/>
        <v>280</v>
      </c>
      <c r="D544" s="39">
        <f t="shared" si="16"/>
        <v>242.33333333333334</v>
      </c>
      <c r="E544" s="27">
        <f>VLOOKUP(Table1[[#This Row],[Date]],Database!A:D,4,)</f>
        <v>10.1</v>
      </c>
      <c r="F544" s="40">
        <v>2.275605384913602E-2</v>
      </c>
      <c r="G544" s="27">
        <f>VLOOKUP(Table1[[#This Row],[Date]],Database!A:D,2,)</f>
        <v>63.7</v>
      </c>
      <c r="H544" s="26"/>
    </row>
    <row r="545" spans="1:8" x14ac:dyDescent="0.2">
      <c r="A545" s="37">
        <v>30468</v>
      </c>
      <c r="B545" s="38">
        <f>VLOOKUP(Table1[[#This Row],[Date]],Database!A:D,3,)</f>
        <v>90021</v>
      </c>
      <c r="C545" s="39">
        <f t="shared" si="17"/>
        <v>377</v>
      </c>
      <c r="D545" s="39">
        <f t="shared" si="16"/>
        <v>310.33333333333331</v>
      </c>
      <c r="E545" s="27">
        <f>VLOOKUP(Table1[[#This Row],[Date]],Database!A:D,4,)</f>
        <v>10.1</v>
      </c>
      <c r="F545" s="40">
        <v>2.275605384913602E-2</v>
      </c>
      <c r="G545" s="27">
        <f>VLOOKUP(Table1[[#This Row],[Date]],Database!A:D,2,)</f>
        <v>64.3</v>
      </c>
      <c r="H545" s="26"/>
    </row>
    <row r="546" spans="1:8" x14ac:dyDescent="0.2">
      <c r="A546" s="37">
        <v>30498</v>
      </c>
      <c r="B546" s="38">
        <f>VLOOKUP(Table1[[#This Row],[Date]],Database!A:D,3,)</f>
        <v>90437</v>
      </c>
      <c r="C546" s="39">
        <f t="shared" si="17"/>
        <v>416</v>
      </c>
      <c r="D546" s="39">
        <f t="shared" si="16"/>
        <v>357.66666666666669</v>
      </c>
      <c r="E546" s="27">
        <f>VLOOKUP(Table1[[#This Row],[Date]],Database!A:D,4,)</f>
        <v>9.4</v>
      </c>
      <c r="F546" s="40">
        <v>1.9990688017078175E-2</v>
      </c>
      <c r="G546" s="27">
        <f>VLOOKUP(Table1[[#This Row],[Date]],Database!A:D,2,)</f>
        <v>64.099999999999994</v>
      </c>
      <c r="H546" s="26"/>
    </row>
    <row r="547" spans="1:8" x14ac:dyDescent="0.2">
      <c r="A547" s="37">
        <v>30529</v>
      </c>
      <c r="B547" s="38">
        <f>VLOOKUP(Table1[[#This Row],[Date]],Database!A:D,3,)</f>
        <v>90129</v>
      </c>
      <c r="C547" s="39">
        <f t="shared" si="17"/>
        <v>-308</v>
      </c>
      <c r="D547" s="39">
        <f t="shared" si="16"/>
        <v>161.66666666666666</v>
      </c>
      <c r="E547" s="27">
        <f>VLOOKUP(Table1[[#This Row],[Date]],Database!A:D,4,)</f>
        <v>9.5</v>
      </c>
      <c r="F547" s="40">
        <v>1.9990688017078175E-2</v>
      </c>
      <c r="G547" s="27">
        <f>VLOOKUP(Table1[[#This Row],[Date]],Database!A:D,2,)</f>
        <v>64.3</v>
      </c>
      <c r="H547" s="26"/>
    </row>
    <row r="548" spans="1:8" x14ac:dyDescent="0.2">
      <c r="A548" s="37">
        <v>30560</v>
      </c>
      <c r="B548" s="38">
        <f>VLOOKUP(Table1[[#This Row],[Date]],Database!A:D,3,)</f>
        <v>91247</v>
      </c>
      <c r="C548" s="39">
        <f t="shared" si="17"/>
        <v>1118</v>
      </c>
      <c r="D548" s="39">
        <f t="shared" si="16"/>
        <v>408.66666666666669</v>
      </c>
      <c r="E548" s="27">
        <f>VLOOKUP(Table1[[#This Row],[Date]],Database!A:D,4,)</f>
        <v>9.1999999999999993</v>
      </c>
      <c r="F548" s="40">
        <v>1.9990688017078175E-2</v>
      </c>
      <c r="G548" s="27">
        <f>VLOOKUP(Table1[[#This Row],[Date]],Database!A:D,2,)</f>
        <v>64.3</v>
      </c>
      <c r="H548" s="26"/>
    </row>
    <row r="549" spans="1:8" x14ac:dyDescent="0.2">
      <c r="A549" s="37">
        <v>30590</v>
      </c>
      <c r="B549" s="38">
        <f>VLOOKUP(Table1[[#This Row],[Date]],Database!A:D,3,)</f>
        <v>91520</v>
      </c>
      <c r="C549" s="39">
        <f t="shared" si="17"/>
        <v>273</v>
      </c>
      <c r="D549" s="39">
        <f t="shared" si="16"/>
        <v>361</v>
      </c>
      <c r="E549" s="27">
        <f>VLOOKUP(Table1[[#This Row],[Date]],Database!A:D,4,)</f>
        <v>8.8000000000000007</v>
      </c>
      <c r="F549" s="40">
        <v>2.0862193277900027E-2</v>
      </c>
      <c r="G549" s="27">
        <f>VLOOKUP(Table1[[#This Row],[Date]],Database!A:D,2,)</f>
        <v>64</v>
      </c>
      <c r="H549" s="26"/>
    </row>
    <row r="550" spans="1:8" x14ac:dyDescent="0.2">
      <c r="A550" s="37">
        <v>30621</v>
      </c>
      <c r="B550" s="38">
        <f>VLOOKUP(Table1[[#This Row],[Date]],Database!A:D,3,)</f>
        <v>91875</v>
      </c>
      <c r="C550" s="39">
        <f t="shared" si="17"/>
        <v>355</v>
      </c>
      <c r="D550" s="39">
        <f t="shared" si="16"/>
        <v>582</v>
      </c>
      <c r="E550" s="27">
        <f>VLOOKUP(Table1[[#This Row],[Date]],Database!A:D,4,)</f>
        <v>8.5</v>
      </c>
      <c r="F550" s="40">
        <v>2.0862193277900027E-2</v>
      </c>
      <c r="G550" s="27">
        <f>VLOOKUP(Table1[[#This Row],[Date]],Database!A:D,2,)</f>
        <v>64.099999999999994</v>
      </c>
      <c r="H550" s="26"/>
    </row>
    <row r="551" spans="1:8" x14ac:dyDescent="0.2">
      <c r="A551" s="37">
        <v>30651</v>
      </c>
      <c r="B551" s="38">
        <f>VLOOKUP(Table1[[#This Row],[Date]],Database!A:D,3,)</f>
        <v>92230</v>
      </c>
      <c r="C551" s="39">
        <f t="shared" si="17"/>
        <v>355</v>
      </c>
      <c r="D551" s="39">
        <f t="shared" si="16"/>
        <v>327.66666666666669</v>
      </c>
      <c r="E551" s="27">
        <f>VLOOKUP(Table1[[#This Row],[Date]],Database!A:D,4,)</f>
        <v>8.3000000000000007</v>
      </c>
      <c r="F551" s="40">
        <v>2.0862193277900027E-2</v>
      </c>
      <c r="G551" s="27">
        <f>VLOOKUP(Table1[[#This Row],[Date]],Database!A:D,2,)</f>
        <v>64.099999999999994</v>
      </c>
      <c r="H551" s="26"/>
    </row>
    <row r="552" spans="1:8" x14ac:dyDescent="0.2">
      <c r="A552" s="37">
        <v>30682</v>
      </c>
      <c r="B552" s="38">
        <f>VLOOKUP(Table1[[#This Row],[Date]],Database!A:D,3,)</f>
        <v>92673</v>
      </c>
      <c r="C552" s="39">
        <f t="shared" si="17"/>
        <v>443</v>
      </c>
      <c r="D552" s="39">
        <f t="shared" si="16"/>
        <v>384.33333333333331</v>
      </c>
      <c r="E552" s="27">
        <f>VLOOKUP(Table1[[#This Row],[Date]],Database!A:D,4,)</f>
        <v>8</v>
      </c>
      <c r="F552" s="40">
        <v>1.9547696403748673E-2</v>
      </c>
      <c r="G552" s="27">
        <f>VLOOKUP(Table1[[#This Row],[Date]],Database!A:D,2,)</f>
        <v>63.9</v>
      </c>
      <c r="H552" s="26"/>
    </row>
    <row r="553" spans="1:8" x14ac:dyDescent="0.2">
      <c r="A553" s="37">
        <v>30713</v>
      </c>
      <c r="B553" s="38">
        <f>VLOOKUP(Table1[[#This Row],[Date]],Database!A:D,3,)</f>
        <v>93157</v>
      </c>
      <c r="C553" s="39">
        <f t="shared" si="17"/>
        <v>484</v>
      </c>
      <c r="D553" s="39">
        <f t="shared" si="16"/>
        <v>427.33333333333331</v>
      </c>
      <c r="E553" s="27">
        <f>VLOOKUP(Table1[[#This Row],[Date]],Database!A:D,4,)</f>
        <v>7.8</v>
      </c>
      <c r="F553" s="40">
        <v>1.9547696403748673E-2</v>
      </c>
      <c r="G553" s="27">
        <f>VLOOKUP(Table1[[#This Row],[Date]],Database!A:D,2,)</f>
        <v>64.099999999999994</v>
      </c>
      <c r="H553" s="26"/>
    </row>
    <row r="554" spans="1:8" x14ac:dyDescent="0.2">
      <c r="A554" s="37">
        <v>30742</v>
      </c>
      <c r="B554" s="38">
        <f>VLOOKUP(Table1[[#This Row],[Date]],Database!A:D,3,)</f>
        <v>93429</v>
      </c>
      <c r="C554" s="39">
        <f t="shared" si="17"/>
        <v>272</v>
      </c>
      <c r="D554" s="39">
        <f t="shared" si="16"/>
        <v>399.66666666666669</v>
      </c>
      <c r="E554" s="27">
        <f>VLOOKUP(Table1[[#This Row],[Date]],Database!A:D,4,)</f>
        <v>7.8</v>
      </c>
      <c r="F554" s="40">
        <v>1.9547696403748673E-2</v>
      </c>
      <c r="G554" s="27">
        <f>VLOOKUP(Table1[[#This Row],[Date]],Database!A:D,2,)</f>
        <v>64.099999999999994</v>
      </c>
      <c r="H554" s="26"/>
    </row>
    <row r="555" spans="1:8" x14ac:dyDescent="0.2">
      <c r="A555" s="37">
        <v>30773</v>
      </c>
      <c r="B555" s="38">
        <f>VLOOKUP(Table1[[#This Row],[Date]],Database!A:D,3,)</f>
        <v>93792</v>
      </c>
      <c r="C555" s="39">
        <f t="shared" si="17"/>
        <v>363</v>
      </c>
      <c r="D555" s="39">
        <f t="shared" si="16"/>
        <v>373</v>
      </c>
      <c r="E555" s="27">
        <f>VLOOKUP(Table1[[#This Row],[Date]],Database!A:D,4,)</f>
        <v>7.7</v>
      </c>
      <c r="F555" s="40">
        <v>1.7277908578901081E-2</v>
      </c>
      <c r="G555" s="27">
        <f>VLOOKUP(Table1[[#This Row],[Date]],Database!A:D,2,)</f>
        <v>64.3</v>
      </c>
      <c r="H555" s="26"/>
    </row>
    <row r="556" spans="1:8" x14ac:dyDescent="0.2">
      <c r="A556" s="37">
        <v>30803</v>
      </c>
      <c r="B556" s="38">
        <f>VLOOKUP(Table1[[#This Row],[Date]],Database!A:D,3,)</f>
        <v>94098</v>
      </c>
      <c r="C556" s="39">
        <f t="shared" si="17"/>
        <v>306</v>
      </c>
      <c r="D556" s="39">
        <f t="shared" si="16"/>
        <v>313.66666666666669</v>
      </c>
      <c r="E556" s="27">
        <f>VLOOKUP(Table1[[#This Row],[Date]],Database!A:D,4,)</f>
        <v>7.4</v>
      </c>
      <c r="F556" s="40">
        <v>1.7277908578901081E-2</v>
      </c>
      <c r="G556" s="27">
        <f>VLOOKUP(Table1[[#This Row],[Date]],Database!A:D,2,)</f>
        <v>64.5</v>
      </c>
      <c r="H556" s="26"/>
    </row>
    <row r="557" spans="1:8" x14ac:dyDescent="0.2">
      <c r="A557" s="37">
        <v>30834</v>
      </c>
      <c r="B557" s="38">
        <f>VLOOKUP(Table1[[#This Row],[Date]],Database!A:D,3,)</f>
        <v>94479</v>
      </c>
      <c r="C557" s="39">
        <f t="shared" si="17"/>
        <v>381</v>
      </c>
      <c r="D557" s="39">
        <f t="shared" si="16"/>
        <v>350</v>
      </c>
      <c r="E557" s="27">
        <f>VLOOKUP(Table1[[#This Row],[Date]],Database!A:D,4,)</f>
        <v>7.2</v>
      </c>
      <c r="F557" s="40">
        <v>1.7277908578901081E-2</v>
      </c>
      <c r="G557" s="27">
        <f>VLOOKUP(Table1[[#This Row],[Date]],Database!A:D,2,)</f>
        <v>64.599999999999994</v>
      </c>
      <c r="H557" s="26"/>
    </row>
    <row r="558" spans="1:8" x14ac:dyDescent="0.2">
      <c r="A558" s="37">
        <v>30864</v>
      </c>
      <c r="B558" s="38">
        <f>VLOOKUP(Table1[[#This Row],[Date]],Database!A:D,3,)</f>
        <v>94789</v>
      </c>
      <c r="C558" s="39">
        <f t="shared" si="17"/>
        <v>310</v>
      </c>
      <c r="D558" s="39">
        <f t="shared" si="16"/>
        <v>332.33333333333331</v>
      </c>
      <c r="E558" s="27">
        <f>VLOOKUP(Table1[[#This Row],[Date]],Database!A:D,4,)</f>
        <v>7.5</v>
      </c>
      <c r="F558" s="40">
        <v>9.6406410998089685E-3</v>
      </c>
      <c r="G558" s="27">
        <f>VLOOKUP(Table1[[#This Row],[Date]],Database!A:D,2,)</f>
        <v>64.599999999999994</v>
      </c>
      <c r="H558" s="26"/>
    </row>
    <row r="559" spans="1:8" x14ac:dyDescent="0.2">
      <c r="A559" s="37">
        <v>30895</v>
      </c>
      <c r="B559" s="38">
        <f>VLOOKUP(Table1[[#This Row],[Date]],Database!A:D,3,)</f>
        <v>95032</v>
      </c>
      <c r="C559" s="39">
        <f t="shared" si="17"/>
        <v>243</v>
      </c>
      <c r="D559" s="39">
        <f t="shared" si="16"/>
        <v>311.33333333333331</v>
      </c>
      <c r="E559" s="27">
        <f>VLOOKUP(Table1[[#This Row],[Date]],Database!A:D,4,)</f>
        <v>7.5</v>
      </c>
      <c r="F559" s="40">
        <v>9.6406410998089685E-3</v>
      </c>
      <c r="G559" s="27">
        <f>VLOOKUP(Table1[[#This Row],[Date]],Database!A:D,2,)</f>
        <v>64.400000000000006</v>
      </c>
      <c r="H559" s="26"/>
    </row>
    <row r="560" spans="1:8" x14ac:dyDescent="0.2">
      <c r="A560" s="37">
        <v>30926</v>
      </c>
      <c r="B560" s="38">
        <f>VLOOKUP(Table1[[#This Row],[Date]],Database!A:D,3,)</f>
        <v>95344</v>
      </c>
      <c r="C560" s="39">
        <f t="shared" si="17"/>
        <v>312</v>
      </c>
      <c r="D560" s="39">
        <f t="shared" si="16"/>
        <v>288.33333333333331</v>
      </c>
      <c r="E560" s="27">
        <f>VLOOKUP(Table1[[#This Row],[Date]],Database!A:D,4,)</f>
        <v>7.3</v>
      </c>
      <c r="F560" s="40">
        <v>9.6406410998089685E-3</v>
      </c>
      <c r="G560" s="27">
        <f>VLOOKUP(Table1[[#This Row],[Date]],Database!A:D,2,)</f>
        <v>64.400000000000006</v>
      </c>
      <c r="H560" s="26"/>
    </row>
    <row r="561" spans="1:8" x14ac:dyDescent="0.2">
      <c r="A561" s="37">
        <v>30956</v>
      </c>
      <c r="B561" s="38">
        <f>VLOOKUP(Table1[[#This Row],[Date]],Database!A:D,3,)</f>
        <v>95629</v>
      </c>
      <c r="C561" s="39">
        <f t="shared" si="17"/>
        <v>285</v>
      </c>
      <c r="D561" s="39">
        <f t="shared" si="16"/>
        <v>280</v>
      </c>
      <c r="E561" s="27">
        <f>VLOOKUP(Table1[[#This Row],[Date]],Database!A:D,4,)</f>
        <v>7.4</v>
      </c>
      <c r="F561" s="40">
        <v>8.2086281148765119E-3</v>
      </c>
      <c r="G561" s="27">
        <f>VLOOKUP(Table1[[#This Row],[Date]],Database!A:D,2,)</f>
        <v>64.400000000000006</v>
      </c>
      <c r="H561" s="26"/>
    </row>
    <row r="562" spans="1:8" x14ac:dyDescent="0.2">
      <c r="A562" s="37">
        <v>30987</v>
      </c>
      <c r="B562" s="38">
        <f>VLOOKUP(Table1[[#This Row],[Date]],Database!A:D,3,)</f>
        <v>95982</v>
      </c>
      <c r="C562" s="39">
        <f t="shared" si="17"/>
        <v>353</v>
      </c>
      <c r="D562" s="39">
        <f t="shared" si="16"/>
        <v>316.66666666666669</v>
      </c>
      <c r="E562" s="27">
        <f>VLOOKUP(Table1[[#This Row],[Date]],Database!A:D,4,)</f>
        <v>7.2</v>
      </c>
      <c r="F562" s="40">
        <v>8.2086281148765119E-3</v>
      </c>
      <c r="G562" s="27">
        <f>VLOOKUP(Table1[[#This Row],[Date]],Database!A:D,2,)</f>
        <v>64.5</v>
      </c>
      <c r="H562" s="26"/>
    </row>
    <row r="563" spans="1:8" x14ac:dyDescent="0.2">
      <c r="A563" s="37">
        <v>31017</v>
      </c>
      <c r="B563" s="38">
        <f>VLOOKUP(Table1[[#This Row],[Date]],Database!A:D,3,)</f>
        <v>96107</v>
      </c>
      <c r="C563" s="39">
        <f t="shared" si="17"/>
        <v>125</v>
      </c>
      <c r="D563" s="39">
        <f t="shared" si="16"/>
        <v>254.33333333333334</v>
      </c>
      <c r="E563" s="27">
        <f>VLOOKUP(Table1[[#This Row],[Date]],Database!A:D,4,)</f>
        <v>7.3</v>
      </c>
      <c r="F563" s="40">
        <v>8.2086281148765119E-3</v>
      </c>
      <c r="G563" s="27">
        <f>VLOOKUP(Table1[[#This Row],[Date]],Database!A:D,2,)</f>
        <v>64.599999999999994</v>
      </c>
      <c r="H563" s="26"/>
    </row>
    <row r="564" spans="1:8" x14ac:dyDescent="0.2">
      <c r="A564" s="37">
        <v>31048</v>
      </c>
      <c r="B564" s="38">
        <f>VLOOKUP(Table1[[#This Row],[Date]],Database!A:D,3,)</f>
        <v>96372</v>
      </c>
      <c r="C564" s="39">
        <f t="shared" si="17"/>
        <v>265</v>
      </c>
      <c r="D564" s="39">
        <f t="shared" si="16"/>
        <v>247.66666666666666</v>
      </c>
      <c r="E564" s="27">
        <f>VLOOKUP(Table1[[#This Row],[Date]],Database!A:D,4,)</f>
        <v>7.3</v>
      </c>
      <c r="F564" s="40">
        <v>9.690868070579662E-3</v>
      </c>
      <c r="G564" s="27">
        <f>VLOOKUP(Table1[[#This Row],[Date]],Database!A:D,2,)</f>
        <v>64.7</v>
      </c>
      <c r="H564" s="26"/>
    </row>
    <row r="565" spans="1:8" x14ac:dyDescent="0.2">
      <c r="A565" s="37">
        <v>31079</v>
      </c>
      <c r="B565" s="38">
        <f>VLOOKUP(Table1[[#This Row],[Date]],Database!A:D,3,)</f>
        <v>96503</v>
      </c>
      <c r="C565" s="39">
        <f t="shared" si="17"/>
        <v>131</v>
      </c>
      <c r="D565" s="39">
        <f t="shared" si="16"/>
        <v>173.66666666666666</v>
      </c>
      <c r="E565" s="27">
        <f>VLOOKUP(Table1[[#This Row],[Date]],Database!A:D,4,)</f>
        <v>7.2</v>
      </c>
      <c r="F565" s="40">
        <v>9.690868070579662E-3</v>
      </c>
      <c r="G565" s="27">
        <f>VLOOKUP(Table1[[#This Row],[Date]],Database!A:D,2,)</f>
        <v>64.7</v>
      </c>
      <c r="H565" s="26"/>
    </row>
    <row r="566" spans="1:8" x14ac:dyDescent="0.2">
      <c r="A566" s="37">
        <v>31107</v>
      </c>
      <c r="B566" s="38">
        <f>VLOOKUP(Table1[[#This Row],[Date]],Database!A:D,3,)</f>
        <v>96842</v>
      </c>
      <c r="C566" s="39">
        <f t="shared" si="17"/>
        <v>339</v>
      </c>
      <c r="D566" s="39">
        <f t="shared" si="16"/>
        <v>245</v>
      </c>
      <c r="E566" s="27">
        <f>VLOOKUP(Table1[[#This Row],[Date]],Database!A:D,4,)</f>
        <v>7.2</v>
      </c>
      <c r="F566" s="40">
        <v>9.690868070579662E-3</v>
      </c>
      <c r="G566" s="27">
        <f>VLOOKUP(Table1[[#This Row],[Date]],Database!A:D,2,)</f>
        <v>64.900000000000006</v>
      </c>
      <c r="H566" s="26"/>
    </row>
    <row r="567" spans="1:8" x14ac:dyDescent="0.2">
      <c r="A567" s="37">
        <v>31138</v>
      </c>
      <c r="B567" s="38">
        <f>VLOOKUP(Table1[[#This Row],[Date]],Database!A:D,3,)</f>
        <v>97038</v>
      </c>
      <c r="C567" s="39">
        <f t="shared" si="17"/>
        <v>196</v>
      </c>
      <c r="D567" s="39">
        <f t="shared" si="16"/>
        <v>222</v>
      </c>
      <c r="E567" s="27">
        <f>VLOOKUP(Table1[[#This Row],[Date]],Database!A:D,4,)</f>
        <v>7.3</v>
      </c>
      <c r="F567" s="40">
        <v>8.8045533327360606E-3</v>
      </c>
      <c r="G567" s="27">
        <f>VLOOKUP(Table1[[#This Row],[Date]],Database!A:D,2,)</f>
        <v>64.900000000000006</v>
      </c>
      <c r="H567" s="26"/>
    </row>
    <row r="568" spans="1:8" x14ac:dyDescent="0.2">
      <c r="A568" s="37">
        <v>31168</v>
      </c>
      <c r="B568" s="38">
        <f>VLOOKUP(Table1[[#This Row],[Date]],Database!A:D,3,)</f>
        <v>97312</v>
      </c>
      <c r="C568" s="39">
        <f t="shared" si="17"/>
        <v>274</v>
      </c>
      <c r="D568" s="39">
        <f t="shared" si="16"/>
        <v>269.66666666666669</v>
      </c>
      <c r="E568" s="27">
        <f>VLOOKUP(Table1[[#This Row],[Date]],Database!A:D,4,)</f>
        <v>7.2</v>
      </c>
      <c r="F568" s="40">
        <v>8.8045533327360606E-3</v>
      </c>
      <c r="G568" s="27">
        <f>VLOOKUP(Table1[[#This Row],[Date]],Database!A:D,2,)</f>
        <v>64.8</v>
      </c>
      <c r="H568" s="26"/>
    </row>
    <row r="569" spans="1:8" x14ac:dyDescent="0.2">
      <c r="A569" s="37">
        <v>31199</v>
      </c>
      <c r="B569" s="38">
        <f>VLOOKUP(Table1[[#This Row],[Date]],Database!A:D,3,)</f>
        <v>97459</v>
      </c>
      <c r="C569" s="39">
        <f t="shared" si="17"/>
        <v>147</v>
      </c>
      <c r="D569" s="39">
        <f t="shared" si="16"/>
        <v>205.66666666666666</v>
      </c>
      <c r="E569" s="27">
        <f>VLOOKUP(Table1[[#This Row],[Date]],Database!A:D,4,)</f>
        <v>7.4</v>
      </c>
      <c r="F569" s="40">
        <v>8.8045533327360606E-3</v>
      </c>
      <c r="G569" s="27">
        <f>VLOOKUP(Table1[[#This Row],[Date]],Database!A:D,2,)</f>
        <v>64.599999999999994</v>
      </c>
      <c r="H569" s="26"/>
    </row>
    <row r="570" spans="1:8" x14ac:dyDescent="0.2">
      <c r="A570" s="37">
        <v>31229</v>
      </c>
      <c r="B570" s="38">
        <f>VLOOKUP(Table1[[#This Row],[Date]],Database!A:D,3,)</f>
        <v>97648</v>
      </c>
      <c r="C570" s="39">
        <f t="shared" si="17"/>
        <v>189</v>
      </c>
      <c r="D570" s="39">
        <f t="shared" si="16"/>
        <v>203.33333333333334</v>
      </c>
      <c r="E570" s="27">
        <f>VLOOKUP(Table1[[#This Row],[Date]],Database!A:D,4,)</f>
        <v>7.4</v>
      </c>
      <c r="F570" s="40">
        <v>1.5271243267568119E-2</v>
      </c>
      <c r="G570" s="27">
        <f>VLOOKUP(Table1[[#This Row],[Date]],Database!A:D,2,)</f>
        <v>64.7</v>
      </c>
      <c r="H570" s="26"/>
    </row>
    <row r="571" spans="1:8" x14ac:dyDescent="0.2">
      <c r="A571" s="37">
        <v>31260</v>
      </c>
      <c r="B571" s="38">
        <f>VLOOKUP(Table1[[#This Row],[Date]],Database!A:D,3,)</f>
        <v>97840</v>
      </c>
      <c r="C571" s="39">
        <f t="shared" si="17"/>
        <v>192</v>
      </c>
      <c r="D571" s="39">
        <f t="shared" si="16"/>
        <v>176</v>
      </c>
      <c r="E571" s="27">
        <f>VLOOKUP(Table1[[#This Row],[Date]],Database!A:D,4,)</f>
        <v>7.1</v>
      </c>
      <c r="F571" s="40">
        <v>1.5271243267568119E-2</v>
      </c>
      <c r="G571" s="27">
        <f>VLOOKUP(Table1[[#This Row],[Date]],Database!A:D,2,)</f>
        <v>64.599999999999994</v>
      </c>
      <c r="H571" s="26"/>
    </row>
    <row r="572" spans="1:8" x14ac:dyDescent="0.2">
      <c r="A572" s="37">
        <v>31291</v>
      </c>
      <c r="B572" s="38">
        <f>VLOOKUP(Table1[[#This Row],[Date]],Database!A:D,3,)</f>
        <v>98045</v>
      </c>
      <c r="C572" s="39">
        <f t="shared" si="17"/>
        <v>205</v>
      </c>
      <c r="D572" s="39">
        <f t="shared" si="16"/>
        <v>195.33333333333334</v>
      </c>
      <c r="E572" s="27">
        <f>VLOOKUP(Table1[[#This Row],[Date]],Database!A:D,4,)</f>
        <v>7.1</v>
      </c>
      <c r="F572" s="40">
        <v>1.5271243267568119E-2</v>
      </c>
      <c r="G572" s="27">
        <f>VLOOKUP(Table1[[#This Row],[Date]],Database!A:D,2,)</f>
        <v>64.900000000000006</v>
      </c>
      <c r="H572" s="26"/>
    </row>
    <row r="573" spans="1:8" x14ac:dyDescent="0.2">
      <c r="A573" s="37">
        <v>31321</v>
      </c>
      <c r="B573" s="38">
        <f>VLOOKUP(Table1[[#This Row],[Date]],Database!A:D,3,)</f>
        <v>98233</v>
      </c>
      <c r="C573" s="39">
        <f t="shared" si="17"/>
        <v>188</v>
      </c>
      <c r="D573" s="39">
        <f t="shared" si="16"/>
        <v>195</v>
      </c>
      <c r="E573" s="27">
        <f>VLOOKUP(Table1[[#This Row],[Date]],Database!A:D,4,)</f>
        <v>7.1</v>
      </c>
      <c r="F573" s="40">
        <v>7.4329202810096339E-3</v>
      </c>
      <c r="G573" s="27">
        <f>VLOOKUP(Table1[[#This Row],[Date]],Database!A:D,2,)</f>
        <v>65</v>
      </c>
      <c r="H573" s="26"/>
    </row>
    <row r="574" spans="1:8" x14ac:dyDescent="0.2">
      <c r="A574" s="37">
        <v>31352</v>
      </c>
      <c r="B574" s="38">
        <f>VLOOKUP(Table1[[#This Row],[Date]],Database!A:D,3,)</f>
        <v>98443</v>
      </c>
      <c r="C574" s="39">
        <f t="shared" si="17"/>
        <v>210</v>
      </c>
      <c r="D574" s="39">
        <f t="shared" si="16"/>
        <v>201</v>
      </c>
      <c r="E574" s="27">
        <f>VLOOKUP(Table1[[#This Row],[Date]],Database!A:D,4,)</f>
        <v>7</v>
      </c>
      <c r="F574" s="40">
        <v>7.4329202810096339E-3</v>
      </c>
      <c r="G574" s="27">
        <f>VLOOKUP(Table1[[#This Row],[Date]],Database!A:D,2,)</f>
        <v>64.900000000000006</v>
      </c>
      <c r="H574" s="26"/>
    </row>
    <row r="575" spans="1:8" x14ac:dyDescent="0.2">
      <c r="A575" s="37">
        <v>31382</v>
      </c>
      <c r="B575" s="38">
        <f>VLOOKUP(Table1[[#This Row],[Date]],Database!A:D,3,)</f>
        <v>98609</v>
      </c>
      <c r="C575" s="39">
        <f t="shared" si="17"/>
        <v>166</v>
      </c>
      <c r="D575" s="39">
        <f t="shared" si="16"/>
        <v>188</v>
      </c>
      <c r="E575" s="27">
        <f>VLOOKUP(Table1[[#This Row],[Date]],Database!A:D,4,)</f>
        <v>7</v>
      </c>
      <c r="F575" s="40">
        <v>7.4329202810096339E-3</v>
      </c>
      <c r="G575" s="27">
        <f>VLOOKUP(Table1[[#This Row],[Date]],Database!A:D,2,)</f>
        <v>65</v>
      </c>
      <c r="H575" s="26"/>
    </row>
    <row r="576" spans="1:8" x14ac:dyDescent="0.2">
      <c r="A576" s="37">
        <v>31413</v>
      </c>
      <c r="B576" s="38">
        <f>VLOOKUP(Table1[[#This Row],[Date]],Database!A:D,3,)</f>
        <v>98732</v>
      </c>
      <c r="C576" s="39">
        <f t="shared" si="17"/>
        <v>123</v>
      </c>
      <c r="D576" s="39">
        <f t="shared" si="16"/>
        <v>166.33333333333334</v>
      </c>
      <c r="E576" s="27">
        <f>VLOOKUP(Table1[[#This Row],[Date]],Database!A:D,4,)</f>
        <v>6.7</v>
      </c>
      <c r="F576" s="40">
        <v>9.3350388858796929E-3</v>
      </c>
      <c r="G576" s="27">
        <f>VLOOKUP(Table1[[#This Row],[Date]],Database!A:D,2,)</f>
        <v>64.900000000000006</v>
      </c>
      <c r="H576" s="26"/>
    </row>
    <row r="577" spans="1:8" x14ac:dyDescent="0.2">
      <c r="A577" s="37">
        <v>31444</v>
      </c>
      <c r="B577" s="38">
        <f>VLOOKUP(Table1[[#This Row],[Date]],Database!A:D,3,)</f>
        <v>98847</v>
      </c>
      <c r="C577" s="39">
        <f t="shared" si="17"/>
        <v>115</v>
      </c>
      <c r="D577" s="39">
        <f t="shared" si="16"/>
        <v>134.66666666666666</v>
      </c>
      <c r="E577" s="27">
        <f>VLOOKUP(Table1[[#This Row],[Date]],Database!A:D,4,)</f>
        <v>7.2</v>
      </c>
      <c r="F577" s="40">
        <v>9.3350388858796929E-3</v>
      </c>
      <c r="G577" s="27">
        <f>VLOOKUP(Table1[[#This Row],[Date]],Database!A:D,2,)</f>
        <v>65</v>
      </c>
      <c r="H577" s="26"/>
    </row>
    <row r="578" spans="1:8" x14ac:dyDescent="0.2">
      <c r="A578" s="37">
        <v>31472</v>
      </c>
      <c r="B578" s="38">
        <f>VLOOKUP(Table1[[#This Row],[Date]],Database!A:D,3,)</f>
        <v>98934</v>
      </c>
      <c r="C578" s="39">
        <f t="shared" si="17"/>
        <v>87</v>
      </c>
      <c r="D578" s="39">
        <f t="shared" si="16"/>
        <v>108.33333333333333</v>
      </c>
      <c r="E578" s="27">
        <f>VLOOKUP(Table1[[#This Row],[Date]],Database!A:D,4,)</f>
        <v>7.2</v>
      </c>
      <c r="F578" s="40">
        <v>9.3350388858796929E-3</v>
      </c>
      <c r="G578" s="27">
        <f>VLOOKUP(Table1[[#This Row],[Date]],Database!A:D,2,)</f>
        <v>65.099999999999994</v>
      </c>
      <c r="H578" s="26"/>
    </row>
    <row r="579" spans="1:8" x14ac:dyDescent="0.2">
      <c r="A579" s="37">
        <v>31503</v>
      </c>
      <c r="B579" s="38">
        <f>VLOOKUP(Table1[[#This Row],[Date]],Database!A:D,3,)</f>
        <v>99121</v>
      </c>
      <c r="C579" s="39">
        <f t="shared" si="17"/>
        <v>187</v>
      </c>
      <c r="D579" s="39">
        <f t="shared" si="16"/>
        <v>129.66666666666666</v>
      </c>
      <c r="E579" s="27">
        <f>VLOOKUP(Table1[[#This Row],[Date]],Database!A:D,4,)</f>
        <v>7.1</v>
      </c>
      <c r="F579" s="40">
        <v>4.5038394924872176E-3</v>
      </c>
      <c r="G579" s="27">
        <f>VLOOKUP(Table1[[#This Row],[Date]],Database!A:D,2,)</f>
        <v>65.099999999999994</v>
      </c>
      <c r="H579" s="26"/>
    </row>
    <row r="580" spans="1:8" x14ac:dyDescent="0.2">
      <c r="A580" s="37">
        <v>31533</v>
      </c>
      <c r="B580" s="38">
        <f>VLOOKUP(Table1[[#This Row],[Date]],Database!A:D,3,)</f>
        <v>99248</v>
      </c>
      <c r="C580" s="39">
        <f t="shared" si="17"/>
        <v>127</v>
      </c>
      <c r="D580" s="39">
        <f t="shared" si="16"/>
        <v>133.66666666666666</v>
      </c>
      <c r="E580" s="27">
        <f>VLOOKUP(Table1[[#This Row],[Date]],Database!A:D,4,)</f>
        <v>7.2</v>
      </c>
      <c r="F580" s="40">
        <v>4.5038394924872176E-3</v>
      </c>
      <c r="G580" s="27">
        <f>VLOOKUP(Table1[[#This Row],[Date]],Database!A:D,2,)</f>
        <v>65.2</v>
      </c>
      <c r="H580" s="26"/>
    </row>
    <row r="581" spans="1:8" x14ac:dyDescent="0.2">
      <c r="A581" s="37">
        <v>31564</v>
      </c>
      <c r="B581" s="38">
        <f>VLOOKUP(Table1[[#This Row],[Date]],Database!A:D,3,)</f>
        <v>99155</v>
      </c>
      <c r="C581" s="39">
        <f t="shared" si="17"/>
        <v>-93</v>
      </c>
      <c r="D581" s="39">
        <f t="shared" si="16"/>
        <v>73.666666666666671</v>
      </c>
      <c r="E581" s="27">
        <f>VLOOKUP(Table1[[#This Row],[Date]],Database!A:D,4,)</f>
        <v>7.2</v>
      </c>
      <c r="F581" s="40">
        <v>4.5038394924872176E-3</v>
      </c>
      <c r="G581" s="27">
        <f>VLOOKUP(Table1[[#This Row],[Date]],Database!A:D,2,)</f>
        <v>65.400000000000006</v>
      </c>
      <c r="H581" s="26"/>
    </row>
    <row r="582" spans="1:8" x14ac:dyDescent="0.2">
      <c r="A582" s="37">
        <v>31594</v>
      </c>
      <c r="B582" s="38">
        <f>VLOOKUP(Table1[[#This Row],[Date]],Database!A:D,3,)</f>
        <v>99473</v>
      </c>
      <c r="C582" s="39">
        <f t="shared" si="17"/>
        <v>318</v>
      </c>
      <c r="D582" s="39">
        <f t="shared" si="16"/>
        <v>117.33333333333333</v>
      </c>
      <c r="E582" s="27">
        <f>VLOOKUP(Table1[[#This Row],[Date]],Database!A:D,4,)</f>
        <v>7</v>
      </c>
      <c r="F582" s="40">
        <v>9.5703237864254182E-3</v>
      </c>
      <c r="G582" s="27">
        <f>VLOOKUP(Table1[[#This Row],[Date]],Database!A:D,2,)</f>
        <v>65.400000000000006</v>
      </c>
      <c r="H582" s="26"/>
    </row>
    <row r="583" spans="1:8" x14ac:dyDescent="0.2">
      <c r="A583" s="37">
        <v>31625</v>
      </c>
      <c r="B583" s="38">
        <f>VLOOKUP(Table1[[#This Row],[Date]],Database!A:D,3,)</f>
        <v>99588</v>
      </c>
      <c r="C583" s="39">
        <f t="shared" si="17"/>
        <v>115</v>
      </c>
      <c r="D583" s="39">
        <f t="shared" si="16"/>
        <v>113.33333333333333</v>
      </c>
      <c r="E583" s="27">
        <f>VLOOKUP(Table1[[#This Row],[Date]],Database!A:D,4,)</f>
        <v>6.9</v>
      </c>
      <c r="F583" s="40">
        <v>9.5703237864254182E-3</v>
      </c>
      <c r="G583" s="27">
        <f>VLOOKUP(Table1[[#This Row],[Date]],Database!A:D,2,)</f>
        <v>65.3</v>
      </c>
      <c r="H583" s="26"/>
    </row>
    <row r="584" spans="1:8" x14ac:dyDescent="0.2">
      <c r="A584" s="37">
        <v>31656</v>
      </c>
      <c r="B584" s="38">
        <f>VLOOKUP(Table1[[#This Row],[Date]],Database!A:D,3,)</f>
        <v>99934</v>
      </c>
      <c r="C584" s="39">
        <f t="shared" si="17"/>
        <v>346</v>
      </c>
      <c r="D584" s="39">
        <f t="shared" si="16"/>
        <v>259.66666666666669</v>
      </c>
      <c r="E584" s="27">
        <f>VLOOKUP(Table1[[#This Row],[Date]],Database!A:D,4,)</f>
        <v>7</v>
      </c>
      <c r="F584" s="40">
        <v>9.5703237864254182E-3</v>
      </c>
      <c r="G584" s="27">
        <f>VLOOKUP(Table1[[#This Row],[Date]],Database!A:D,2,)</f>
        <v>65.400000000000006</v>
      </c>
      <c r="H584" s="26"/>
    </row>
    <row r="585" spans="1:8" x14ac:dyDescent="0.2">
      <c r="A585" s="37">
        <v>31686</v>
      </c>
      <c r="B585" s="38">
        <f>VLOOKUP(Table1[[#This Row],[Date]],Database!A:D,3,)</f>
        <v>100121</v>
      </c>
      <c r="C585" s="39">
        <f t="shared" si="17"/>
        <v>187</v>
      </c>
      <c r="D585" s="39">
        <f t="shared" si="16"/>
        <v>216</v>
      </c>
      <c r="E585" s="27">
        <f>VLOOKUP(Table1[[#This Row],[Date]],Database!A:D,4,)</f>
        <v>7</v>
      </c>
      <c r="F585" s="40">
        <v>5.3707573624648206E-3</v>
      </c>
      <c r="G585" s="27">
        <f>VLOOKUP(Table1[[#This Row],[Date]],Database!A:D,2,)</f>
        <v>65.400000000000006</v>
      </c>
      <c r="H585" s="26"/>
    </row>
    <row r="586" spans="1:8" x14ac:dyDescent="0.2">
      <c r="A586" s="37">
        <v>31717</v>
      </c>
      <c r="B586" s="38">
        <f>VLOOKUP(Table1[[#This Row],[Date]],Database!A:D,3,)</f>
        <v>100308</v>
      </c>
      <c r="C586" s="39">
        <f t="shared" si="17"/>
        <v>187</v>
      </c>
      <c r="D586" s="39">
        <f t="shared" si="16"/>
        <v>240</v>
      </c>
      <c r="E586" s="27">
        <f>VLOOKUP(Table1[[#This Row],[Date]],Database!A:D,4,)</f>
        <v>6.9</v>
      </c>
      <c r="F586" s="40">
        <v>5.3707573624648206E-3</v>
      </c>
      <c r="G586" s="27">
        <f>VLOOKUP(Table1[[#This Row],[Date]],Database!A:D,2,)</f>
        <v>65.400000000000006</v>
      </c>
      <c r="H586" s="26"/>
    </row>
    <row r="587" spans="1:8" x14ac:dyDescent="0.2">
      <c r="A587" s="37">
        <v>31747</v>
      </c>
      <c r="B587" s="38">
        <f>VLOOKUP(Table1[[#This Row],[Date]],Database!A:D,3,)</f>
        <v>100509</v>
      </c>
      <c r="C587" s="39">
        <f t="shared" si="17"/>
        <v>201</v>
      </c>
      <c r="D587" s="39">
        <f t="shared" si="16"/>
        <v>191.66666666666666</v>
      </c>
      <c r="E587" s="27">
        <f>VLOOKUP(Table1[[#This Row],[Date]],Database!A:D,4,)</f>
        <v>6.6</v>
      </c>
      <c r="F587" s="40">
        <v>5.3707573624648206E-3</v>
      </c>
      <c r="G587" s="27">
        <f>VLOOKUP(Table1[[#This Row],[Date]],Database!A:D,2,)</f>
        <v>65.3</v>
      </c>
      <c r="H587" s="26"/>
    </row>
    <row r="588" spans="1:8" x14ac:dyDescent="0.2">
      <c r="A588" s="37">
        <v>31778</v>
      </c>
      <c r="B588" s="38">
        <f>VLOOKUP(Table1[[#This Row],[Date]],Database!A:D,3,)</f>
        <v>100678</v>
      </c>
      <c r="C588" s="39">
        <f t="shared" si="17"/>
        <v>169</v>
      </c>
      <c r="D588" s="39">
        <f t="shared" ref="D588:D651" si="18">AVERAGE(C586:C588)</f>
        <v>185.66666666666666</v>
      </c>
      <c r="E588" s="27">
        <f>VLOOKUP(Table1[[#This Row],[Date]],Database!A:D,4,)</f>
        <v>6.6</v>
      </c>
      <c r="F588" s="40">
        <v>7.4517144335576003E-3</v>
      </c>
      <c r="G588" s="27">
        <f>VLOOKUP(Table1[[#This Row],[Date]],Database!A:D,2,)</f>
        <v>65.400000000000006</v>
      </c>
      <c r="H588" s="26"/>
    </row>
    <row r="589" spans="1:8" x14ac:dyDescent="0.2">
      <c r="A589" s="37">
        <v>31809</v>
      </c>
      <c r="B589" s="38">
        <f>VLOOKUP(Table1[[#This Row],[Date]],Database!A:D,3,)</f>
        <v>100919</v>
      </c>
      <c r="C589" s="39">
        <f t="shared" ref="C589:C652" si="19">B589-B588</f>
        <v>241</v>
      </c>
      <c r="D589" s="39">
        <f t="shared" si="18"/>
        <v>203.66666666666666</v>
      </c>
      <c r="E589" s="27">
        <f>VLOOKUP(Table1[[#This Row],[Date]],Database!A:D,4,)</f>
        <v>6.6</v>
      </c>
      <c r="F589" s="40">
        <v>7.4517144335576003E-3</v>
      </c>
      <c r="G589" s="27">
        <f>VLOOKUP(Table1[[#This Row],[Date]],Database!A:D,2,)</f>
        <v>65.5</v>
      </c>
      <c r="H589" s="26"/>
    </row>
    <row r="590" spans="1:8" x14ac:dyDescent="0.2">
      <c r="A590" s="37">
        <v>31837</v>
      </c>
      <c r="B590" s="38">
        <f>VLOOKUP(Table1[[#This Row],[Date]],Database!A:D,3,)</f>
        <v>101164</v>
      </c>
      <c r="C590" s="39">
        <f t="shared" si="19"/>
        <v>245</v>
      </c>
      <c r="D590" s="39">
        <f t="shared" si="18"/>
        <v>218.33333333333334</v>
      </c>
      <c r="E590" s="27">
        <f>VLOOKUP(Table1[[#This Row],[Date]],Database!A:D,4,)</f>
        <v>6.6</v>
      </c>
      <c r="F590" s="40">
        <v>7.4517144335576003E-3</v>
      </c>
      <c r="G590" s="27">
        <f>VLOOKUP(Table1[[#This Row],[Date]],Database!A:D,2,)</f>
        <v>65.5</v>
      </c>
      <c r="H590" s="26"/>
    </row>
    <row r="591" spans="1:8" x14ac:dyDescent="0.2">
      <c r="A591" s="37">
        <v>31868</v>
      </c>
      <c r="B591" s="38">
        <f>VLOOKUP(Table1[[#This Row],[Date]],Database!A:D,3,)</f>
        <v>101499</v>
      </c>
      <c r="C591" s="39">
        <f t="shared" si="19"/>
        <v>335</v>
      </c>
      <c r="D591" s="39">
        <f t="shared" si="18"/>
        <v>273.66666666666669</v>
      </c>
      <c r="E591" s="27">
        <f>VLOOKUP(Table1[[#This Row],[Date]],Database!A:D,4,)</f>
        <v>6.3</v>
      </c>
      <c r="F591" s="40">
        <v>1.078897911929967E-2</v>
      </c>
      <c r="G591" s="27">
        <f>VLOOKUP(Table1[[#This Row],[Date]],Database!A:D,2,)</f>
        <v>65.400000000000006</v>
      </c>
      <c r="H591" s="26"/>
    </row>
    <row r="592" spans="1:8" x14ac:dyDescent="0.2">
      <c r="A592" s="37">
        <v>31898</v>
      </c>
      <c r="B592" s="38">
        <f>VLOOKUP(Table1[[#This Row],[Date]],Database!A:D,3,)</f>
        <v>101728</v>
      </c>
      <c r="C592" s="39">
        <f t="shared" si="19"/>
        <v>229</v>
      </c>
      <c r="D592" s="39">
        <f t="shared" si="18"/>
        <v>269.66666666666669</v>
      </c>
      <c r="E592" s="27">
        <f>VLOOKUP(Table1[[#This Row],[Date]],Database!A:D,4,)</f>
        <v>6.3</v>
      </c>
      <c r="F592" s="40">
        <v>1.078897911929967E-2</v>
      </c>
      <c r="G592" s="27">
        <f>VLOOKUP(Table1[[#This Row],[Date]],Database!A:D,2,)</f>
        <v>65.7</v>
      </c>
      <c r="H592" s="26"/>
    </row>
    <row r="593" spans="1:8" x14ac:dyDescent="0.2">
      <c r="A593" s="37">
        <v>31929</v>
      </c>
      <c r="B593" s="38">
        <f>VLOOKUP(Table1[[#This Row],[Date]],Database!A:D,3,)</f>
        <v>101900</v>
      </c>
      <c r="C593" s="39">
        <f t="shared" si="19"/>
        <v>172</v>
      </c>
      <c r="D593" s="39">
        <f t="shared" si="18"/>
        <v>245.33333333333334</v>
      </c>
      <c r="E593" s="27">
        <f>VLOOKUP(Table1[[#This Row],[Date]],Database!A:D,4,)</f>
        <v>6.2</v>
      </c>
      <c r="F593" s="40">
        <v>1.078897911929967E-2</v>
      </c>
      <c r="G593" s="27">
        <f>VLOOKUP(Table1[[#This Row],[Date]],Database!A:D,2,)</f>
        <v>65.5</v>
      </c>
      <c r="H593" s="26"/>
    </row>
    <row r="594" spans="1:8" x14ac:dyDescent="0.2">
      <c r="A594" s="37">
        <v>31959</v>
      </c>
      <c r="B594" s="38">
        <f>VLOOKUP(Table1[[#This Row],[Date]],Database!A:D,3,)</f>
        <v>102247</v>
      </c>
      <c r="C594" s="39">
        <f t="shared" si="19"/>
        <v>347</v>
      </c>
      <c r="D594" s="39">
        <f t="shared" si="18"/>
        <v>249.33333333333334</v>
      </c>
      <c r="E594" s="27">
        <f>VLOOKUP(Table1[[#This Row],[Date]],Database!A:D,4,)</f>
        <v>6.1</v>
      </c>
      <c r="F594" s="40">
        <v>8.6761203858097095E-3</v>
      </c>
      <c r="G594" s="27">
        <f>VLOOKUP(Table1[[#This Row],[Date]],Database!A:D,2,)</f>
        <v>65.599999999999994</v>
      </c>
      <c r="H594" s="26"/>
    </row>
    <row r="595" spans="1:8" x14ac:dyDescent="0.2">
      <c r="A595" s="37">
        <v>31990</v>
      </c>
      <c r="B595" s="38">
        <f>VLOOKUP(Table1[[#This Row],[Date]],Database!A:D,3,)</f>
        <v>102420</v>
      </c>
      <c r="C595" s="39">
        <f t="shared" si="19"/>
        <v>173</v>
      </c>
      <c r="D595" s="39">
        <f t="shared" si="18"/>
        <v>230.66666666666666</v>
      </c>
      <c r="E595" s="27">
        <f>VLOOKUP(Table1[[#This Row],[Date]],Database!A:D,4,)</f>
        <v>6</v>
      </c>
      <c r="F595" s="40">
        <v>8.6761203858097095E-3</v>
      </c>
      <c r="G595" s="27">
        <f>VLOOKUP(Table1[[#This Row],[Date]],Database!A:D,2,)</f>
        <v>65.7</v>
      </c>
      <c r="H595" s="26"/>
    </row>
    <row r="596" spans="1:8" x14ac:dyDescent="0.2">
      <c r="A596" s="37">
        <v>32021</v>
      </c>
      <c r="B596" s="38">
        <f>VLOOKUP(Table1[[#This Row],[Date]],Database!A:D,3,)</f>
        <v>102647</v>
      </c>
      <c r="C596" s="39">
        <f t="shared" si="19"/>
        <v>227</v>
      </c>
      <c r="D596" s="39">
        <f t="shared" si="18"/>
        <v>249</v>
      </c>
      <c r="E596" s="27">
        <f>VLOOKUP(Table1[[#This Row],[Date]],Database!A:D,4,)</f>
        <v>5.9</v>
      </c>
      <c r="F596" s="40">
        <v>8.6761203858097095E-3</v>
      </c>
      <c r="G596" s="27">
        <f>VLOOKUP(Table1[[#This Row],[Date]],Database!A:D,2,)</f>
        <v>65.5</v>
      </c>
      <c r="H596" s="26"/>
    </row>
    <row r="597" spans="1:8" x14ac:dyDescent="0.2">
      <c r="A597" s="37">
        <v>32051</v>
      </c>
      <c r="B597" s="38">
        <f>VLOOKUP(Table1[[#This Row],[Date]],Database!A:D,3,)</f>
        <v>103138</v>
      </c>
      <c r="C597" s="39">
        <f t="shared" si="19"/>
        <v>491</v>
      </c>
      <c r="D597" s="39">
        <f t="shared" si="18"/>
        <v>297</v>
      </c>
      <c r="E597" s="27">
        <f>VLOOKUP(Table1[[#This Row],[Date]],Database!A:D,4,)</f>
        <v>6</v>
      </c>
      <c r="F597" s="40">
        <v>1.7170525807583759E-2</v>
      </c>
      <c r="G597" s="27">
        <f>VLOOKUP(Table1[[#This Row],[Date]],Database!A:D,2,)</f>
        <v>65.7</v>
      </c>
      <c r="H597" s="26"/>
    </row>
    <row r="598" spans="1:8" x14ac:dyDescent="0.2">
      <c r="A598" s="37">
        <v>32082</v>
      </c>
      <c r="B598" s="38">
        <f>VLOOKUP(Table1[[#This Row],[Date]],Database!A:D,3,)</f>
        <v>103372</v>
      </c>
      <c r="C598" s="39">
        <f t="shared" si="19"/>
        <v>234</v>
      </c>
      <c r="D598" s="39">
        <f t="shared" si="18"/>
        <v>317.33333333333331</v>
      </c>
      <c r="E598" s="27">
        <f>VLOOKUP(Table1[[#This Row],[Date]],Database!A:D,4,)</f>
        <v>5.8</v>
      </c>
      <c r="F598" s="40">
        <v>1.7170525807583759E-2</v>
      </c>
      <c r="G598" s="27">
        <f>VLOOKUP(Table1[[#This Row],[Date]],Database!A:D,2,)</f>
        <v>65.7</v>
      </c>
      <c r="H598" s="26"/>
    </row>
    <row r="599" spans="1:8" x14ac:dyDescent="0.2">
      <c r="A599" s="37">
        <v>32112</v>
      </c>
      <c r="B599" s="38">
        <f>VLOOKUP(Table1[[#This Row],[Date]],Database!A:D,3,)</f>
        <v>103661</v>
      </c>
      <c r="C599" s="39">
        <f t="shared" si="19"/>
        <v>289</v>
      </c>
      <c r="D599" s="39">
        <f t="shared" si="18"/>
        <v>338</v>
      </c>
      <c r="E599" s="27">
        <f>VLOOKUP(Table1[[#This Row],[Date]],Database!A:D,4,)</f>
        <v>5.7</v>
      </c>
      <c r="F599" s="40">
        <v>1.7170525807583759E-2</v>
      </c>
      <c r="G599" s="27">
        <f>VLOOKUP(Table1[[#This Row],[Date]],Database!A:D,2,)</f>
        <v>65.7</v>
      </c>
      <c r="H599" s="26"/>
    </row>
    <row r="600" spans="1:8" x14ac:dyDescent="0.2">
      <c r="A600" s="37">
        <v>32143</v>
      </c>
      <c r="B600" s="38">
        <f>VLOOKUP(Table1[[#This Row],[Date]],Database!A:D,3,)</f>
        <v>103753</v>
      </c>
      <c r="C600" s="39">
        <f t="shared" si="19"/>
        <v>92</v>
      </c>
      <c r="D600" s="39">
        <f t="shared" si="18"/>
        <v>205</v>
      </c>
      <c r="E600" s="27">
        <f>VLOOKUP(Table1[[#This Row],[Date]],Database!A:D,4,)</f>
        <v>5.7</v>
      </c>
      <c r="F600" s="40">
        <v>5.1662630259664668E-3</v>
      </c>
      <c r="G600" s="27">
        <f>VLOOKUP(Table1[[#This Row],[Date]],Database!A:D,2,)</f>
        <v>65.8</v>
      </c>
      <c r="H600" s="26"/>
    </row>
    <row r="601" spans="1:8" x14ac:dyDescent="0.2">
      <c r="A601" s="37">
        <v>32174</v>
      </c>
      <c r="B601" s="38">
        <f>VLOOKUP(Table1[[#This Row],[Date]],Database!A:D,3,)</f>
        <v>104214</v>
      </c>
      <c r="C601" s="39">
        <f t="shared" si="19"/>
        <v>461</v>
      </c>
      <c r="D601" s="39">
        <f t="shared" si="18"/>
        <v>280.66666666666669</v>
      </c>
      <c r="E601" s="27">
        <f>VLOOKUP(Table1[[#This Row],[Date]],Database!A:D,4,)</f>
        <v>5.7</v>
      </c>
      <c r="F601" s="40">
        <v>5.1662630259664668E-3</v>
      </c>
      <c r="G601" s="27">
        <f>VLOOKUP(Table1[[#This Row],[Date]],Database!A:D,2,)</f>
        <v>65.900000000000006</v>
      </c>
      <c r="H601" s="26"/>
    </row>
    <row r="602" spans="1:8" x14ac:dyDescent="0.2">
      <c r="A602" s="37">
        <v>32203</v>
      </c>
      <c r="B602" s="38">
        <f>VLOOKUP(Table1[[#This Row],[Date]],Database!A:D,3,)</f>
        <v>104489</v>
      </c>
      <c r="C602" s="39">
        <f t="shared" si="19"/>
        <v>275</v>
      </c>
      <c r="D602" s="39">
        <f t="shared" si="18"/>
        <v>276</v>
      </c>
      <c r="E602" s="27">
        <f>VLOOKUP(Table1[[#This Row],[Date]],Database!A:D,4,)</f>
        <v>5.7</v>
      </c>
      <c r="F602" s="40">
        <v>5.1662630259664668E-3</v>
      </c>
      <c r="G602" s="27">
        <f>VLOOKUP(Table1[[#This Row],[Date]],Database!A:D,2,)</f>
        <v>65.7</v>
      </c>
      <c r="H602" s="26"/>
    </row>
    <row r="603" spans="1:8" x14ac:dyDescent="0.2">
      <c r="A603" s="37">
        <v>32234</v>
      </c>
      <c r="B603" s="38">
        <f>VLOOKUP(Table1[[#This Row],[Date]],Database!A:D,3,)</f>
        <v>104732</v>
      </c>
      <c r="C603" s="39">
        <f t="shared" si="19"/>
        <v>243</v>
      </c>
      <c r="D603" s="39">
        <f t="shared" si="18"/>
        <v>326.33333333333331</v>
      </c>
      <c r="E603" s="27">
        <f>VLOOKUP(Table1[[#This Row],[Date]],Database!A:D,4,)</f>
        <v>5.4</v>
      </c>
      <c r="F603" s="40">
        <v>1.3138672913233552E-2</v>
      </c>
      <c r="G603" s="27">
        <f>VLOOKUP(Table1[[#This Row],[Date]],Database!A:D,2,)</f>
        <v>65.8</v>
      </c>
      <c r="H603" s="26"/>
    </row>
    <row r="604" spans="1:8" x14ac:dyDescent="0.2">
      <c r="A604" s="37">
        <v>32264</v>
      </c>
      <c r="B604" s="38">
        <f>VLOOKUP(Table1[[#This Row],[Date]],Database!A:D,3,)</f>
        <v>104962</v>
      </c>
      <c r="C604" s="39">
        <f t="shared" si="19"/>
        <v>230</v>
      </c>
      <c r="D604" s="39">
        <f t="shared" si="18"/>
        <v>249.33333333333334</v>
      </c>
      <c r="E604" s="27">
        <f>VLOOKUP(Table1[[#This Row],[Date]],Database!A:D,4,)</f>
        <v>5.6</v>
      </c>
      <c r="F604" s="40">
        <v>1.3138672913233552E-2</v>
      </c>
      <c r="G604" s="27">
        <f>VLOOKUP(Table1[[#This Row],[Date]],Database!A:D,2,)</f>
        <v>65.7</v>
      </c>
      <c r="H604" s="26"/>
    </row>
    <row r="605" spans="1:8" x14ac:dyDescent="0.2">
      <c r="A605" s="37">
        <v>32295</v>
      </c>
      <c r="B605" s="38">
        <f>VLOOKUP(Table1[[#This Row],[Date]],Database!A:D,3,)</f>
        <v>105326</v>
      </c>
      <c r="C605" s="39">
        <f t="shared" si="19"/>
        <v>364</v>
      </c>
      <c r="D605" s="39">
        <f t="shared" si="18"/>
        <v>279</v>
      </c>
      <c r="E605" s="27">
        <f>VLOOKUP(Table1[[#This Row],[Date]],Database!A:D,4,)</f>
        <v>5.4</v>
      </c>
      <c r="F605" s="40">
        <v>1.3138672913233552E-2</v>
      </c>
      <c r="G605" s="27">
        <f>VLOOKUP(Table1[[#This Row],[Date]],Database!A:D,2,)</f>
        <v>65.8</v>
      </c>
      <c r="H605" s="26"/>
    </row>
    <row r="606" spans="1:8" x14ac:dyDescent="0.2">
      <c r="A606" s="37">
        <v>32325</v>
      </c>
      <c r="B606" s="38">
        <f>VLOOKUP(Table1[[#This Row],[Date]],Database!A:D,3,)</f>
        <v>105550</v>
      </c>
      <c r="C606" s="39">
        <f t="shared" si="19"/>
        <v>224</v>
      </c>
      <c r="D606" s="39">
        <f t="shared" si="18"/>
        <v>272.66666666666669</v>
      </c>
      <c r="E606" s="27">
        <f>VLOOKUP(Table1[[#This Row],[Date]],Database!A:D,4,)</f>
        <v>5.4</v>
      </c>
      <c r="F606" s="40">
        <v>5.8592877244675289E-3</v>
      </c>
      <c r="G606" s="27">
        <f>VLOOKUP(Table1[[#This Row],[Date]],Database!A:D,2,)</f>
        <v>65.900000000000006</v>
      </c>
      <c r="H606" s="26"/>
    </row>
    <row r="607" spans="1:8" x14ac:dyDescent="0.2">
      <c r="A607" s="37">
        <v>32356</v>
      </c>
      <c r="B607" s="38">
        <f>VLOOKUP(Table1[[#This Row],[Date]],Database!A:D,3,)</f>
        <v>105674</v>
      </c>
      <c r="C607" s="39">
        <f t="shared" si="19"/>
        <v>124</v>
      </c>
      <c r="D607" s="39">
        <f t="shared" si="18"/>
        <v>237.33333333333334</v>
      </c>
      <c r="E607" s="27">
        <f>VLOOKUP(Table1[[#This Row],[Date]],Database!A:D,4,)</f>
        <v>5.6</v>
      </c>
      <c r="F607" s="40">
        <v>5.8592877244675289E-3</v>
      </c>
      <c r="G607" s="27">
        <f>VLOOKUP(Table1[[#This Row],[Date]],Database!A:D,2,)</f>
        <v>66.099999999999994</v>
      </c>
      <c r="H607" s="26"/>
    </row>
    <row r="608" spans="1:8" x14ac:dyDescent="0.2">
      <c r="A608" s="37">
        <v>32387</v>
      </c>
      <c r="B608" s="38">
        <f>VLOOKUP(Table1[[#This Row],[Date]],Database!A:D,3,)</f>
        <v>106013</v>
      </c>
      <c r="C608" s="39">
        <f t="shared" si="19"/>
        <v>339</v>
      </c>
      <c r="D608" s="39">
        <f t="shared" si="18"/>
        <v>229</v>
      </c>
      <c r="E608" s="27">
        <f>VLOOKUP(Table1[[#This Row],[Date]],Database!A:D,4,)</f>
        <v>5.4</v>
      </c>
      <c r="F608" s="40">
        <v>5.8592877244675289E-3</v>
      </c>
      <c r="G608" s="27">
        <f>VLOOKUP(Table1[[#This Row],[Date]],Database!A:D,2,)</f>
        <v>65.900000000000006</v>
      </c>
      <c r="H608" s="26"/>
    </row>
    <row r="609" spans="1:8" x14ac:dyDescent="0.2">
      <c r="A609" s="37">
        <v>32417</v>
      </c>
      <c r="B609" s="38">
        <f>VLOOKUP(Table1[[#This Row],[Date]],Database!A:D,3,)</f>
        <v>106276</v>
      </c>
      <c r="C609" s="39">
        <f t="shared" si="19"/>
        <v>263</v>
      </c>
      <c r="D609" s="39">
        <f t="shared" si="18"/>
        <v>242</v>
      </c>
      <c r="E609" s="27">
        <f>VLOOKUP(Table1[[#This Row],[Date]],Database!A:D,4,)</f>
        <v>5.4</v>
      </c>
      <c r="F609" s="40">
        <v>1.3324958232276453E-2</v>
      </c>
      <c r="G609" s="27">
        <f>VLOOKUP(Table1[[#This Row],[Date]],Database!A:D,2,)</f>
        <v>66</v>
      </c>
      <c r="H609" s="26"/>
    </row>
    <row r="610" spans="1:8" x14ac:dyDescent="0.2">
      <c r="A610" s="37">
        <v>32448</v>
      </c>
      <c r="B610" s="38">
        <f>VLOOKUP(Table1[[#This Row],[Date]],Database!A:D,3,)</f>
        <v>106617</v>
      </c>
      <c r="C610" s="39">
        <f t="shared" si="19"/>
        <v>341</v>
      </c>
      <c r="D610" s="39">
        <f t="shared" si="18"/>
        <v>314.33333333333331</v>
      </c>
      <c r="E610" s="27">
        <f>VLOOKUP(Table1[[#This Row],[Date]],Database!A:D,4,)</f>
        <v>5.3</v>
      </c>
      <c r="F610" s="40">
        <v>1.3324958232276453E-2</v>
      </c>
      <c r="G610" s="27">
        <f>VLOOKUP(Table1[[#This Row],[Date]],Database!A:D,2,)</f>
        <v>66.2</v>
      </c>
      <c r="H610" s="26"/>
    </row>
    <row r="611" spans="1:8" x14ac:dyDescent="0.2">
      <c r="A611" s="37">
        <v>32478</v>
      </c>
      <c r="B611" s="38">
        <f>VLOOKUP(Table1[[#This Row],[Date]],Database!A:D,3,)</f>
        <v>106898</v>
      </c>
      <c r="C611" s="39">
        <f t="shared" si="19"/>
        <v>281</v>
      </c>
      <c r="D611" s="39">
        <f t="shared" si="18"/>
        <v>295</v>
      </c>
      <c r="E611" s="27">
        <f>VLOOKUP(Table1[[#This Row],[Date]],Database!A:D,4,)</f>
        <v>5.3</v>
      </c>
      <c r="F611" s="40">
        <v>1.3324958232276453E-2</v>
      </c>
      <c r="G611" s="27">
        <f>VLOOKUP(Table1[[#This Row],[Date]],Database!A:D,2,)</f>
        <v>66.099999999999994</v>
      </c>
      <c r="H611" s="26"/>
    </row>
    <row r="612" spans="1:8" x14ac:dyDescent="0.2">
      <c r="A612" s="37">
        <v>32509</v>
      </c>
      <c r="B612" s="38">
        <f>VLOOKUP(Table1[[#This Row],[Date]],Database!A:D,3,)</f>
        <v>107161</v>
      </c>
      <c r="C612" s="39">
        <f t="shared" si="19"/>
        <v>263</v>
      </c>
      <c r="D612" s="39">
        <f t="shared" si="18"/>
        <v>295</v>
      </c>
      <c r="E612" s="27">
        <f>VLOOKUP(Table1[[#This Row],[Date]],Database!A:D,4,)</f>
        <v>5.4</v>
      </c>
      <c r="F612" s="40">
        <v>1.0166024910562326E-2</v>
      </c>
      <c r="G612" s="27">
        <f>VLOOKUP(Table1[[#This Row],[Date]],Database!A:D,2,)</f>
        <v>66.5</v>
      </c>
      <c r="H612" s="26"/>
    </row>
    <row r="613" spans="1:8" x14ac:dyDescent="0.2">
      <c r="A613" s="37">
        <v>32540</v>
      </c>
      <c r="B613" s="38">
        <f>VLOOKUP(Table1[[#This Row],[Date]],Database!A:D,3,)</f>
        <v>107427</v>
      </c>
      <c r="C613" s="39">
        <f t="shared" si="19"/>
        <v>266</v>
      </c>
      <c r="D613" s="39">
        <f t="shared" si="18"/>
        <v>270</v>
      </c>
      <c r="E613" s="27">
        <f>VLOOKUP(Table1[[#This Row],[Date]],Database!A:D,4,)</f>
        <v>5.2</v>
      </c>
      <c r="F613" s="40">
        <v>1.0166024910562326E-2</v>
      </c>
      <c r="G613" s="27">
        <f>VLOOKUP(Table1[[#This Row],[Date]],Database!A:D,2,)</f>
        <v>66.3</v>
      </c>
      <c r="H613" s="26"/>
    </row>
    <row r="614" spans="1:8" x14ac:dyDescent="0.2">
      <c r="A614" s="37">
        <v>32568</v>
      </c>
      <c r="B614" s="38">
        <f>VLOOKUP(Table1[[#This Row],[Date]],Database!A:D,3,)</f>
        <v>107621</v>
      </c>
      <c r="C614" s="39">
        <f t="shared" si="19"/>
        <v>194</v>
      </c>
      <c r="D614" s="39">
        <f t="shared" si="18"/>
        <v>241</v>
      </c>
      <c r="E614" s="27">
        <f>VLOOKUP(Table1[[#This Row],[Date]],Database!A:D,4,)</f>
        <v>5</v>
      </c>
      <c r="F614" s="40">
        <v>1.0166024910562326E-2</v>
      </c>
      <c r="G614" s="27">
        <f>VLOOKUP(Table1[[#This Row],[Date]],Database!A:D,2,)</f>
        <v>66.3</v>
      </c>
      <c r="H614" s="26"/>
    </row>
    <row r="615" spans="1:8" x14ac:dyDescent="0.2">
      <c r="A615" s="37">
        <v>32599</v>
      </c>
      <c r="B615" s="38">
        <f>VLOOKUP(Table1[[#This Row],[Date]],Database!A:D,3,)</f>
        <v>107791</v>
      </c>
      <c r="C615" s="39">
        <f t="shared" si="19"/>
        <v>170</v>
      </c>
      <c r="D615" s="39">
        <f t="shared" si="18"/>
        <v>210</v>
      </c>
      <c r="E615" s="27">
        <f>VLOOKUP(Table1[[#This Row],[Date]],Database!A:D,4,)</f>
        <v>5.2</v>
      </c>
      <c r="F615" s="40">
        <v>7.6326911979861974E-3</v>
      </c>
      <c r="G615" s="27">
        <f>VLOOKUP(Table1[[#This Row],[Date]],Database!A:D,2,)</f>
        <v>66.400000000000006</v>
      </c>
      <c r="H615" s="26"/>
    </row>
    <row r="616" spans="1:8" x14ac:dyDescent="0.2">
      <c r="A616" s="37">
        <v>32629</v>
      </c>
      <c r="B616" s="38">
        <f>VLOOKUP(Table1[[#This Row],[Date]],Database!A:D,3,)</f>
        <v>107913</v>
      </c>
      <c r="C616" s="39">
        <f t="shared" si="19"/>
        <v>122</v>
      </c>
      <c r="D616" s="39">
        <f t="shared" si="18"/>
        <v>162</v>
      </c>
      <c r="E616" s="27">
        <f>VLOOKUP(Table1[[#This Row],[Date]],Database!A:D,4,)</f>
        <v>5.2</v>
      </c>
      <c r="F616" s="40">
        <v>7.6326911979861974E-3</v>
      </c>
      <c r="G616" s="27">
        <f>VLOOKUP(Table1[[#This Row],[Date]],Database!A:D,2,)</f>
        <v>66.3</v>
      </c>
      <c r="H616" s="26"/>
    </row>
    <row r="617" spans="1:8" x14ac:dyDescent="0.2">
      <c r="A617" s="37">
        <v>32660</v>
      </c>
      <c r="B617" s="38">
        <f>VLOOKUP(Table1[[#This Row],[Date]],Database!A:D,3,)</f>
        <v>108027</v>
      </c>
      <c r="C617" s="39">
        <f t="shared" si="19"/>
        <v>114</v>
      </c>
      <c r="D617" s="39">
        <f t="shared" si="18"/>
        <v>135.33333333333334</v>
      </c>
      <c r="E617" s="27">
        <f>VLOOKUP(Table1[[#This Row],[Date]],Database!A:D,4,)</f>
        <v>5.3</v>
      </c>
      <c r="F617" s="40">
        <v>7.6326911979861974E-3</v>
      </c>
      <c r="G617" s="27">
        <f>VLOOKUP(Table1[[#This Row],[Date]],Database!A:D,2,)</f>
        <v>66.5</v>
      </c>
      <c r="H617" s="26"/>
    </row>
    <row r="618" spans="1:8" x14ac:dyDescent="0.2">
      <c r="A618" s="37">
        <v>32690</v>
      </c>
      <c r="B618" s="38">
        <f>VLOOKUP(Table1[[#This Row],[Date]],Database!A:D,3,)</f>
        <v>108069</v>
      </c>
      <c r="C618" s="39">
        <f t="shared" si="19"/>
        <v>42</v>
      </c>
      <c r="D618" s="39">
        <f t="shared" si="18"/>
        <v>92.666666666666671</v>
      </c>
      <c r="E618" s="27">
        <f>VLOOKUP(Table1[[#This Row],[Date]],Database!A:D,4,)</f>
        <v>5.2</v>
      </c>
      <c r="F618" s="40">
        <v>7.408807153261851E-3</v>
      </c>
      <c r="G618" s="27">
        <f>VLOOKUP(Table1[[#This Row],[Date]],Database!A:D,2,)</f>
        <v>66.5</v>
      </c>
      <c r="H618" s="26"/>
    </row>
    <row r="619" spans="1:8" x14ac:dyDescent="0.2">
      <c r="A619" s="37">
        <v>32721</v>
      </c>
      <c r="B619" s="38">
        <f>VLOOKUP(Table1[[#This Row],[Date]],Database!A:D,3,)</f>
        <v>108120</v>
      </c>
      <c r="C619" s="39">
        <f t="shared" si="19"/>
        <v>51</v>
      </c>
      <c r="D619" s="39">
        <f t="shared" si="18"/>
        <v>69</v>
      </c>
      <c r="E619" s="27">
        <f>VLOOKUP(Table1[[#This Row],[Date]],Database!A:D,4,)</f>
        <v>5.2</v>
      </c>
      <c r="F619" s="40">
        <v>7.408807153261851E-3</v>
      </c>
      <c r="G619" s="27">
        <f>VLOOKUP(Table1[[#This Row],[Date]],Database!A:D,2,)</f>
        <v>66.5</v>
      </c>
      <c r="H619" s="26"/>
    </row>
    <row r="620" spans="1:8" x14ac:dyDescent="0.2">
      <c r="A620" s="37">
        <v>32752</v>
      </c>
      <c r="B620" s="38">
        <f>VLOOKUP(Table1[[#This Row],[Date]],Database!A:D,3,)</f>
        <v>108369</v>
      </c>
      <c r="C620" s="39">
        <f t="shared" si="19"/>
        <v>249</v>
      </c>
      <c r="D620" s="39">
        <f t="shared" si="18"/>
        <v>114</v>
      </c>
      <c r="E620" s="27">
        <f>VLOOKUP(Table1[[#This Row],[Date]],Database!A:D,4,)</f>
        <v>5.3</v>
      </c>
      <c r="F620" s="40">
        <v>7.408807153261851E-3</v>
      </c>
      <c r="G620" s="27">
        <f>VLOOKUP(Table1[[#This Row],[Date]],Database!A:D,2,)</f>
        <v>66.400000000000006</v>
      </c>
      <c r="H620" s="26"/>
    </row>
    <row r="621" spans="1:8" x14ac:dyDescent="0.2">
      <c r="A621" s="37">
        <v>32782</v>
      </c>
      <c r="B621" s="38">
        <f>VLOOKUP(Table1[[#This Row],[Date]],Database!A:D,3,)</f>
        <v>108476</v>
      </c>
      <c r="C621" s="39">
        <f t="shared" si="19"/>
        <v>107</v>
      </c>
      <c r="D621" s="39">
        <f t="shared" si="18"/>
        <v>135.66666666666666</v>
      </c>
      <c r="E621" s="27">
        <f>VLOOKUP(Table1[[#This Row],[Date]],Database!A:D,4,)</f>
        <v>5.3</v>
      </c>
      <c r="F621" s="40">
        <v>1.9704677698904869E-3</v>
      </c>
      <c r="G621" s="27">
        <f>VLOOKUP(Table1[[#This Row],[Date]],Database!A:D,2,)</f>
        <v>66.5</v>
      </c>
      <c r="H621" s="26"/>
    </row>
    <row r="622" spans="1:8" x14ac:dyDescent="0.2">
      <c r="A622" s="37">
        <v>32813</v>
      </c>
      <c r="B622" s="38">
        <f>VLOOKUP(Table1[[#This Row],[Date]],Database!A:D,3,)</f>
        <v>108752</v>
      </c>
      <c r="C622" s="39">
        <f t="shared" si="19"/>
        <v>276</v>
      </c>
      <c r="D622" s="39">
        <f t="shared" si="18"/>
        <v>210.66666666666666</v>
      </c>
      <c r="E622" s="27">
        <f>VLOOKUP(Table1[[#This Row],[Date]],Database!A:D,4,)</f>
        <v>5.4</v>
      </c>
      <c r="F622" s="40">
        <v>1.9704677698904869E-3</v>
      </c>
      <c r="G622" s="27">
        <f>VLOOKUP(Table1[[#This Row],[Date]],Database!A:D,2,)</f>
        <v>66.599999999999994</v>
      </c>
      <c r="H622" s="26"/>
    </row>
    <row r="623" spans="1:8" x14ac:dyDescent="0.2">
      <c r="A623" s="37">
        <v>32843</v>
      </c>
      <c r="B623" s="38">
        <f>VLOOKUP(Table1[[#This Row],[Date]],Database!A:D,3,)</f>
        <v>108836</v>
      </c>
      <c r="C623" s="39">
        <f t="shared" si="19"/>
        <v>84</v>
      </c>
      <c r="D623" s="39">
        <f t="shared" si="18"/>
        <v>155.66666666666666</v>
      </c>
      <c r="E623" s="27">
        <f>VLOOKUP(Table1[[#This Row],[Date]],Database!A:D,4,)</f>
        <v>5.4</v>
      </c>
      <c r="F623" s="40">
        <v>1.9704677698904869E-3</v>
      </c>
      <c r="G623" s="27">
        <f>VLOOKUP(Table1[[#This Row],[Date]],Database!A:D,2,)</f>
        <v>66.5</v>
      </c>
      <c r="H623" s="26"/>
    </row>
    <row r="624" spans="1:8" x14ac:dyDescent="0.2">
      <c r="A624" s="37">
        <v>32874</v>
      </c>
      <c r="B624" s="38">
        <f>VLOOKUP(Table1[[#This Row],[Date]],Database!A:D,3,)</f>
        <v>109199</v>
      </c>
      <c r="C624" s="39">
        <f t="shared" si="19"/>
        <v>363</v>
      </c>
      <c r="D624" s="39">
        <f t="shared" si="18"/>
        <v>241</v>
      </c>
      <c r="E624" s="27">
        <f>VLOOKUP(Table1[[#This Row],[Date]],Database!A:D,4,)</f>
        <v>5.4</v>
      </c>
      <c r="F624" s="40">
        <v>1.0927903341079442E-2</v>
      </c>
      <c r="G624" s="27">
        <f>VLOOKUP(Table1[[#This Row],[Date]],Database!A:D,2,)</f>
        <v>66.8</v>
      </c>
      <c r="H624" s="26"/>
    </row>
    <row r="625" spans="1:8" x14ac:dyDescent="0.2">
      <c r="A625" s="37">
        <v>32905</v>
      </c>
      <c r="B625" s="38">
        <f>VLOOKUP(Table1[[#This Row],[Date]],Database!A:D,3,)</f>
        <v>109435</v>
      </c>
      <c r="C625" s="39">
        <f t="shared" si="19"/>
        <v>236</v>
      </c>
      <c r="D625" s="39">
        <f t="shared" si="18"/>
        <v>227.66666666666666</v>
      </c>
      <c r="E625" s="27">
        <f>VLOOKUP(Table1[[#This Row],[Date]],Database!A:D,4,)</f>
        <v>5.3</v>
      </c>
      <c r="F625" s="40">
        <v>1.0927903341079442E-2</v>
      </c>
      <c r="G625" s="27">
        <f>VLOOKUP(Table1[[#This Row],[Date]],Database!A:D,2,)</f>
        <v>66.7</v>
      </c>
      <c r="H625" s="26"/>
    </row>
    <row r="626" spans="1:8" x14ac:dyDescent="0.2">
      <c r="A626" s="37">
        <v>32933</v>
      </c>
      <c r="B626" s="38">
        <f>VLOOKUP(Table1[[#This Row],[Date]],Database!A:D,3,)</f>
        <v>109644</v>
      </c>
      <c r="C626" s="39">
        <f t="shared" si="19"/>
        <v>209</v>
      </c>
      <c r="D626" s="39">
        <f t="shared" si="18"/>
        <v>269.33333333333331</v>
      </c>
      <c r="E626" s="27">
        <f>VLOOKUP(Table1[[#This Row],[Date]],Database!A:D,4,)</f>
        <v>5.2</v>
      </c>
      <c r="F626" s="40">
        <v>1.0927903341079442E-2</v>
      </c>
      <c r="G626" s="27">
        <f>VLOOKUP(Table1[[#This Row],[Date]],Database!A:D,2,)</f>
        <v>66.7</v>
      </c>
      <c r="H626" s="26"/>
    </row>
    <row r="627" spans="1:8" x14ac:dyDescent="0.2">
      <c r="A627" s="37">
        <v>32964</v>
      </c>
      <c r="B627" s="38">
        <f>VLOOKUP(Table1[[#This Row],[Date]],Database!A:D,3,)</f>
        <v>109686</v>
      </c>
      <c r="C627" s="39">
        <f t="shared" si="19"/>
        <v>42</v>
      </c>
      <c r="D627" s="39">
        <f t="shared" si="18"/>
        <v>162.33333333333334</v>
      </c>
      <c r="E627" s="27">
        <f>VLOOKUP(Table1[[#This Row],[Date]],Database!A:D,4,)</f>
        <v>5.4</v>
      </c>
      <c r="F627" s="40">
        <v>3.6290821965425015E-3</v>
      </c>
      <c r="G627" s="27">
        <f>VLOOKUP(Table1[[#This Row],[Date]],Database!A:D,2,)</f>
        <v>66.599999999999994</v>
      </c>
      <c r="H627" s="26"/>
    </row>
    <row r="628" spans="1:8" x14ac:dyDescent="0.2">
      <c r="A628" s="37">
        <v>32994</v>
      </c>
      <c r="B628" s="38">
        <f>VLOOKUP(Table1[[#This Row],[Date]],Database!A:D,3,)</f>
        <v>109839</v>
      </c>
      <c r="C628" s="39">
        <f t="shared" si="19"/>
        <v>153</v>
      </c>
      <c r="D628" s="39">
        <f t="shared" si="18"/>
        <v>134.66666666666666</v>
      </c>
      <c r="E628" s="27">
        <f>VLOOKUP(Table1[[#This Row],[Date]],Database!A:D,4,)</f>
        <v>5.4</v>
      </c>
      <c r="F628" s="40">
        <v>3.6290821965425015E-3</v>
      </c>
      <c r="G628" s="27">
        <f>VLOOKUP(Table1[[#This Row],[Date]],Database!A:D,2,)</f>
        <v>66.599999999999994</v>
      </c>
      <c r="H628" s="26"/>
    </row>
    <row r="629" spans="1:8" x14ac:dyDescent="0.2">
      <c r="A629" s="37">
        <v>33025</v>
      </c>
      <c r="B629" s="38">
        <f>VLOOKUP(Table1[[#This Row],[Date]],Database!A:D,3,)</f>
        <v>109856</v>
      </c>
      <c r="C629" s="39">
        <f t="shared" si="19"/>
        <v>17</v>
      </c>
      <c r="D629" s="39">
        <f t="shared" si="18"/>
        <v>70.666666666666671</v>
      </c>
      <c r="E629" s="27">
        <f>VLOOKUP(Table1[[#This Row],[Date]],Database!A:D,4,)</f>
        <v>5.2</v>
      </c>
      <c r="F629" s="40">
        <v>3.6290821965425015E-3</v>
      </c>
      <c r="G629" s="27">
        <f>VLOOKUP(Table1[[#This Row],[Date]],Database!A:D,2,)</f>
        <v>66.400000000000006</v>
      </c>
      <c r="H629" s="26"/>
    </row>
    <row r="630" spans="1:8" x14ac:dyDescent="0.2">
      <c r="A630" s="37">
        <v>33055</v>
      </c>
      <c r="B630" s="38">
        <f>VLOOKUP(Table1[[#This Row],[Date]],Database!A:D,3,)</f>
        <v>109824</v>
      </c>
      <c r="C630" s="39">
        <f t="shared" si="19"/>
        <v>-32</v>
      </c>
      <c r="D630" s="39">
        <f t="shared" si="18"/>
        <v>46</v>
      </c>
      <c r="E630" s="27">
        <f>VLOOKUP(Table1[[#This Row],[Date]],Database!A:D,4,)</f>
        <v>5.5</v>
      </c>
      <c r="F630" s="40">
        <v>6.652292405728502E-4</v>
      </c>
      <c r="G630" s="27">
        <f>VLOOKUP(Table1[[#This Row],[Date]],Database!A:D,2,)</f>
        <v>66.5</v>
      </c>
      <c r="H630" s="26"/>
    </row>
    <row r="631" spans="1:8" x14ac:dyDescent="0.2">
      <c r="A631" s="37">
        <v>33086</v>
      </c>
      <c r="B631" s="38">
        <f>VLOOKUP(Table1[[#This Row],[Date]],Database!A:D,3,)</f>
        <v>109616</v>
      </c>
      <c r="C631" s="39">
        <f t="shared" si="19"/>
        <v>-208</v>
      </c>
      <c r="D631" s="39">
        <f t="shared" si="18"/>
        <v>-74.333333333333329</v>
      </c>
      <c r="E631" s="27">
        <f>VLOOKUP(Table1[[#This Row],[Date]],Database!A:D,4,)</f>
        <v>5.7</v>
      </c>
      <c r="F631" s="40">
        <v>6.652292405728502E-4</v>
      </c>
      <c r="G631" s="27">
        <f>VLOOKUP(Table1[[#This Row],[Date]],Database!A:D,2,)</f>
        <v>66.5</v>
      </c>
      <c r="H631" s="26"/>
    </row>
    <row r="632" spans="1:8" x14ac:dyDescent="0.2">
      <c r="A632" s="37">
        <v>33117</v>
      </c>
      <c r="B632" s="38">
        <f>VLOOKUP(Table1[[#This Row],[Date]],Database!A:D,3,)</f>
        <v>109518</v>
      </c>
      <c r="C632" s="39">
        <f t="shared" si="19"/>
        <v>-98</v>
      </c>
      <c r="D632" s="39">
        <f t="shared" si="18"/>
        <v>-112.66666666666667</v>
      </c>
      <c r="E632" s="27">
        <f>VLOOKUP(Table1[[#This Row],[Date]],Database!A:D,4,)</f>
        <v>5.9</v>
      </c>
      <c r="F632" s="40">
        <v>6.652292405728502E-4</v>
      </c>
      <c r="G632" s="27">
        <f>VLOOKUP(Table1[[#This Row],[Date]],Database!A:D,2,)</f>
        <v>66.400000000000006</v>
      </c>
      <c r="H632" s="26"/>
    </row>
    <row r="633" spans="1:8" x14ac:dyDescent="0.2">
      <c r="A633" s="37">
        <v>33147</v>
      </c>
      <c r="B633" s="38">
        <f>VLOOKUP(Table1[[#This Row],[Date]],Database!A:D,3,)</f>
        <v>109367</v>
      </c>
      <c r="C633" s="39">
        <f t="shared" si="19"/>
        <v>-151</v>
      </c>
      <c r="D633" s="39">
        <f t="shared" si="18"/>
        <v>-152.33333333333334</v>
      </c>
      <c r="E633" s="27">
        <f>VLOOKUP(Table1[[#This Row],[Date]],Database!A:D,4,)</f>
        <v>5.9</v>
      </c>
      <c r="F633" s="40">
        <v>-9.1037941271260338E-3</v>
      </c>
      <c r="G633" s="27">
        <f>VLOOKUP(Table1[[#This Row],[Date]],Database!A:D,2,)</f>
        <v>66.400000000000006</v>
      </c>
      <c r="H633" s="26"/>
    </row>
    <row r="634" spans="1:8" x14ac:dyDescent="0.2">
      <c r="A634" s="37">
        <v>33178</v>
      </c>
      <c r="B634" s="38">
        <f>VLOOKUP(Table1[[#This Row],[Date]],Database!A:D,3,)</f>
        <v>109214</v>
      </c>
      <c r="C634" s="39">
        <f t="shared" si="19"/>
        <v>-153</v>
      </c>
      <c r="D634" s="39">
        <f t="shared" si="18"/>
        <v>-134</v>
      </c>
      <c r="E634" s="27">
        <f>VLOOKUP(Table1[[#This Row],[Date]],Database!A:D,4,)</f>
        <v>6.2</v>
      </c>
      <c r="F634" s="40">
        <v>-9.1037941271260338E-3</v>
      </c>
      <c r="G634" s="27">
        <f>VLOOKUP(Table1[[#This Row],[Date]],Database!A:D,2,)</f>
        <v>66.400000000000006</v>
      </c>
      <c r="H634" s="26"/>
    </row>
    <row r="635" spans="1:8" x14ac:dyDescent="0.2">
      <c r="A635" s="37">
        <v>33208</v>
      </c>
      <c r="B635" s="38">
        <f>VLOOKUP(Table1[[#This Row],[Date]],Database!A:D,3,)</f>
        <v>109166</v>
      </c>
      <c r="C635" s="39">
        <f t="shared" si="19"/>
        <v>-48</v>
      </c>
      <c r="D635" s="39">
        <f t="shared" si="18"/>
        <v>-117.33333333333333</v>
      </c>
      <c r="E635" s="27">
        <f>VLOOKUP(Table1[[#This Row],[Date]],Database!A:D,4,)</f>
        <v>6.3</v>
      </c>
      <c r="F635" s="40">
        <v>-9.1037941271260338E-3</v>
      </c>
      <c r="G635" s="27">
        <f>VLOOKUP(Table1[[#This Row],[Date]],Database!A:D,2,)</f>
        <v>66.400000000000006</v>
      </c>
      <c r="H635" s="26"/>
    </row>
    <row r="636" spans="1:8" x14ac:dyDescent="0.2">
      <c r="A636" s="37">
        <v>33239</v>
      </c>
      <c r="B636" s="38">
        <f>VLOOKUP(Table1[[#This Row],[Date]],Database!A:D,3,)</f>
        <v>109055</v>
      </c>
      <c r="C636" s="39">
        <f t="shared" si="19"/>
        <v>-111</v>
      </c>
      <c r="D636" s="39">
        <f t="shared" si="18"/>
        <v>-104</v>
      </c>
      <c r="E636" s="27">
        <f>VLOOKUP(Table1[[#This Row],[Date]],Database!A:D,4,)</f>
        <v>6.4</v>
      </c>
      <c r="F636" s="40">
        <v>-4.6784381769145126E-3</v>
      </c>
      <c r="G636" s="27">
        <f>VLOOKUP(Table1[[#This Row],[Date]],Database!A:D,2,)</f>
        <v>66.2</v>
      </c>
      <c r="H636" s="26"/>
    </row>
    <row r="637" spans="1:8" x14ac:dyDescent="0.2">
      <c r="A637" s="37">
        <v>33270</v>
      </c>
      <c r="B637" s="38">
        <f>VLOOKUP(Table1[[#This Row],[Date]],Database!A:D,3,)</f>
        <v>108734</v>
      </c>
      <c r="C637" s="39">
        <f t="shared" si="19"/>
        <v>-321</v>
      </c>
      <c r="D637" s="39">
        <f t="shared" si="18"/>
        <v>-160</v>
      </c>
      <c r="E637" s="27">
        <f>VLOOKUP(Table1[[#This Row],[Date]],Database!A:D,4,)</f>
        <v>6.6</v>
      </c>
      <c r="F637" s="40">
        <v>-4.6784381769145126E-3</v>
      </c>
      <c r="G637" s="27">
        <f>VLOOKUP(Table1[[#This Row],[Date]],Database!A:D,2,)</f>
        <v>66.2</v>
      </c>
      <c r="H637" s="26"/>
    </row>
    <row r="638" spans="1:8" x14ac:dyDescent="0.2">
      <c r="A638" s="37">
        <v>33298</v>
      </c>
      <c r="B638" s="38">
        <f>VLOOKUP(Table1[[#This Row],[Date]],Database!A:D,3,)</f>
        <v>108574</v>
      </c>
      <c r="C638" s="39">
        <f t="shared" si="19"/>
        <v>-160</v>
      </c>
      <c r="D638" s="39">
        <f t="shared" si="18"/>
        <v>-197.33333333333334</v>
      </c>
      <c r="E638" s="27">
        <f>VLOOKUP(Table1[[#This Row],[Date]],Database!A:D,4,)</f>
        <v>6.8</v>
      </c>
      <c r="F638" s="40">
        <v>-4.6784381769145126E-3</v>
      </c>
      <c r="G638" s="27">
        <f>VLOOKUP(Table1[[#This Row],[Date]],Database!A:D,2,)</f>
        <v>66.3</v>
      </c>
      <c r="H638" s="26"/>
    </row>
    <row r="639" spans="1:8" x14ac:dyDescent="0.2">
      <c r="A639" s="37">
        <v>33329</v>
      </c>
      <c r="B639" s="38">
        <f>VLOOKUP(Table1[[#This Row],[Date]],Database!A:D,3,)</f>
        <v>108364</v>
      </c>
      <c r="C639" s="39">
        <f t="shared" si="19"/>
        <v>-210</v>
      </c>
      <c r="D639" s="39">
        <f t="shared" si="18"/>
        <v>-230.33333333333334</v>
      </c>
      <c r="E639" s="27">
        <f>VLOOKUP(Table1[[#This Row],[Date]],Database!A:D,4,)</f>
        <v>6.7</v>
      </c>
      <c r="F639" s="40">
        <v>7.7971883085435753E-3</v>
      </c>
      <c r="G639" s="27">
        <f>VLOOKUP(Table1[[#This Row],[Date]],Database!A:D,2,)</f>
        <v>66.400000000000006</v>
      </c>
      <c r="H639" s="26"/>
    </row>
    <row r="640" spans="1:8" x14ac:dyDescent="0.2">
      <c r="A640" s="37">
        <v>33359</v>
      </c>
      <c r="B640" s="38">
        <f>VLOOKUP(Table1[[#This Row],[Date]],Database!A:D,3,)</f>
        <v>108249</v>
      </c>
      <c r="C640" s="39">
        <f t="shared" si="19"/>
        <v>-115</v>
      </c>
      <c r="D640" s="39">
        <f t="shared" si="18"/>
        <v>-161.66666666666666</v>
      </c>
      <c r="E640" s="27">
        <f>VLOOKUP(Table1[[#This Row],[Date]],Database!A:D,4,)</f>
        <v>6.9</v>
      </c>
      <c r="F640" s="40">
        <v>7.7971883085435753E-3</v>
      </c>
      <c r="G640" s="27">
        <f>VLOOKUP(Table1[[#This Row],[Date]],Database!A:D,2,)</f>
        <v>66.2</v>
      </c>
      <c r="H640" s="26"/>
    </row>
    <row r="641" spans="1:8" x14ac:dyDescent="0.2">
      <c r="A641" s="37">
        <v>33390</v>
      </c>
      <c r="B641" s="38">
        <f>VLOOKUP(Table1[[#This Row],[Date]],Database!A:D,3,)</f>
        <v>108334</v>
      </c>
      <c r="C641" s="39">
        <f t="shared" si="19"/>
        <v>85</v>
      </c>
      <c r="D641" s="39">
        <f t="shared" si="18"/>
        <v>-80</v>
      </c>
      <c r="E641" s="27">
        <f>VLOOKUP(Table1[[#This Row],[Date]],Database!A:D,4,)</f>
        <v>6.9</v>
      </c>
      <c r="F641" s="40">
        <v>7.7971883085435753E-3</v>
      </c>
      <c r="G641" s="27">
        <f>VLOOKUP(Table1[[#This Row],[Date]],Database!A:D,2,)</f>
        <v>66.2</v>
      </c>
      <c r="H641" s="26"/>
    </row>
    <row r="642" spans="1:8" x14ac:dyDescent="0.2">
      <c r="A642" s="37">
        <v>33420</v>
      </c>
      <c r="B642" s="38">
        <f>VLOOKUP(Table1[[#This Row],[Date]],Database!A:D,3,)</f>
        <v>108292</v>
      </c>
      <c r="C642" s="39">
        <f t="shared" si="19"/>
        <v>-42</v>
      </c>
      <c r="D642" s="39">
        <f t="shared" si="18"/>
        <v>-24</v>
      </c>
      <c r="E642" s="27">
        <f>VLOOKUP(Table1[[#This Row],[Date]],Database!A:D,4,)</f>
        <v>6.8</v>
      </c>
      <c r="F642" s="40">
        <v>5.0529660631395976E-3</v>
      </c>
      <c r="G642" s="27">
        <f>VLOOKUP(Table1[[#This Row],[Date]],Database!A:D,2,)</f>
        <v>66.099999999999994</v>
      </c>
      <c r="H642" s="26"/>
    </row>
    <row r="643" spans="1:8" x14ac:dyDescent="0.2">
      <c r="A643" s="37">
        <v>33451</v>
      </c>
      <c r="B643" s="38">
        <f>VLOOKUP(Table1[[#This Row],[Date]],Database!A:D,3,)</f>
        <v>108310</v>
      </c>
      <c r="C643" s="39">
        <f t="shared" si="19"/>
        <v>18</v>
      </c>
      <c r="D643" s="39">
        <f t="shared" si="18"/>
        <v>20.333333333333332</v>
      </c>
      <c r="E643" s="27">
        <f>VLOOKUP(Table1[[#This Row],[Date]],Database!A:D,4,)</f>
        <v>6.9</v>
      </c>
      <c r="F643" s="40">
        <v>5.0529660631395976E-3</v>
      </c>
      <c r="G643" s="27">
        <f>VLOOKUP(Table1[[#This Row],[Date]],Database!A:D,2,)</f>
        <v>66</v>
      </c>
      <c r="H643" s="26"/>
    </row>
    <row r="644" spans="1:8" x14ac:dyDescent="0.2">
      <c r="A644" s="37">
        <v>33482</v>
      </c>
      <c r="B644" s="38">
        <f>VLOOKUP(Table1[[#This Row],[Date]],Database!A:D,3,)</f>
        <v>108336</v>
      </c>
      <c r="C644" s="39">
        <f t="shared" si="19"/>
        <v>26</v>
      </c>
      <c r="D644" s="39">
        <f t="shared" si="18"/>
        <v>0.66666666666666663</v>
      </c>
      <c r="E644" s="27">
        <f>VLOOKUP(Table1[[#This Row],[Date]],Database!A:D,4,)</f>
        <v>6.9</v>
      </c>
      <c r="F644" s="40">
        <v>5.0529660631395976E-3</v>
      </c>
      <c r="G644" s="27">
        <f>VLOOKUP(Table1[[#This Row],[Date]],Database!A:D,2,)</f>
        <v>66.2</v>
      </c>
      <c r="H644" s="26"/>
    </row>
    <row r="645" spans="1:8" x14ac:dyDescent="0.2">
      <c r="A645" s="37">
        <v>33512</v>
      </c>
      <c r="B645" s="38">
        <f>VLOOKUP(Table1[[#This Row],[Date]],Database!A:D,3,)</f>
        <v>108357</v>
      </c>
      <c r="C645" s="39">
        <f t="shared" si="19"/>
        <v>21</v>
      </c>
      <c r="D645" s="39">
        <f t="shared" si="18"/>
        <v>21.666666666666668</v>
      </c>
      <c r="E645" s="27">
        <f>VLOOKUP(Table1[[#This Row],[Date]],Database!A:D,4,)</f>
        <v>7</v>
      </c>
      <c r="F645" s="40">
        <v>3.4849867049675616E-3</v>
      </c>
      <c r="G645" s="27">
        <f>VLOOKUP(Table1[[#This Row],[Date]],Database!A:D,2,)</f>
        <v>66.099999999999994</v>
      </c>
      <c r="H645" s="26"/>
    </row>
    <row r="646" spans="1:8" x14ac:dyDescent="0.2">
      <c r="A646" s="37">
        <v>33543</v>
      </c>
      <c r="B646" s="38">
        <f>VLOOKUP(Table1[[#This Row],[Date]],Database!A:D,3,)</f>
        <v>108296</v>
      </c>
      <c r="C646" s="39">
        <f t="shared" si="19"/>
        <v>-61</v>
      </c>
      <c r="D646" s="39">
        <f t="shared" si="18"/>
        <v>-4.666666666666667</v>
      </c>
      <c r="E646" s="27">
        <f>VLOOKUP(Table1[[#This Row],[Date]],Database!A:D,4,)</f>
        <v>7</v>
      </c>
      <c r="F646" s="40">
        <v>3.4849867049675616E-3</v>
      </c>
      <c r="G646" s="27">
        <f>VLOOKUP(Table1[[#This Row],[Date]],Database!A:D,2,)</f>
        <v>66.099999999999994</v>
      </c>
      <c r="H646" s="26"/>
    </row>
    <row r="647" spans="1:8" x14ac:dyDescent="0.2">
      <c r="A647" s="37">
        <v>33573</v>
      </c>
      <c r="B647" s="38">
        <f>VLOOKUP(Table1[[#This Row],[Date]],Database!A:D,3,)</f>
        <v>108328</v>
      </c>
      <c r="C647" s="39">
        <f t="shared" si="19"/>
        <v>32</v>
      </c>
      <c r="D647" s="39">
        <f t="shared" si="18"/>
        <v>-2.6666666666666665</v>
      </c>
      <c r="E647" s="27">
        <f>VLOOKUP(Table1[[#This Row],[Date]],Database!A:D,4,)</f>
        <v>7.3</v>
      </c>
      <c r="F647" s="40">
        <v>3.4849867049675616E-3</v>
      </c>
      <c r="G647" s="27">
        <f>VLOOKUP(Table1[[#This Row],[Date]],Database!A:D,2,)</f>
        <v>66</v>
      </c>
      <c r="H647" s="26"/>
    </row>
    <row r="648" spans="1:8" x14ac:dyDescent="0.2">
      <c r="A648" s="37">
        <v>33604</v>
      </c>
      <c r="B648" s="38">
        <f>VLOOKUP(Table1[[#This Row],[Date]],Database!A:D,3,)</f>
        <v>108369</v>
      </c>
      <c r="C648" s="39">
        <f t="shared" si="19"/>
        <v>41</v>
      </c>
      <c r="D648" s="39">
        <f t="shared" si="18"/>
        <v>4</v>
      </c>
      <c r="E648" s="27">
        <f>VLOOKUP(Table1[[#This Row],[Date]],Database!A:D,4,)</f>
        <v>7.3</v>
      </c>
      <c r="F648" s="40">
        <v>1.1970516575536976E-2</v>
      </c>
      <c r="G648" s="27">
        <f>VLOOKUP(Table1[[#This Row],[Date]],Database!A:D,2,)</f>
        <v>66.3</v>
      </c>
      <c r="H648" s="26"/>
    </row>
    <row r="649" spans="1:8" x14ac:dyDescent="0.2">
      <c r="A649" s="37">
        <v>33635</v>
      </c>
      <c r="B649" s="38">
        <f>VLOOKUP(Table1[[#This Row],[Date]],Database!A:D,3,)</f>
        <v>108311</v>
      </c>
      <c r="C649" s="39">
        <f t="shared" si="19"/>
        <v>-58</v>
      </c>
      <c r="D649" s="39">
        <f t="shared" si="18"/>
        <v>5</v>
      </c>
      <c r="E649" s="27">
        <f>VLOOKUP(Table1[[#This Row],[Date]],Database!A:D,4,)</f>
        <v>7.4</v>
      </c>
      <c r="F649" s="40">
        <v>1.1970516575536976E-2</v>
      </c>
      <c r="G649" s="27">
        <f>VLOOKUP(Table1[[#This Row],[Date]],Database!A:D,2,)</f>
        <v>66.2</v>
      </c>
      <c r="H649" s="26"/>
    </row>
    <row r="650" spans="1:8" x14ac:dyDescent="0.2">
      <c r="A650" s="37">
        <v>33664</v>
      </c>
      <c r="B650" s="38">
        <f>VLOOKUP(Table1[[#This Row],[Date]],Database!A:D,3,)</f>
        <v>108365</v>
      </c>
      <c r="C650" s="39">
        <f t="shared" si="19"/>
        <v>54</v>
      </c>
      <c r="D650" s="39">
        <f t="shared" si="18"/>
        <v>12.333333333333334</v>
      </c>
      <c r="E650" s="27">
        <f>VLOOKUP(Table1[[#This Row],[Date]],Database!A:D,4,)</f>
        <v>7.4</v>
      </c>
      <c r="F650" s="40">
        <v>1.1970516575536976E-2</v>
      </c>
      <c r="G650" s="27">
        <f>VLOOKUP(Table1[[#This Row],[Date]],Database!A:D,2,)</f>
        <v>66.400000000000006</v>
      </c>
      <c r="H650" s="26"/>
    </row>
    <row r="651" spans="1:8" x14ac:dyDescent="0.2">
      <c r="A651" s="37">
        <v>33695</v>
      </c>
      <c r="B651" s="38">
        <f>VLOOKUP(Table1[[#This Row],[Date]],Database!A:D,3,)</f>
        <v>108519</v>
      </c>
      <c r="C651" s="39">
        <f t="shared" si="19"/>
        <v>154</v>
      </c>
      <c r="D651" s="39">
        <f t="shared" si="18"/>
        <v>50</v>
      </c>
      <c r="E651" s="27">
        <f>VLOOKUP(Table1[[#This Row],[Date]],Database!A:D,4,)</f>
        <v>7.4</v>
      </c>
      <c r="F651" s="40">
        <v>1.0843533473612183E-2</v>
      </c>
      <c r="G651" s="27">
        <f>VLOOKUP(Table1[[#This Row],[Date]],Database!A:D,2,)</f>
        <v>66.5</v>
      </c>
      <c r="H651" s="26"/>
    </row>
    <row r="652" spans="1:8" x14ac:dyDescent="0.2">
      <c r="A652" s="37">
        <v>33725</v>
      </c>
      <c r="B652" s="38">
        <f>VLOOKUP(Table1[[#This Row],[Date]],Database!A:D,3,)</f>
        <v>108649</v>
      </c>
      <c r="C652" s="39">
        <f t="shared" si="19"/>
        <v>130</v>
      </c>
      <c r="D652" s="39">
        <f t="shared" ref="D652:D715" si="20">AVERAGE(C650:C652)</f>
        <v>112.66666666666667</v>
      </c>
      <c r="E652" s="27">
        <f>VLOOKUP(Table1[[#This Row],[Date]],Database!A:D,4,)</f>
        <v>7.6</v>
      </c>
      <c r="F652" s="40">
        <v>1.0843533473612183E-2</v>
      </c>
      <c r="G652" s="27">
        <f>VLOOKUP(Table1[[#This Row],[Date]],Database!A:D,2,)</f>
        <v>66.599999999999994</v>
      </c>
      <c r="H652" s="26"/>
    </row>
    <row r="653" spans="1:8" x14ac:dyDescent="0.2">
      <c r="A653" s="37">
        <v>33756</v>
      </c>
      <c r="B653" s="38">
        <f>VLOOKUP(Table1[[#This Row],[Date]],Database!A:D,3,)</f>
        <v>108715</v>
      </c>
      <c r="C653" s="39">
        <f t="shared" ref="C653:C716" si="21">B653-B652</f>
        <v>66</v>
      </c>
      <c r="D653" s="39">
        <f t="shared" si="20"/>
        <v>116.66666666666667</v>
      </c>
      <c r="E653" s="27">
        <f>VLOOKUP(Table1[[#This Row],[Date]],Database!A:D,4,)</f>
        <v>7.8</v>
      </c>
      <c r="F653" s="40">
        <v>1.0843533473612183E-2</v>
      </c>
      <c r="G653" s="27">
        <f>VLOOKUP(Table1[[#This Row],[Date]],Database!A:D,2,)</f>
        <v>66.7</v>
      </c>
      <c r="H653" s="26"/>
    </row>
    <row r="654" spans="1:8" x14ac:dyDescent="0.2">
      <c r="A654" s="37">
        <v>33786</v>
      </c>
      <c r="B654" s="38">
        <f>VLOOKUP(Table1[[#This Row],[Date]],Database!A:D,3,)</f>
        <v>108793</v>
      </c>
      <c r="C654" s="39">
        <f t="shared" si="21"/>
        <v>78</v>
      </c>
      <c r="D654" s="39">
        <f t="shared" si="20"/>
        <v>91.333333333333329</v>
      </c>
      <c r="E654" s="27">
        <f>VLOOKUP(Table1[[#This Row],[Date]],Database!A:D,4,)</f>
        <v>7.7</v>
      </c>
      <c r="F654" s="40">
        <v>9.8827192953694284E-3</v>
      </c>
      <c r="G654" s="27">
        <f>VLOOKUP(Table1[[#This Row],[Date]],Database!A:D,2,)</f>
        <v>66.7</v>
      </c>
      <c r="H654" s="26"/>
    </row>
    <row r="655" spans="1:8" x14ac:dyDescent="0.2">
      <c r="A655" s="37">
        <v>33817</v>
      </c>
      <c r="B655" s="38">
        <f>VLOOKUP(Table1[[#This Row],[Date]],Database!A:D,3,)</f>
        <v>108925</v>
      </c>
      <c r="C655" s="39">
        <f t="shared" si="21"/>
        <v>132</v>
      </c>
      <c r="D655" s="39">
        <f t="shared" si="20"/>
        <v>92</v>
      </c>
      <c r="E655" s="27">
        <f>VLOOKUP(Table1[[#This Row],[Date]],Database!A:D,4,)</f>
        <v>7.6</v>
      </c>
      <c r="F655" s="40">
        <v>9.8827192953694284E-3</v>
      </c>
      <c r="G655" s="27">
        <f>VLOOKUP(Table1[[#This Row],[Date]],Database!A:D,2,)</f>
        <v>66.599999999999994</v>
      </c>
      <c r="H655" s="26"/>
    </row>
    <row r="656" spans="1:8" x14ac:dyDescent="0.2">
      <c r="A656" s="37">
        <v>33848</v>
      </c>
      <c r="B656" s="38">
        <f>VLOOKUP(Table1[[#This Row],[Date]],Database!A:D,3,)</f>
        <v>108959</v>
      </c>
      <c r="C656" s="39">
        <f t="shared" si="21"/>
        <v>34</v>
      </c>
      <c r="D656" s="39">
        <f t="shared" si="20"/>
        <v>81.333333333333329</v>
      </c>
      <c r="E656" s="27">
        <f>VLOOKUP(Table1[[#This Row],[Date]],Database!A:D,4,)</f>
        <v>7.6</v>
      </c>
      <c r="F656" s="40">
        <v>9.8827192953694284E-3</v>
      </c>
      <c r="G656" s="27">
        <f>VLOOKUP(Table1[[#This Row],[Date]],Database!A:D,2,)</f>
        <v>66.5</v>
      </c>
      <c r="H656" s="26"/>
    </row>
    <row r="657" spans="1:8" x14ac:dyDescent="0.2">
      <c r="A657" s="37">
        <v>33878</v>
      </c>
      <c r="B657" s="38">
        <f>VLOOKUP(Table1[[#This Row],[Date]],Database!A:D,3,)</f>
        <v>109139</v>
      </c>
      <c r="C657" s="39">
        <f t="shared" si="21"/>
        <v>180</v>
      </c>
      <c r="D657" s="39">
        <f t="shared" si="20"/>
        <v>115.33333333333333</v>
      </c>
      <c r="E657" s="27">
        <f>VLOOKUP(Table1[[#This Row],[Date]],Database!A:D,4,)</f>
        <v>7.3</v>
      </c>
      <c r="F657" s="40">
        <v>1.0431646878103905E-2</v>
      </c>
      <c r="G657" s="27">
        <f>VLOOKUP(Table1[[#This Row],[Date]],Database!A:D,2,)</f>
        <v>66.2</v>
      </c>
      <c r="H657" s="26"/>
    </row>
    <row r="658" spans="1:8" x14ac:dyDescent="0.2">
      <c r="A658" s="37">
        <v>33909</v>
      </c>
      <c r="B658" s="38">
        <f>VLOOKUP(Table1[[#This Row],[Date]],Database!A:D,3,)</f>
        <v>109272</v>
      </c>
      <c r="C658" s="39">
        <f t="shared" si="21"/>
        <v>133</v>
      </c>
      <c r="D658" s="39">
        <f t="shared" si="20"/>
        <v>115.66666666666667</v>
      </c>
      <c r="E658" s="27">
        <f>VLOOKUP(Table1[[#This Row],[Date]],Database!A:D,4,)</f>
        <v>7.4</v>
      </c>
      <c r="F658" s="40">
        <v>1.0431646878103905E-2</v>
      </c>
      <c r="G658" s="27">
        <f>VLOOKUP(Table1[[#This Row],[Date]],Database!A:D,2,)</f>
        <v>66.3</v>
      </c>
      <c r="H658" s="26"/>
    </row>
    <row r="659" spans="1:8" x14ac:dyDescent="0.2">
      <c r="A659" s="37">
        <v>33939</v>
      </c>
      <c r="B659" s="38">
        <f>VLOOKUP(Table1[[#This Row],[Date]],Database!A:D,3,)</f>
        <v>109495</v>
      </c>
      <c r="C659" s="39">
        <f t="shared" si="21"/>
        <v>223</v>
      </c>
      <c r="D659" s="39">
        <f t="shared" si="20"/>
        <v>178.66666666666666</v>
      </c>
      <c r="E659" s="27">
        <f>VLOOKUP(Table1[[#This Row],[Date]],Database!A:D,4,)</f>
        <v>7.4</v>
      </c>
      <c r="F659" s="40">
        <v>1.0431646878103905E-2</v>
      </c>
      <c r="G659" s="27">
        <f>VLOOKUP(Table1[[#This Row],[Date]],Database!A:D,2,)</f>
        <v>66.3</v>
      </c>
      <c r="H659" s="26"/>
    </row>
    <row r="660" spans="1:8" x14ac:dyDescent="0.2">
      <c r="A660" s="37">
        <v>33970</v>
      </c>
      <c r="B660" s="38">
        <f>VLOOKUP(Table1[[#This Row],[Date]],Database!A:D,3,)</f>
        <v>109794</v>
      </c>
      <c r="C660" s="39">
        <f t="shared" si="21"/>
        <v>299</v>
      </c>
      <c r="D660" s="39">
        <f t="shared" si="20"/>
        <v>218.33333333333334</v>
      </c>
      <c r="E660" s="27">
        <f>VLOOKUP(Table1[[#This Row],[Date]],Database!A:D,4,)</f>
        <v>7.3</v>
      </c>
      <c r="F660" s="40">
        <v>1.6740030769199215E-3</v>
      </c>
      <c r="G660" s="27">
        <f>VLOOKUP(Table1[[#This Row],[Date]],Database!A:D,2,)</f>
        <v>66.2</v>
      </c>
      <c r="H660" s="26"/>
    </row>
    <row r="661" spans="1:8" x14ac:dyDescent="0.2">
      <c r="A661" s="37">
        <v>34001</v>
      </c>
      <c r="B661" s="38">
        <f>VLOOKUP(Table1[[#This Row],[Date]],Database!A:D,3,)</f>
        <v>110044</v>
      </c>
      <c r="C661" s="39">
        <f t="shared" si="21"/>
        <v>250</v>
      </c>
      <c r="D661" s="39">
        <f t="shared" si="20"/>
        <v>257.33333333333331</v>
      </c>
      <c r="E661" s="27">
        <f>VLOOKUP(Table1[[#This Row],[Date]],Database!A:D,4,)</f>
        <v>7.1</v>
      </c>
      <c r="F661" s="40">
        <v>1.6740030769199215E-3</v>
      </c>
      <c r="G661" s="27">
        <f>VLOOKUP(Table1[[#This Row],[Date]],Database!A:D,2,)</f>
        <v>66.2</v>
      </c>
      <c r="H661" s="26"/>
    </row>
    <row r="662" spans="1:8" x14ac:dyDescent="0.2">
      <c r="A662" s="37">
        <v>34029</v>
      </c>
      <c r="B662" s="38">
        <f>VLOOKUP(Table1[[#This Row],[Date]],Database!A:D,3,)</f>
        <v>109994</v>
      </c>
      <c r="C662" s="39">
        <f t="shared" si="21"/>
        <v>-50</v>
      </c>
      <c r="D662" s="39">
        <f t="shared" si="20"/>
        <v>166.33333333333334</v>
      </c>
      <c r="E662" s="27">
        <f>VLOOKUP(Table1[[#This Row],[Date]],Database!A:D,4,)</f>
        <v>7</v>
      </c>
      <c r="F662" s="40">
        <v>1.6740030769199215E-3</v>
      </c>
      <c r="G662" s="27">
        <f>VLOOKUP(Table1[[#This Row],[Date]],Database!A:D,2,)</f>
        <v>66.2</v>
      </c>
      <c r="H662" s="26"/>
    </row>
    <row r="663" spans="1:8" x14ac:dyDescent="0.2">
      <c r="A663" s="37">
        <v>34060</v>
      </c>
      <c r="B663" s="38">
        <f>VLOOKUP(Table1[[#This Row],[Date]],Database!A:D,3,)</f>
        <v>110296</v>
      </c>
      <c r="C663" s="39">
        <f t="shared" si="21"/>
        <v>302</v>
      </c>
      <c r="D663" s="39">
        <f t="shared" si="20"/>
        <v>167.33333333333334</v>
      </c>
      <c r="E663" s="27">
        <f>VLOOKUP(Table1[[#This Row],[Date]],Database!A:D,4,)</f>
        <v>7.1</v>
      </c>
      <c r="F663" s="40">
        <v>5.8241962494466077E-3</v>
      </c>
      <c r="G663" s="27">
        <f>VLOOKUP(Table1[[#This Row],[Date]],Database!A:D,2,)</f>
        <v>66.099999999999994</v>
      </c>
      <c r="H663" s="26"/>
    </row>
    <row r="664" spans="1:8" x14ac:dyDescent="0.2">
      <c r="A664" s="37">
        <v>34090</v>
      </c>
      <c r="B664" s="38">
        <f>VLOOKUP(Table1[[#This Row],[Date]],Database!A:D,3,)</f>
        <v>110568</v>
      </c>
      <c r="C664" s="39">
        <f t="shared" si="21"/>
        <v>272</v>
      </c>
      <c r="D664" s="39">
        <f t="shared" si="20"/>
        <v>174.66666666666666</v>
      </c>
      <c r="E664" s="27">
        <f>VLOOKUP(Table1[[#This Row],[Date]],Database!A:D,4,)</f>
        <v>7.1</v>
      </c>
      <c r="F664" s="40">
        <v>5.8241962494466077E-3</v>
      </c>
      <c r="G664" s="27">
        <f>VLOOKUP(Table1[[#This Row],[Date]],Database!A:D,2,)</f>
        <v>66.400000000000006</v>
      </c>
      <c r="H664" s="26"/>
    </row>
    <row r="665" spans="1:8" x14ac:dyDescent="0.2">
      <c r="A665" s="37">
        <v>34121</v>
      </c>
      <c r="B665" s="38">
        <f>VLOOKUP(Table1[[#This Row],[Date]],Database!A:D,3,)</f>
        <v>110749</v>
      </c>
      <c r="C665" s="39">
        <f t="shared" si="21"/>
        <v>181</v>
      </c>
      <c r="D665" s="39">
        <f t="shared" si="20"/>
        <v>251.66666666666666</v>
      </c>
      <c r="E665" s="27">
        <f>VLOOKUP(Table1[[#This Row],[Date]],Database!A:D,4,)</f>
        <v>7</v>
      </c>
      <c r="F665" s="40">
        <v>5.8241962494466077E-3</v>
      </c>
      <c r="G665" s="27">
        <f>VLOOKUP(Table1[[#This Row],[Date]],Database!A:D,2,)</f>
        <v>66.5</v>
      </c>
      <c r="H665" s="26"/>
    </row>
    <row r="666" spans="1:8" x14ac:dyDescent="0.2">
      <c r="A666" s="37">
        <v>34151</v>
      </c>
      <c r="B666" s="38">
        <f>VLOOKUP(Table1[[#This Row],[Date]],Database!A:D,3,)</f>
        <v>111055</v>
      </c>
      <c r="C666" s="39">
        <f t="shared" si="21"/>
        <v>306</v>
      </c>
      <c r="D666" s="39">
        <f t="shared" si="20"/>
        <v>253</v>
      </c>
      <c r="E666" s="27">
        <f>VLOOKUP(Table1[[#This Row],[Date]],Database!A:D,4,)</f>
        <v>6.9</v>
      </c>
      <c r="F666" s="40">
        <v>4.7731473271979546E-3</v>
      </c>
      <c r="G666" s="27">
        <f>VLOOKUP(Table1[[#This Row],[Date]],Database!A:D,2,)</f>
        <v>66.400000000000006</v>
      </c>
      <c r="H666" s="26"/>
    </row>
    <row r="667" spans="1:8" x14ac:dyDescent="0.2">
      <c r="A667" s="37">
        <v>34182</v>
      </c>
      <c r="B667" s="38">
        <f>VLOOKUP(Table1[[#This Row],[Date]],Database!A:D,3,)</f>
        <v>111206</v>
      </c>
      <c r="C667" s="39">
        <f t="shared" si="21"/>
        <v>151</v>
      </c>
      <c r="D667" s="39">
        <f t="shared" si="20"/>
        <v>212.66666666666666</v>
      </c>
      <c r="E667" s="27">
        <f>VLOOKUP(Table1[[#This Row],[Date]],Database!A:D,4,)</f>
        <v>6.8</v>
      </c>
      <c r="F667" s="40">
        <v>4.7731473271979546E-3</v>
      </c>
      <c r="G667" s="27">
        <f>VLOOKUP(Table1[[#This Row],[Date]],Database!A:D,2,)</f>
        <v>66.400000000000006</v>
      </c>
      <c r="H667" s="26"/>
    </row>
    <row r="668" spans="1:8" x14ac:dyDescent="0.2">
      <c r="A668" s="37">
        <v>34213</v>
      </c>
      <c r="B668" s="38">
        <f>VLOOKUP(Table1[[#This Row],[Date]],Database!A:D,3,)</f>
        <v>111448</v>
      </c>
      <c r="C668" s="39">
        <f t="shared" si="21"/>
        <v>242</v>
      </c>
      <c r="D668" s="39">
        <f t="shared" si="20"/>
        <v>233</v>
      </c>
      <c r="E668" s="27">
        <f>VLOOKUP(Table1[[#This Row],[Date]],Database!A:D,4,)</f>
        <v>6.7</v>
      </c>
      <c r="F668" s="40">
        <v>4.7731473271979546E-3</v>
      </c>
      <c r="G668" s="27">
        <f>VLOOKUP(Table1[[#This Row],[Date]],Database!A:D,2,)</f>
        <v>66.2</v>
      </c>
      <c r="H668" s="26"/>
    </row>
    <row r="669" spans="1:8" x14ac:dyDescent="0.2">
      <c r="A669" s="37">
        <v>34243</v>
      </c>
      <c r="B669" s="38">
        <f>VLOOKUP(Table1[[#This Row],[Date]],Database!A:D,3,)</f>
        <v>111733</v>
      </c>
      <c r="C669" s="39">
        <f t="shared" si="21"/>
        <v>285</v>
      </c>
      <c r="D669" s="39">
        <f t="shared" si="20"/>
        <v>226</v>
      </c>
      <c r="E669" s="27">
        <f>VLOOKUP(Table1[[#This Row],[Date]],Database!A:D,4,)</f>
        <v>6.8</v>
      </c>
      <c r="F669" s="40">
        <v>1.3601133267059477E-2</v>
      </c>
      <c r="G669" s="27">
        <f>VLOOKUP(Table1[[#This Row],[Date]],Database!A:D,2,)</f>
        <v>66.3</v>
      </c>
      <c r="H669" s="26"/>
    </row>
    <row r="670" spans="1:8" x14ac:dyDescent="0.2">
      <c r="A670" s="37">
        <v>34274</v>
      </c>
      <c r="B670" s="38">
        <f>VLOOKUP(Table1[[#This Row],[Date]],Database!A:D,3,)</f>
        <v>111984</v>
      </c>
      <c r="C670" s="39">
        <f t="shared" si="21"/>
        <v>251</v>
      </c>
      <c r="D670" s="39">
        <f t="shared" si="20"/>
        <v>259.33333333333331</v>
      </c>
      <c r="E670" s="27">
        <f>VLOOKUP(Table1[[#This Row],[Date]],Database!A:D,4,)</f>
        <v>6.6</v>
      </c>
      <c r="F670" s="40">
        <v>1.3601133267059477E-2</v>
      </c>
      <c r="G670" s="27">
        <f>VLOOKUP(Table1[[#This Row],[Date]],Database!A:D,2,)</f>
        <v>66.3</v>
      </c>
      <c r="H670" s="26"/>
    </row>
    <row r="671" spans="1:8" x14ac:dyDescent="0.2">
      <c r="A671" s="37">
        <v>34304</v>
      </c>
      <c r="B671" s="38">
        <f>VLOOKUP(Table1[[#This Row],[Date]],Database!A:D,3,)</f>
        <v>112314</v>
      </c>
      <c r="C671" s="39">
        <f t="shared" si="21"/>
        <v>330</v>
      </c>
      <c r="D671" s="39">
        <f t="shared" si="20"/>
        <v>288.66666666666669</v>
      </c>
      <c r="E671" s="27">
        <f>VLOOKUP(Table1[[#This Row],[Date]],Database!A:D,4,)</f>
        <v>6.5</v>
      </c>
      <c r="F671" s="40">
        <v>1.3601133267059477E-2</v>
      </c>
      <c r="G671" s="27">
        <f>VLOOKUP(Table1[[#This Row],[Date]],Database!A:D,2,)</f>
        <v>66.400000000000006</v>
      </c>
      <c r="H671" s="26"/>
    </row>
    <row r="672" spans="1:8" x14ac:dyDescent="0.2">
      <c r="A672" s="37">
        <v>34335</v>
      </c>
      <c r="B672" s="38">
        <f>VLOOKUP(Table1[[#This Row],[Date]],Database!A:D,3,)</f>
        <v>112595</v>
      </c>
      <c r="C672" s="39">
        <f t="shared" si="21"/>
        <v>281</v>
      </c>
      <c r="D672" s="39">
        <f t="shared" si="20"/>
        <v>287.33333333333331</v>
      </c>
      <c r="E672" s="27">
        <f>VLOOKUP(Table1[[#This Row],[Date]],Database!A:D,4,)</f>
        <v>6.6</v>
      </c>
      <c r="F672" s="40">
        <v>9.7021627781213662E-3</v>
      </c>
      <c r="G672" s="27">
        <f>VLOOKUP(Table1[[#This Row],[Date]],Database!A:D,2,)</f>
        <v>66.599999999999994</v>
      </c>
      <c r="H672" s="26"/>
    </row>
    <row r="673" spans="1:8" x14ac:dyDescent="0.2">
      <c r="A673" s="37">
        <v>34366</v>
      </c>
      <c r="B673" s="38">
        <f>VLOOKUP(Table1[[#This Row],[Date]],Database!A:D,3,)</f>
        <v>112781</v>
      </c>
      <c r="C673" s="39">
        <f t="shared" si="21"/>
        <v>186</v>
      </c>
      <c r="D673" s="39">
        <f t="shared" si="20"/>
        <v>265.66666666666669</v>
      </c>
      <c r="E673" s="27">
        <f>VLOOKUP(Table1[[#This Row],[Date]],Database!A:D,4,)</f>
        <v>6.6</v>
      </c>
      <c r="F673" s="40">
        <v>9.7021627781213662E-3</v>
      </c>
      <c r="G673" s="27">
        <f>VLOOKUP(Table1[[#This Row],[Date]],Database!A:D,2,)</f>
        <v>66.599999999999994</v>
      </c>
      <c r="H673" s="26"/>
    </row>
    <row r="674" spans="1:8" x14ac:dyDescent="0.2">
      <c r="A674" s="37">
        <v>34394</v>
      </c>
      <c r="B674" s="38">
        <f>VLOOKUP(Table1[[#This Row],[Date]],Database!A:D,3,)</f>
        <v>113242</v>
      </c>
      <c r="C674" s="39">
        <f t="shared" si="21"/>
        <v>461</v>
      </c>
      <c r="D674" s="39">
        <f t="shared" si="20"/>
        <v>309.33333333333331</v>
      </c>
      <c r="E674" s="27">
        <f>VLOOKUP(Table1[[#This Row],[Date]],Database!A:D,4,)</f>
        <v>6.5</v>
      </c>
      <c r="F674" s="40">
        <v>9.7021627781213662E-3</v>
      </c>
      <c r="G674" s="27">
        <f>VLOOKUP(Table1[[#This Row],[Date]],Database!A:D,2,)</f>
        <v>66.5</v>
      </c>
      <c r="H674" s="26"/>
    </row>
    <row r="675" spans="1:8" x14ac:dyDescent="0.2">
      <c r="A675" s="37">
        <v>34425</v>
      </c>
      <c r="B675" s="38">
        <f>VLOOKUP(Table1[[#This Row],[Date]],Database!A:D,3,)</f>
        <v>113586</v>
      </c>
      <c r="C675" s="39">
        <f t="shared" si="21"/>
        <v>344</v>
      </c>
      <c r="D675" s="39">
        <f t="shared" si="20"/>
        <v>330.33333333333331</v>
      </c>
      <c r="E675" s="27">
        <f>VLOOKUP(Table1[[#This Row],[Date]],Database!A:D,4,)</f>
        <v>6.4</v>
      </c>
      <c r="F675" s="40">
        <v>1.3550458663372169E-2</v>
      </c>
      <c r="G675" s="27">
        <f>VLOOKUP(Table1[[#This Row],[Date]],Database!A:D,2,)</f>
        <v>66.5</v>
      </c>
      <c r="H675" s="26"/>
    </row>
    <row r="676" spans="1:8" x14ac:dyDescent="0.2">
      <c r="A676" s="37">
        <v>34455</v>
      </c>
      <c r="B676" s="38">
        <f>VLOOKUP(Table1[[#This Row],[Date]],Database!A:D,3,)</f>
        <v>113921</v>
      </c>
      <c r="C676" s="39">
        <f t="shared" si="21"/>
        <v>335</v>
      </c>
      <c r="D676" s="39">
        <f t="shared" si="20"/>
        <v>380</v>
      </c>
      <c r="E676" s="27">
        <f>VLOOKUP(Table1[[#This Row],[Date]],Database!A:D,4,)</f>
        <v>6.1</v>
      </c>
      <c r="F676" s="40">
        <v>1.3550458663372169E-2</v>
      </c>
      <c r="G676" s="27">
        <f>VLOOKUP(Table1[[#This Row],[Date]],Database!A:D,2,)</f>
        <v>66.599999999999994</v>
      </c>
      <c r="H676" s="26"/>
    </row>
    <row r="677" spans="1:8" x14ac:dyDescent="0.2">
      <c r="A677" s="37">
        <v>34486</v>
      </c>
      <c r="B677" s="38">
        <f>VLOOKUP(Table1[[#This Row],[Date]],Database!A:D,3,)</f>
        <v>114238</v>
      </c>
      <c r="C677" s="39">
        <f t="shared" si="21"/>
        <v>317</v>
      </c>
      <c r="D677" s="39">
        <f t="shared" si="20"/>
        <v>332</v>
      </c>
      <c r="E677" s="27">
        <f>VLOOKUP(Table1[[#This Row],[Date]],Database!A:D,4,)</f>
        <v>6.1</v>
      </c>
      <c r="F677" s="40">
        <v>1.3550458663372169E-2</v>
      </c>
      <c r="G677" s="27">
        <f>VLOOKUP(Table1[[#This Row],[Date]],Database!A:D,2,)</f>
        <v>66.400000000000006</v>
      </c>
      <c r="H677" s="26"/>
    </row>
    <row r="678" spans="1:8" x14ac:dyDescent="0.2">
      <c r="A678" s="37">
        <v>34516</v>
      </c>
      <c r="B678" s="38">
        <f>VLOOKUP(Table1[[#This Row],[Date]],Database!A:D,3,)</f>
        <v>114610</v>
      </c>
      <c r="C678" s="39">
        <f t="shared" si="21"/>
        <v>372</v>
      </c>
      <c r="D678" s="39">
        <f t="shared" si="20"/>
        <v>341.33333333333331</v>
      </c>
      <c r="E678" s="27">
        <f>VLOOKUP(Table1[[#This Row],[Date]],Database!A:D,4,)</f>
        <v>6.1</v>
      </c>
      <c r="F678" s="40">
        <v>5.8451524103905854E-3</v>
      </c>
      <c r="G678" s="27">
        <f>VLOOKUP(Table1[[#This Row],[Date]],Database!A:D,2,)</f>
        <v>66.400000000000006</v>
      </c>
      <c r="H678" s="26"/>
    </row>
    <row r="679" spans="1:8" x14ac:dyDescent="0.2">
      <c r="A679" s="37">
        <v>34547</v>
      </c>
      <c r="B679" s="38">
        <f>VLOOKUP(Table1[[#This Row],[Date]],Database!A:D,3,)</f>
        <v>114896</v>
      </c>
      <c r="C679" s="39">
        <f t="shared" si="21"/>
        <v>286</v>
      </c>
      <c r="D679" s="39">
        <f t="shared" si="20"/>
        <v>325</v>
      </c>
      <c r="E679" s="27">
        <f>VLOOKUP(Table1[[#This Row],[Date]],Database!A:D,4,)</f>
        <v>6</v>
      </c>
      <c r="F679" s="40">
        <v>5.8451524103905854E-3</v>
      </c>
      <c r="G679" s="27">
        <f>VLOOKUP(Table1[[#This Row],[Date]],Database!A:D,2,)</f>
        <v>66.599999999999994</v>
      </c>
      <c r="H679" s="26"/>
    </row>
    <row r="680" spans="1:8" x14ac:dyDescent="0.2">
      <c r="A680" s="37">
        <v>34578</v>
      </c>
      <c r="B680" s="38">
        <f>VLOOKUP(Table1[[#This Row],[Date]],Database!A:D,3,)</f>
        <v>115247</v>
      </c>
      <c r="C680" s="39">
        <f t="shared" si="21"/>
        <v>351</v>
      </c>
      <c r="D680" s="39">
        <f t="shared" si="20"/>
        <v>336.33333333333331</v>
      </c>
      <c r="E680" s="27">
        <f>VLOOKUP(Table1[[#This Row],[Date]],Database!A:D,4,)</f>
        <v>5.9</v>
      </c>
      <c r="F680" s="40">
        <v>5.8451524103905854E-3</v>
      </c>
      <c r="G680" s="27">
        <f>VLOOKUP(Table1[[#This Row],[Date]],Database!A:D,2,)</f>
        <v>66.599999999999994</v>
      </c>
      <c r="H680" s="26"/>
    </row>
    <row r="681" spans="1:8" x14ac:dyDescent="0.2">
      <c r="A681" s="37">
        <v>34608</v>
      </c>
      <c r="B681" s="38">
        <f>VLOOKUP(Table1[[#This Row],[Date]],Database!A:D,3,)</f>
        <v>115458</v>
      </c>
      <c r="C681" s="39">
        <f t="shared" si="21"/>
        <v>211</v>
      </c>
      <c r="D681" s="39">
        <f t="shared" si="20"/>
        <v>282.66666666666669</v>
      </c>
      <c r="E681" s="27">
        <f>VLOOKUP(Table1[[#This Row],[Date]],Database!A:D,4,)</f>
        <v>5.8</v>
      </c>
      <c r="F681" s="40">
        <v>1.1455244449467612E-2</v>
      </c>
      <c r="G681" s="27">
        <f>VLOOKUP(Table1[[#This Row],[Date]],Database!A:D,2,)</f>
        <v>66.7</v>
      </c>
      <c r="H681" s="26"/>
    </row>
    <row r="682" spans="1:8" x14ac:dyDescent="0.2">
      <c r="A682" s="37">
        <v>34639</v>
      </c>
      <c r="B682" s="38">
        <f>VLOOKUP(Table1[[#This Row],[Date]],Database!A:D,3,)</f>
        <v>115869</v>
      </c>
      <c r="C682" s="39">
        <f t="shared" si="21"/>
        <v>411</v>
      </c>
      <c r="D682" s="39">
        <f t="shared" si="20"/>
        <v>324.33333333333331</v>
      </c>
      <c r="E682" s="27">
        <f>VLOOKUP(Table1[[#This Row],[Date]],Database!A:D,4,)</f>
        <v>5.6</v>
      </c>
      <c r="F682" s="40">
        <v>1.1455244449467612E-2</v>
      </c>
      <c r="G682" s="27">
        <f>VLOOKUP(Table1[[#This Row],[Date]],Database!A:D,2,)</f>
        <v>66.7</v>
      </c>
      <c r="H682" s="26"/>
    </row>
    <row r="683" spans="1:8" x14ac:dyDescent="0.2">
      <c r="A683" s="37">
        <v>34669</v>
      </c>
      <c r="B683" s="38">
        <f>VLOOKUP(Table1[[#This Row],[Date]],Database!A:D,3,)</f>
        <v>116165</v>
      </c>
      <c r="C683" s="39">
        <f t="shared" si="21"/>
        <v>296</v>
      </c>
      <c r="D683" s="39">
        <f t="shared" si="20"/>
        <v>306</v>
      </c>
      <c r="E683" s="27">
        <f>VLOOKUP(Table1[[#This Row],[Date]],Database!A:D,4,)</f>
        <v>5.5</v>
      </c>
      <c r="F683" s="40">
        <v>1.1455244449467612E-2</v>
      </c>
      <c r="G683" s="27">
        <f>VLOOKUP(Table1[[#This Row],[Date]],Database!A:D,2,)</f>
        <v>66.7</v>
      </c>
      <c r="H683" s="26"/>
    </row>
    <row r="684" spans="1:8" x14ac:dyDescent="0.2">
      <c r="A684" s="37">
        <v>34700</v>
      </c>
      <c r="B684" s="38">
        <f>VLOOKUP(Table1[[#This Row],[Date]],Database!A:D,3,)</f>
        <v>116501</v>
      </c>
      <c r="C684" s="39">
        <f t="shared" si="21"/>
        <v>336</v>
      </c>
      <c r="D684" s="39">
        <f t="shared" si="20"/>
        <v>347.66666666666669</v>
      </c>
      <c r="E684" s="27">
        <f>VLOOKUP(Table1[[#This Row],[Date]],Database!A:D,4,)</f>
        <v>5.6</v>
      </c>
      <c r="F684" s="40">
        <v>3.5475614227252609E-3</v>
      </c>
      <c r="G684" s="27">
        <f>VLOOKUP(Table1[[#This Row],[Date]],Database!A:D,2,)</f>
        <v>66.8</v>
      </c>
      <c r="H684" s="26"/>
    </row>
    <row r="685" spans="1:8" x14ac:dyDescent="0.2">
      <c r="A685" s="37">
        <v>34731</v>
      </c>
      <c r="B685" s="38">
        <f>VLOOKUP(Table1[[#This Row],[Date]],Database!A:D,3,)</f>
        <v>116697</v>
      </c>
      <c r="C685" s="39">
        <f t="shared" si="21"/>
        <v>196</v>
      </c>
      <c r="D685" s="39">
        <f t="shared" si="20"/>
        <v>276</v>
      </c>
      <c r="E685" s="27">
        <f>VLOOKUP(Table1[[#This Row],[Date]],Database!A:D,4,)</f>
        <v>5.4</v>
      </c>
      <c r="F685" s="40">
        <v>3.5475614227252609E-3</v>
      </c>
      <c r="G685" s="27">
        <f>VLOOKUP(Table1[[#This Row],[Date]],Database!A:D,2,)</f>
        <v>66.8</v>
      </c>
      <c r="H685" s="26"/>
    </row>
    <row r="686" spans="1:8" x14ac:dyDescent="0.2">
      <c r="A686" s="37">
        <v>34759</v>
      </c>
      <c r="B686" s="38">
        <f>VLOOKUP(Table1[[#This Row],[Date]],Database!A:D,3,)</f>
        <v>116907</v>
      </c>
      <c r="C686" s="39">
        <f t="shared" si="21"/>
        <v>210</v>
      </c>
      <c r="D686" s="39">
        <f t="shared" si="20"/>
        <v>247.33333333333334</v>
      </c>
      <c r="E686" s="27">
        <f>VLOOKUP(Table1[[#This Row],[Date]],Database!A:D,4,)</f>
        <v>5.4</v>
      </c>
      <c r="F686" s="40">
        <v>3.5475614227252609E-3</v>
      </c>
      <c r="G686" s="27">
        <f>VLOOKUP(Table1[[#This Row],[Date]],Database!A:D,2,)</f>
        <v>66.7</v>
      </c>
      <c r="H686" s="26"/>
    </row>
    <row r="687" spans="1:8" x14ac:dyDescent="0.2">
      <c r="A687" s="37">
        <v>34790</v>
      </c>
      <c r="B687" s="38">
        <f>VLOOKUP(Table1[[#This Row],[Date]],Database!A:D,3,)</f>
        <v>117069</v>
      </c>
      <c r="C687" s="39">
        <f t="shared" si="21"/>
        <v>162</v>
      </c>
      <c r="D687" s="39">
        <f t="shared" si="20"/>
        <v>189.33333333333334</v>
      </c>
      <c r="E687" s="27">
        <f>VLOOKUP(Table1[[#This Row],[Date]],Database!A:D,4,)</f>
        <v>5.8</v>
      </c>
      <c r="F687" s="40">
        <v>2.9834087721474787E-3</v>
      </c>
      <c r="G687" s="27">
        <f>VLOOKUP(Table1[[#This Row],[Date]],Database!A:D,2,)</f>
        <v>66.900000000000006</v>
      </c>
      <c r="H687" s="26"/>
    </row>
    <row r="688" spans="1:8" x14ac:dyDescent="0.2">
      <c r="A688" s="37">
        <v>34820</v>
      </c>
      <c r="B688" s="38">
        <f>VLOOKUP(Table1[[#This Row],[Date]],Database!A:D,3,)</f>
        <v>117049</v>
      </c>
      <c r="C688" s="39">
        <f t="shared" si="21"/>
        <v>-20</v>
      </c>
      <c r="D688" s="39">
        <f t="shared" si="20"/>
        <v>117.33333333333333</v>
      </c>
      <c r="E688" s="27">
        <f>VLOOKUP(Table1[[#This Row],[Date]],Database!A:D,4,)</f>
        <v>5.6</v>
      </c>
      <c r="F688" s="40">
        <v>2.9834087721474787E-3</v>
      </c>
      <c r="G688" s="27">
        <f>VLOOKUP(Table1[[#This Row],[Date]],Database!A:D,2,)</f>
        <v>66.5</v>
      </c>
      <c r="H688" s="26"/>
    </row>
    <row r="689" spans="1:8" x14ac:dyDescent="0.2">
      <c r="A689" s="37">
        <v>34851</v>
      </c>
      <c r="B689" s="38">
        <f>VLOOKUP(Table1[[#This Row],[Date]],Database!A:D,3,)</f>
        <v>117286</v>
      </c>
      <c r="C689" s="39">
        <f t="shared" si="21"/>
        <v>237</v>
      </c>
      <c r="D689" s="39">
        <f t="shared" si="20"/>
        <v>126.33333333333333</v>
      </c>
      <c r="E689" s="27">
        <f>VLOOKUP(Table1[[#This Row],[Date]],Database!A:D,4,)</f>
        <v>5.6</v>
      </c>
      <c r="F689" s="40">
        <v>2.9834087721474787E-3</v>
      </c>
      <c r="G689" s="27">
        <f>VLOOKUP(Table1[[#This Row],[Date]],Database!A:D,2,)</f>
        <v>66.5</v>
      </c>
      <c r="H689" s="26"/>
    </row>
    <row r="690" spans="1:8" x14ac:dyDescent="0.2">
      <c r="A690" s="37">
        <v>34881</v>
      </c>
      <c r="B690" s="38">
        <f>VLOOKUP(Table1[[#This Row],[Date]],Database!A:D,3,)</f>
        <v>117380</v>
      </c>
      <c r="C690" s="39">
        <f t="shared" si="21"/>
        <v>94</v>
      </c>
      <c r="D690" s="39">
        <f t="shared" si="20"/>
        <v>103.66666666666667</v>
      </c>
      <c r="E690" s="27">
        <f>VLOOKUP(Table1[[#This Row],[Date]],Database!A:D,4,)</f>
        <v>5.7</v>
      </c>
      <c r="F690" s="40">
        <v>8.5067753496420005E-3</v>
      </c>
      <c r="G690" s="27">
        <f>VLOOKUP(Table1[[#This Row],[Date]],Database!A:D,2,)</f>
        <v>66.599999999999994</v>
      </c>
      <c r="H690" s="26"/>
    </row>
    <row r="691" spans="1:8" x14ac:dyDescent="0.2">
      <c r="A691" s="37">
        <v>34912</v>
      </c>
      <c r="B691" s="38">
        <f>VLOOKUP(Table1[[#This Row],[Date]],Database!A:D,3,)</f>
        <v>117634</v>
      </c>
      <c r="C691" s="39">
        <f t="shared" si="21"/>
        <v>254</v>
      </c>
      <c r="D691" s="39">
        <f t="shared" si="20"/>
        <v>195</v>
      </c>
      <c r="E691" s="27">
        <f>VLOOKUP(Table1[[#This Row],[Date]],Database!A:D,4,)</f>
        <v>5.7</v>
      </c>
      <c r="F691" s="40">
        <v>8.5067753496420005E-3</v>
      </c>
      <c r="G691" s="27">
        <f>VLOOKUP(Table1[[#This Row],[Date]],Database!A:D,2,)</f>
        <v>66.599999999999994</v>
      </c>
      <c r="H691" s="26"/>
    </row>
    <row r="692" spans="1:8" x14ac:dyDescent="0.2">
      <c r="A692" s="37">
        <v>34943</v>
      </c>
      <c r="B692" s="38">
        <f>VLOOKUP(Table1[[#This Row],[Date]],Database!A:D,3,)</f>
        <v>117875</v>
      </c>
      <c r="C692" s="39">
        <f t="shared" si="21"/>
        <v>241</v>
      </c>
      <c r="D692" s="39">
        <f t="shared" si="20"/>
        <v>196.33333333333334</v>
      </c>
      <c r="E692" s="27">
        <f>VLOOKUP(Table1[[#This Row],[Date]],Database!A:D,4,)</f>
        <v>5.6</v>
      </c>
      <c r="F692" s="40">
        <v>8.5067753496420005E-3</v>
      </c>
      <c r="G692" s="27">
        <f>VLOOKUP(Table1[[#This Row],[Date]],Database!A:D,2,)</f>
        <v>66.599999999999994</v>
      </c>
      <c r="H692" s="26"/>
    </row>
    <row r="693" spans="1:8" x14ac:dyDescent="0.2">
      <c r="A693" s="37">
        <v>34973</v>
      </c>
      <c r="B693" s="38">
        <f>VLOOKUP(Table1[[#This Row],[Date]],Database!A:D,3,)</f>
        <v>118031</v>
      </c>
      <c r="C693" s="39">
        <f t="shared" si="21"/>
        <v>156</v>
      </c>
      <c r="D693" s="39">
        <f t="shared" si="20"/>
        <v>217</v>
      </c>
      <c r="E693" s="27">
        <f>VLOOKUP(Table1[[#This Row],[Date]],Database!A:D,4,)</f>
        <v>5.5</v>
      </c>
      <c r="F693" s="40">
        <v>6.7902102754227043E-3</v>
      </c>
      <c r="G693" s="27">
        <f>VLOOKUP(Table1[[#This Row],[Date]],Database!A:D,2,)</f>
        <v>66.599999999999994</v>
      </c>
      <c r="H693" s="26"/>
    </row>
    <row r="694" spans="1:8" x14ac:dyDescent="0.2">
      <c r="A694" s="37">
        <v>35004</v>
      </c>
      <c r="B694" s="38">
        <f>VLOOKUP(Table1[[#This Row],[Date]],Database!A:D,3,)</f>
        <v>118175</v>
      </c>
      <c r="C694" s="39">
        <f t="shared" si="21"/>
        <v>144</v>
      </c>
      <c r="D694" s="39">
        <f t="shared" si="20"/>
        <v>180.33333333333334</v>
      </c>
      <c r="E694" s="27">
        <f>VLOOKUP(Table1[[#This Row],[Date]],Database!A:D,4,)</f>
        <v>5.6</v>
      </c>
      <c r="F694" s="40">
        <v>6.7902102754227043E-3</v>
      </c>
      <c r="G694" s="27">
        <f>VLOOKUP(Table1[[#This Row],[Date]],Database!A:D,2,)</f>
        <v>66.5</v>
      </c>
      <c r="H694" s="26"/>
    </row>
    <row r="695" spans="1:8" x14ac:dyDescent="0.2">
      <c r="A695" s="37">
        <v>35034</v>
      </c>
      <c r="B695" s="38">
        <f>VLOOKUP(Table1[[#This Row],[Date]],Database!A:D,3,)</f>
        <v>118320</v>
      </c>
      <c r="C695" s="39">
        <f t="shared" si="21"/>
        <v>145</v>
      </c>
      <c r="D695" s="39">
        <f t="shared" si="20"/>
        <v>148.33333333333334</v>
      </c>
      <c r="E695" s="27">
        <f>VLOOKUP(Table1[[#This Row],[Date]],Database!A:D,4,)</f>
        <v>5.6</v>
      </c>
      <c r="F695" s="40">
        <v>6.7902102754227043E-3</v>
      </c>
      <c r="G695" s="27">
        <f>VLOOKUP(Table1[[#This Row],[Date]],Database!A:D,2,)</f>
        <v>66.400000000000006</v>
      </c>
      <c r="H695" s="26"/>
    </row>
    <row r="696" spans="1:8" x14ac:dyDescent="0.2">
      <c r="A696" s="37">
        <v>35065</v>
      </c>
      <c r="B696" s="38">
        <f>VLOOKUP(Table1[[#This Row],[Date]],Database!A:D,3,)</f>
        <v>118316</v>
      </c>
      <c r="C696" s="39">
        <f t="shared" si="21"/>
        <v>-4</v>
      </c>
      <c r="D696" s="39">
        <f t="shared" si="20"/>
        <v>95</v>
      </c>
      <c r="E696" s="27">
        <f>VLOOKUP(Table1[[#This Row],[Date]],Database!A:D,4,)</f>
        <v>5.6</v>
      </c>
      <c r="F696" s="40">
        <v>7.4894681972807291E-3</v>
      </c>
      <c r="G696" s="27">
        <f>VLOOKUP(Table1[[#This Row],[Date]],Database!A:D,2,)</f>
        <v>66.400000000000006</v>
      </c>
      <c r="H696" s="26"/>
    </row>
    <row r="697" spans="1:8" x14ac:dyDescent="0.2">
      <c r="A697" s="37">
        <v>35096</v>
      </c>
      <c r="B697" s="38">
        <f>VLOOKUP(Table1[[#This Row],[Date]],Database!A:D,3,)</f>
        <v>118739</v>
      </c>
      <c r="C697" s="39">
        <f t="shared" si="21"/>
        <v>423</v>
      </c>
      <c r="D697" s="39">
        <f t="shared" si="20"/>
        <v>188</v>
      </c>
      <c r="E697" s="27">
        <f>VLOOKUP(Table1[[#This Row],[Date]],Database!A:D,4,)</f>
        <v>5.5</v>
      </c>
      <c r="F697" s="40">
        <v>7.4894681972807291E-3</v>
      </c>
      <c r="G697" s="27">
        <f>VLOOKUP(Table1[[#This Row],[Date]],Database!A:D,2,)</f>
        <v>66.599999999999994</v>
      </c>
      <c r="H697" s="26"/>
    </row>
    <row r="698" spans="1:8" x14ac:dyDescent="0.2">
      <c r="A698" s="37">
        <v>35125</v>
      </c>
      <c r="B698" s="38">
        <f>VLOOKUP(Table1[[#This Row],[Date]],Database!A:D,3,)</f>
        <v>118993</v>
      </c>
      <c r="C698" s="39">
        <f t="shared" si="21"/>
        <v>254</v>
      </c>
      <c r="D698" s="39">
        <f t="shared" si="20"/>
        <v>224.33333333333334</v>
      </c>
      <c r="E698" s="27">
        <f>VLOOKUP(Table1[[#This Row],[Date]],Database!A:D,4,)</f>
        <v>5.5</v>
      </c>
      <c r="F698" s="40">
        <v>7.4894681972807291E-3</v>
      </c>
      <c r="G698" s="27">
        <f>VLOOKUP(Table1[[#This Row],[Date]],Database!A:D,2,)</f>
        <v>66.599999999999994</v>
      </c>
      <c r="H698" s="26"/>
    </row>
    <row r="699" spans="1:8" x14ac:dyDescent="0.2">
      <c r="A699" s="37">
        <v>35156</v>
      </c>
      <c r="B699" s="38">
        <f>VLOOKUP(Table1[[#This Row],[Date]],Database!A:D,3,)</f>
        <v>119158</v>
      </c>
      <c r="C699" s="39">
        <f t="shared" si="21"/>
        <v>165</v>
      </c>
      <c r="D699" s="39">
        <f t="shared" si="20"/>
        <v>280.66666666666669</v>
      </c>
      <c r="E699" s="27">
        <f>VLOOKUP(Table1[[#This Row],[Date]],Database!A:D,4,)</f>
        <v>5.6</v>
      </c>
      <c r="F699" s="40">
        <v>1.6678474261538425E-2</v>
      </c>
      <c r="G699" s="27">
        <f>VLOOKUP(Table1[[#This Row],[Date]],Database!A:D,2,)</f>
        <v>66.7</v>
      </c>
      <c r="H699" s="26"/>
    </row>
    <row r="700" spans="1:8" x14ac:dyDescent="0.2">
      <c r="A700" s="37">
        <v>35186</v>
      </c>
      <c r="B700" s="38">
        <f>VLOOKUP(Table1[[#This Row],[Date]],Database!A:D,3,)</f>
        <v>119486</v>
      </c>
      <c r="C700" s="39">
        <f t="shared" si="21"/>
        <v>328</v>
      </c>
      <c r="D700" s="39">
        <f t="shared" si="20"/>
        <v>249</v>
      </c>
      <c r="E700" s="27">
        <f>VLOOKUP(Table1[[#This Row],[Date]],Database!A:D,4,)</f>
        <v>5.6</v>
      </c>
      <c r="F700" s="40">
        <v>1.6678474261538425E-2</v>
      </c>
      <c r="G700" s="27">
        <f>VLOOKUP(Table1[[#This Row],[Date]],Database!A:D,2,)</f>
        <v>66.7</v>
      </c>
      <c r="H700" s="26"/>
    </row>
    <row r="701" spans="1:8" x14ac:dyDescent="0.2">
      <c r="A701" s="37">
        <v>35217</v>
      </c>
      <c r="B701" s="38">
        <f>VLOOKUP(Table1[[#This Row],[Date]],Database!A:D,3,)</f>
        <v>119769</v>
      </c>
      <c r="C701" s="39">
        <f t="shared" si="21"/>
        <v>283</v>
      </c>
      <c r="D701" s="39">
        <f t="shared" si="20"/>
        <v>258.66666666666669</v>
      </c>
      <c r="E701" s="27">
        <f>VLOOKUP(Table1[[#This Row],[Date]],Database!A:D,4,)</f>
        <v>5.3</v>
      </c>
      <c r="F701" s="40">
        <v>1.6678474261538425E-2</v>
      </c>
      <c r="G701" s="27">
        <f>VLOOKUP(Table1[[#This Row],[Date]],Database!A:D,2,)</f>
        <v>66.7</v>
      </c>
      <c r="H701" s="26"/>
    </row>
    <row r="702" spans="1:8" x14ac:dyDescent="0.2">
      <c r="A702" s="37">
        <v>35247</v>
      </c>
      <c r="B702" s="38">
        <f>VLOOKUP(Table1[[#This Row],[Date]],Database!A:D,3,)</f>
        <v>120015</v>
      </c>
      <c r="C702" s="39">
        <f t="shared" si="21"/>
        <v>246</v>
      </c>
      <c r="D702" s="39">
        <f t="shared" si="20"/>
        <v>285.66666666666669</v>
      </c>
      <c r="E702" s="27">
        <f>VLOOKUP(Table1[[#This Row],[Date]],Database!A:D,4,)</f>
        <v>5.5</v>
      </c>
      <c r="F702" s="40">
        <v>8.9699137741194018E-3</v>
      </c>
      <c r="G702" s="27">
        <f>VLOOKUP(Table1[[#This Row],[Date]],Database!A:D,2,)</f>
        <v>66.900000000000006</v>
      </c>
      <c r="H702" s="26"/>
    </row>
    <row r="703" spans="1:8" x14ac:dyDescent="0.2">
      <c r="A703" s="37">
        <v>35278</v>
      </c>
      <c r="B703" s="38">
        <f>VLOOKUP(Table1[[#This Row],[Date]],Database!A:D,3,)</f>
        <v>120199</v>
      </c>
      <c r="C703" s="39">
        <f t="shared" si="21"/>
        <v>184</v>
      </c>
      <c r="D703" s="39">
        <f t="shared" si="20"/>
        <v>237.66666666666666</v>
      </c>
      <c r="E703" s="27">
        <f>VLOOKUP(Table1[[#This Row],[Date]],Database!A:D,4,)</f>
        <v>5.0999999999999996</v>
      </c>
      <c r="F703" s="40">
        <v>8.9699137741194018E-3</v>
      </c>
      <c r="G703" s="27">
        <f>VLOOKUP(Table1[[#This Row],[Date]],Database!A:D,2,)</f>
        <v>66.7</v>
      </c>
      <c r="H703" s="26"/>
    </row>
    <row r="704" spans="1:8" x14ac:dyDescent="0.2">
      <c r="A704" s="37">
        <v>35309</v>
      </c>
      <c r="B704" s="38">
        <f>VLOOKUP(Table1[[#This Row],[Date]],Database!A:D,3,)</f>
        <v>120410</v>
      </c>
      <c r="C704" s="39">
        <f t="shared" si="21"/>
        <v>211</v>
      </c>
      <c r="D704" s="39">
        <f t="shared" si="20"/>
        <v>213.66666666666666</v>
      </c>
      <c r="E704" s="27">
        <f>VLOOKUP(Table1[[#This Row],[Date]],Database!A:D,4,)</f>
        <v>5.2</v>
      </c>
      <c r="F704" s="40">
        <v>8.9699137741194018E-3</v>
      </c>
      <c r="G704" s="27">
        <f>VLOOKUP(Table1[[#This Row],[Date]],Database!A:D,2,)</f>
        <v>66.900000000000006</v>
      </c>
      <c r="H704" s="26"/>
    </row>
    <row r="705" spans="1:8" x14ac:dyDescent="0.2">
      <c r="A705" s="37">
        <v>35339</v>
      </c>
      <c r="B705" s="38">
        <f>VLOOKUP(Table1[[#This Row],[Date]],Database!A:D,3,)</f>
        <v>120665</v>
      </c>
      <c r="C705" s="39">
        <f t="shared" si="21"/>
        <v>255</v>
      </c>
      <c r="D705" s="39">
        <f t="shared" si="20"/>
        <v>216.66666666666666</v>
      </c>
      <c r="E705" s="27">
        <f>VLOOKUP(Table1[[#This Row],[Date]],Database!A:D,4,)</f>
        <v>5.2</v>
      </c>
      <c r="F705" s="40">
        <v>1.0383819880298862E-2</v>
      </c>
      <c r="G705" s="27">
        <f>VLOOKUP(Table1[[#This Row],[Date]],Database!A:D,2,)</f>
        <v>67</v>
      </c>
      <c r="H705" s="26"/>
    </row>
    <row r="706" spans="1:8" x14ac:dyDescent="0.2">
      <c r="A706" s="37">
        <v>35370</v>
      </c>
      <c r="B706" s="38">
        <f>VLOOKUP(Table1[[#This Row],[Date]],Database!A:D,3,)</f>
        <v>120961</v>
      </c>
      <c r="C706" s="39">
        <f t="shared" si="21"/>
        <v>296</v>
      </c>
      <c r="D706" s="39">
        <f t="shared" si="20"/>
        <v>254</v>
      </c>
      <c r="E706" s="27">
        <f>VLOOKUP(Table1[[#This Row],[Date]],Database!A:D,4,)</f>
        <v>5.4</v>
      </c>
      <c r="F706" s="40">
        <v>1.0383819880298862E-2</v>
      </c>
      <c r="G706" s="27">
        <f>VLOOKUP(Table1[[#This Row],[Date]],Database!A:D,2,)</f>
        <v>67</v>
      </c>
      <c r="H706" s="26"/>
    </row>
    <row r="707" spans="1:8" x14ac:dyDescent="0.2">
      <c r="A707" s="37">
        <v>35400</v>
      </c>
      <c r="B707" s="38">
        <f>VLOOKUP(Table1[[#This Row],[Date]],Database!A:D,3,)</f>
        <v>121143</v>
      </c>
      <c r="C707" s="39">
        <f t="shared" si="21"/>
        <v>182</v>
      </c>
      <c r="D707" s="39">
        <f t="shared" si="20"/>
        <v>244.33333333333334</v>
      </c>
      <c r="E707" s="27">
        <f>VLOOKUP(Table1[[#This Row],[Date]],Database!A:D,4,)</f>
        <v>5.4</v>
      </c>
      <c r="F707" s="40">
        <v>1.0383819880298862E-2</v>
      </c>
      <c r="G707" s="27">
        <f>VLOOKUP(Table1[[#This Row],[Date]],Database!A:D,2,)</f>
        <v>67</v>
      </c>
      <c r="H707" s="26"/>
    </row>
    <row r="708" spans="1:8" x14ac:dyDescent="0.2">
      <c r="A708" s="37">
        <v>35431</v>
      </c>
      <c r="B708" s="38">
        <f>VLOOKUP(Table1[[#This Row],[Date]],Database!A:D,3,)</f>
        <v>121363</v>
      </c>
      <c r="C708" s="39">
        <f t="shared" si="21"/>
        <v>220</v>
      </c>
      <c r="D708" s="39">
        <f t="shared" si="20"/>
        <v>232.66666666666666</v>
      </c>
      <c r="E708" s="27">
        <f>VLOOKUP(Table1[[#This Row],[Date]],Database!A:D,4,)</f>
        <v>5.3</v>
      </c>
      <c r="F708" s="40">
        <v>6.4556436490413446E-3</v>
      </c>
      <c r="G708" s="27">
        <f>VLOOKUP(Table1[[#This Row],[Date]],Database!A:D,2,)</f>
        <v>67</v>
      </c>
      <c r="H708" s="26"/>
    </row>
    <row r="709" spans="1:8" x14ac:dyDescent="0.2">
      <c r="A709" s="37">
        <v>35462</v>
      </c>
      <c r="B709" s="38">
        <f>VLOOKUP(Table1[[#This Row],[Date]],Database!A:D,3,)</f>
        <v>121675</v>
      </c>
      <c r="C709" s="39">
        <f t="shared" si="21"/>
        <v>312</v>
      </c>
      <c r="D709" s="39">
        <f t="shared" si="20"/>
        <v>238</v>
      </c>
      <c r="E709" s="27">
        <f>VLOOKUP(Table1[[#This Row],[Date]],Database!A:D,4,)</f>
        <v>5.2</v>
      </c>
      <c r="F709" s="40">
        <v>6.4556436490413446E-3</v>
      </c>
      <c r="G709" s="27">
        <f>VLOOKUP(Table1[[#This Row],[Date]],Database!A:D,2,)</f>
        <v>66.900000000000006</v>
      </c>
      <c r="H709" s="26"/>
    </row>
    <row r="710" spans="1:8" x14ac:dyDescent="0.2">
      <c r="A710" s="37">
        <v>35490</v>
      </c>
      <c r="B710" s="38">
        <f>VLOOKUP(Table1[[#This Row],[Date]],Database!A:D,3,)</f>
        <v>121990</v>
      </c>
      <c r="C710" s="39">
        <f t="shared" si="21"/>
        <v>315</v>
      </c>
      <c r="D710" s="39">
        <f t="shared" si="20"/>
        <v>282.33333333333331</v>
      </c>
      <c r="E710" s="27">
        <f>VLOOKUP(Table1[[#This Row],[Date]],Database!A:D,4,)</f>
        <v>5.2</v>
      </c>
      <c r="F710" s="40">
        <v>6.4556436490413446E-3</v>
      </c>
      <c r="G710" s="27">
        <f>VLOOKUP(Table1[[#This Row],[Date]],Database!A:D,2,)</f>
        <v>67.099999999999994</v>
      </c>
      <c r="H710" s="26"/>
    </row>
    <row r="711" spans="1:8" x14ac:dyDescent="0.2">
      <c r="A711" s="37">
        <v>35521</v>
      </c>
      <c r="B711" s="38">
        <f>VLOOKUP(Table1[[#This Row],[Date]],Database!A:D,3,)</f>
        <v>122286</v>
      </c>
      <c r="C711" s="39">
        <f t="shared" si="21"/>
        <v>296</v>
      </c>
      <c r="D711" s="39">
        <f t="shared" si="20"/>
        <v>307.66666666666669</v>
      </c>
      <c r="E711" s="27">
        <f>VLOOKUP(Table1[[#This Row],[Date]],Database!A:D,4,)</f>
        <v>5.0999999999999996</v>
      </c>
      <c r="F711" s="40">
        <v>1.6620014538414309E-2</v>
      </c>
      <c r="G711" s="27">
        <f>VLOOKUP(Table1[[#This Row],[Date]],Database!A:D,2,)</f>
        <v>67.099999999999994</v>
      </c>
      <c r="H711" s="26"/>
    </row>
    <row r="712" spans="1:8" x14ac:dyDescent="0.2">
      <c r="A712" s="37">
        <v>35551</v>
      </c>
      <c r="B712" s="38">
        <f>VLOOKUP(Table1[[#This Row],[Date]],Database!A:D,3,)</f>
        <v>122546</v>
      </c>
      <c r="C712" s="39">
        <f t="shared" si="21"/>
        <v>260</v>
      </c>
      <c r="D712" s="39">
        <f t="shared" si="20"/>
        <v>290.33333333333331</v>
      </c>
      <c r="E712" s="27">
        <f>VLOOKUP(Table1[[#This Row],[Date]],Database!A:D,4,)</f>
        <v>4.9000000000000004</v>
      </c>
      <c r="F712" s="40">
        <v>1.6620014538414309E-2</v>
      </c>
      <c r="G712" s="27">
        <f>VLOOKUP(Table1[[#This Row],[Date]],Database!A:D,2,)</f>
        <v>67.099999999999994</v>
      </c>
      <c r="H712" s="26"/>
    </row>
    <row r="713" spans="1:8" x14ac:dyDescent="0.2">
      <c r="A713" s="37">
        <v>35582</v>
      </c>
      <c r="B713" s="38">
        <f>VLOOKUP(Table1[[#This Row],[Date]],Database!A:D,3,)</f>
        <v>122814</v>
      </c>
      <c r="C713" s="39">
        <f t="shared" si="21"/>
        <v>268</v>
      </c>
      <c r="D713" s="39">
        <f t="shared" si="20"/>
        <v>274.66666666666669</v>
      </c>
      <c r="E713" s="27">
        <f>VLOOKUP(Table1[[#This Row],[Date]],Database!A:D,4,)</f>
        <v>5</v>
      </c>
      <c r="F713" s="40">
        <v>1.6620014538414309E-2</v>
      </c>
      <c r="G713" s="27">
        <f>VLOOKUP(Table1[[#This Row],[Date]],Database!A:D,2,)</f>
        <v>67.099999999999994</v>
      </c>
      <c r="H713" s="26"/>
    </row>
    <row r="714" spans="1:8" x14ac:dyDescent="0.2">
      <c r="A714" s="37">
        <v>35612</v>
      </c>
      <c r="B714" s="38">
        <f>VLOOKUP(Table1[[#This Row],[Date]],Database!A:D,3,)</f>
        <v>123111</v>
      </c>
      <c r="C714" s="39">
        <f t="shared" si="21"/>
        <v>297</v>
      </c>
      <c r="D714" s="39">
        <f t="shared" si="20"/>
        <v>275</v>
      </c>
      <c r="E714" s="27">
        <f>VLOOKUP(Table1[[#This Row],[Date]],Database!A:D,4,)</f>
        <v>4.9000000000000004</v>
      </c>
      <c r="F714" s="40">
        <v>1.250848032934054E-2</v>
      </c>
      <c r="G714" s="27">
        <f>VLOOKUP(Table1[[#This Row],[Date]],Database!A:D,2,)</f>
        <v>67.2</v>
      </c>
      <c r="H714" s="26"/>
    </row>
    <row r="715" spans="1:8" x14ac:dyDescent="0.2">
      <c r="A715" s="37">
        <v>35643</v>
      </c>
      <c r="B715" s="38">
        <f>VLOOKUP(Table1[[#This Row],[Date]],Database!A:D,3,)</f>
        <v>123093</v>
      </c>
      <c r="C715" s="39">
        <f t="shared" si="21"/>
        <v>-18</v>
      </c>
      <c r="D715" s="39">
        <f t="shared" si="20"/>
        <v>182.33333333333334</v>
      </c>
      <c r="E715" s="27">
        <f>VLOOKUP(Table1[[#This Row],[Date]],Database!A:D,4,)</f>
        <v>4.8</v>
      </c>
      <c r="F715" s="40">
        <v>1.250848032934054E-2</v>
      </c>
      <c r="G715" s="27">
        <f>VLOOKUP(Table1[[#This Row],[Date]],Database!A:D,2,)</f>
        <v>67.2</v>
      </c>
      <c r="H715" s="26"/>
    </row>
    <row r="716" spans="1:8" x14ac:dyDescent="0.2">
      <c r="A716" s="37">
        <v>35674</v>
      </c>
      <c r="B716" s="38">
        <f>VLOOKUP(Table1[[#This Row],[Date]],Database!A:D,3,)</f>
        <v>123585</v>
      </c>
      <c r="C716" s="39">
        <f t="shared" si="21"/>
        <v>492</v>
      </c>
      <c r="D716" s="39">
        <f t="shared" ref="D716:D779" si="22">AVERAGE(C714:C716)</f>
        <v>257</v>
      </c>
      <c r="E716" s="27">
        <f>VLOOKUP(Table1[[#This Row],[Date]],Database!A:D,4,)</f>
        <v>4.9000000000000004</v>
      </c>
      <c r="F716" s="40">
        <v>1.250848032934054E-2</v>
      </c>
      <c r="G716" s="27">
        <f>VLOOKUP(Table1[[#This Row],[Date]],Database!A:D,2,)</f>
        <v>67.099999999999994</v>
      </c>
      <c r="H716" s="26"/>
    </row>
    <row r="717" spans="1:8" x14ac:dyDescent="0.2">
      <c r="A717" s="37">
        <v>35704</v>
      </c>
      <c r="B717" s="38">
        <f>VLOOKUP(Table1[[#This Row],[Date]],Database!A:D,3,)</f>
        <v>123929</v>
      </c>
      <c r="C717" s="39">
        <f t="shared" ref="C717:C780" si="23">B717-B716</f>
        <v>344</v>
      </c>
      <c r="D717" s="39">
        <f t="shared" si="22"/>
        <v>272.66666666666669</v>
      </c>
      <c r="E717" s="27">
        <f>VLOOKUP(Table1[[#This Row],[Date]],Database!A:D,4,)</f>
        <v>4.7</v>
      </c>
      <c r="F717" s="40">
        <v>8.5881651250090483E-3</v>
      </c>
      <c r="G717" s="27">
        <f>VLOOKUP(Table1[[#This Row],[Date]],Database!A:D,2,)</f>
        <v>67.099999999999994</v>
      </c>
      <c r="H717" s="26"/>
    </row>
    <row r="718" spans="1:8" x14ac:dyDescent="0.2">
      <c r="A718" s="37">
        <v>35735</v>
      </c>
      <c r="B718" s="38">
        <f>VLOOKUP(Table1[[#This Row],[Date]],Database!A:D,3,)</f>
        <v>124235</v>
      </c>
      <c r="C718" s="39">
        <f t="shared" si="23"/>
        <v>306</v>
      </c>
      <c r="D718" s="39">
        <f t="shared" si="22"/>
        <v>380.66666666666669</v>
      </c>
      <c r="E718" s="27">
        <f>VLOOKUP(Table1[[#This Row],[Date]],Database!A:D,4,)</f>
        <v>4.5999999999999996</v>
      </c>
      <c r="F718" s="40">
        <v>8.5881651250090483E-3</v>
      </c>
      <c r="G718" s="27">
        <f>VLOOKUP(Table1[[#This Row],[Date]],Database!A:D,2,)</f>
        <v>67.2</v>
      </c>
      <c r="H718" s="26"/>
    </row>
    <row r="719" spans="1:8" x14ac:dyDescent="0.2">
      <c r="A719" s="37">
        <v>35765</v>
      </c>
      <c r="B719" s="38">
        <f>VLOOKUP(Table1[[#This Row],[Date]],Database!A:D,3,)</f>
        <v>124549</v>
      </c>
      <c r="C719" s="39">
        <f t="shared" si="23"/>
        <v>314</v>
      </c>
      <c r="D719" s="39">
        <f t="shared" si="22"/>
        <v>321.33333333333331</v>
      </c>
      <c r="E719" s="27">
        <f>VLOOKUP(Table1[[#This Row],[Date]],Database!A:D,4,)</f>
        <v>4.7</v>
      </c>
      <c r="F719" s="40">
        <v>8.5881651250090483E-3</v>
      </c>
      <c r="G719" s="27">
        <f>VLOOKUP(Table1[[#This Row],[Date]],Database!A:D,2,)</f>
        <v>67.2</v>
      </c>
      <c r="H719" s="26"/>
    </row>
    <row r="720" spans="1:8" x14ac:dyDescent="0.2">
      <c r="A720" s="37">
        <v>35796</v>
      </c>
      <c r="B720" s="38">
        <f>VLOOKUP(Table1[[#This Row],[Date]],Database!A:D,3,)</f>
        <v>124812</v>
      </c>
      <c r="C720" s="39">
        <f t="shared" si="23"/>
        <v>263</v>
      </c>
      <c r="D720" s="39">
        <f t="shared" si="22"/>
        <v>294.33333333333331</v>
      </c>
      <c r="E720" s="27">
        <f>VLOOKUP(Table1[[#This Row],[Date]],Database!A:D,4,)</f>
        <v>4.5999999999999996</v>
      </c>
      <c r="F720" s="40">
        <v>9.994799150143811E-3</v>
      </c>
      <c r="G720" s="27">
        <f>VLOOKUP(Table1[[#This Row],[Date]],Database!A:D,2,)</f>
        <v>67.099999999999994</v>
      </c>
      <c r="H720" s="26"/>
    </row>
    <row r="721" spans="1:8" x14ac:dyDescent="0.2">
      <c r="A721" s="37">
        <v>35827</v>
      </c>
      <c r="B721" s="38">
        <f>VLOOKUP(Table1[[#This Row],[Date]],Database!A:D,3,)</f>
        <v>125016</v>
      </c>
      <c r="C721" s="39">
        <f t="shared" si="23"/>
        <v>204</v>
      </c>
      <c r="D721" s="39">
        <f t="shared" si="22"/>
        <v>260.33333333333331</v>
      </c>
      <c r="E721" s="27">
        <f>VLOOKUP(Table1[[#This Row],[Date]],Database!A:D,4,)</f>
        <v>4.5999999999999996</v>
      </c>
      <c r="F721" s="40">
        <v>9.994799150143811E-3</v>
      </c>
      <c r="G721" s="27">
        <f>VLOOKUP(Table1[[#This Row],[Date]],Database!A:D,2,)</f>
        <v>67.099999999999994</v>
      </c>
      <c r="H721" s="26"/>
    </row>
    <row r="722" spans="1:8" x14ac:dyDescent="0.2">
      <c r="A722" s="37">
        <v>35855</v>
      </c>
      <c r="B722" s="38">
        <f>VLOOKUP(Table1[[#This Row],[Date]],Database!A:D,3,)</f>
        <v>125164</v>
      </c>
      <c r="C722" s="39">
        <f t="shared" si="23"/>
        <v>148</v>
      </c>
      <c r="D722" s="39">
        <f t="shared" si="22"/>
        <v>205</v>
      </c>
      <c r="E722" s="27">
        <f>VLOOKUP(Table1[[#This Row],[Date]],Database!A:D,4,)</f>
        <v>4.7</v>
      </c>
      <c r="F722" s="40">
        <v>9.994799150143811E-3</v>
      </c>
      <c r="G722" s="27">
        <f>VLOOKUP(Table1[[#This Row],[Date]],Database!A:D,2,)</f>
        <v>67.099999999999994</v>
      </c>
      <c r="H722" s="26"/>
    </row>
    <row r="723" spans="1:8" x14ac:dyDescent="0.2">
      <c r="A723" s="37">
        <v>35886</v>
      </c>
      <c r="B723" s="38">
        <f>VLOOKUP(Table1[[#This Row],[Date]],Database!A:D,3,)</f>
        <v>125442</v>
      </c>
      <c r="C723" s="39">
        <f t="shared" si="23"/>
        <v>278</v>
      </c>
      <c r="D723" s="39">
        <f t="shared" si="22"/>
        <v>210</v>
      </c>
      <c r="E723" s="27">
        <f>VLOOKUP(Table1[[#This Row],[Date]],Database!A:D,4,)</f>
        <v>4.3</v>
      </c>
      <c r="F723" s="40">
        <v>9.2580713807731072E-3</v>
      </c>
      <c r="G723" s="27">
        <f>VLOOKUP(Table1[[#This Row],[Date]],Database!A:D,2,)</f>
        <v>67</v>
      </c>
      <c r="H723" s="26"/>
    </row>
    <row r="724" spans="1:8" x14ac:dyDescent="0.2">
      <c r="A724" s="37">
        <v>35916</v>
      </c>
      <c r="B724" s="38">
        <f>VLOOKUP(Table1[[#This Row],[Date]],Database!A:D,3,)</f>
        <v>125844</v>
      </c>
      <c r="C724" s="39">
        <f t="shared" si="23"/>
        <v>402</v>
      </c>
      <c r="D724" s="39">
        <f t="shared" si="22"/>
        <v>276</v>
      </c>
      <c r="E724" s="27">
        <f>VLOOKUP(Table1[[#This Row],[Date]],Database!A:D,4,)</f>
        <v>4.4000000000000004</v>
      </c>
      <c r="F724" s="40">
        <v>9.2580713807731072E-3</v>
      </c>
      <c r="G724" s="27">
        <f>VLOOKUP(Table1[[#This Row],[Date]],Database!A:D,2,)</f>
        <v>67</v>
      </c>
      <c r="H724" s="26"/>
    </row>
    <row r="725" spans="1:8" x14ac:dyDescent="0.2">
      <c r="A725" s="37">
        <v>35947</v>
      </c>
      <c r="B725" s="38">
        <f>VLOOKUP(Table1[[#This Row],[Date]],Database!A:D,3,)</f>
        <v>126076</v>
      </c>
      <c r="C725" s="39">
        <f t="shared" si="23"/>
        <v>232</v>
      </c>
      <c r="D725" s="39">
        <f t="shared" si="22"/>
        <v>304</v>
      </c>
      <c r="E725" s="27">
        <f>VLOOKUP(Table1[[#This Row],[Date]],Database!A:D,4,)</f>
        <v>4.5</v>
      </c>
      <c r="F725" s="40">
        <v>9.2580713807731072E-3</v>
      </c>
      <c r="G725" s="27">
        <f>VLOOKUP(Table1[[#This Row],[Date]],Database!A:D,2,)</f>
        <v>67</v>
      </c>
      <c r="H725" s="26"/>
    </row>
    <row r="726" spans="1:8" x14ac:dyDescent="0.2">
      <c r="A726" s="37">
        <v>35977</v>
      </c>
      <c r="B726" s="38">
        <f>VLOOKUP(Table1[[#This Row],[Date]],Database!A:D,3,)</f>
        <v>126205</v>
      </c>
      <c r="C726" s="39">
        <f t="shared" si="23"/>
        <v>129</v>
      </c>
      <c r="D726" s="39">
        <f t="shared" si="22"/>
        <v>254.33333333333334</v>
      </c>
      <c r="E726" s="27">
        <f>VLOOKUP(Table1[[#This Row],[Date]],Database!A:D,4,)</f>
        <v>4.5</v>
      </c>
      <c r="F726" s="40">
        <v>1.2525674022645421E-2</v>
      </c>
      <c r="G726" s="27">
        <f>VLOOKUP(Table1[[#This Row],[Date]],Database!A:D,2,)</f>
        <v>67</v>
      </c>
      <c r="H726" s="26"/>
    </row>
    <row r="727" spans="1:8" x14ac:dyDescent="0.2">
      <c r="A727" s="37">
        <v>36008</v>
      </c>
      <c r="B727" s="38">
        <f>VLOOKUP(Table1[[#This Row],[Date]],Database!A:D,3,)</f>
        <v>126544</v>
      </c>
      <c r="C727" s="39">
        <f t="shared" si="23"/>
        <v>339</v>
      </c>
      <c r="D727" s="39">
        <f t="shared" si="22"/>
        <v>233.33333333333334</v>
      </c>
      <c r="E727" s="27">
        <f>VLOOKUP(Table1[[#This Row],[Date]],Database!A:D,4,)</f>
        <v>4.5</v>
      </c>
      <c r="F727" s="40">
        <v>1.2525674022645421E-2</v>
      </c>
      <c r="G727" s="27">
        <f>VLOOKUP(Table1[[#This Row],[Date]],Database!A:D,2,)</f>
        <v>67</v>
      </c>
      <c r="H727" s="26"/>
    </row>
    <row r="728" spans="1:8" x14ac:dyDescent="0.2">
      <c r="A728" s="37">
        <v>36039</v>
      </c>
      <c r="B728" s="38">
        <f>VLOOKUP(Table1[[#This Row],[Date]],Database!A:D,3,)</f>
        <v>126752</v>
      </c>
      <c r="C728" s="39">
        <f t="shared" si="23"/>
        <v>208</v>
      </c>
      <c r="D728" s="39">
        <f t="shared" si="22"/>
        <v>225.33333333333334</v>
      </c>
      <c r="E728" s="27">
        <f>VLOOKUP(Table1[[#This Row],[Date]],Database!A:D,4,)</f>
        <v>4.5999999999999996</v>
      </c>
      <c r="F728" s="40">
        <v>1.2525674022645421E-2</v>
      </c>
      <c r="G728" s="27">
        <f>VLOOKUP(Table1[[#This Row],[Date]],Database!A:D,2,)</f>
        <v>67.2</v>
      </c>
      <c r="H728" s="26"/>
    </row>
    <row r="729" spans="1:8" x14ac:dyDescent="0.2">
      <c r="A729" s="37">
        <v>36069</v>
      </c>
      <c r="B729" s="38">
        <f>VLOOKUP(Table1[[#This Row],[Date]],Database!A:D,3,)</f>
        <v>126954</v>
      </c>
      <c r="C729" s="39">
        <f t="shared" si="23"/>
        <v>202</v>
      </c>
      <c r="D729" s="39">
        <f t="shared" si="22"/>
        <v>249.66666666666666</v>
      </c>
      <c r="E729" s="27">
        <f>VLOOKUP(Table1[[#This Row],[Date]],Database!A:D,4,)</f>
        <v>4.5</v>
      </c>
      <c r="F729" s="40">
        <v>1.6158802290579276E-2</v>
      </c>
      <c r="G729" s="27">
        <f>VLOOKUP(Table1[[#This Row],[Date]],Database!A:D,2,)</f>
        <v>67.2</v>
      </c>
      <c r="H729" s="26"/>
    </row>
    <row r="730" spans="1:8" x14ac:dyDescent="0.2">
      <c r="A730" s="37">
        <v>36100</v>
      </c>
      <c r="B730" s="38">
        <f>VLOOKUP(Table1[[#This Row],[Date]],Database!A:D,3,)</f>
        <v>127231</v>
      </c>
      <c r="C730" s="39">
        <f t="shared" si="23"/>
        <v>277</v>
      </c>
      <c r="D730" s="39">
        <f t="shared" si="22"/>
        <v>229</v>
      </c>
      <c r="E730" s="27">
        <f>VLOOKUP(Table1[[#This Row],[Date]],Database!A:D,4,)</f>
        <v>4.4000000000000004</v>
      </c>
      <c r="F730" s="40">
        <v>1.6158802290579276E-2</v>
      </c>
      <c r="G730" s="27">
        <f>VLOOKUP(Table1[[#This Row],[Date]],Database!A:D,2,)</f>
        <v>67.099999999999994</v>
      </c>
      <c r="H730" s="26"/>
    </row>
    <row r="731" spans="1:8" x14ac:dyDescent="0.2">
      <c r="A731" s="37">
        <v>36130</v>
      </c>
      <c r="B731" s="38">
        <f>VLOOKUP(Table1[[#This Row],[Date]],Database!A:D,3,)</f>
        <v>127596</v>
      </c>
      <c r="C731" s="39">
        <f t="shared" si="23"/>
        <v>365</v>
      </c>
      <c r="D731" s="39">
        <f t="shared" si="22"/>
        <v>281.33333333333331</v>
      </c>
      <c r="E731" s="27">
        <f>VLOOKUP(Table1[[#This Row],[Date]],Database!A:D,4,)</f>
        <v>4.4000000000000004</v>
      </c>
      <c r="F731" s="40">
        <v>1.6158802290579276E-2</v>
      </c>
      <c r="G731" s="27">
        <f>VLOOKUP(Table1[[#This Row],[Date]],Database!A:D,2,)</f>
        <v>67.2</v>
      </c>
      <c r="H731" s="26"/>
    </row>
    <row r="732" spans="1:8" x14ac:dyDescent="0.2">
      <c r="A732" s="37">
        <v>36161</v>
      </c>
      <c r="B732" s="38">
        <f>VLOOKUP(Table1[[#This Row],[Date]],Database!A:D,3,)</f>
        <v>127702</v>
      </c>
      <c r="C732" s="39">
        <f t="shared" si="23"/>
        <v>106</v>
      </c>
      <c r="D732" s="39">
        <f t="shared" si="22"/>
        <v>249.33333333333334</v>
      </c>
      <c r="E732" s="27">
        <f>VLOOKUP(Table1[[#This Row],[Date]],Database!A:D,4,)</f>
        <v>4.3</v>
      </c>
      <c r="F732" s="40">
        <v>9.4647188084967578E-3</v>
      </c>
      <c r="G732" s="27">
        <f>VLOOKUP(Table1[[#This Row],[Date]],Database!A:D,2,)</f>
        <v>67.2</v>
      </c>
      <c r="H732" s="26"/>
    </row>
    <row r="733" spans="1:8" x14ac:dyDescent="0.2">
      <c r="A733" s="37">
        <v>36192</v>
      </c>
      <c r="B733" s="38">
        <f>VLOOKUP(Table1[[#This Row],[Date]],Database!A:D,3,)</f>
        <v>128120</v>
      </c>
      <c r="C733" s="39">
        <f t="shared" si="23"/>
        <v>418</v>
      </c>
      <c r="D733" s="39">
        <f t="shared" si="22"/>
        <v>296.33333333333331</v>
      </c>
      <c r="E733" s="27">
        <f>VLOOKUP(Table1[[#This Row],[Date]],Database!A:D,4,)</f>
        <v>4.4000000000000004</v>
      </c>
      <c r="F733" s="40">
        <v>9.4647188084967578E-3</v>
      </c>
      <c r="G733" s="27">
        <f>VLOOKUP(Table1[[#This Row],[Date]],Database!A:D,2,)</f>
        <v>67.2</v>
      </c>
      <c r="H733" s="26"/>
    </row>
    <row r="734" spans="1:8" x14ac:dyDescent="0.2">
      <c r="A734" s="37">
        <v>36220</v>
      </c>
      <c r="B734" s="38">
        <f>VLOOKUP(Table1[[#This Row],[Date]],Database!A:D,3,)</f>
        <v>128227</v>
      </c>
      <c r="C734" s="39">
        <f t="shared" si="23"/>
        <v>107</v>
      </c>
      <c r="D734" s="39">
        <f t="shared" si="22"/>
        <v>210.33333333333334</v>
      </c>
      <c r="E734" s="27">
        <f>VLOOKUP(Table1[[#This Row],[Date]],Database!A:D,4,)</f>
        <v>4.2</v>
      </c>
      <c r="F734" s="40">
        <v>9.4647188084967578E-3</v>
      </c>
      <c r="G734" s="27">
        <f>VLOOKUP(Table1[[#This Row],[Date]],Database!A:D,2,)</f>
        <v>67</v>
      </c>
      <c r="H734" s="26"/>
    </row>
    <row r="735" spans="1:8" x14ac:dyDescent="0.2">
      <c r="A735" s="37">
        <v>36251</v>
      </c>
      <c r="B735" s="38">
        <f>VLOOKUP(Table1[[#This Row],[Date]],Database!A:D,3,)</f>
        <v>128597</v>
      </c>
      <c r="C735" s="39">
        <f t="shared" si="23"/>
        <v>370</v>
      </c>
      <c r="D735" s="39">
        <f t="shared" si="22"/>
        <v>298.33333333333331</v>
      </c>
      <c r="E735" s="27">
        <f>VLOOKUP(Table1[[#This Row],[Date]],Database!A:D,4,)</f>
        <v>4.3</v>
      </c>
      <c r="F735" s="40">
        <v>7.6915864198322048E-3</v>
      </c>
      <c r="G735" s="27">
        <f>VLOOKUP(Table1[[#This Row],[Date]],Database!A:D,2,)</f>
        <v>67.099999999999994</v>
      </c>
      <c r="H735" s="26"/>
    </row>
    <row r="736" spans="1:8" x14ac:dyDescent="0.2">
      <c r="A736" s="37">
        <v>36281</v>
      </c>
      <c r="B736" s="38">
        <f>VLOOKUP(Table1[[#This Row],[Date]],Database!A:D,3,)</f>
        <v>128808</v>
      </c>
      <c r="C736" s="39">
        <f t="shared" si="23"/>
        <v>211</v>
      </c>
      <c r="D736" s="39">
        <f t="shared" si="22"/>
        <v>229.33333333333334</v>
      </c>
      <c r="E736" s="27">
        <f>VLOOKUP(Table1[[#This Row],[Date]],Database!A:D,4,)</f>
        <v>4.2</v>
      </c>
      <c r="F736" s="40">
        <v>7.6915864198322048E-3</v>
      </c>
      <c r="G736" s="27">
        <f>VLOOKUP(Table1[[#This Row],[Date]],Database!A:D,2,)</f>
        <v>67.099999999999994</v>
      </c>
      <c r="H736" s="26"/>
    </row>
    <row r="737" spans="1:8" x14ac:dyDescent="0.2">
      <c r="A737" s="37">
        <v>36312</v>
      </c>
      <c r="B737" s="38">
        <f>VLOOKUP(Table1[[#This Row],[Date]],Database!A:D,3,)</f>
        <v>129089</v>
      </c>
      <c r="C737" s="39">
        <f t="shared" si="23"/>
        <v>281</v>
      </c>
      <c r="D737" s="39">
        <f t="shared" si="22"/>
        <v>287.33333333333331</v>
      </c>
      <c r="E737" s="27">
        <f>VLOOKUP(Table1[[#This Row],[Date]],Database!A:D,4,)</f>
        <v>4.3</v>
      </c>
      <c r="F737" s="40">
        <v>7.6915864198322048E-3</v>
      </c>
      <c r="G737" s="27">
        <f>VLOOKUP(Table1[[#This Row],[Date]],Database!A:D,2,)</f>
        <v>67.099999999999994</v>
      </c>
      <c r="H737" s="26"/>
    </row>
    <row r="738" spans="1:8" x14ac:dyDescent="0.2">
      <c r="A738" s="37">
        <v>36342</v>
      </c>
      <c r="B738" s="38">
        <f>VLOOKUP(Table1[[#This Row],[Date]],Database!A:D,3,)</f>
        <v>129414</v>
      </c>
      <c r="C738" s="39">
        <f t="shared" si="23"/>
        <v>325</v>
      </c>
      <c r="D738" s="39">
        <f t="shared" si="22"/>
        <v>272.33333333333331</v>
      </c>
      <c r="E738" s="27">
        <f>VLOOKUP(Table1[[#This Row],[Date]],Database!A:D,4,)</f>
        <v>4.3</v>
      </c>
      <c r="F738" s="40">
        <v>1.3096648337818392E-2</v>
      </c>
      <c r="G738" s="27">
        <f>VLOOKUP(Table1[[#This Row],[Date]],Database!A:D,2,)</f>
        <v>67.099999999999994</v>
      </c>
      <c r="H738" s="26"/>
    </row>
    <row r="739" spans="1:8" x14ac:dyDescent="0.2">
      <c r="A739" s="37">
        <v>36373</v>
      </c>
      <c r="B739" s="38">
        <f>VLOOKUP(Table1[[#This Row],[Date]],Database!A:D,3,)</f>
        <v>129569</v>
      </c>
      <c r="C739" s="39">
        <f t="shared" si="23"/>
        <v>155</v>
      </c>
      <c r="D739" s="39">
        <f t="shared" si="22"/>
        <v>253.66666666666666</v>
      </c>
      <c r="E739" s="27">
        <f>VLOOKUP(Table1[[#This Row],[Date]],Database!A:D,4,)</f>
        <v>4.2</v>
      </c>
      <c r="F739" s="40">
        <v>1.3096648337818392E-2</v>
      </c>
      <c r="G739" s="27">
        <f>VLOOKUP(Table1[[#This Row],[Date]],Database!A:D,2,)</f>
        <v>67</v>
      </c>
      <c r="H739" s="26"/>
    </row>
    <row r="740" spans="1:8" x14ac:dyDescent="0.2">
      <c r="A740" s="37">
        <v>36404</v>
      </c>
      <c r="B740" s="38">
        <f>VLOOKUP(Table1[[#This Row],[Date]],Database!A:D,3,)</f>
        <v>129772</v>
      </c>
      <c r="C740" s="39">
        <f t="shared" si="23"/>
        <v>203</v>
      </c>
      <c r="D740" s="39">
        <f t="shared" si="22"/>
        <v>227.66666666666666</v>
      </c>
      <c r="E740" s="27">
        <f>VLOOKUP(Table1[[#This Row],[Date]],Database!A:D,4,)</f>
        <v>4.2</v>
      </c>
      <c r="F740" s="40">
        <v>1.3096648337818392E-2</v>
      </c>
      <c r="G740" s="27">
        <f>VLOOKUP(Table1[[#This Row],[Date]],Database!A:D,2,)</f>
        <v>67</v>
      </c>
      <c r="H740" s="26"/>
    </row>
    <row r="741" spans="1:8" x14ac:dyDescent="0.2">
      <c r="A741" s="37">
        <v>36434</v>
      </c>
      <c r="B741" s="38">
        <f>VLOOKUP(Table1[[#This Row],[Date]],Database!A:D,3,)</f>
        <v>130177</v>
      </c>
      <c r="C741" s="39">
        <f t="shared" si="23"/>
        <v>405</v>
      </c>
      <c r="D741" s="39">
        <f t="shared" si="22"/>
        <v>254.33333333333334</v>
      </c>
      <c r="E741" s="27">
        <f>VLOOKUP(Table1[[#This Row],[Date]],Database!A:D,4,)</f>
        <v>4.0999999999999996</v>
      </c>
      <c r="F741" s="40">
        <v>1.6995850307821199E-2</v>
      </c>
      <c r="G741" s="27">
        <f>VLOOKUP(Table1[[#This Row],[Date]],Database!A:D,2,)</f>
        <v>67</v>
      </c>
      <c r="H741" s="26"/>
    </row>
    <row r="742" spans="1:8" x14ac:dyDescent="0.2">
      <c r="A742" s="37">
        <v>36465</v>
      </c>
      <c r="B742" s="38">
        <f>VLOOKUP(Table1[[#This Row],[Date]],Database!A:D,3,)</f>
        <v>130466</v>
      </c>
      <c r="C742" s="39">
        <f t="shared" si="23"/>
        <v>289</v>
      </c>
      <c r="D742" s="39">
        <f t="shared" si="22"/>
        <v>299</v>
      </c>
      <c r="E742" s="27">
        <f>VLOOKUP(Table1[[#This Row],[Date]],Database!A:D,4,)</f>
        <v>4.0999999999999996</v>
      </c>
      <c r="F742" s="40">
        <v>1.6995850307821199E-2</v>
      </c>
      <c r="G742" s="27">
        <f>VLOOKUP(Table1[[#This Row],[Date]],Database!A:D,2,)</f>
        <v>67.099999999999994</v>
      </c>
      <c r="H742" s="26"/>
    </row>
    <row r="743" spans="1:8" x14ac:dyDescent="0.2">
      <c r="A743" s="37">
        <v>36495</v>
      </c>
      <c r="B743" s="38">
        <f>VLOOKUP(Table1[[#This Row],[Date]],Database!A:D,3,)</f>
        <v>130772</v>
      </c>
      <c r="C743" s="39">
        <f t="shared" si="23"/>
        <v>306</v>
      </c>
      <c r="D743" s="39">
        <f t="shared" si="22"/>
        <v>333.33333333333331</v>
      </c>
      <c r="E743" s="27">
        <f>VLOOKUP(Table1[[#This Row],[Date]],Database!A:D,4,)</f>
        <v>4</v>
      </c>
      <c r="F743" s="40">
        <v>1.6995850307821199E-2</v>
      </c>
      <c r="G743" s="27">
        <f>VLOOKUP(Table1[[#This Row],[Date]],Database!A:D,2,)</f>
        <v>67.099999999999994</v>
      </c>
      <c r="H743" s="26"/>
    </row>
    <row r="744" spans="1:8" x14ac:dyDescent="0.2">
      <c r="A744" s="37">
        <v>36526</v>
      </c>
      <c r="B744" s="38">
        <f>VLOOKUP(Table1[[#This Row],[Date]],Database!A:D,3,)</f>
        <v>131005</v>
      </c>
      <c r="C744" s="39">
        <f t="shared" si="23"/>
        <v>233</v>
      </c>
      <c r="D744" s="39">
        <f t="shared" si="22"/>
        <v>276</v>
      </c>
      <c r="E744" s="27">
        <f>VLOOKUP(Table1[[#This Row],[Date]],Database!A:D,4,)</f>
        <v>4</v>
      </c>
      <c r="F744" s="40">
        <v>3.6176015191658356E-3</v>
      </c>
      <c r="G744" s="27">
        <f>VLOOKUP(Table1[[#This Row],[Date]],Database!A:D,2,)</f>
        <v>67.3</v>
      </c>
      <c r="H744" s="26"/>
    </row>
    <row r="745" spans="1:8" x14ac:dyDescent="0.2">
      <c r="A745" s="37">
        <v>36557</v>
      </c>
      <c r="B745" s="38">
        <f>VLOOKUP(Table1[[#This Row],[Date]],Database!A:D,3,)</f>
        <v>131124</v>
      </c>
      <c r="C745" s="39">
        <f t="shared" si="23"/>
        <v>119</v>
      </c>
      <c r="D745" s="39">
        <f t="shared" si="22"/>
        <v>219.33333333333334</v>
      </c>
      <c r="E745" s="27">
        <f>VLOOKUP(Table1[[#This Row],[Date]],Database!A:D,4,)</f>
        <v>4.0999999999999996</v>
      </c>
      <c r="F745" s="40">
        <v>3.6176015191658356E-3</v>
      </c>
      <c r="G745" s="27">
        <f>VLOOKUP(Table1[[#This Row],[Date]],Database!A:D,2,)</f>
        <v>67.3</v>
      </c>
      <c r="H745" s="26"/>
    </row>
    <row r="746" spans="1:8" x14ac:dyDescent="0.2">
      <c r="A746" s="37">
        <v>36586</v>
      </c>
      <c r="B746" s="38">
        <f>VLOOKUP(Table1[[#This Row],[Date]],Database!A:D,3,)</f>
        <v>131596</v>
      </c>
      <c r="C746" s="39">
        <f t="shared" si="23"/>
        <v>472</v>
      </c>
      <c r="D746" s="39">
        <f t="shared" si="22"/>
        <v>274.66666666666669</v>
      </c>
      <c r="E746" s="27">
        <f>VLOOKUP(Table1[[#This Row],[Date]],Database!A:D,4,)</f>
        <v>4</v>
      </c>
      <c r="F746" s="40">
        <v>3.6176015191658356E-3</v>
      </c>
      <c r="G746" s="27">
        <f>VLOOKUP(Table1[[#This Row],[Date]],Database!A:D,2,)</f>
        <v>67.3</v>
      </c>
      <c r="H746" s="26"/>
    </row>
    <row r="747" spans="1:8" x14ac:dyDescent="0.2">
      <c r="A747" s="37">
        <v>36617</v>
      </c>
      <c r="B747" s="38">
        <f>VLOOKUP(Table1[[#This Row],[Date]],Database!A:D,3,)</f>
        <v>131888</v>
      </c>
      <c r="C747" s="39">
        <f t="shared" si="23"/>
        <v>292</v>
      </c>
      <c r="D747" s="39">
        <f t="shared" si="22"/>
        <v>294.33333333333331</v>
      </c>
      <c r="E747" s="27">
        <f>VLOOKUP(Table1[[#This Row],[Date]],Database!A:D,4,)</f>
        <v>3.8</v>
      </c>
      <c r="F747" s="40">
        <v>1.8311646720460963E-2</v>
      </c>
      <c r="G747" s="27">
        <f>VLOOKUP(Table1[[#This Row],[Date]],Database!A:D,2,)</f>
        <v>67.3</v>
      </c>
      <c r="H747" s="26"/>
    </row>
    <row r="748" spans="1:8" x14ac:dyDescent="0.2">
      <c r="A748" s="37">
        <v>36647</v>
      </c>
      <c r="B748" s="38">
        <f>VLOOKUP(Table1[[#This Row],[Date]],Database!A:D,3,)</f>
        <v>132105</v>
      </c>
      <c r="C748" s="39">
        <f t="shared" si="23"/>
        <v>217</v>
      </c>
      <c r="D748" s="39">
        <f t="shared" si="22"/>
        <v>327</v>
      </c>
      <c r="E748" s="27">
        <f>VLOOKUP(Table1[[#This Row],[Date]],Database!A:D,4,)</f>
        <v>4</v>
      </c>
      <c r="F748" s="40">
        <v>1.8311646720460963E-2</v>
      </c>
      <c r="G748" s="27">
        <f>VLOOKUP(Table1[[#This Row],[Date]],Database!A:D,2,)</f>
        <v>67.099999999999994</v>
      </c>
      <c r="H748" s="26"/>
    </row>
    <row r="749" spans="1:8" x14ac:dyDescent="0.2">
      <c r="A749" s="37">
        <v>36678</v>
      </c>
      <c r="B749" s="38">
        <f>VLOOKUP(Table1[[#This Row],[Date]],Database!A:D,3,)</f>
        <v>132061</v>
      </c>
      <c r="C749" s="39">
        <f t="shared" si="23"/>
        <v>-44</v>
      </c>
      <c r="D749" s="39">
        <f t="shared" si="22"/>
        <v>155</v>
      </c>
      <c r="E749" s="27">
        <f>VLOOKUP(Table1[[#This Row],[Date]],Database!A:D,4,)</f>
        <v>4</v>
      </c>
      <c r="F749" s="40">
        <v>1.8311646720460963E-2</v>
      </c>
      <c r="G749" s="27">
        <f>VLOOKUP(Table1[[#This Row],[Date]],Database!A:D,2,)</f>
        <v>67.099999999999994</v>
      </c>
      <c r="H749" s="26"/>
    </row>
    <row r="750" spans="1:8" x14ac:dyDescent="0.2">
      <c r="A750" s="37">
        <v>36708</v>
      </c>
      <c r="B750" s="38">
        <f>VLOOKUP(Table1[[#This Row],[Date]],Database!A:D,3,)</f>
        <v>132236</v>
      </c>
      <c r="C750" s="39">
        <f t="shared" si="23"/>
        <v>175</v>
      </c>
      <c r="D750" s="39">
        <f t="shared" si="22"/>
        <v>116</v>
      </c>
      <c r="E750" s="27">
        <f>VLOOKUP(Table1[[#This Row],[Date]],Database!A:D,4,)</f>
        <v>4</v>
      </c>
      <c r="F750" s="40">
        <v>1.335552846846677E-3</v>
      </c>
      <c r="G750" s="27">
        <f>VLOOKUP(Table1[[#This Row],[Date]],Database!A:D,2,)</f>
        <v>66.900000000000006</v>
      </c>
      <c r="H750" s="26"/>
    </row>
    <row r="751" spans="1:8" x14ac:dyDescent="0.2">
      <c r="A751" s="37">
        <v>36739</v>
      </c>
      <c r="B751" s="38">
        <f>VLOOKUP(Table1[[#This Row],[Date]],Database!A:D,3,)</f>
        <v>132230</v>
      </c>
      <c r="C751" s="39">
        <f t="shared" si="23"/>
        <v>-6</v>
      </c>
      <c r="D751" s="39">
        <f t="shared" si="22"/>
        <v>41.666666666666664</v>
      </c>
      <c r="E751" s="27">
        <f>VLOOKUP(Table1[[#This Row],[Date]],Database!A:D,4,)</f>
        <v>4.0999999999999996</v>
      </c>
      <c r="F751" s="40">
        <v>1.335552846846677E-3</v>
      </c>
      <c r="G751" s="27">
        <f>VLOOKUP(Table1[[#This Row],[Date]],Database!A:D,2,)</f>
        <v>66.900000000000006</v>
      </c>
      <c r="H751" s="26"/>
    </row>
    <row r="752" spans="1:8" x14ac:dyDescent="0.2">
      <c r="A752" s="37">
        <v>36770</v>
      </c>
      <c r="B752" s="38">
        <f>VLOOKUP(Table1[[#This Row],[Date]],Database!A:D,3,)</f>
        <v>132353</v>
      </c>
      <c r="C752" s="39">
        <f t="shared" si="23"/>
        <v>123</v>
      </c>
      <c r="D752" s="39">
        <f t="shared" si="22"/>
        <v>97.333333333333329</v>
      </c>
      <c r="E752" s="27">
        <f>VLOOKUP(Table1[[#This Row],[Date]],Database!A:D,4,)</f>
        <v>3.9</v>
      </c>
      <c r="F752" s="40">
        <v>1.335552846846677E-3</v>
      </c>
      <c r="G752" s="27">
        <f>VLOOKUP(Table1[[#This Row],[Date]],Database!A:D,2,)</f>
        <v>66.900000000000006</v>
      </c>
      <c r="H752" s="26"/>
    </row>
    <row r="753" spans="1:8" x14ac:dyDescent="0.2">
      <c r="A753" s="37">
        <v>36800</v>
      </c>
      <c r="B753" s="38">
        <f>VLOOKUP(Table1[[#This Row],[Date]],Database!A:D,3,)</f>
        <v>132351</v>
      </c>
      <c r="C753" s="39">
        <f t="shared" si="23"/>
        <v>-2</v>
      </c>
      <c r="D753" s="39">
        <f t="shared" si="22"/>
        <v>38.333333333333336</v>
      </c>
      <c r="E753" s="27">
        <f>VLOOKUP(Table1[[#This Row],[Date]],Database!A:D,4,)</f>
        <v>3.9</v>
      </c>
      <c r="F753" s="40">
        <v>6.2288958941129078E-3</v>
      </c>
      <c r="G753" s="27">
        <f>VLOOKUP(Table1[[#This Row],[Date]],Database!A:D,2,)</f>
        <v>66.8</v>
      </c>
      <c r="H753" s="26"/>
    </row>
    <row r="754" spans="1:8" x14ac:dyDescent="0.2">
      <c r="A754" s="37">
        <v>36831</v>
      </c>
      <c r="B754" s="38">
        <f>VLOOKUP(Table1[[#This Row],[Date]],Database!A:D,3,)</f>
        <v>132556</v>
      </c>
      <c r="C754" s="39">
        <f t="shared" si="23"/>
        <v>205</v>
      </c>
      <c r="D754" s="39">
        <f t="shared" si="22"/>
        <v>108.66666666666667</v>
      </c>
      <c r="E754" s="27">
        <f>VLOOKUP(Table1[[#This Row],[Date]],Database!A:D,4,)</f>
        <v>3.9</v>
      </c>
      <c r="F754" s="40">
        <v>6.2288958941129078E-3</v>
      </c>
      <c r="G754" s="27">
        <f>VLOOKUP(Table1[[#This Row],[Date]],Database!A:D,2,)</f>
        <v>66.900000000000006</v>
      </c>
      <c r="H754" s="26"/>
    </row>
    <row r="755" spans="1:8" x14ac:dyDescent="0.2">
      <c r="A755" s="37">
        <v>36861</v>
      </c>
      <c r="B755" s="38">
        <f>VLOOKUP(Table1[[#This Row],[Date]],Database!A:D,3,)</f>
        <v>132709</v>
      </c>
      <c r="C755" s="39">
        <f t="shared" si="23"/>
        <v>153</v>
      </c>
      <c r="D755" s="39">
        <f t="shared" si="22"/>
        <v>118.66666666666667</v>
      </c>
      <c r="E755" s="27">
        <f>VLOOKUP(Table1[[#This Row],[Date]],Database!A:D,4,)</f>
        <v>3.9</v>
      </c>
      <c r="F755" s="40">
        <v>6.2288958941129078E-3</v>
      </c>
      <c r="G755" s="27">
        <f>VLOOKUP(Table1[[#This Row],[Date]],Database!A:D,2,)</f>
        <v>67</v>
      </c>
      <c r="H755" s="26"/>
    </row>
    <row r="756" spans="1:8" x14ac:dyDescent="0.2">
      <c r="A756" s="37">
        <v>36892</v>
      </c>
      <c r="B756" s="38">
        <f>VLOOKUP(Table1[[#This Row],[Date]],Database!A:D,3,)</f>
        <v>132698</v>
      </c>
      <c r="C756" s="39">
        <f t="shared" si="23"/>
        <v>-11</v>
      </c>
      <c r="D756" s="39">
        <f t="shared" si="22"/>
        <v>115.66666666666667</v>
      </c>
      <c r="E756" s="27">
        <f>VLOOKUP(Table1[[#This Row],[Date]],Database!A:D,4,)</f>
        <v>4.2</v>
      </c>
      <c r="F756" s="40">
        <v>-2.8517765460834522E-3</v>
      </c>
      <c r="G756" s="27">
        <f>VLOOKUP(Table1[[#This Row],[Date]],Database!A:D,2,)</f>
        <v>67.2</v>
      </c>
      <c r="H756" s="26"/>
    </row>
    <row r="757" spans="1:8" x14ac:dyDescent="0.2">
      <c r="A757" s="37">
        <v>36923</v>
      </c>
      <c r="B757" s="38">
        <f>VLOOKUP(Table1[[#This Row],[Date]],Database!A:D,3,)</f>
        <v>132789</v>
      </c>
      <c r="C757" s="39">
        <f t="shared" si="23"/>
        <v>91</v>
      </c>
      <c r="D757" s="39">
        <f t="shared" si="22"/>
        <v>77.666666666666671</v>
      </c>
      <c r="E757" s="27">
        <f>VLOOKUP(Table1[[#This Row],[Date]],Database!A:D,4,)</f>
        <v>4.2</v>
      </c>
      <c r="F757" s="40">
        <v>-2.8517765460834522E-3</v>
      </c>
      <c r="G757" s="27">
        <f>VLOOKUP(Table1[[#This Row],[Date]],Database!A:D,2,)</f>
        <v>67.099999999999994</v>
      </c>
      <c r="H757" s="26"/>
    </row>
    <row r="758" spans="1:8" x14ac:dyDescent="0.2">
      <c r="A758" s="37">
        <v>36951</v>
      </c>
      <c r="B758" s="38">
        <f>VLOOKUP(Table1[[#This Row],[Date]],Database!A:D,3,)</f>
        <v>132747</v>
      </c>
      <c r="C758" s="39">
        <f t="shared" si="23"/>
        <v>-42</v>
      </c>
      <c r="D758" s="39">
        <f t="shared" si="22"/>
        <v>12.666666666666666</v>
      </c>
      <c r="E758" s="27">
        <f>VLOOKUP(Table1[[#This Row],[Date]],Database!A:D,4,)</f>
        <v>4.3</v>
      </c>
      <c r="F758" s="40">
        <v>-2.8517765460834522E-3</v>
      </c>
      <c r="G758" s="27">
        <f>VLOOKUP(Table1[[#This Row],[Date]],Database!A:D,2,)</f>
        <v>67.2</v>
      </c>
      <c r="H758" s="26"/>
    </row>
    <row r="759" spans="1:8" x14ac:dyDescent="0.2">
      <c r="A759" s="37">
        <v>36982</v>
      </c>
      <c r="B759" s="38">
        <f>VLOOKUP(Table1[[#This Row],[Date]],Database!A:D,3,)</f>
        <v>132463</v>
      </c>
      <c r="C759" s="39">
        <f t="shared" si="23"/>
        <v>-284</v>
      </c>
      <c r="D759" s="39">
        <f t="shared" si="22"/>
        <v>-78.333333333333329</v>
      </c>
      <c r="E759" s="27">
        <f>VLOOKUP(Table1[[#This Row],[Date]],Database!A:D,4,)</f>
        <v>4.4000000000000004</v>
      </c>
      <c r="F759" s="40">
        <v>5.8455579008507242E-3</v>
      </c>
      <c r="G759" s="27">
        <f>VLOOKUP(Table1[[#This Row],[Date]],Database!A:D,2,)</f>
        <v>66.900000000000006</v>
      </c>
      <c r="H759" s="26"/>
    </row>
    <row r="760" spans="1:8" x14ac:dyDescent="0.2">
      <c r="A760" s="37">
        <v>37012</v>
      </c>
      <c r="B760" s="38">
        <f>VLOOKUP(Table1[[#This Row],[Date]],Database!A:D,3,)</f>
        <v>132410</v>
      </c>
      <c r="C760" s="39">
        <f t="shared" si="23"/>
        <v>-53</v>
      </c>
      <c r="D760" s="39">
        <f t="shared" si="22"/>
        <v>-126.33333333333333</v>
      </c>
      <c r="E760" s="27">
        <f>VLOOKUP(Table1[[#This Row],[Date]],Database!A:D,4,)</f>
        <v>4.3</v>
      </c>
      <c r="F760" s="40">
        <v>5.8455579008507242E-3</v>
      </c>
      <c r="G760" s="27">
        <f>VLOOKUP(Table1[[#This Row],[Date]],Database!A:D,2,)</f>
        <v>66.7</v>
      </c>
      <c r="H760" s="26"/>
    </row>
    <row r="761" spans="1:8" x14ac:dyDescent="0.2">
      <c r="A761" s="37">
        <v>37043</v>
      </c>
      <c r="B761" s="38">
        <f>VLOOKUP(Table1[[#This Row],[Date]],Database!A:D,3,)</f>
        <v>132299</v>
      </c>
      <c r="C761" s="39">
        <f t="shared" si="23"/>
        <v>-111</v>
      </c>
      <c r="D761" s="39">
        <f t="shared" si="22"/>
        <v>-149.33333333333334</v>
      </c>
      <c r="E761" s="27">
        <f>VLOOKUP(Table1[[#This Row],[Date]],Database!A:D,4,)</f>
        <v>4.5</v>
      </c>
      <c r="F761" s="40">
        <v>5.8455579008507242E-3</v>
      </c>
      <c r="G761" s="27">
        <f>VLOOKUP(Table1[[#This Row],[Date]],Database!A:D,2,)</f>
        <v>66.7</v>
      </c>
      <c r="H761" s="26"/>
    </row>
    <row r="762" spans="1:8" x14ac:dyDescent="0.2">
      <c r="A762" s="37">
        <v>37073</v>
      </c>
      <c r="B762" s="38">
        <f>VLOOKUP(Table1[[#This Row],[Date]],Database!A:D,3,)</f>
        <v>132177</v>
      </c>
      <c r="C762" s="39">
        <f t="shared" si="23"/>
        <v>-122</v>
      </c>
      <c r="D762" s="39">
        <f t="shared" si="22"/>
        <v>-95.333333333333329</v>
      </c>
      <c r="E762" s="27">
        <f>VLOOKUP(Table1[[#This Row],[Date]],Database!A:D,4,)</f>
        <v>4.5999999999999996</v>
      </c>
      <c r="F762" s="40">
        <v>-4.1503809327891467E-3</v>
      </c>
      <c r="G762" s="27">
        <f>VLOOKUP(Table1[[#This Row],[Date]],Database!A:D,2,)</f>
        <v>66.8</v>
      </c>
      <c r="H762" s="26"/>
    </row>
    <row r="763" spans="1:8" x14ac:dyDescent="0.2">
      <c r="A763" s="37">
        <v>37104</v>
      </c>
      <c r="B763" s="38">
        <f>VLOOKUP(Table1[[#This Row],[Date]],Database!A:D,3,)</f>
        <v>132028</v>
      </c>
      <c r="C763" s="39">
        <f t="shared" si="23"/>
        <v>-149</v>
      </c>
      <c r="D763" s="39">
        <f t="shared" si="22"/>
        <v>-127.33333333333333</v>
      </c>
      <c r="E763" s="27">
        <f>VLOOKUP(Table1[[#This Row],[Date]],Database!A:D,4,)</f>
        <v>4.9000000000000004</v>
      </c>
      <c r="F763" s="40">
        <v>-4.1503809327891467E-3</v>
      </c>
      <c r="G763" s="27">
        <f>VLOOKUP(Table1[[#This Row],[Date]],Database!A:D,2,)</f>
        <v>66.5</v>
      </c>
      <c r="H763" s="26"/>
    </row>
    <row r="764" spans="1:8" x14ac:dyDescent="0.2">
      <c r="A764" s="37">
        <v>37135</v>
      </c>
      <c r="B764" s="38">
        <f>VLOOKUP(Table1[[#This Row],[Date]],Database!A:D,3,)</f>
        <v>131771</v>
      </c>
      <c r="C764" s="39">
        <f t="shared" si="23"/>
        <v>-257</v>
      </c>
      <c r="D764" s="39">
        <f t="shared" si="22"/>
        <v>-176</v>
      </c>
      <c r="E764" s="27">
        <f>VLOOKUP(Table1[[#This Row],[Date]],Database!A:D,4,)</f>
        <v>5</v>
      </c>
      <c r="F764" s="40">
        <v>-4.1503809327891467E-3</v>
      </c>
      <c r="G764" s="27">
        <f>VLOOKUP(Table1[[#This Row],[Date]],Database!A:D,2,)</f>
        <v>66.8</v>
      </c>
      <c r="H764" s="26"/>
    </row>
    <row r="765" spans="1:8" x14ac:dyDescent="0.2">
      <c r="A765" s="37">
        <v>37165</v>
      </c>
      <c r="B765" s="38">
        <f>VLOOKUP(Table1[[#This Row],[Date]],Database!A:D,3,)</f>
        <v>131454</v>
      </c>
      <c r="C765" s="39">
        <f t="shared" si="23"/>
        <v>-317</v>
      </c>
      <c r="D765" s="39">
        <f t="shared" si="22"/>
        <v>-241</v>
      </c>
      <c r="E765" s="27">
        <f>VLOOKUP(Table1[[#This Row],[Date]],Database!A:D,4,)</f>
        <v>5.3</v>
      </c>
      <c r="F765" s="40">
        <v>2.7237137276078438E-3</v>
      </c>
      <c r="G765" s="27">
        <f>VLOOKUP(Table1[[#This Row],[Date]],Database!A:D,2,)</f>
        <v>66.7</v>
      </c>
      <c r="H765" s="26"/>
    </row>
    <row r="766" spans="1:8" x14ac:dyDescent="0.2">
      <c r="A766" s="37">
        <v>37196</v>
      </c>
      <c r="B766" s="38">
        <f>VLOOKUP(Table1[[#This Row],[Date]],Database!A:D,3,)</f>
        <v>131142</v>
      </c>
      <c r="C766" s="39">
        <f t="shared" si="23"/>
        <v>-312</v>
      </c>
      <c r="D766" s="39">
        <f t="shared" si="22"/>
        <v>-295.33333333333331</v>
      </c>
      <c r="E766" s="27">
        <f>VLOOKUP(Table1[[#This Row],[Date]],Database!A:D,4,)</f>
        <v>5.5</v>
      </c>
      <c r="F766" s="40">
        <v>2.7237137276078438E-3</v>
      </c>
      <c r="G766" s="27">
        <f>VLOOKUP(Table1[[#This Row],[Date]],Database!A:D,2,)</f>
        <v>66.7</v>
      </c>
      <c r="H766" s="26"/>
    </row>
    <row r="767" spans="1:8" x14ac:dyDescent="0.2">
      <c r="A767" s="37">
        <v>37226</v>
      </c>
      <c r="B767" s="38">
        <f>VLOOKUP(Table1[[#This Row],[Date]],Database!A:D,3,)</f>
        <v>130982</v>
      </c>
      <c r="C767" s="39">
        <f t="shared" si="23"/>
        <v>-160</v>
      </c>
      <c r="D767" s="39">
        <f t="shared" si="22"/>
        <v>-263</v>
      </c>
      <c r="E767" s="27">
        <f>VLOOKUP(Table1[[#This Row],[Date]],Database!A:D,4,)</f>
        <v>5.7</v>
      </c>
      <c r="F767" s="40">
        <v>2.7237137276078438E-3</v>
      </c>
      <c r="G767" s="27">
        <f>VLOOKUP(Table1[[#This Row],[Date]],Database!A:D,2,)</f>
        <v>66.7</v>
      </c>
      <c r="H767" s="26"/>
    </row>
    <row r="768" spans="1:8" x14ac:dyDescent="0.2">
      <c r="A768" s="37">
        <v>37257</v>
      </c>
      <c r="B768" s="38">
        <f>VLOOKUP(Table1[[#This Row],[Date]],Database!A:D,3,)</f>
        <v>130852</v>
      </c>
      <c r="C768" s="39">
        <f t="shared" si="23"/>
        <v>-130</v>
      </c>
      <c r="D768" s="39">
        <f t="shared" si="22"/>
        <v>-200.66666666666666</v>
      </c>
      <c r="E768" s="27">
        <f>VLOOKUP(Table1[[#This Row],[Date]],Database!A:D,4,)</f>
        <v>5.7</v>
      </c>
      <c r="F768" s="40">
        <v>8.74514216286763E-3</v>
      </c>
      <c r="G768" s="27">
        <f>VLOOKUP(Table1[[#This Row],[Date]],Database!A:D,2,)</f>
        <v>66.5</v>
      </c>
      <c r="H768" s="26"/>
    </row>
    <row r="769" spans="1:8" x14ac:dyDescent="0.2">
      <c r="A769" s="37">
        <v>37288</v>
      </c>
      <c r="B769" s="38">
        <f>VLOOKUP(Table1[[#This Row],[Date]],Database!A:D,3,)</f>
        <v>130736</v>
      </c>
      <c r="C769" s="39">
        <f t="shared" si="23"/>
        <v>-116</v>
      </c>
      <c r="D769" s="39">
        <f t="shared" si="22"/>
        <v>-135.33333333333334</v>
      </c>
      <c r="E769" s="27">
        <f>VLOOKUP(Table1[[#This Row],[Date]],Database!A:D,4,)</f>
        <v>5.7</v>
      </c>
      <c r="F769" s="40">
        <v>8.74514216286763E-3</v>
      </c>
      <c r="G769" s="27">
        <f>VLOOKUP(Table1[[#This Row],[Date]],Database!A:D,2,)</f>
        <v>66.8</v>
      </c>
      <c r="H769" s="26"/>
    </row>
    <row r="770" spans="1:8" x14ac:dyDescent="0.2">
      <c r="A770" s="37">
        <v>37316</v>
      </c>
      <c r="B770" s="38">
        <f>VLOOKUP(Table1[[#This Row],[Date]],Database!A:D,3,)</f>
        <v>130717</v>
      </c>
      <c r="C770" s="39">
        <f t="shared" si="23"/>
        <v>-19</v>
      </c>
      <c r="D770" s="39">
        <f t="shared" si="22"/>
        <v>-88.333333333333329</v>
      </c>
      <c r="E770" s="27">
        <f>VLOOKUP(Table1[[#This Row],[Date]],Database!A:D,4,)</f>
        <v>5.7</v>
      </c>
      <c r="F770" s="40">
        <v>8.74514216286763E-3</v>
      </c>
      <c r="G770" s="27">
        <f>VLOOKUP(Table1[[#This Row],[Date]],Database!A:D,2,)</f>
        <v>66.599999999999994</v>
      </c>
      <c r="H770" s="26"/>
    </row>
    <row r="771" spans="1:8" x14ac:dyDescent="0.2">
      <c r="A771" s="37">
        <v>37347</v>
      </c>
      <c r="B771" s="38">
        <f>VLOOKUP(Table1[[#This Row],[Date]],Database!A:D,3,)</f>
        <v>130623</v>
      </c>
      <c r="C771" s="39">
        <f t="shared" si="23"/>
        <v>-94</v>
      </c>
      <c r="D771" s="39">
        <f t="shared" si="22"/>
        <v>-76.333333333333329</v>
      </c>
      <c r="E771" s="27">
        <f>VLOOKUP(Table1[[#This Row],[Date]],Database!A:D,4,)</f>
        <v>5.9</v>
      </c>
      <c r="F771" s="40">
        <v>6.0573253627938277E-3</v>
      </c>
      <c r="G771" s="27">
        <f>VLOOKUP(Table1[[#This Row],[Date]],Database!A:D,2,)</f>
        <v>66.7</v>
      </c>
      <c r="H771" s="26"/>
    </row>
    <row r="772" spans="1:8" x14ac:dyDescent="0.2">
      <c r="A772" s="37">
        <v>37377</v>
      </c>
      <c r="B772" s="38">
        <f>VLOOKUP(Table1[[#This Row],[Date]],Database!A:D,3,)</f>
        <v>130634</v>
      </c>
      <c r="C772" s="39">
        <f t="shared" si="23"/>
        <v>11</v>
      </c>
      <c r="D772" s="39">
        <f t="shared" si="22"/>
        <v>-34</v>
      </c>
      <c r="E772" s="27">
        <f>VLOOKUP(Table1[[#This Row],[Date]],Database!A:D,4,)</f>
        <v>5.8</v>
      </c>
      <c r="F772" s="40">
        <v>6.0573253627938277E-3</v>
      </c>
      <c r="G772" s="27">
        <f>VLOOKUP(Table1[[#This Row],[Date]],Database!A:D,2,)</f>
        <v>66.7</v>
      </c>
      <c r="H772" s="26"/>
    </row>
    <row r="773" spans="1:8" x14ac:dyDescent="0.2">
      <c r="A773" s="37">
        <v>37408</v>
      </c>
      <c r="B773" s="38">
        <f>VLOOKUP(Table1[[#This Row],[Date]],Database!A:D,3,)</f>
        <v>130684</v>
      </c>
      <c r="C773" s="39">
        <f t="shared" si="23"/>
        <v>50</v>
      </c>
      <c r="D773" s="39">
        <f t="shared" si="22"/>
        <v>-11</v>
      </c>
      <c r="E773" s="27">
        <f>VLOOKUP(Table1[[#This Row],[Date]],Database!A:D,4,)</f>
        <v>5.8</v>
      </c>
      <c r="F773" s="40">
        <v>6.0573253627938277E-3</v>
      </c>
      <c r="G773" s="27">
        <f>VLOOKUP(Table1[[#This Row],[Date]],Database!A:D,2,)</f>
        <v>66.599999999999994</v>
      </c>
      <c r="H773" s="26"/>
    </row>
    <row r="774" spans="1:8" x14ac:dyDescent="0.2">
      <c r="A774" s="37">
        <v>37438</v>
      </c>
      <c r="B774" s="38">
        <f>VLOOKUP(Table1[[#This Row],[Date]],Database!A:D,3,)</f>
        <v>130590</v>
      </c>
      <c r="C774" s="39">
        <f t="shared" si="23"/>
        <v>-94</v>
      </c>
      <c r="D774" s="39">
        <f t="shared" si="22"/>
        <v>-11</v>
      </c>
      <c r="E774" s="27">
        <f>VLOOKUP(Table1[[#This Row],[Date]],Database!A:D,4,)</f>
        <v>5.8</v>
      </c>
      <c r="F774" s="40">
        <v>4.4457133292457362E-3</v>
      </c>
      <c r="G774" s="27">
        <f>VLOOKUP(Table1[[#This Row],[Date]],Database!A:D,2,)</f>
        <v>66.5</v>
      </c>
      <c r="H774" s="26"/>
    </row>
    <row r="775" spans="1:8" x14ac:dyDescent="0.2">
      <c r="A775" s="37">
        <v>37469</v>
      </c>
      <c r="B775" s="38">
        <f>VLOOKUP(Table1[[#This Row],[Date]],Database!A:D,3,)</f>
        <v>130587</v>
      </c>
      <c r="C775" s="39">
        <f t="shared" si="23"/>
        <v>-3</v>
      </c>
      <c r="D775" s="39">
        <f t="shared" si="22"/>
        <v>-15.666666666666666</v>
      </c>
      <c r="E775" s="27">
        <f>VLOOKUP(Table1[[#This Row],[Date]],Database!A:D,4,)</f>
        <v>5.7</v>
      </c>
      <c r="F775" s="40">
        <v>4.4457133292457362E-3</v>
      </c>
      <c r="G775" s="27">
        <f>VLOOKUP(Table1[[#This Row],[Date]],Database!A:D,2,)</f>
        <v>66.599999999999994</v>
      </c>
      <c r="H775" s="26"/>
    </row>
    <row r="776" spans="1:8" x14ac:dyDescent="0.2">
      <c r="A776" s="37">
        <v>37500</v>
      </c>
      <c r="B776" s="38">
        <f>VLOOKUP(Table1[[#This Row],[Date]],Database!A:D,3,)</f>
        <v>130501</v>
      </c>
      <c r="C776" s="39">
        <f t="shared" si="23"/>
        <v>-86</v>
      </c>
      <c r="D776" s="39">
        <f t="shared" si="22"/>
        <v>-61</v>
      </c>
      <c r="E776" s="27">
        <f>VLOOKUP(Table1[[#This Row],[Date]],Database!A:D,4,)</f>
        <v>5.7</v>
      </c>
      <c r="F776" s="40">
        <v>4.4457133292457362E-3</v>
      </c>
      <c r="G776" s="27">
        <f>VLOOKUP(Table1[[#This Row],[Date]],Database!A:D,2,)</f>
        <v>66.7</v>
      </c>
      <c r="H776" s="26"/>
    </row>
    <row r="777" spans="1:8" x14ac:dyDescent="0.2">
      <c r="A777" s="37">
        <v>37530</v>
      </c>
      <c r="B777" s="38">
        <f>VLOOKUP(Table1[[#This Row],[Date]],Database!A:D,3,)</f>
        <v>130628</v>
      </c>
      <c r="C777" s="39">
        <f t="shared" si="23"/>
        <v>127</v>
      </c>
      <c r="D777" s="39">
        <f t="shared" si="22"/>
        <v>12.666666666666666</v>
      </c>
      <c r="E777" s="27">
        <f>VLOOKUP(Table1[[#This Row],[Date]],Database!A:D,4,)</f>
        <v>5.7</v>
      </c>
      <c r="F777" s="40">
        <v>1.5482263648767067E-3</v>
      </c>
      <c r="G777" s="27">
        <f>VLOOKUP(Table1[[#This Row],[Date]],Database!A:D,2,)</f>
        <v>66.599999999999994</v>
      </c>
      <c r="H777" s="26"/>
    </row>
    <row r="778" spans="1:8" x14ac:dyDescent="0.2">
      <c r="A778" s="37">
        <v>37561</v>
      </c>
      <c r="B778" s="38">
        <f>VLOOKUP(Table1[[#This Row],[Date]],Database!A:D,3,)</f>
        <v>130615</v>
      </c>
      <c r="C778" s="39">
        <f t="shared" si="23"/>
        <v>-13</v>
      </c>
      <c r="D778" s="39">
        <f t="shared" si="22"/>
        <v>9.3333333333333339</v>
      </c>
      <c r="E778" s="27">
        <f>VLOOKUP(Table1[[#This Row],[Date]],Database!A:D,4,)</f>
        <v>5.9</v>
      </c>
      <c r="F778" s="40">
        <v>1.5482263648767067E-3</v>
      </c>
      <c r="G778" s="27">
        <f>VLOOKUP(Table1[[#This Row],[Date]],Database!A:D,2,)</f>
        <v>66.400000000000006</v>
      </c>
      <c r="H778" s="26"/>
    </row>
    <row r="779" spans="1:8" x14ac:dyDescent="0.2">
      <c r="A779" s="37">
        <v>37591</v>
      </c>
      <c r="B779" s="38">
        <f>VLOOKUP(Table1[[#This Row],[Date]],Database!A:D,3,)</f>
        <v>130472</v>
      </c>
      <c r="C779" s="39">
        <f t="shared" si="23"/>
        <v>-143</v>
      </c>
      <c r="D779" s="39">
        <f t="shared" si="22"/>
        <v>-9.6666666666666661</v>
      </c>
      <c r="E779" s="27">
        <f>VLOOKUP(Table1[[#This Row],[Date]],Database!A:D,4,)</f>
        <v>6</v>
      </c>
      <c r="F779" s="40">
        <v>1.5482263648767067E-3</v>
      </c>
      <c r="G779" s="27">
        <f>VLOOKUP(Table1[[#This Row],[Date]],Database!A:D,2,)</f>
        <v>66.3</v>
      </c>
      <c r="H779" s="26"/>
    </row>
    <row r="780" spans="1:8" x14ac:dyDescent="0.2">
      <c r="A780" s="37">
        <v>37622</v>
      </c>
      <c r="B780" s="38">
        <f>VLOOKUP(Table1[[#This Row],[Date]],Database!A:D,3,)</f>
        <v>130580</v>
      </c>
      <c r="C780" s="39">
        <f t="shared" si="23"/>
        <v>108</v>
      </c>
      <c r="D780" s="39">
        <f t="shared" ref="D780:D843" si="24">AVERAGE(C778:C780)</f>
        <v>-16</v>
      </c>
      <c r="E780" s="27">
        <f>VLOOKUP(Table1[[#This Row],[Date]],Database!A:D,4,)</f>
        <v>5.8</v>
      </c>
      <c r="F780" s="40">
        <v>5.5476674146060995E-3</v>
      </c>
      <c r="G780" s="27">
        <f>VLOOKUP(Table1[[#This Row],[Date]],Database!A:D,2,)</f>
        <v>66.400000000000006</v>
      </c>
      <c r="H780" s="26"/>
    </row>
    <row r="781" spans="1:8" x14ac:dyDescent="0.2">
      <c r="A781" s="37">
        <v>37653</v>
      </c>
      <c r="B781" s="38">
        <f>VLOOKUP(Table1[[#This Row],[Date]],Database!A:D,3,)</f>
        <v>130444</v>
      </c>
      <c r="C781" s="39">
        <f t="shared" ref="C781:C844" si="25">B781-B780</f>
        <v>-136</v>
      </c>
      <c r="D781" s="39">
        <f t="shared" si="24"/>
        <v>-57</v>
      </c>
      <c r="E781" s="27">
        <f>VLOOKUP(Table1[[#This Row],[Date]],Database!A:D,4,)</f>
        <v>5.9</v>
      </c>
      <c r="F781" s="40">
        <v>5.5476674146060995E-3</v>
      </c>
      <c r="G781" s="27">
        <f>VLOOKUP(Table1[[#This Row],[Date]],Database!A:D,2,)</f>
        <v>66.400000000000006</v>
      </c>
      <c r="H781" s="26"/>
    </row>
    <row r="782" spans="1:8" x14ac:dyDescent="0.2">
      <c r="A782" s="37">
        <v>37681</v>
      </c>
      <c r="B782" s="38">
        <f>VLOOKUP(Table1[[#This Row],[Date]],Database!A:D,3,)</f>
        <v>130232</v>
      </c>
      <c r="C782" s="39">
        <f t="shared" si="25"/>
        <v>-212</v>
      </c>
      <c r="D782" s="39">
        <f t="shared" si="24"/>
        <v>-80</v>
      </c>
      <c r="E782" s="27">
        <f>VLOOKUP(Table1[[#This Row],[Date]],Database!A:D,4,)</f>
        <v>5.9</v>
      </c>
      <c r="F782" s="40">
        <v>5.5476674146060995E-3</v>
      </c>
      <c r="G782" s="27">
        <f>VLOOKUP(Table1[[#This Row],[Date]],Database!A:D,2,)</f>
        <v>66.3</v>
      </c>
      <c r="H782" s="26"/>
    </row>
    <row r="783" spans="1:8" x14ac:dyDescent="0.2">
      <c r="A783" s="37">
        <v>37712</v>
      </c>
      <c r="B783" s="38">
        <f>VLOOKUP(Table1[[#This Row],[Date]],Database!A:D,3,)</f>
        <v>130177</v>
      </c>
      <c r="C783" s="39">
        <f t="shared" si="25"/>
        <v>-55</v>
      </c>
      <c r="D783" s="39">
        <f t="shared" si="24"/>
        <v>-134.33333333333334</v>
      </c>
      <c r="E783" s="27">
        <f>VLOOKUP(Table1[[#This Row],[Date]],Database!A:D,4,)</f>
        <v>6</v>
      </c>
      <c r="F783" s="40">
        <v>8.6025981768124045E-3</v>
      </c>
      <c r="G783" s="27">
        <f>VLOOKUP(Table1[[#This Row],[Date]],Database!A:D,2,)</f>
        <v>66.400000000000006</v>
      </c>
      <c r="H783" s="26"/>
    </row>
    <row r="784" spans="1:8" x14ac:dyDescent="0.2">
      <c r="A784" s="37">
        <v>37742</v>
      </c>
      <c r="B784" s="38">
        <f>VLOOKUP(Table1[[#This Row],[Date]],Database!A:D,3,)</f>
        <v>130196</v>
      </c>
      <c r="C784" s="39">
        <f t="shared" si="25"/>
        <v>19</v>
      </c>
      <c r="D784" s="39">
        <f t="shared" si="24"/>
        <v>-82.666666666666671</v>
      </c>
      <c r="E784" s="27">
        <f>VLOOKUP(Table1[[#This Row],[Date]],Database!A:D,4,)</f>
        <v>6.1</v>
      </c>
      <c r="F784" s="40">
        <v>8.6025981768124045E-3</v>
      </c>
      <c r="G784" s="27">
        <f>VLOOKUP(Table1[[#This Row],[Date]],Database!A:D,2,)</f>
        <v>66.400000000000006</v>
      </c>
      <c r="H784" s="26"/>
    </row>
    <row r="785" spans="1:8" x14ac:dyDescent="0.2">
      <c r="A785" s="37">
        <v>37773</v>
      </c>
      <c r="B785" s="38">
        <f>VLOOKUP(Table1[[#This Row],[Date]],Database!A:D,3,)</f>
        <v>130194</v>
      </c>
      <c r="C785" s="39">
        <f t="shared" si="25"/>
        <v>-2</v>
      </c>
      <c r="D785" s="39">
        <f t="shared" si="24"/>
        <v>-12.666666666666666</v>
      </c>
      <c r="E785" s="27">
        <f>VLOOKUP(Table1[[#This Row],[Date]],Database!A:D,4,)</f>
        <v>6.3</v>
      </c>
      <c r="F785" s="40">
        <v>8.6025981768124045E-3</v>
      </c>
      <c r="G785" s="27">
        <f>VLOOKUP(Table1[[#This Row],[Date]],Database!A:D,2,)</f>
        <v>66.5</v>
      </c>
      <c r="H785" s="26"/>
    </row>
    <row r="786" spans="1:8" x14ac:dyDescent="0.2">
      <c r="A786" s="37">
        <v>37803</v>
      </c>
      <c r="B786" s="38">
        <f>VLOOKUP(Table1[[#This Row],[Date]],Database!A:D,3,)</f>
        <v>130191</v>
      </c>
      <c r="C786" s="39">
        <f t="shared" si="25"/>
        <v>-3</v>
      </c>
      <c r="D786" s="39">
        <f t="shared" si="24"/>
        <v>4.666666666666667</v>
      </c>
      <c r="E786" s="27">
        <f>VLOOKUP(Table1[[#This Row],[Date]],Database!A:D,4,)</f>
        <v>6.2</v>
      </c>
      <c r="F786" s="40">
        <v>1.698209430025421E-2</v>
      </c>
      <c r="G786" s="27">
        <f>VLOOKUP(Table1[[#This Row],[Date]],Database!A:D,2,)</f>
        <v>66.2</v>
      </c>
      <c r="H786" s="26"/>
    </row>
    <row r="787" spans="1:8" x14ac:dyDescent="0.2">
      <c r="A787" s="37">
        <v>37834</v>
      </c>
      <c r="B787" s="38">
        <f>VLOOKUP(Table1[[#This Row],[Date]],Database!A:D,3,)</f>
        <v>130149</v>
      </c>
      <c r="C787" s="39">
        <f t="shared" si="25"/>
        <v>-42</v>
      </c>
      <c r="D787" s="39">
        <f t="shared" si="24"/>
        <v>-15.666666666666666</v>
      </c>
      <c r="E787" s="27">
        <f>VLOOKUP(Table1[[#This Row],[Date]],Database!A:D,4,)</f>
        <v>6.1</v>
      </c>
      <c r="F787" s="40">
        <v>1.698209430025421E-2</v>
      </c>
      <c r="G787" s="27">
        <f>VLOOKUP(Table1[[#This Row],[Date]],Database!A:D,2,)</f>
        <v>66.099999999999994</v>
      </c>
      <c r="H787" s="26"/>
    </row>
    <row r="788" spans="1:8" x14ac:dyDescent="0.2">
      <c r="A788" s="37">
        <v>37865</v>
      </c>
      <c r="B788" s="38">
        <f>VLOOKUP(Table1[[#This Row],[Date]],Database!A:D,3,)</f>
        <v>130254</v>
      </c>
      <c r="C788" s="39">
        <f t="shared" si="25"/>
        <v>105</v>
      </c>
      <c r="D788" s="39">
        <f t="shared" si="24"/>
        <v>20</v>
      </c>
      <c r="E788" s="27">
        <f>VLOOKUP(Table1[[#This Row],[Date]],Database!A:D,4,)</f>
        <v>6.1</v>
      </c>
      <c r="F788" s="40">
        <v>1.698209430025421E-2</v>
      </c>
      <c r="G788" s="27">
        <f>VLOOKUP(Table1[[#This Row],[Date]],Database!A:D,2,)</f>
        <v>66.099999999999994</v>
      </c>
      <c r="H788" s="26"/>
    </row>
    <row r="789" spans="1:8" x14ac:dyDescent="0.2">
      <c r="A789" s="37">
        <v>37895</v>
      </c>
      <c r="B789" s="38">
        <f>VLOOKUP(Table1[[#This Row],[Date]],Database!A:D,3,)</f>
        <v>130454</v>
      </c>
      <c r="C789" s="39">
        <f t="shared" si="25"/>
        <v>200</v>
      </c>
      <c r="D789" s="39">
        <f t="shared" si="24"/>
        <v>87.666666666666671</v>
      </c>
      <c r="E789" s="27">
        <f>VLOOKUP(Table1[[#This Row],[Date]],Database!A:D,4,)</f>
        <v>6</v>
      </c>
      <c r="F789" s="40">
        <v>1.1481670492531581E-2</v>
      </c>
      <c r="G789" s="27">
        <f>VLOOKUP(Table1[[#This Row],[Date]],Database!A:D,2,)</f>
        <v>66.099999999999994</v>
      </c>
      <c r="H789" s="26"/>
    </row>
    <row r="790" spans="1:8" x14ac:dyDescent="0.2">
      <c r="A790" s="37">
        <v>37926</v>
      </c>
      <c r="B790" s="38">
        <f>VLOOKUP(Table1[[#This Row],[Date]],Database!A:D,3,)</f>
        <v>130474</v>
      </c>
      <c r="C790" s="39">
        <f t="shared" si="25"/>
        <v>20</v>
      </c>
      <c r="D790" s="39">
        <f t="shared" si="24"/>
        <v>108.33333333333333</v>
      </c>
      <c r="E790" s="27">
        <f>VLOOKUP(Table1[[#This Row],[Date]],Database!A:D,4,)</f>
        <v>5.8</v>
      </c>
      <c r="F790" s="40">
        <v>1.1481670492531581E-2</v>
      </c>
      <c r="G790" s="27">
        <f>VLOOKUP(Table1[[#This Row],[Date]],Database!A:D,2,)</f>
        <v>66.099999999999994</v>
      </c>
      <c r="H790" s="26"/>
    </row>
    <row r="791" spans="1:8" x14ac:dyDescent="0.2">
      <c r="A791" s="37">
        <v>37956</v>
      </c>
      <c r="B791" s="38">
        <f>VLOOKUP(Table1[[#This Row],[Date]],Database!A:D,3,)</f>
        <v>130588</v>
      </c>
      <c r="C791" s="39">
        <f t="shared" si="25"/>
        <v>114</v>
      </c>
      <c r="D791" s="39">
        <f t="shared" si="24"/>
        <v>111.33333333333333</v>
      </c>
      <c r="E791" s="27">
        <f>VLOOKUP(Table1[[#This Row],[Date]],Database!A:D,4,)</f>
        <v>5.7</v>
      </c>
      <c r="F791" s="40">
        <v>1.1481670492531581E-2</v>
      </c>
      <c r="G791" s="27">
        <f>VLOOKUP(Table1[[#This Row],[Date]],Database!A:D,2,)</f>
        <v>65.900000000000006</v>
      </c>
      <c r="H791" s="26"/>
    </row>
    <row r="792" spans="1:8" x14ac:dyDescent="0.2">
      <c r="A792" s="37">
        <v>37987</v>
      </c>
      <c r="B792" s="38">
        <f>VLOOKUP(Table1[[#This Row],[Date]],Database!A:D,3,)</f>
        <v>130769</v>
      </c>
      <c r="C792" s="39">
        <f t="shared" si="25"/>
        <v>181</v>
      </c>
      <c r="D792" s="39">
        <f t="shared" si="24"/>
        <v>105</v>
      </c>
      <c r="E792" s="27">
        <f>VLOOKUP(Table1[[#This Row],[Date]],Database!A:D,4,)</f>
        <v>5.7</v>
      </c>
      <c r="F792" s="40">
        <v>5.3374731233535415E-3</v>
      </c>
      <c r="G792" s="27">
        <f>VLOOKUP(Table1[[#This Row],[Date]],Database!A:D,2,)</f>
        <v>66.099999999999994</v>
      </c>
      <c r="H792" s="26"/>
    </row>
    <row r="793" spans="1:8" x14ac:dyDescent="0.2">
      <c r="A793" s="37">
        <v>38018</v>
      </c>
      <c r="B793" s="38">
        <f>VLOOKUP(Table1[[#This Row],[Date]],Database!A:D,3,)</f>
        <v>130825</v>
      </c>
      <c r="C793" s="39">
        <f t="shared" si="25"/>
        <v>56</v>
      </c>
      <c r="D793" s="39">
        <f t="shared" si="24"/>
        <v>117</v>
      </c>
      <c r="E793" s="27">
        <f>VLOOKUP(Table1[[#This Row],[Date]],Database!A:D,4,)</f>
        <v>5.6</v>
      </c>
      <c r="F793" s="40">
        <v>5.3374731233535415E-3</v>
      </c>
      <c r="G793" s="27">
        <f>VLOOKUP(Table1[[#This Row],[Date]],Database!A:D,2,)</f>
        <v>66</v>
      </c>
      <c r="H793" s="26"/>
    </row>
    <row r="794" spans="1:8" x14ac:dyDescent="0.2">
      <c r="A794" s="37">
        <v>38047</v>
      </c>
      <c r="B794" s="38">
        <f>VLOOKUP(Table1[[#This Row],[Date]],Database!A:D,3,)</f>
        <v>131142</v>
      </c>
      <c r="C794" s="39">
        <f t="shared" si="25"/>
        <v>317</v>
      </c>
      <c r="D794" s="39">
        <f t="shared" si="24"/>
        <v>184.66666666666666</v>
      </c>
      <c r="E794" s="27">
        <f>VLOOKUP(Table1[[#This Row],[Date]],Database!A:D,4,)</f>
        <v>5.8</v>
      </c>
      <c r="F794" s="40">
        <v>5.3374731233535415E-3</v>
      </c>
      <c r="G794" s="27">
        <f>VLOOKUP(Table1[[#This Row],[Date]],Database!A:D,2,)</f>
        <v>66</v>
      </c>
      <c r="H794" s="26"/>
    </row>
    <row r="795" spans="1:8" x14ac:dyDescent="0.2">
      <c r="A795" s="37">
        <v>38078</v>
      </c>
      <c r="B795" s="38">
        <f>VLOOKUP(Table1[[#This Row],[Date]],Database!A:D,3,)</f>
        <v>131411</v>
      </c>
      <c r="C795" s="39">
        <f t="shared" si="25"/>
        <v>269</v>
      </c>
      <c r="D795" s="39">
        <f t="shared" si="24"/>
        <v>214</v>
      </c>
      <c r="E795" s="27">
        <f>VLOOKUP(Table1[[#This Row],[Date]],Database!A:D,4,)</f>
        <v>5.6</v>
      </c>
      <c r="F795" s="40">
        <v>7.6207636416386372E-3</v>
      </c>
      <c r="G795" s="27">
        <f>VLOOKUP(Table1[[#This Row],[Date]],Database!A:D,2,)</f>
        <v>65.900000000000006</v>
      </c>
      <c r="H795" s="26"/>
    </row>
    <row r="796" spans="1:8" x14ac:dyDescent="0.2">
      <c r="A796" s="37">
        <v>38108</v>
      </c>
      <c r="B796" s="38">
        <f>VLOOKUP(Table1[[#This Row],[Date]],Database!A:D,3,)</f>
        <v>131694</v>
      </c>
      <c r="C796" s="39">
        <f t="shared" si="25"/>
        <v>283</v>
      </c>
      <c r="D796" s="39">
        <f t="shared" si="24"/>
        <v>289.66666666666669</v>
      </c>
      <c r="E796" s="27">
        <f>VLOOKUP(Table1[[#This Row],[Date]],Database!A:D,4,)</f>
        <v>5.6</v>
      </c>
      <c r="F796" s="40">
        <v>7.6207636416386372E-3</v>
      </c>
      <c r="G796" s="27">
        <f>VLOOKUP(Table1[[#This Row],[Date]],Database!A:D,2,)</f>
        <v>66</v>
      </c>
      <c r="H796" s="26"/>
    </row>
    <row r="797" spans="1:8" x14ac:dyDescent="0.2">
      <c r="A797" s="37">
        <v>38139</v>
      </c>
      <c r="B797" s="38">
        <f>VLOOKUP(Table1[[#This Row],[Date]],Database!A:D,3,)</f>
        <v>131793</v>
      </c>
      <c r="C797" s="39">
        <f t="shared" si="25"/>
        <v>99</v>
      </c>
      <c r="D797" s="39">
        <f t="shared" si="24"/>
        <v>217</v>
      </c>
      <c r="E797" s="27">
        <f>VLOOKUP(Table1[[#This Row],[Date]],Database!A:D,4,)</f>
        <v>5.6</v>
      </c>
      <c r="F797" s="40">
        <v>7.6207636416386372E-3</v>
      </c>
      <c r="G797" s="27">
        <f>VLOOKUP(Table1[[#This Row],[Date]],Database!A:D,2,)</f>
        <v>66.099999999999994</v>
      </c>
      <c r="H797" s="26"/>
    </row>
    <row r="798" spans="1:8" x14ac:dyDescent="0.2">
      <c r="A798" s="37">
        <v>38169</v>
      </c>
      <c r="B798" s="38">
        <f>VLOOKUP(Table1[[#This Row],[Date]],Database!A:D,3,)</f>
        <v>131848</v>
      </c>
      <c r="C798" s="39">
        <f t="shared" si="25"/>
        <v>55</v>
      </c>
      <c r="D798" s="39">
        <f t="shared" si="24"/>
        <v>145.66666666666666</v>
      </c>
      <c r="E798" s="27">
        <f>VLOOKUP(Table1[[#This Row],[Date]],Database!A:D,4,)</f>
        <v>5.5</v>
      </c>
      <c r="F798" s="40">
        <v>9.4532804755609219E-3</v>
      </c>
      <c r="G798" s="27">
        <f>VLOOKUP(Table1[[#This Row],[Date]],Database!A:D,2,)</f>
        <v>66.099999999999994</v>
      </c>
      <c r="H798" s="26"/>
    </row>
    <row r="799" spans="1:8" x14ac:dyDescent="0.2">
      <c r="A799" s="37">
        <v>38200</v>
      </c>
      <c r="B799" s="38">
        <f>VLOOKUP(Table1[[#This Row],[Date]],Database!A:D,3,)</f>
        <v>131937</v>
      </c>
      <c r="C799" s="39">
        <f t="shared" si="25"/>
        <v>89</v>
      </c>
      <c r="D799" s="39">
        <f t="shared" si="24"/>
        <v>81</v>
      </c>
      <c r="E799" s="27">
        <f>VLOOKUP(Table1[[#This Row],[Date]],Database!A:D,4,)</f>
        <v>5.4</v>
      </c>
      <c r="F799" s="40">
        <v>9.4532804755609219E-3</v>
      </c>
      <c r="G799" s="27">
        <f>VLOOKUP(Table1[[#This Row],[Date]],Database!A:D,2,)</f>
        <v>66</v>
      </c>
      <c r="H799" s="26"/>
    </row>
    <row r="800" spans="1:8" x14ac:dyDescent="0.2">
      <c r="A800" s="37">
        <v>38231</v>
      </c>
      <c r="B800" s="38">
        <f>VLOOKUP(Table1[[#This Row],[Date]],Database!A:D,3,)</f>
        <v>132093</v>
      </c>
      <c r="C800" s="39">
        <f t="shared" si="25"/>
        <v>156</v>
      </c>
      <c r="D800" s="39">
        <f t="shared" si="24"/>
        <v>100</v>
      </c>
      <c r="E800" s="27">
        <f>VLOOKUP(Table1[[#This Row],[Date]],Database!A:D,4,)</f>
        <v>5.4</v>
      </c>
      <c r="F800" s="40">
        <v>9.4532804755609219E-3</v>
      </c>
      <c r="G800" s="27">
        <f>VLOOKUP(Table1[[#This Row],[Date]],Database!A:D,2,)</f>
        <v>65.8</v>
      </c>
      <c r="H800" s="26"/>
    </row>
    <row r="801" spans="1:8" x14ac:dyDescent="0.2">
      <c r="A801" s="37">
        <v>38261</v>
      </c>
      <c r="B801" s="38">
        <f>VLOOKUP(Table1[[#This Row],[Date]],Database!A:D,3,)</f>
        <v>132447</v>
      </c>
      <c r="C801" s="39">
        <f t="shared" si="25"/>
        <v>354</v>
      </c>
      <c r="D801" s="39">
        <f t="shared" si="24"/>
        <v>199.66666666666666</v>
      </c>
      <c r="E801" s="27">
        <f>VLOOKUP(Table1[[#This Row],[Date]],Database!A:D,4,)</f>
        <v>5.5</v>
      </c>
      <c r="F801" s="40">
        <v>1.0016741117722621E-2</v>
      </c>
      <c r="G801" s="27">
        <f>VLOOKUP(Table1[[#This Row],[Date]],Database!A:D,2,)</f>
        <v>65.900000000000006</v>
      </c>
      <c r="H801" s="26"/>
    </row>
    <row r="802" spans="1:8" x14ac:dyDescent="0.2">
      <c r="A802" s="37">
        <v>38292</v>
      </c>
      <c r="B802" s="38">
        <f>VLOOKUP(Table1[[#This Row],[Date]],Database!A:D,3,)</f>
        <v>132503</v>
      </c>
      <c r="C802" s="39">
        <f t="shared" si="25"/>
        <v>56</v>
      </c>
      <c r="D802" s="39">
        <f t="shared" si="24"/>
        <v>188.66666666666666</v>
      </c>
      <c r="E802" s="27">
        <f>VLOOKUP(Table1[[#This Row],[Date]],Database!A:D,4,)</f>
        <v>5.4</v>
      </c>
      <c r="F802" s="40">
        <v>1.0016741117722621E-2</v>
      </c>
      <c r="G802" s="27">
        <f>VLOOKUP(Table1[[#This Row],[Date]],Database!A:D,2,)</f>
        <v>66</v>
      </c>
      <c r="H802" s="26"/>
    </row>
    <row r="803" spans="1:8" x14ac:dyDescent="0.2">
      <c r="A803" s="37">
        <v>38322</v>
      </c>
      <c r="B803" s="38">
        <f>VLOOKUP(Table1[[#This Row],[Date]],Database!A:D,3,)</f>
        <v>132624</v>
      </c>
      <c r="C803" s="39">
        <f t="shared" si="25"/>
        <v>121</v>
      </c>
      <c r="D803" s="39">
        <f t="shared" si="24"/>
        <v>177</v>
      </c>
      <c r="E803" s="27">
        <f>VLOOKUP(Table1[[#This Row],[Date]],Database!A:D,4,)</f>
        <v>5.4</v>
      </c>
      <c r="F803" s="40">
        <v>1.0016741117722621E-2</v>
      </c>
      <c r="G803" s="27">
        <f>VLOOKUP(Table1[[#This Row],[Date]],Database!A:D,2,)</f>
        <v>65.900000000000006</v>
      </c>
      <c r="H803" s="26"/>
    </row>
    <row r="804" spans="1:8" x14ac:dyDescent="0.2">
      <c r="A804" s="37">
        <v>38353</v>
      </c>
      <c r="B804" s="38">
        <f>VLOOKUP(Table1[[#This Row],[Date]],Database!A:D,3,)</f>
        <v>132774</v>
      </c>
      <c r="C804" s="39">
        <f t="shared" si="25"/>
        <v>150</v>
      </c>
      <c r="D804" s="39">
        <f t="shared" si="24"/>
        <v>109</v>
      </c>
      <c r="E804" s="27">
        <f>VLOOKUP(Table1[[#This Row],[Date]],Database!A:D,4,)</f>
        <v>5.3</v>
      </c>
      <c r="F804" s="40">
        <v>1.1069635361723848E-2</v>
      </c>
      <c r="G804" s="27">
        <f>VLOOKUP(Table1[[#This Row],[Date]],Database!A:D,2,)</f>
        <v>65.8</v>
      </c>
      <c r="H804" s="26"/>
    </row>
    <row r="805" spans="1:8" x14ac:dyDescent="0.2">
      <c r="A805" s="37">
        <v>38384</v>
      </c>
      <c r="B805" s="38">
        <f>VLOOKUP(Table1[[#This Row],[Date]],Database!A:D,3,)</f>
        <v>133032</v>
      </c>
      <c r="C805" s="39">
        <f t="shared" si="25"/>
        <v>258</v>
      </c>
      <c r="D805" s="39">
        <f t="shared" si="24"/>
        <v>176.33333333333334</v>
      </c>
      <c r="E805" s="27">
        <f>VLOOKUP(Table1[[#This Row],[Date]],Database!A:D,4,)</f>
        <v>5.4</v>
      </c>
      <c r="F805" s="40">
        <v>1.1069635361723848E-2</v>
      </c>
      <c r="G805" s="27">
        <f>VLOOKUP(Table1[[#This Row],[Date]],Database!A:D,2,)</f>
        <v>65.900000000000006</v>
      </c>
      <c r="H805" s="26"/>
    </row>
    <row r="806" spans="1:8" x14ac:dyDescent="0.2">
      <c r="A806" s="37">
        <v>38412</v>
      </c>
      <c r="B806" s="38">
        <f>VLOOKUP(Table1[[#This Row],[Date]],Database!A:D,3,)</f>
        <v>133156</v>
      </c>
      <c r="C806" s="39">
        <f t="shared" si="25"/>
        <v>124</v>
      </c>
      <c r="D806" s="39">
        <f t="shared" si="24"/>
        <v>177.33333333333334</v>
      </c>
      <c r="E806" s="27">
        <f>VLOOKUP(Table1[[#This Row],[Date]],Database!A:D,4,)</f>
        <v>5.2</v>
      </c>
      <c r="F806" s="40">
        <v>1.1069635361723848E-2</v>
      </c>
      <c r="G806" s="27">
        <f>VLOOKUP(Table1[[#This Row],[Date]],Database!A:D,2,)</f>
        <v>65.900000000000006</v>
      </c>
      <c r="H806" s="26"/>
    </row>
    <row r="807" spans="1:8" x14ac:dyDescent="0.2">
      <c r="A807" s="37">
        <v>38443</v>
      </c>
      <c r="B807" s="38">
        <f>VLOOKUP(Table1[[#This Row],[Date]],Database!A:D,3,)</f>
        <v>133518</v>
      </c>
      <c r="C807" s="39">
        <f t="shared" si="25"/>
        <v>362</v>
      </c>
      <c r="D807" s="39">
        <f t="shared" si="24"/>
        <v>248</v>
      </c>
      <c r="E807" s="27">
        <f>VLOOKUP(Table1[[#This Row],[Date]],Database!A:D,4,)</f>
        <v>5.2</v>
      </c>
      <c r="F807" s="40">
        <v>4.6156131203642274E-3</v>
      </c>
      <c r="G807" s="27">
        <f>VLOOKUP(Table1[[#This Row],[Date]],Database!A:D,2,)</f>
        <v>66.099999999999994</v>
      </c>
      <c r="H807" s="26"/>
    </row>
    <row r="808" spans="1:8" x14ac:dyDescent="0.2">
      <c r="A808" s="37">
        <v>38473</v>
      </c>
      <c r="B808" s="38">
        <f>VLOOKUP(Table1[[#This Row],[Date]],Database!A:D,3,)</f>
        <v>133690</v>
      </c>
      <c r="C808" s="39">
        <f t="shared" si="25"/>
        <v>172</v>
      </c>
      <c r="D808" s="39">
        <f t="shared" si="24"/>
        <v>219.33333333333334</v>
      </c>
      <c r="E808" s="27">
        <f>VLOOKUP(Table1[[#This Row],[Date]],Database!A:D,4,)</f>
        <v>5.0999999999999996</v>
      </c>
      <c r="F808" s="40">
        <v>4.6156131203642274E-3</v>
      </c>
      <c r="G808" s="27">
        <f>VLOOKUP(Table1[[#This Row],[Date]],Database!A:D,2,)</f>
        <v>66.099999999999994</v>
      </c>
      <c r="H808" s="26"/>
    </row>
    <row r="809" spans="1:8" x14ac:dyDescent="0.2">
      <c r="A809" s="37">
        <v>38504</v>
      </c>
      <c r="B809" s="38">
        <f>VLOOKUP(Table1[[#This Row],[Date]],Database!A:D,3,)</f>
        <v>133942</v>
      </c>
      <c r="C809" s="39">
        <f t="shared" si="25"/>
        <v>252</v>
      </c>
      <c r="D809" s="39">
        <f t="shared" si="24"/>
        <v>262</v>
      </c>
      <c r="E809" s="27">
        <f>VLOOKUP(Table1[[#This Row],[Date]],Database!A:D,4,)</f>
        <v>5</v>
      </c>
      <c r="F809" s="40">
        <v>4.6156131203642274E-3</v>
      </c>
      <c r="G809" s="27">
        <f>VLOOKUP(Table1[[#This Row],[Date]],Database!A:D,2,)</f>
        <v>66.099999999999994</v>
      </c>
      <c r="H809" s="26"/>
    </row>
    <row r="810" spans="1:8" x14ac:dyDescent="0.2">
      <c r="A810" s="37">
        <v>38534</v>
      </c>
      <c r="B810" s="38">
        <f>VLOOKUP(Table1[[#This Row],[Date]],Database!A:D,3,)</f>
        <v>134296</v>
      </c>
      <c r="C810" s="39">
        <f t="shared" si="25"/>
        <v>354</v>
      </c>
      <c r="D810" s="39">
        <f t="shared" si="24"/>
        <v>259.33333333333331</v>
      </c>
      <c r="E810" s="27">
        <f>VLOOKUP(Table1[[#This Row],[Date]],Database!A:D,4,)</f>
        <v>5</v>
      </c>
      <c r="F810" s="40">
        <v>8.9133384843524555E-3</v>
      </c>
      <c r="G810" s="27">
        <f>VLOOKUP(Table1[[#This Row],[Date]],Database!A:D,2,)</f>
        <v>66.099999999999994</v>
      </c>
      <c r="H810" s="26"/>
    </row>
    <row r="811" spans="1:8" x14ac:dyDescent="0.2">
      <c r="A811" s="37">
        <v>38565</v>
      </c>
      <c r="B811" s="38">
        <f>VLOOKUP(Table1[[#This Row],[Date]],Database!A:D,3,)</f>
        <v>134498</v>
      </c>
      <c r="C811" s="39">
        <f t="shared" si="25"/>
        <v>202</v>
      </c>
      <c r="D811" s="39">
        <f t="shared" si="24"/>
        <v>269.33333333333331</v>
      </c>
      <c r="E811" s="27">
        <f>VLOOKUP(Table1[[#This Row],[Date]],Database!A:D,4,)</f>
        <v>4.9000000000000004</v>
      </c>
      <c r="F811" s="40">
        <v>8.9133384843524555E-3</v>
      </c>
      <c r="G811" s="27">
        <f>VLOOKUP(Table1[[#This Row],[Date]],Database!A:D,2,)</f>
        <v>66.2</v>
      </c>
      <c r="H811" s="26"/>
    </row>
    <row r="812" spans="1:8" x14ac:dyDescent="0.2">
      <c r="A812" s="37">
        <v>38596</v>
      </c>
      <c r="B812" s="38">
        <f>VLOOKUP(Table1[[#This Row],[Date]],Database!A:D,3,)</f>
        <v>134566</v>
      </c>
      <c r="C812" s="39">
        <f t="shared" si="25"/>
        <v>68</v>
      </c>
      <c r="D812" s="39">
        <f t="shared" si="24"/>
        <v>208</v>
      </c>
      <c r="E812" s="27">
        <f>VLOOKUP(Table1[[#This Row],[Date]],Database!A:D,4,)</f>
        <v>5</v>
      </c>
      <c r="F812" s="40">
        <v>8.9133384843524555E-3</v>
      </c>
      <c r="G812" s="27">
        <f>VLOOKUP(Table1[[#This Row],[Date]],Database!A:D,2,)</f>
        <v>66.099999999999994</v>
      </c>
      <c r="H812" s="26"/>
    </row>
    <row r="813" spans="1:8" x14ac:dyDescent="0.2">
      <c r="A813" s="37">
        <v>38626</v>
      </c>
      <c r="B813" s="38">
        <f>VLOOKUP(Table1[[#This Row],[Date]],Database!A:D,3,)</f>
        <v>134655</v>
      </c>
      <c r="C813" s="39">
        <f t="shared" si="25"/>
        <v>89</v>
      </c>
      <c r="D813" s="39">
        <f t="shared" si="24"/>
        <v>119.66666666666667</v>
      </c>
      <c r="E813" s="27">
        <f>VLOOKUP(Table1[[#This Row],[Date]],Database!A:D,4,)</f>
        <v>5</v>
      </c>
      <c r="F813" s="40">
        <v>6.314631245652712E-3</v>
      </c>
      <c r="G813" s="27">
        <f>VLOOKUP(Table1[[#This Row],[Date]],Database!A:D,2,)</f>
        <v>66.099999999999994</v>
      </c>
      <c r="H813" s="26"/>
    </row>
    <row r="814" spans="1:8" x14ac:dyDescent="0.2">
      <c r="A814" s="37">
        <v>38657</v>
      </c>
      <c r="B814" s="38">
        <f>VLOOKUP(Table1[[#This Row],[Date]],Database!A:D,3,)</f>
        <v>134993</v>
      </c>
      <c r="C814" s="39">
        <f t="shared" si="25"/>
        <v>338</v>
      </c>
      <c r="D814" s="39">
        <f t="shared" si="24"/>
        <v>165</v>
      </c>
      <c r="E814" s="27">
        <f>VLOOKUP(Table1[[#This Row],[Date]],Database!A:D,4,)</f>
        <v>5</v>
      </c>
      <c r="F814" s="40">
        <v>6.314631245652712E-3</v>
      </c>
      <c r="G814" s="27">
        <f>VLOOKUP(Table1[[#This Row],[Date]],Database!A:D,2,)</f>
        <v>66</v>
      </c>
      <c r="H814" s="26"/>
    </row>
    <row r="815" spans="1:8" x14ac:dyDescent="0.2">
      <c r="A815" s="37">
        <v>38687</v>
      </c>
      <c r="B815" s="38">
        <f>VLOOKUP(Table1[[#This Row],[Date]],Database!A:D,3,)</f>
        <v>135149</v>
      </c>
      <c r="C815" s="39">
        <f t="shared" si="25"/>
        <v>156</v>
      </c>
      <c r="D815" s="39">
        <f t="shared" si="24"/>
        <v>194.33333333333334</v>
      </c>
      <c r="E815" s="27">
        <f>VLOOKUP(Table1[[#This Row],[Date]],Database!A:D,4,)</f>
        <v>4.9000000000000004</v>
      </c>
      <c r="F815" s="40">
        <v>6.314631245652712E-3</v>
      </c>
      <c r="G815" s="27">
        <f>VLOOKUP(Table1[[#This Row],[Date]],Database!A:D,2,)</f>
        <v>66</v>
      </c>
      <c r="H815" s="26"/>
    </row>
    <row r="816" spans="1:8" x14ac:dyDescent="0.2">
      <c r="A816" s="37">
        <v>38718</v>
      </c>
      <c r="B816" s="38">
        <f>VLOOKUP(Table1[[#This Row],[Date]],Database!A:D,3,)</f>
        <v>135429</v>
      </c>
      <c r="C816" s="39">
        <f t="shared" si="25"/>
        <v>280</v>
      </c>
      <c r="D816" s="39">
        <f t="shared" si="24"/>
        <v>258</v>
      </c>
      <c r="E816" s="27">
        <f>VLOOKUP(Table1[[#This Row],[Date]],Database!A:D,4,)</f>
        <v>4.7</v>
      </c>
      <c r="F816" s="40">
        <v>1.3302871245577226E-2</v>
      </c>
      <c r="G816" s="27">
        <f>VLOOKUP(Table1[[#This Row],[Date]],Database!A:D,2,)</f>
        <v>66</v>
      </c>
      <c r="H816" s="26"/>
    </row>
    <row r="817" spans="1:8" x14ac:dyDescent="0.2">
      <c r="A817" s="37">
        <v>38749</v>
      </c>
      <c r="B817" s="38">
        <f>VLOOKUP(Table1[[#This Row],[Date]],Database!A:D,3,)</f>
        <v>135737</v>
      </c>
      <c r="C817" s="39">
        <f t="shared" si="25"/>
        <v>308</v>
      </c>
      <c r="D817" s="39">
        <f t="shared" si="24"/>
        <v>248</v>
      </c>
      <c r="E817" s="27">
        <f>VLOOKUP(Table1[[#This Row],[Date]],Database!A:D,4,)</f>
        <v>4.8</v>
      </c>
      <c r="F817" s="40">
        <v>1.3302871245577226E-2</v>
      </c>
      <c r="G817" s="27">
        <f>VLOOKUP(Table1[[#This Row],[Date]],Database!A:D,2,)</f>
        <v>66.099999999999994</v>
      </c>
      <c r="H817" s="26"/>
    </row>
    <row r="818" spans="1:8" x14ac:dyDescent="0.2">
      <c r="A818" s="37">
        <v>38777</v>
      </c>
      <c r="B818" s="38">
        <f>VLOOKUP(Table1[[#This Row],[Date]],Database!A:D,3,)</f>
        <v>136047</v>
      </c>
      <c r="C818" s="39">
        <f t="shared" si="25"/>
        <v>310</v>
      </c>
      <c r="D818" s="39">
        <f t="shared" si="24"/>
        <v>299.33333333333331</v>
      </c>
      <c r="E818" s="27">
        <f>VLOOKUP(Table1[[#This Row],[Date]],Database!A:D,4,)</f>
        <v>4.7</v>
      </c>
      <c r="F818" s="40">
        <v>1.3302871245577226E-2</v>
      </c>
      <c r="G818" s="27">
        <f>VLOOKUP(Table1[[#This Row],[Date]],Database!A:D,2,)</f>
        <v>66.2</v>
      </c>
      <c r="H818" s="26"/>
    </row>
    <row r="819" spans="1:8" x14ac:dyDescent="0.2">
      <c r="A819" s="37">
        <v>38808</v>
      </c>
      <c r="B819" s="38">
        <f>VLOOKUP(Table1[[#This Row],[Date]],Database!A:D,3,)</f>
        <v>136205</v>
      </c>
      <c r="C819" s="39">
        <f t="shared" si="25"/>
        <v>158</v>
      </c>
      <c r="D819" s="39">
        <f t="shared" si="24"/>
        <v>258.66666666666669</v>
      </c>
      <c r="E819" s="27">
        <f>VLOOKUP(Table1[[#This Row],[Date]],Database!A:D,4,)</f>
        <v>4.7</v>
      </c>
      <c r="F819" s="40">
        <v>2.3369973955634899E-3</v>
      </c>
      <c r="G819" s="27">
        <f>VLOOKUP(Table1[[#This Row],[Date]],Database!A:D,2,)</f>
        <v>66.099999999999994</v>
      </c>
      <c r="H819" s="26"/>
    </row>
    <row r="820" spans="1:8" x14ac:dyDescent="0.2">
      <c r="A820" s="37">
        <v>38838</v>
      </c>
      <c r="B820" s="38">
        <f>VLOOKUP(Table1[[#This Row],[Date]],Database!A:D,3,)</f>
        <v>136244</v>
      </c>
      <c r="C820" s="39">
        <f t="shared" si="25"/>
        <v>39</v>
      </c>
      <c r="D820" s="39">
        <f t="shared" si="24"/>
        <v>169</v>
      </c>
      <c r="E820" s="27">
        <f>VLOOKUP(Table1[[#This Row],[Date]],Database!A:D,4,)</f>
        <v>4.5999999999999996</v>
      </c>
      <c r="F820" s="40">
        <v>2.3369973955634899E-3</v>
      </c>
      <c r="G820" s="27">
        <f>VLOOKUP(Table1[[#This Row],[Date]],Database!A:D,2,)</f>
        <v>66.099999999999994</v>
      </c>
      <c r="H820" s="26"/>
    </row>
    <row r="821" spans="1:8" x14ac:dyDescent="0.2">
      <c r="A821" s="37">
        <v>38869</v>
      </c>
      <c r="B821" s="38">
        <f>VLOOKUP(Table1[[#This Row],[Date]],Database!A:D,3,)</f>
        <v>136325</v>
      </c>
      <c r="C821" s="39">
        <f t="shared" si="25"/>
        <v>81</v>
      </c>
      <c r="D821" s="39">
        <f t="shared" si="24"/>
        <v>92.666666666666671</v>
      </c>
      <c r="E821" s="27">
        <f>VLOOKUP(Table1[[#This Row],[Date]],Database!A:D,4,)</f>
        <v>4.5999999999999996</v>
      </c>
      <c r="F821" s="40">
        <v>2.3369973955634899E-3</v>
      </c>
      <c r="G821" s="27">
        <f>VLOOKUP(Table1[[#This Row],[Date]],Database!A:D,2,)</f>
        <v>66.2</v>
      </c>
      <c r="H821" s="26"/>
    </row>
    <row r="822" spans="1:8" x14ac:dyDescent="0.2">
      <c r="A822" s="37">
        <v>38899</v>
      </c>
      <c r="B822" s="38">
        <f>VLOOKUP(Table1[[#This Row],[Date]],Database!A:D,3,)</f>
        <v>136520</v>
      </c>
      <c r="C822" s="39">
        <f t="shared" si="25"/>
        <v>195</v>
      </c>
      <c r="D822" s="39">
        <f t="shared" si="24"/>
        <v>105</v>
      </c>
      <c r="E822" s="27">
        <f>VLOOKUP(Table1[[#This Row],[Date]],Database!A:D,4,)</f>
        <v>4.7</v>
      </c>
      <c r="F822" s="40">
        <v>1.5463279204559236E-3</v>
      </c>
      <c r="G822" s="27">
        <f>VLOOKUP(Table1[[#This Row],[Date]],Database!A:D,2,)</f>
        <v>66.099999999999994</v>
      </c>
      <c r="H822" s="26"/>
    </row>
    <row r="823" spans="1:8" x14ac:dyDescent="0.2">
      <c r="A823" s="37">
        <v>38930</v>
      </c>
      <c r="B823" s="38">
        <f>VLOOKUP(Table1[[#This Row],[Date]],Database!A:D,3,)</f>
        <v>136694</v>
      </c>
      <c r="C823" s="39">
        <f t="shared" si="25"/>
        <v>174</v>
      </c>
      <c r="D823" s="39">
        <f t="shared" si="24"/>
        <v>150</v>
      </c>
      <c r="E823" s="27">
        <f>VLOOKUP(Table1[[#This Row],[Date]],Database!A:D,4,)</f>
        <v>4.7</v>
      </c>
      <c r="F823" s="40">
        <v>1.5463279204559236E-3</v>
      </c>
      <c r="G823" s="27">
        <f>VLOOKUP(Table1[[#This Row],[Date]],Database!A:D,2,)</f>
        <v>66.2</v>
      </c>
      <c r="H823" s="26"/>
    </row>
    <row r="824" spans="1:8" x14ac:dyDescent="0.2">
      <c r="A824" s="37">
        <v>38961</v>
      </c>
      <c r="B824" s="38">
        <f>VLOOKUP(Table1[[#This Row],[Date]],Database!A:D,3,)</f>
        <v>136843</v>
      </c>
      <c r="C824" s="39">
        <f t="shared" si="25"/>
        <v>149</v>
      </c>
      <c r="D824" s="39">
        <f t="shared" si="24"/>
        <v>172.66666666666666</v>
      </c>
      <c r="E824" s="27">
        <f>VLOOKUP(Table1[[#This Row],[Date]],Database!A:D,4,)</f>
        <v>4.5</v>
      </c>
      <c r="F824" s="40">
        <v>1.5463279204559236E-3</v>
      </c>
      <c r="G824" s="27">
        <f>VLOOKUP(Table1[[#This Row],[Date]],Database!A:D,2,)</f>
        <v>66.099999999999994</v>
      </c>
      <c r="H824" s="26"/>
    </row>
    <row r="825" spans="1:8" x14ac:dyDescent="0.2">
      <c r="A825" s="37">
        <v>38991</v>
      </c>
      <c r="B825" s="38">
        <f>VLOOKUP(Table1[[#This Row],[Date]],Database!A:D,3,)</f>
        <v>136852</v>
      </c>
      <c r="C825" s="39">
        <f t="shared" si="25"/>
        <v>9</v>
      </c>
      <c r="D825" s="39">
        <f t="shared" si="24"/>
        <v>110.66666666666667</v>
      </c>
      <c r="E825" s="27">
        <f>VLOOKUP(Table1[[#This Row],[Date]],Database!A:D,4,)</f>
        <v>4.4000000000000004</v>
      </c>
      <c r="F825" s="40">
        <v>8.5186522990965304E-3</v>
      </c>
      <c r="G825" s="27">
        <f>VLOOKUP(Table1[[#This Row],[Date]],Database!A:D,2,)</f>
        <v>66.2</v>
      </c>
      <c r="H825" s="26"/>
    </row>
    <row r="826" spans="1:8" x14ac:dyDescent="0.2">
      <c r="A826" s="37">
        <v>39022</v>
      </c>
      <c r="B826" s="38">
        <f>VLOOKUP(Table1[[#This Row],[Date]],Database!A:D,3,)</f>
        <v>137063</v>
      </c>
      <c r="C826" s="39">
        <f t="shared" si="25"/>
        <v>211</v>
      </c>
      <c r="D826" s="39">
        <f t="shared" si="24"/>
        <v>123</v>
      </c>
      <c r="E826" s="27">
        <f>VLOOKUP(Table1[[#This Row],[Date]],Database!A:D,4,)</f>
        <v>4.5</v>
      </c>
      <c r="F826" s="40">
        <v>8.5186522990965304E-3</v>
      </c>
      <c r="G826" s="27">
        <f>VLOOKUP(Table1[[#This Row],[Date]],Database!A:D,2,)</f>
        <v>66.3</v>
      </c>
      <c r="H826" s="26"/>
    </row>
    <row r="827" spans="1:8" x14ac:dyDescent="0.2">
      <c r="A827" s="37">
        <v>39052</v>
      </c>
      <c r="B827" s="38">
        <f>VLOOKUP(Table1[[#This Row],[Date]],Database!A:D,3,)</f>
        <v>137249</v>
      </c>
      <c r="C827" s="39">
        <f t="shared" si="25"/>
        <v>186</v>
      </c>
      <c r="D827" s="39">
        <f t="shared" si="24"/>
        <v>135.33333333333334</v>
      </c>
      <c r="E827" s="27">
        <f>VLOOKUP(Table1[[#This Row],[Date]],Database!A:D,4,)</f>
        <v>4.4000000000000004</v>
      </c>
      <c r="F827" s="40">
        <v>8.5186522990965304E-3</v>
      </c>
      <c r="G827" s="27">
        <f>VLOOKUP(Table1[[#This Row],[Date]],Database!A:D,2,)</f>
        <v>66.400000000000006</v>
      </c>
      <c r="H827" s="26"/>
    </row>
    <row r="828" spans="1:8" x14ac:dyDescent="0.2">
      <c r="A828" s="37">
        <v>39083</v>
      </c>
      <c r="B828" s="38">
        <f>VLOOKUP(Table1[[#This Row],[Date]],Database!A:D,3,)</f>
        <v>137477</v>
      </c>
      <c r="C828" s="39">
        <f t="shared" si="25"/>
        <v>228</v>
      </c>
      <c r="D828" s="39">
        <f t="shared" si="24"/>
        <v>208.33333333333334</v>
      </c>
      <c r="E828" s="27">
        <f>VLOOKUP(Table1[[#This Row],[Date]],Database!A:D,4,)</f>
        <v>4.5999999999999996</v>
      </c>
      <c r="F828" s="40">
        <v>2.3549310703911953E-3</v>
      </c>
      <c r="G828" s="27">
        <f>VLOOKUP(Table1[[#This Row],[Date]],Database!A:D,2,)</f>
        <v>66.400000000000006</v>
      </c>
      <c r="H828" s="26"/>
    </row>
    <row r="829" spans="1:8" x14ac:dyDescent="0.2">
      <c r="A829" s="37">
        <v>39114</v>
      </c>
      <c r="B829" s="38">
        <f>VLOOKUP(Table1[[#This Row],[Date]],Database!A:D,3,)</f>
        <v>137558</v>
      </c>
      <c r="C829" s="39">
        <f t="shared" si="25"/>
        <v>81</v>
      </c>
      <c r="D829" s="39">
        <f t="shared" si="24"/>
        <v>165</v>
      </c>
      <c r="E829" s="27">
        <f>VLOOKUP(Table1[[#This Row],[Date]],Database!A:D,4,)</f>
        <v>4.5</v>
      </c>
      <c r="F829" s="40">
        <v>2.3549310703911953E-3</v>
      </c>
      <c r="G829" s="27">
        <f>VLOOKUP(Table1[[#This Row],[Date]],Database!A:D,2,)</f>
        <v>66.3</v>
      </c>
      <c r="H829" s="26"/>
    </row>
    <row r="830" spans="1:8" x14ac:dyDescent="0.2">
      <c r="A830" s="37">
        <v>39142</v>
      </c>
      <c r="B830" s="38">
        <f>VLOOKUP(Table1[[#This Row],[Date]],Database!A:D,3,)</f>
        <v>137793</v>
      </c>
      <c r="C830" s="39">
        <f t="shared" si="25"/>
        <v>235</v>
      </c>
      <c r="D830" s="39">
        <f t="shared" si="24"/>
        <v>181.33333333333334</v>
      </c>
      <c r="E830" s="27">
        <f>VLOOKUP(Table1[[#This Row],[Date]],Database!A:D,4,)</f>
        <v>4.4000000000000004</v>
      </c>
      <c r="F830" s="40">
        <v>2.3549310703911953E-3</v>
      </c>
      <c r="G830" s="27">
        <f>VLOOKUP(Table1[[#This Row],[Date]],Database!A:D,2,)</f>
        <v>66.2</v>
      </c>
      <c r="H830" s="26"/>
    </row>
    <row r="831" spans="1:8" x14ac:dyDescent="0.2">
      <c r="A831" s="37">
        <v>39173</v>
      </c>
      <c r="B831" s="38">
        <f>VLOOKUP(Table1[[#This Row],[Date]],Database!A:D,3,)</f>
        <v>137842</v>
      </c>
      <c r="C831" s="39">
        <f t="shared" si="25"/>
        <v>49</v>
      </c>
      <c r="D831" s="39">
        <f t="shared" si="24"/>
        <v>121.66666666666667</v>
      </c>
      <c r="E831" s="27">
        <f>VLOOKUP(Table1[[#This Row],[Date]],Database!A:D,4,)</f>
        <v>4.5</v>
      </c>
      <c r="F831" s="40">
        <v>5.7287240030030736E-3</v>
      </c>
      <c r="G831" s="27">
        <f>VLOOKUP(Table1[[#This Row],[Date]],Database!A:D,2,)</f>
        <v>65.900000000000006</v>
      </c>
      <c r="H831" s="26"/>
    </row>
    <row r="832" spans="1:8" x14ac:dyDescent="0.2">
      <c r="A832" s="37">
        <v>39203</v>
      </c>
      <c r="B832" s="38">
        <f>VLOOKUP(Table1[[#This Row],[Date]],Database!A:D,3,)</f>
        <v>137993</v>
      </c>
      <c r="C832" s="39">
        <f t="shared" si="25"/>
        <v>151</v>
      </c>
      <c r="D832" s="39">
        <f t="shared" si="24"/>
        <v>145</v>
      </c>
      <c r="E832" s="27">
        <f>VLOOKUP(Table1[[#This Row],[Date]],Database!A:D,4,)</f>
        <v>4.4000000000000004</v>
      </c>
      <c r="F832" s="40">
        <v>5.7287240030030736E-3</v>
      </c>
      <c r="G832" s="27">
        <f>VLOOKUP(Table1[[#This Row],[Date]],Database!A:D,2,)</f>
        <v>66</v>
      </c>
      <c r="H832" s="26"/>
    </row>
    <row r="833" spans="1:8" x14ac:dyDescent="0.2">
      <c r="A833" s="37">
        <v>39234</v>
      </c>
      <c r="B833" s="38">
        <f>VLOOKUP(Table1[[#This Row],[Date]],Database!A:D,3,)</f>
        <v>138069</v>
      </c>
      <c r="C833" s="39">
        <f t="shared" si="25"/>
        <v>76</v>
      </c>
      <c r="D833" s="39">
        <f t="shared" si="24"/>
        <v>92</v>
      </c>
      <c r="E833" s="27">
        <f>VLOOKUP(Table1[[#This Row],[Date]],Database!A:D,4,)</f>
        <v>4.5999999999999996</v>
      </c>
      <c r="F833" s="40">
        <v>5.7287240030030736E-3</v>
      </c>
      <c r="G833" s="27">
        <f>VLOOKUP(Table1[[#This Row],[Date]],Database!A:D,2,)</f>
        <v>66</v>
      </c>
      <c r="H833" s="26"/>
    </row>
    <row r="834" spans="1:8" x14ac:dyDescent="0.2">
      <c r="A834" s="37">
        <v>39264</v>
      </c>
      <c r="B834" s="38">
        <f>VLOOKUP(Table1[[#This Row],[Date]],Database!A:D,3,)</f>
        <v>138038</v>
      </c>
      <c r="C834" s="39">
        <f t="shared" si="25"/>
        <v>-31</v>
      </c>
      <c r="D834" s="39">
        <f t="shared" si="24"/>
        <v>65.333333333333329</v>
      </c>
      <c r="E834" s="27">
        <f>VLOOKUP(Table1[[#This Row],[Date]],Database!A:D,4,)</f>
        <v>4.7</v>
      </c>
      <c r="F834" s="40">
        <v>5.4327132729670167E-3</v>
      </c>
      <c r="G834" s="27">
        <f>VLOOKUP(Table1[[#This Row],[Date]],Database!A:D,2,)</f>
        <v>66</v>
      </c>
      <c r="H834" s="26"/>
    </row>
    <row r="835" spans="1:8" x14ac:dyDescent="0.2">
      <c r="A835" s="37">
        <v>39295</v>
      </c>
      <c r="B835" s="38">
        <f>VLOOKUP(Table1[[#This Row],[Date]],Database!A:D,3,)</f>
        <v>138015</v>
      </c>
      <c r="C835" s="39">
        <f t="shared" si="25"/>
        <v>-23</v>
      </c>
      <c r="D835" s="39">
        <f t="shared" si="24"/>
        <v>7.333333333333333</v>
      </c>
      <c r="E835" s="27">
        <f>VLOOKUP(Table1[[#This Row],[Date]],Database!A:D,4,)</f>
        <v>4.5999999999999996</v>
      </c>
      <c r="F835" s="40">
        <v>5.4327132729670167E-3</v>
      </c>
      <c r="G835" s="27">
        <f>VLOOKUP(Table1[[#This Row],[Date]],Database!A:D,2,)</f>
        <v>65.8</v>
      </c>
      <c r="H835" s="26"/>
    </row>
    <row r="836" spans="1:8" x14ac:dyDescent="0.2">
      <c r="A836" s="37">
        <v>39326</v>
      </c>
      <c r="B836" s="38">
        <f>VLOOKUP(Table1[[#This Row],[Date]],Database!A:D,3,)</f>
        <v>138095</v>
      </c>
      <c r="C836" s="39">
        <f t="shared" si="25"/>
        <v>80</v>
      </c>
      <c r="D836" s="39">
        <f t="shared" si="24"/>
        <v>8.6666666666666661</v>
      </c>
      <c r="E836" s="27">
        <f>VLOOKUP(Table1[[#This Row],[Date]],Database!A:D,4,)</f>
        <v>4.7</v>
      </c>
      <c r="F836" s="40">
        <v>5.4327132729670167E-3</v>
      </c>
      <c r="G836" s="27">
        <f>VLOOKUP(Table1[[#This Row],[Date]],Database!A:D,2,)</f>
        <v>66</v>
      </c>
      <c r="H836" s="26"/>
    </row>
    <row r="837" spans="1:8" x14ac:dyDescent="0.2">
      <c r="A837" s="37">
        <v>39356</v>
      </c>
      <c r="B837" s="38">
        <f>VLOOKUP(Table1[[#This Row],[Date]],Database!A:D,3,)</f>
        <v>138174</v>
      </c>
      <c r="C837" s="39">
        <f t="shared" si="25"/>
        <v>79</v>
      </c>
      <c r="D837" s="39">
        <f t="shared" si="24"/>
        <v>45.333333333333336</v>
      </c>
      <c r="E837" s="27">
        <f>VLOOKUP(Table1[[#This Row],[Date]],Database!A:D,4,)</f>
        <v>4.7</v>
      </c>
      <c r="F837" s="40">
        <v>6.078419132304452E-3</v>
      </c>
      <c r="G837" s="27">
        <f>VLOOKUP(Table1[[#This Row],[Date]],Database!A:D,2,)</f>
        <v>65.8</v>
      </c>
      <c r="H837" s="26"/>
    </row>
    <row r="838" spans="1:8" x14ac:dyDescent="0.2">
      <c r="A838" s="37">
        <v>39387</v>
      </c>
      <c r="B838" s="38">
        <f>VLOOKUP(Table1[[#This Row],[Date]],Database!A:D,3,)</f>
        <v>138284</v>
      </c>
      <c r="C838" s="39">
        <f t="shared" si="25"/>
        <v>110</v>
      </c>
      <c r="D838" s="39">
        <f t="shared" si="24"/>
        <v>89.666666666666671</v>
      </c>
      <c r="E838" s="27">
        <f>VLOOKUP(Table1[[#This Row],[Date]],Database!A:D,4,)</f>
        <v>4.7</v>
      </c>
      <c r="F838" s="40">
        <v>6.078419132304452E-3</v>
      </c>
      <c r="G838" s="27">
        <f>VLOOKUP(Table1[[#This Row],[Date]],Database!A:D,2,)</f>
        <v>66</v>
      </c>
      <c r="H838" s="26"/>
    </row>
    <row r="839" spans="1:8" x14ac:dyDescent="0.2">
      <c r="A839" s="37">
        <v>39417</v>
      </c>
      <c r="B839" s="38">
        <f>VLOOKUP(Table1[[#This Row],[Date]],Database!A:D,3,)</f>
        <v>138392</v>
      </c>
      <c r="C839" s="39">
        <f t="shared" si="25"/>
        <v>108</v>
      </c>
      <c r="D839" s="39">
        <f t="shared" si="24"/>
        <v>99</v>
      </c>
      <c r="E839" s="27">
        <f>VLOOKUP(Table1[[#This Row],[Date]],Database!A:D,4,)</f>
        <v>5</v>
      </c>
      <c r="F839" s="40">
        <v>6.078419132304452E-3</v>
      </c>
      <c r="G839" s="27">
        <f>VLOOKUP(Table1[[#This Row],[Date]],Database!A:D,2,)</f>
        <v>66</v>
      </c>
      <c r="H839" s="26"/>
    </row>
    <row r="840" spans="1:8" x14ac:dyDescent="0.2">
      <c r="A840" s="37">
        <v>39448</v>
      </c>
      <c r="B840" s="38">
        <f>VLOOKUP(Table1[[#This Row],[Date]],Database!A:D,3,)</f>
        <v>138403</v>
      </c>
      <c r="C840" s="39">
        <f t="shared" si="25"/>
        <v>11</v>
      </c>
      <c r="D840" s="39">
        <f t="shared" si="24"/>
        <v>76.333333333333329</v>
      </c>
      <c r="E840" s="27">
        <f>VLOOKUP(Table1[[#This Row],[Date]],Database!A:D,4,)</f>
        <v>5</v>
      </c>
      <c r="F840" s="40">
        <v>-5.7469984552055422E-3</v>
      </c>
      <c r="G840" s="27">
        <f>VLOOKUP(Table1[[#This Row],[Date]],Database!A:D,2,)</f>
        <v>66.2</v>
      </c>
      <c r="H840" s="26"/>
    </row>
    <row r="841" spans="1:8" x14ac:dyDescent="0.2">
      <c r="A841" s="37">
        <v>39479</v>
      </c>
      <c r="B841" s="38">
        <f>VLOOKUP(Table1[[#This Row],[Date]],Database!A:D,3,)</f>
        <v>138324</v>
      </c>
      <c r="C841" s="39">
        <f t="shared" si="25"/>
        <v>-79</v>
      </c>
      <c r="D841" s="39">
        <f t="shared" si="24"/>
        <v>13.333333333333334</v>
      </c>
      <c r="E841" s="27">
        <f>VLOOKUP(Table1[[#This Row],[Date]],Database!A:D,4,)</f>
        <v>4.9000000000000004</v>
      </c>
      <c r="F841" s="40">
        <v>-5.7469984552055422E-3</v>
      </c>
      <c r="G841" s="27">
        <f>VLOOKUP(Table1[[#This Row],[Date]],Database!A:D,2,)</f>
        <v>66</v>
      </c>
      <c r="H841" s="26"/>
    </row>
    <row r="842" spans="1:8" x14ac:dyDescent="0.2">
      <c r="A842" s="37">
        <v>39508</v>
      </c>
      <c r="B842" s="38">
        <f>VLOOKUP(Table1[[#This Row],[Date]],Database!A:D,3,)</f>
        <v>138275</v>
      </c>
      <c r="C842" s="39">
        <f t="shared" si="25"/>
        <v>-49</v>
      </c>
      <c r="D842" s="39">
        <f t="shared" si="24"/>
        <v>-39</v>
      </c>
      <c r="E842" s="27">
        <f>VLOOKUP(Table1[[#This Row],[Date]],Database!A:D,4,)</f>
        <v>5.0999999999999996</v>
      </c>
      <c r="F842" s="40">
        <v>-5.7469984552055422E-3</v>
      </c>
      <c r="G842" s="27">
        <f>VLOOKUP(Table1[[#This Row],[Date]],Database!A:D,2,)</f>
        <v>66.099999999999994</v>
      </c>
      <c r="H842" s="26"/>
    </row>
    <row r="843" spans="1:8" x14ac:dyDescent="0.2">
      <c r="A843" s="37">
        <v>39539</v>
      </c>
      <c r="B843" s="38">
        <f>VLOOKUP(Table1[[#This Row],[Date]],Database!A:D,3,)</f>
        <v>138035</v>
      </c>
      <c r="C843" s="39">
        <f t="shared" si="25"/>
        <v>-240</v>
      </c>
      <c r="D843" s="39">
        <f t="shared" si="24"/>
        <v>-122.66666666666667</v>
      </c>
      <c r="E843" s="27">
        <f>VLOOKUP(Table1[[#This Row],[Date]],Database!A:D,4,)</f>
        <v>5</v>
      </c>
      <c r="F843" s="40">
        <v>5.1638709870086832E-3</v>
      </c>
      <c r="G843" s="27">
        <f>VLOOKUP(Table1[[#This Row],[Date]],Database!A:D,2,)</f>
        <v>65.900000000000006</v>
      </c>
      <c r="H843" s="26"/>
    </row>
    <row r="844" spans="1:8" x14ac:dyDescent="0.2">
      <c r="A844" s="37">
        <v>39569</v>
      </c>
      <c r="B844" s="38">
        <f>VLOOKUP(Table1[[#This Row],[Date]],Database!A:D,3,)</f>
        <v>137858</v>
      </c>
      <c r="C844" s="39">
        <f t="shared" si="25"/>
        <v>-177</v>
      </c>
      <c r="D844" s="39">
        <f t="shared" ref="D844:D907" si="26">AVERAGE(C842:C844)</f>
        <v>-155.33333333333334</v>
      </c>
      <c r="E844" s="27">
        <f>VLOOKUP(Table1[[#This Row],[Date]],Database!A:D,4,)</f>
        <v>5.4</v>
      </c>
      <c r="F844" s="40">
        <v>5.1638709870086832E-3</v>
      </c>
      <c r="G844" s="27">
        <f>VLOOKUP(Table1[[#This Row],[Date]],Database!A:D,2,)</f>
        <v>66.099999999999994</v>
      </c>
      <c r="H844" s="26"/>
    </row>
    <row r="845" spans="1:8" x14ac:dyDescent="0.2">
      <c r="A845" s="37">
        <v>39600</v>
      </c>
      <c r="B845" s="38">
        <f>VLOOKUP(Table1[[#This Row],[Date]],Database!A:D,3,)</f>
        <v>137687</v>
      </c>
      <c r="C845" s="39">
        <f t="shared" ref="C845:C908" si="27">B845-B844</f>
        <v>-171</v>
      </c>
      <c r="D845" s="39">
        <f t="shared" si="26"/>
        <v>-196</v>
      </c>
      <c r="E845" s="27">
        <f>VLOOKUP(Table1[[#This Row],[Date]],Database!A:D,4,)</f>
        <v>5.6</v>
      </c>
      <c r="F845" s="40">
        <v>5.1638709870086832E-3</v>
      </c>
      <c r="G845" s="27">
        <f>VLOOKUP(Table1[[#This Row],[Date]],Database!A:D,2,)</f>
        <v>66.099999999999994</v>
      </c>
      <c r="H845" s="26"/>
    </row>
    <row r="846" spans="1:8" x14ac:dyDescent="0.2">
      <c r="A846" s="37">
        <v>39630</v>
      </c>
      <c r="B846" s="38">
        <f>VLOOKUP(Table1[[#This Row],[Date]],Database!A:D,3,)</f>
        <v>137491</v>
      </c>
      <c r="C846" s="39">
        <f t="shared" si="27"/>
        <v>-196</v>
      </c>
      <c r="D846" s="39">
        <f t="shared" si="26"/>
        <v>-181.33333333333334</v>
      </c>
      <c r="E846" s="27">
        <f>VLOOKUP(Table1[[#This Row],[Date]],Database!A:D,4,)</f>
        <v>5.8</v>
      </c>
      <c r="F846" s="40">
        <v>-5.4135559055854959E-3</v>
      </c>
      <c r="G846" s="27">
        <f>VLOOKUP(Table1[[#This Row],[Date]],Database!A:D,2,)</f>
        <v>66.099999999999994</v>
      </c>
      <c r="H846" s="26"/>
    </row>
    <row r="847" spans="1:8" x14ac:dyDescent="0.2">
      <c r="A847" s="37">
        <v>39661</v>
      </c>
      <c r="B847" s="38">
        <f>VLOOKUP(Table1[[#This Row],[Date]],Database!A:D,3,)</f>
        <v>137213</v>
      </c>
      <c r="C847" s="39">
        <f t="shared" si="27"/>
        <v>-278</v>
      </c>
      <c r="D847" s="39">
        <f t="shared" si="26"/>
        <v>-215</v>
      </c>
      <c r="E847" s="27">
        <f>VLOOKUP(Table1[[#This Row],[Date]],Database!A:D,4,)</f>
        <v>6.1</v>
      </c>
      <c r="F847" s="40">
        <v>-5.4135559055854959E-3</v>
      </c>
      <c r="G847" s="27">
        <f>VLOOKUP(Table1[[#This Row],[Date]],Database!A:D,2,)</f>
        <v>66.099999999999994</v>
      </c>
      <c r="H847" s="26"/>
    </row>
    <row r="848" spans="1:8" x14ac:dyDescent="0.2">
      <c r="A848" s="37">
        <v>39692</v>
      </c>
      <c r="B848" s="38">
        <f>VLOOKUP(Table1[[#This Row],[Date]],Database!A:D,3,)</f>
        <v>136753</v>
      </c>
      <c r="C848" s="39">
        <f t="shared" si="27"/>
        <v>-460</v>
      </c>
      <c r="D848" s="39">
        <f t="shared" si="26"/>
        <v>-311.33333333333331</v>
      </c>
      <c r="E848" s="27">
        <f>VLOOKUP(Table1[[#This Row],[Date]],Database!A:D,4,)</f>
        <v>6.1</v>
      </c>
      <c r="F848" s="40">
        <v>-5.4135559055854959E-3</v>
      </c>
      <c r="G848" s="27">
        <f>VLOOKUP(Table1[[#This Row],[Date]],Database!A:D,2,)</f>
        <v>66</v>
      </c>
      <c r="H848" s="26"/>
    </row>
    <row r="849" spans="1:8" x14ac:dyDescent="0.2">
      <c r="A849" s="37">
        <v>39722</v>
      </c>
      <c r="B849" s="38">
        <f>VLOOKUP(Table1[[#This Row],[Date]],Database!A:D,3,)</f>
        <v>136272</v>
      </c>
      <c r="C849" s="39">
        <f t="shared" si="27"/>
        <v>-481</v>
      </c>
      <c r="D849" s="39">
        <f t="shared" si="26"/>
        <v>-406.33333333333331</v>
      </c>
      <c r="E849" s="27">
        <f>VLOOKUP(Table1[[#This Row],[Date]],Database!A:D,4,)</f>
        <v>6.5</v>
      </c>
      <c r="F849" s="40">
        <v>-2.1638112438909885E-2</v>
      </c>
      <c r="G849" s="27">
        <f>VLOOKUP(Table1[[#This Row],[Date]],Database!A:D,2,)</f>
        <v>66</v>
      </c>
      <c r="H849" s="26"/>
    </row>
    <row r="850" spans="1:8" x14ac:dyDescent="0.2">
      <c r="A850" s="37">
        <v>39753</v>
      </c>
      <c r="B850" s="38">
        <f>VLOOKUP(Table1[[#This Row],[Date]],Database!A:D,3,)</f>
        <v>135545</v>
      </c>
      <c r="C850" s="39">
        <f t="shared" si="27"/>
        <v>-727</v>
      </c>
      <c r="D850" s="39">
        <f t="shared" si="26"/>
        <v>-556</v>
      </c>
      <c r="E850" s="27">
        <f>VLOOKUP(Table1[[#This Row],[Date]],Database!A:D,4,)</f>
        <v>6.8</v>
      </c>
      <c r="F850" s="40">
        <v>-2.1638112438909885E-2</v>
      </c>
      <c r="G850" s="27">
        <f>VLOOKUP(Table1[[#This Row],[Date]],Database!A:D,2,)</f>
        <v>65.900000000000006</v>
      </c>
      <c r="H850" s="26"/>
    </row>
    <row r="851" spans="1:8" x14ac:dyDescent="0.2">
      <c r="A851" s="37">
        <v>39783</v>
      </c>
      <c r="B851" s="38">
        <f>VLOOKUP(Table1[[#This Row],[Date]],Database!A:D,3,)</f>
        <v>134839</v>
      </c>
      <c r="C851" s="39">
        <f t="shared" si="27"/>
        <v>-706</v>
      </c>
      <c r="D851" s="39">
        <f t="shared" si="26"/>
        <v>-638</v>
      </c>
      <c r="E851" s="27">
        <f>VLOOKUP(Table1[[#This Row],[Date]],Database!A:D,4,)</f>
        <v>7.3</v>
      </c>
      <c r="F851" s="40">
        <v>-2.1638112438909885E-2</v>
      </c>
      <c r="G851" s="27">
        <f>VLOOKUP(Table1[[#This Row],[Date]],Database!A:D,2,)</f>
        <v>65.8</v>
      </c>
      <c r="H851" s="26"/>
    </row>
    <row r="852" spans="1:8" x14ac:dyDescent="0.2">
      <c r="A852" s="37">
        <v>39814</v>
      </c>
      <c r="B852" s="38">
        <f>VLOOKUP(Table1[[#This Row],[Date]],Database!A:D,3,)</f>
        <v>134055</v>
      </c>
      <c r="C852" s="39">
        <f t="shared" si="27"/>
        <v>-784</v>
      </c>
      <c r="D852" s="39">
        <f t="shared" si="26"/>
        <v>-739</v>
      </c>
      <c r="E852" s="27">
        <f>VLOOKUP(Table1[[#This Row],[Date]],Database!A:D,4,)</f>
        <v>7.8</v>
      </c>
      <c r="F852" s="40">
        <v>-1.1226950474447855E-2</v>
      </c>
      <c r="G852" s="27">
        <f>VLOOKUP(Table1[[#This Row],[Date]],Database!A:D,2,)</f>
        <v>65.7</v>
      </c>
      <c r="H852" s="26"/>
    </row>
    <row r="853" spans="1:8" x14ac:dyDescent="0.2">
      <c r="A853" s="37">
        <v>39845</v>
      </c>
      <c r="B853" s="38">
        <f>VLOOKUP(Table1[[#This Row],[Date]],Database!A:D,3,)</f>
        <v>133312</v>
      </c>
      <c r="C853" s="39">
        <f t="shared" si="27"/>
        <v>-743</v>
      </c>
      <c r="D853" s="39">
        <f t="shared" si="26"/>
        <v>-744.33333333333337</v>
      </c>
      <c r="E853" s="27">
        <f>VLOOKUP(Table1[[#This Row],[Date]],Database!A:D,4,)</f>
        <v>8.3000000000000007</v>
      </c>
      <c r="F853" s="40">
        <v>-1.1226950474447855E-2</v>
      </c>
      <c r="G853" s="27">
        <f>VLOOKUP(Table1[[#This Row],[Date]],Database!A:D,2,)</f>
        <v>65.8</v>
      </c>
      <c r="H853" s="26"/>
    </row>
    <row r="854" spans="1:8" x14ac:dyDescent="0.2">
      <c r="A854" s="37">
        <v>39873</v>
      </c>
      <c r="B854" s="38">
        <f>VLOOKUP(Table1[[#This Row],[Date]],Database!A:D,3,)</f>
        <v>132512</v>
      </c>
      <c r="C854" s="39">
        <f t="shared" si="27"/>
        <v>-800</v>
      </c>
      <c r="D854" s="39">
        <f t="shared" si="26"/>
        <v>-775.66666666666663</v>
      </c>
      <c r="E854" s="27">
        <f>VLOOKUP(Table1[[#This Row],[Date]],Database!A:D,4,)</f>
        <v>8.6999999999999993</v>
      </c>
      <c r="F854" s="40">
        <v>-1.1226950474447855E-2</v>
      </c>
      <c r="G854" s="27">
        <f>VLOOKUP(Table1[[#This Row],[Date]],Database!A:D,2,)</f>
        <v>65.599999999999994</v>
      </c>
      <c r="H854" s="26"/>
    </row>
    <row r="855" spans="1:8" x14ac:dyDescent="0.2">
      <c r="A855" s="37">
        <v>39904</v>
      </c>
      <c r="B855" s="38">
        <f>VLOOKUP(Table1[[#This Row],[Date]],Database!A:D,3,)</f>
        <v>131817</v>
      </c>
      <c r="C855" s="39">
        <f t="shared" si="27"/>
        <v>-695</v>
      </c>
      <c r="D855" s="39">
        <f t="shared" si="26"/>
        <v>-746</v>
      </c>
      <c r="E855" s="27">
        <f>VLOOKUP(Table1[[#This Row],[Date]],Database!A:D,4,)</f>
        <v>9</v>
      </c>
      <c r="F855" s="40">
        <v>-1.4398974923363593E-3</v>
      </c>
      <c r="G855" s="27">
        <f>VLOOKUP(Table1[[#This Row],[Date]],Database!A:D,2,)</f>
        <v>65.7</v>
      </c>
      <c r="H855" s="26"/>
    </row>
    <row r="856" spans="1:8" x14ac:dyDescent="0.2">
      <c r="A856" s="37">
        <v>39934</v>
      </c>
      <c r="B856" s="38">
        <f>VLOOKUP(Table1[[#This Row],[Date]],Database!A:D,3,)</f>
        <v>131475</v>
      </c>
      <c r="C856" s="39">
        <f t="shared" si="27"/>
        <v>-342</v>
      </c>
      <c r="D856" s="39">
        <f t="shared" si="26"/>
        <v>-612.33333333333337</v>
      </c>
      <c r="E856" s="27">
        <f>VLOOKUP(Table1[[#This Row],[Date]],Database!A:D,4,)</f>
        <v>9.4</v>
      </c>
      <c r="F856" s="40">
        <v>-1.4398974923363593E-3</v>
      </c>
      <c r="G856" s="27">
        <f>VLOOKUP(Table1[[#This Row],[Date]],Database!A:D,2,)</f>
        <v>65.7</v>
      </c>
      <c r="H856" s="26"/>
    </row>
    <row r="857" spans="1:8" x14ac:dyDescent="0.2">
      <c r="A857" s="37">
        <v>39965</v>
      </c>
      <c r="B857" s="38">
        <f>VLOOKUP(Table1[[#This Row],[Date]],Database!A:D,3,)</f>
        <v>131008</v>
      </c>
      <c r="C857" s="39">
        <f t="shared" si="27"/>
        <v>-467</v>
      </c>
      <c r="D857" s="39">
        <f t="shared" si="26"/>
        <v>-501.33333333333331</v>
      </c>
      <c r="E857" s="27">
        <f>VLOOKUP(Table1[[#This Row],[Date]],Database!A:D,4,)</f>
        <v>9.5</v>
      </c>
      <c r="F857" s="40">
        <v>-1.4398974923363593E-3</v>
      </c>
      <c r="G857" s="27">
        <f>VLOOKUP(Table1[[#This Row],[Date]],Database!A:D,2,)</f>
        <v>65.7</v>
      </c>
      <c r="H857" s="26"/>
    </row>
    <row r="858" spans="1:8" x14ac:dyDescent="0.2">
      <c r="A858" s="37">
        <v>39995</v>
      </c>
      <c r="B858" s="38">
        <f>VLOOKUP(Table1[[#This Row],[Date]],Database!A:D,3,)</f>
        <v>130668</v>
      </c>
      <c r="C858" s="39">
        <f t="shared" si="27"/>
        <v>-340</v>
      </c>
      <c r="D858" s="39">
        <f t="shared" si="26"/>
        <v>-383</v>
      </c>
      <c r="E858" s="27">
        <f>VLOOKUP(Table1[[#This Row],[Date]],Database!A:D,4,)</f>
        <v>9.5</v>
      </c>
      <c r="F858" s="40">
        <v>3.6411110076656314E-3</v>
      </c>
      <c r="G858" s="27">
        <f>VLOOKUP(Table1[[#This Row],[Date]],Database!A:D,2,)</f>
        <v>65.5</v>
      </c>
      <c r="H858" s="26"/>
    </row>
    <row r="859" spans="1:8" x14ac:dyDescent="0.2">
      <c r="A859" s="37">
        <v>40026</v>
      </c>
      <c r="B859" s="38">
        <f>VLOOKUP(Table1[[#This Row],[Date]],Database!A:D,3,)</f>
        <v>130485</v>
      </c>
      <c r="C859" s="39">
        <f t="shared" si="27"/>
        <v>-183</v>
      </c>
      <c r="D859" s="39">
        <f t="shared" si="26"/>
        <v>-330</v>
      </c>
      <c r="E859" s="27">
        <f>VLOOKUP(Table1[[#This Row],[Date]],Database!A:D,4,)</f>
        <v>9.6</v>
      </c>
      <c r="F859" s="40">
        <v>3.6411110076656314E-3</v>
      </c>
      <c r="G859" s="27">
        <f>VLOOKUP(Table1[[#This Row],[Date]],Database!A:D,2,)</f>
        <v>65.400000000000006</v>
      </c>
      <c r="H859" s="26"/>
    </row>
    <row r="860" spans="1:8" x14ac:dyDescent="0.2">
      <c r="A860" s="37">
        <v>40057</v>
      </c>
      <c r="B860" s="38">
        <f>VLOOKUP(Table1[[#This Row],[Date]],Database!A:D,3,)</f>
        <v>130244</v>
      </c>
      <c r="C860" s="39">
        <f t="shared" si="27"/>
        <v>-241</v>
      </c>
      <c r="D860" s="39">
        <f t="shared" si="26"/>
        <v>-254.66666666666666</v>
      </c>
      <c r="E860" s="27">
        <f>VLOOKUP(Table1[[#This Row],[Date]],Database!A:D,4,)</f>
        <v>9.8000000000000007</v>
      </c>
      <c r="F860" s="40">
        <v>3.6411110076656314E-3</v>
      </c>
      <c r="G860" s="27">
        <f>VLOOKUP(Table1[[#This Row],[Date]],Database!A:D,2,)</f>
        <v>65.099999999999994</v>
      </c>
      <c r="H860" s="26"/>
    </row>
    <row r="861" spans="1:8" x14ac:dyDescent="0.2">
      <c r="A861" s="37">
        <v>40087</v>
      </c>
      <c r="B861" s="38">
        <f>VLOOKUP(Table1[[#This Row],[Date]],Database!A:D,3,)</f>
        <v>130045</v>
      </c>
      <c r="C861" s="39">
        <f t="shared" si="27"/>
        <v>-199</v>
      </c>
      <c r="D861" s="39">
        <f t="shared" si="26"/>
        <v>-207.66666666666666</v>
      </c>
      <c r="E861" s="27">
        <f>VLOOKUP(Table1[[#This Row],[Date]],Database!A:D,4,)</f>
        <v>10</v>
      </c>
      <c r="F861" s="40">
        <v>1.0983841042023164E-2</v>
      </c>
      <c r="G861" s="27">
        <f>VLOOKUP(Table1[[#This Row],[Date]],Database!A:D,2,)</f>
        <v>65</v>
      </c>
      <c r="H861" s="26"/>
    </row>
    <row r="862" spans="1:8" x14ac:dyDescent="0.2">
      <c r="A862" s="37">
        <v>40118</v>
      </c>
      <c r="B862" s="38">
        <f>VLOOKUP(Table1[[#This Row],[Date]],Database!A:D,3,)</f>
        <v>130057</v>
      </c>
      <c r="C862" s="39">
        <f t="shared" si="27"/>
        <v>12</v>
      </c>
      <c r="D862" s="39">
        <f t="shared" si="26"/>
        <v>-142.66666666666666</v>
      </c>
      <c r="E862" s="27">
        <f>VLOOKUP(Table1[[#This Row],[Date]],Database!A:D,4,)</f>
        <v>9.9</v>
      </c>
      <c r="F862" s="40">
        <v>1.0983841042023164E-2</v>
      </c>
      <c r="G862" s="27">
        <f>VLOOKUP(Table1[[#This Row],[Date]],Database!A:D,2,)</f>
        <v>65</v>
      </c>
      <c r="H862" s="26"/>
    </row>
    <row r="863" spans="1:8" x14ac:dyDescent="0.2">
      <c r="A863" s="37">
        <v>40148</v>
      </c>
      <c r="B863" s="38">
        <f>VLOOKUP(Table1[[#This Row],[Date]],Database!A:D,3,)</f>
        <v>129788</v>
      </c>
      <c r="C863" s="39">
        <f t="shared" si="27"/>
        <v>-269</v>
      </c>
      <c r="D863" s="39">
        <f t="shared" si="26"/>
        <v>-152</v>
      </c>
      <c r="E863" s="27">
        <f>VLOOKUP(Table1[[#This Row],[Date]],Database!A:D,4,)</f>
        <v>9.9</v>
      </c>
      <c r="F863" s="40">
        <v>1.0983841042023164E-2</v>
      </c>
      <c r="G863" s="27">
        <f>VLOOKUP(Table1[[#This Row],[Date]],Database!A:D,2,)</f>
        <v>64.599999999999994</v>
      </c>
      <c r="H863" s="26"/>
    </row>
    <row r="864" spans="1:8" x14ac:dyDescent="0.2">
      <c r="A864" s="37">
        <v>40179</v>
      </c>
      <c r="B864" s="38">
        <f>VLOOKUP(Table1[[#This Row],[Date]],Database!A:D,3,)</f>
        <v>129790</v>
      </c>
      <c r="C864" s="39">
        <f t="shared" si="27"/>
        <v>2</v>
      </c>
      <c r="D864" s="39">
        <f t="shared" si="26"/>
        <v>-85</v>
      </c>
      <c r="E864" s="27">
        <f>VLOOKUP(Table1[[#This Row],[Date]],Database!A:D,4,)</f>
        <v>9.8000000000000007</v>
      </c>
      <c r="F864" s="40">
        <v>3.8477973969621325E-3</v>
      </c>
      <c r="G864" s="27">
        <f>VLOOKUP(Table1[[#This Row],[Date]],Database!A:D,2,)</f>
        <v>64.8</v>
      </c>
      <c r="H864" s="26"/>
    </row>
    <row r="865" spans="1:8" x14ac:dyDescent="0.2">
      <c r="A865" s="37">
        <v>40210</v>
      </c>
      <c r="B865" s="38">
        <f>VLOOKUP(Table1[[#This Row],[Date]],Database!A:D,3,)</f>
        <v>129698</v>
      </c>
      <c r="C865" s="39">
        <f t="shared" si="27"/>
        <v>-92</v>
      </c>
      <c r="D865" s="39">
        <f t="shared" si="26"/>
        <v>-119.66666666666667</v>
      </c>
      <c r="E865" s="27">
        <f>VLOOKUP(Table1[[#This Row],[Date]],Database!A:D,4,)</f>
        <v>9.8000000000000007</v>
      </c>
      <c r="F865" s="40">
        <v>3.8477973969621325E-3</v>
      </c>
      <c r="G865" s="27">
        <f>VLOOKUP(Table1[[#This Row],[Date]],Database!A:D,2,)</f>
        <v>64.900000000000006</v>
      </c>
      <c r="H865" s="26"/>
    </row>
    <row r="866" spans="1:8" x14ac:dyDescent="0.2">
      <c r="A866" s="37">
        <v>40238</v>
      </c>
      <c r="B866" s="38">
        <f>VLOOKUP(Table1[[#This Row],[Date]],Database!A:D,3,)</f>
        <v>129879</v>
      </c>
      <c r="C866" s="39">
        <f t="shared" si="27"/>
        <v>181</v>
      </c>
      <c r="D866" s="39">
        <f t="shared" si="26"/>
        <v>30.333333333333332</v>
      </c>
      <c r="E866" s="27">
        <f>VLOOKUP(Table1[[#This Row],[Date]],Database!A:D,4,)</f>
        <v>9.9</v>
      </c>
      <c r="F866" s="40">
        <v>3.8477973969621325E-3</v>
      </c>
      <c r="G866" s="27">
        <f>VLOOKUP(Table1[[#This Row],[Date]],Database!A:D,2,)</f>
        <v>64.900000000000006</v>
      </c>
      <c r="H866" s="26"/>
    </row>
    <row r="867" spans="1:8" x14ac:dyDescent="0.2">
      <c r="A867" s="37">
        <v>40269</v>
      </c>
      <c r="B867" s="38">
        <f>VLOOKUP(Table1[[#This Row],[Date]],Database!A:D,3,)</f>
        <v>130110</v>
      </c>
      <c r="C867" s="39">
        <f t="shared" si="27"/>
        <v>231</v>
      </c>
      <c r="D867" s="39">
        <f t="shared" si="26"/>
        <v>106.66666666666667</v>
      </c>
      <c r="E867" s="27">
        <f>VLOOKUP(Table1[[#This Row],[Date]],Database!A:D,4,)</f>
        <v>9.9</v>
      </c>
      <c r="F867" s="40">
        <v>9.2202830398286622E-3</v>
      </c>
      <c r="G867" s="27">
        <f>VLOOKUP(Table1[[#This Row],[Date]],Database!A:D,2,)</f>
        <v>65.2</v>
      </c>
      <c r="H867" s="26"/>
    </row>
    <row r="868" spans="1:8" x14ac:dyDescent="0.2">
      <c r="A868" s="37">
        <v>40299</v>
      </c>
      <c r="B868" s="38">
        <f>VLOOKUP(Table1[[#This Row],[Date]],Database!A:D,3,)</f>
        <v>130650</v>
      </c>
      <c r="C868" s="39">
        <f t="shared" si="27"/>
        <v>540</v>
      </c>
      <c r="D868" s="39">
        <f t="shared" si="26"/>
        <v>317.33333333333331</v>
      </c>
      <c r="E868" s="27">
        <f>VLOOKUP(Table1[[#This Row],[Date]],Database!A:D,4,)</f>
        <v>9.6</v>
      </c>
      <c r="F868" s="40">
        <v>9.2202830398286622E-3</v>
      </c>
      <c r="G868" s="27">
        <f>VLOOKUP(Table1[[#This Row],[Date]],Database!A:D,2,)</f>
        <v>64.900000000000006</v>
      </c>
      <c r="H868" s="26"/>
    </row>
    <row r="869" spans="1:8" x14ac:dyDescent="0.2">
      <c r="A869" s="37">
        <v>40330</v>
      </c>
      <c r="B869" s="38">
        <f>VLOOKUP(Table1[[#This Row],[Date]],Database!A:D,3,)</f>
        <v>130511</v>
      </c>
      <c r="C869" s="39">
        <f t="shared" si="27"/>
        <v>-139</v>
      </c>
      <c r="D869" s="39">
        <f t="shared" si="26"/>
        <v>210.66666666666666</v>
      </c>
      <c r="E869" s="27">
        <f>VLOOKUP(Table1[[#This Row],[Date]],Database!A:D,4,)</f>
        <v>9.4</v>
      </c>
      <c r="F869" s="40">
        <v>9.2202830398286622E-3</v>
      </c>
      <c r="G869" s="27">
        <f>VLOOKUP(Table1[[#This Row],[Date]],Database!A:D,2,)</f>
        <v>64.599999999999994</v>
      </c>
      <c r="H869" s="26"/>
    </row>
    <row r="870" spans="1:8" x14ac:dyDescent="0.2">
      <c r="A870" s="37">
        <v>40360</v>
      </c>
      <c r="B870" s="38">
        <f>VLOOKUP(Table1[[#This Row],[Date]],Database!A:D,3,)</f>
        <v>130427</v>
      </c>
      <c r="C870" s="39">
        <f t="shared" si="27"/>
        <v>-84</v>
      </c>
      <c r="D870" s="39">
        <f t="shared" si="26"/>
        <v>105.66666666666667</v>
      </c>
      <c r="E870" s="27">
        <f>VLOOKUP(Table1[[#This Row],[Date]],Database!A:D,4,)</f>
        <v>9.4</v>
      </c>
      <c r="F870" s="40">
        <v>7.3721127418378231E-3</v>
      </c>
      <c r="G870" s="27">
        <f>VLOOKUP(Table1[[#This Row],[Date]],Database!A:D,2,)</f>
        <v>64.599999999999994</v>
      </c>
      <c r="H870" s="26"/>
    </row>
    <row r="871" spans="1:8" x14ac:dyDescent="0.2">
      <c r="A871" s="37">
        <v>40391</v>
      </c>
      <c r="B871" s="38">
        <f>VLOOKUP(Table1[[#This Row],[Date]],Database!A:D,3,)</f>
        <v>130422</v>
      </c>
      <c r="C871" s="39">
        <f t="shared" si="27"/>
        <v>-5</v>
      </c>
      <c r="D871" s="39">
        <f t="shared" si="26"/>
        <v>-76</v>
      </c>
      <c r="E871" s="27">
        <f>VLOOKUP(Table1[[#This Row],[Date]],Database!A:D,4,)</f>
        <v>9.5</v>
      </c>
      <c r="F871" s="40">
        <v>7.3721127418378231E-3</v>
      </c>
      <c r="G871" s="27">
        <f>VLOOKUP(Table1[[#This Row],[Date]],Database!A:D,2,)</f>
        <v>64.7</v>
      </c>
      <c r="H871" s="26"/>
    </row>
    <row r="872" spans="1:8" x14ac:dyDescent="0.2">
      <c r="A872" s="37">
        <v>40422</v>
      </c>
      <c r="B872" s="38">
        <f>VLOOKUP(Table1[[#This Row],[Date]],Database!A:D,3,)</f>
        <v>130357</v>
      </c>
      <c r="C872" s="39">
        <f t="shared" si="27"/>
        <v>-65</v>
      </c>
      <c r="D872" s="39">
        <f t="shared" si="26"/>
        <v>-51.333333333333336</v>
      </c>
      <c r="E872" s="27">
        <f>VLOOKUP(Table1[[#This Row],[Date]],Database!A:D,4,)</f>
        <v>9.5</v>
      </c>
      <c r="F872" s="40">
        <v>7.3721127418378231E-3</v>
      </c>
      <c r="G872" s="27">
        <f>VLOOKUP(Table1[[#This Row],[Date]],Database!A:D,2,)</f>
        <v>64.599999999999994</v>
      </c>
      <c r="H872" s="26"/>
    </row>
    <row r="873" spans="1:8" x14ac:dyDescent="0.2">
      <c r="A873" s="37">
        <v>40452</v>
      </c>
      <c r="B873" s="38">
        <f>VLOOKUP(Table1[[#This Row],[Date]],Database!A:D,3,)</f>
        <v>130625</v>
      </c>
      <c r="C873" s="39">
        <f t="shared" si="27"/>
        <v>268</v>
      </c>
      <c r="D873" s="39">
        <f t="shared" si="26"/>
        <v>66</v>
      </c>
      <c r="E873" s="27">
        <f>VLOOKUP(Table1[[#This Row],[Date]],Database!A:D,4,)</f>
        <v>9.4</v>
      </c>
      <c r="F873" s="40">
        <v>5.0190253718629856E-3</v>
      </c>
      <c r="G873" s="27">
        <f>VLOOKUP(Table1[[#This Row],[Date]],Database!A:D,2,)</f>
        <v>64.400000000000006</v>
      </c>
      <c r="H873" s="26"/>
    </row>
    <row r="874" spans="1:8" x14ac:dyDescent="0.2">
      <c r="A874" s="37">
        <v>40483</v>
      </c>
      <c r="B874" s="38">
        <f>VLOOKUP(Table1[[#This Row],[Date]],Database!A:D,3,)</f>
        <v>130750</v>
      </c>
      <c r="C874" s="39">
        <f t="shared" si="27"/>
        <v>125</v>
      </c>
      <c r="D874" s="39">
        <f t="shared" si="26"/>
        <v>109.33333333333333</v>
      </c>
      <c r="E874" s="27">
        <f>VLOOKUP(Table1[[#This Row],[Date]],Database!A:D,4,)</f>
        <v>9.8000000000000007</v>
      </c>
      <c r="F874" s="40">
        <v>5.0190253718629856E-3</v>
      </c>
      <c r="G874" s="27">
        <f>VLOOKUP(Table1[[#This Row],[Date]],Database!A:D,2,)</f>
        <v>64.599999999999994</v>
      </c>
      <c r="H874" s="26"/>
    </row>
    <row r="875" spans="1:8" x14ac:dyDescent="0.2">
      <c r="A875" s="37">
        <v>40513</v>
      </c>
      <c r="B875" s="38">
        <f>VLOOKUP(Table1[[#This Row],[Date]],Database!A:D,3,)</f>
        <v>130822</v>
      </c>
      <c r="C875" s="39">
        <f t="shared" si="27"/>
        <v>72</v>
      </c>
      <c r="D875" s="39">
        <f t="shared" si="26"/>
        <v>155</v>
      </c>
      <c r="E875" s="27">
        <f>VLOOKUP(Table1[[#This Row],[Date]],Database!A:D,4,)</f>
        <v>9.3000000000000007</v>
      </c>
      <c r="F875" s="40">
        <v>5.0190253718629856E-3</v>
      </c>
      <c r="G875" s="27">
        <f>VLOOKUP(Table1[[#This Row],[Date]],Database!A:D,2,)</f>
        <v>64.3</v>
      </c>
      <c r="H875" s="26"/>
    </row>
    <row r="876" spans="1:8" x14ac:dyDescent="0.2">
      <c r="A876" s="37">
        <v>40544</v>
      </c>
      <c r="B876" s="38">
        <f>VLOOKUP(Table1[[#This Row],[Date]],Database!A:D,3,)</f>
        <v>130841</v>
      </c>
      <c r="C876" s="39">
        <f t="shared" si="27"/>
        <v>19</v>
      </c>
      <c r="D876" s="39">
        <f t="shared" si="26"/>
        <v>72</v>
      </c>
      <c r="E876" s="27">
        <f>VLOOKUP(Table1[[#This Row],[Date]],Database!A:D,4,)</f>
        <v>9.1</v>
      </c>
      <c r="F876" s="40">
        <v>-2.4044125233125152E-3</v>
      </c>
      <c r="G876" s="27">
        <f>VLOOKUP(Table1[[#This Row],[Date]],Database!A:D,2,)</f>
        <v>64.2</v>
      </c>
      <c r="H876" s="26"/>
    </row>
    <row r="877" spans="1:8" x14ac:dyDescent="0.2">
      <c r="A877" s="37">
        <v>40575</v>
      </c>
      <c r="B877" s="38">
        <f>VLOOKUP(Table1[[#This Row],[Date]],Database!A:D,3,)</f>
        <v>131053</v>
      </c>
      <c r="C877" s="39">
        <f t="shared" si="27"/>
        <v>212</v>
      </c>
      <c r="D877" s="39">
        <f t="shared" si="26"/>
        <v>101</v>
      </c>
      <c r="E877" s="27">
        <f>VLOOKUP(Table1[[#This Row],[Date]],Database!A:D,4,)</f>
        <v>9</v>
      </c>
      <c r="F877" s="40">
        <v>-2.4044125233125152E-3</v>
      </c>
      <c r="G877" s="27">
        <f>VLOOKUP(Table1[[#This Row],[Date]],Database!A:D,2,)</f>
        <v>64.099999999999994</v>
      </c>
      <c r="H877" s="26"/>
    </row>
    <row r="878" spans="1:8" x14ac:dyDescent="0.2">
      <c r="A878" s="37">
        <v>40603</v>
      </c>
      <c r="B878" s="38">
        <f>VLOOKUP(Table1[[#This Row],[Date]],Database!A:D,3,)</f>
        <v>131288</v>
      </c>
      <c r="C878" s="39">
        <f t="shared" si="27"/>
        <v>235</v>
      </c>
      <c r="D878" s="39">
        <f t="shared" si="26"/>
        <v>155.33333333333334</v>
      </c>
      <c r="E878" s="27">
        <f>VLOOKUP(Table1[[#This Row],[Date]],Database!A:D,4,)</f>
        <v>9</v>
      </c>
      <c r="F878" s="40">
        <v>-2.4044125233125152E-3</v>
      </c>
      <c r="G878" s="27">
        <f>VLOOKUP(Table1[[#This Row],[Date]],Database!A:D,2,)</f>
        <v>64.2</v>
      </c>
      <c r="H878" s="26"/>
    </row>
    <row r="879" spans="1:8" x14ac:dyDescent="0.2">
      <c r="A879" s="37">
        <v>40634</v>
      </c>
      <c r="B879" s="38">
        <f>VLOOKUP(Table1[[#This Row],[Date]],Database!A:D,3,)</f>
        <v>131602</v>
      </c>
      <c r="C879" s="39">
        <f t="shared" si="27"/>
        <v>314</v>
      </c>
      <c r="D879" s="39">
        <f t="shared" si="26"/>
        <v>253.66666666666666</v>
      </c>
      <c r="E879" s="27">
        <f>VLOOKUP(Table1[[#This Row],[Date]],Database!A:D,4,)</f>
        <v>9.1</v>
      </c>
      <c r="F879" s="40">
        <v>7.1497332676371522E-3</v>
      </c>
      <c r="G879" s="27">
        <f>VLOOKUP(Table1[[#This Row],[Date]],Database!A:D,2,)</f>
        <v>64.2</v>
      </c>
      <c r="H879" s="26"/>
    </row>
    <row r="880" spans="1:8" x14ac:dyDescent="0.2">
      <c r="A880" s="37">
        <v>40664</v>
      </c>
      <c r="B880" s="38">
        <f>VLOOKUP(Table1[[#This Row],[Date]],Database!A:D,3,)</f>
        <v>131703</v>
      </c>
      <c r="C880" s="39">
        <f t="shared" si="27"/>
        <v>101</v>
      </c>
      <c r="D880" s="39">
        <f t="shared" si="26"/>
        <v>216.66666666666666</v>
      </c>
      <c r="E880" s="27">
        <f>VLOOKUP(Table1[[#This Row],[Date]],Database!A:D,4,)</f>
        <v>9</v>
      </c>
      <c r="F880" s="40">
        <v>7.1497332676371522E-3</v>
      </c>
      <c r="G880" s="27">
        <f>VLOOKUP(Table1[[#This Row],[Date]],Database!A:D,2,)</f>
        <v>64.099999999999994</v>
      </c>
      <c r="H880" s="26"/>
    </row>
    <row r="881" spans="1:8" x14ac:dyDescent="0.2">
      <c r="A881" s="37">
        <v>40695</v>
      </c>
      <c r="B881" s="38">
        <f>VLOOKUP(Table1[[#This Row],[Date]],Database!A:D,3,)</f>
        <v>131939</v>
      </c>
      <c r="C881" s="39">
        <f t="shared" si="27"/>
        <v>236</v>
      </c>
      <c r="D881" s="39">
        <f t="shared" si="26"/>
        <v>217</v>
      </c>
      <c r="E881" s="27">
        <f>VLOOKUP(Table1[[#This Row],[Date]],Database!A:D,4,)</f>
        <v>9.1</v>
      </c>
      <c r="F881" s="40">
        <v>7.1497332676371522E-3</v>
      </c>
      <c r="G881" s="27">
        <f>VLOOKUP(Table1[[#This Row],[Date]],Database!A:D,2,)</f>
        <v>64</v>
      </c>
      <c r="H881" s="26"/>
    </row>
    <row r="882" spans="1:8" x14ac:dyDescent="0.2">
      <c r="A882" s="37">
        <v>40725</v>
      </c>
      <c r="B882" s="38">
        <f>VLOOKUP(Table1[[#This Row],[Date]],Database!A:D,3,)</f>
        <v>131999</v>
      </c>
      <c r="C882" s="39">
        <f t="shared" si="27"/>
        <v>60</v>
      </c>
      <c r="D882" s="39">
        <f t="shared" si="26"/>
        <v>132.33333333333334</v>
      </c>
      <c r="E882" s="27">
        <f>VLOOKUP(Table1[[#This Row],[Date]],Database!A:D,4,)</f>
        <v>9</v>
      </c>
      <c r="F882" s="40">
        <v>-2.7778662448548944E-4</v>
      </c>
      <c r="G882" s="27">
        <f>VLOOKUP(Table1[[#This Row],[Date]],Database!A:D,2,)</f>
        <v>64</v>
      </c>
      <c r="H882" s="26"/>
    </row>
    <row r="883" spans="1:8" x14ac:dyDescent="0.2">
      <c r="A883" s="37">
        <v>40756</v>
      </c>
      <c r="B883" s="38">
        <f>VLOOKUP(Table1[[#This Row],[Date]],Database!A:D,3,)</f>
        <v>132125</v>
      </c>
      <c r="C883" s="39">
        <f t="shared" si="27"/>
        <v>126</v>
      </c>
      <c r="D883" s="39">
        <f t="shared" si="26"/>
        <v>140.66666666666666</v>
      </c>
      <c r="E883" s="27">
        <f>VLOOKUP(Table1[[#This Row],[Date]],Database!A:D,4,)</f>
        <v>9</v>
      </c>
      <c r="F883" s="40">
        <v>-2.7778662448548944E-4</v>
      </c>
      <c r="G883" s="27">
        <f>VLOOKUP(Table1[[#This Row],[Date]],Database!A:D,2,)</f>
        <v>64.099999999999994</v>
      </c>
      <c r="H883" s="26"/>
    </row>
    <row r="884" spans="1:8" x14ac:dyDescent="0.2">
      <c r="A884" s="37">
        <v>40787</v>
      </c>
      <c r="B884" s="38">
        <f>VLOOKUP(Table1[[#This Row],[Date]],Database!A:D,3,)</f>
        <v>132358</v>
      </c>
      <c r="C884" s="39">
        <f t="shared" si="27"/>
        <v>233</v>
      </c>
      <c r="D884" s="39">
        <f t="shared" si="26"/>
        <v>139.66666666666666</v>
      </c>
      <c r="E884" s="27">
        <f>VLOOKUP(Table1[[#This Row],[Date]],Database!A:D,4,)</f>
        <v>9</v>
      </c>
      <c r="F884" s="40">
        <v>-2.7778662448548944E-4</v>
      </c>
      <c r="G884" s="27">
        <f>VLOOKUP(Table1[[#This Row],[Date]],Database!A:D,2,)</f>
        <v>64.2</v>
      </c>
      <c r="H884" s="26"/>
    </row>
    <row r="885" spans="1:8" x14ac:dyDescent="0.2">
      <c r="A885" s="37">
        <v>40817</v>
      </c>
      <c r="B885" s="38">
        <f>VLOOKUP(Table1[[#This Row],[Date]],Database!A:D,3,)</f>
        <v>132562</v>
      </c>
      <c r="C885" s="39">
        <f t="shared" si="27"/>
        <v>204</v>
      </c>
      <c r="D885" s="39">
        <f t="shared" si="26"/>
        <v>187.66666666666666</v>
      </c>
      <c r="E885" s="27">
        <f>VLOOKUP(Table1[[#This Row],[Date]],Database!A:D,4,)</f>
        <v>8.8000000000000007</v>
      </c>
      <c r="F885" s="40">
        <v>1.1592849873899337E-2</v>
      </c>
      <c r="G885" s="27">
        <f>VLOOKUP(Table1[[#This Row],[Date]],Database!A:D,2,)</f>
        <v>64.099999999999994</v>
      </c>
      <c r="H885" s="26"/>
    </row>
    <row r="886" spans="1:8" x14ac:dyDescent="0.2">
      <c r="A886" s="37">
        <v>40848</v>
      </c>
      <c r="B886" s="38">
        <f>VLOOKUP(Table1[[#This Row],[Date]],Database!A:D,3,)</f>
        <v>132694</v>
      </c>
      <c r="C886" s="39">
        <f t="shared" si="27"/>
        <v>132</v>
      </c>
      <c r="D886" s="39">
        <f t="shared" si="26"/>
        <v>189.66666666666666</v>
      </c>
      <c r="E886" s="27">
        <f>VLOOKUP(Table1[[#This Row],[Date]],Database!A:D,4,)</f>
        <v>8.6</v>
      </c>
      <c r="F886" s="40">
        <v>1.1592849873899337E-2</v>
      </c>
      <c r="G886" s="27">
        <f>VLOOKUP(Table1[[#This Row],[Date]],Database!A:D,2,)</f>
        <v>64.099999999999994</v>
      </c>
      <c r="H886" s="26"/>
    </row>
    <row r="887" spans="1:8" x14ac:dyDescent="0.2">
      <c r="A887" s="37">
        <v>40878</v>
      </c>
      <c r="B887" s="38">
        <f>VLOOKUP(Table1[[#This Row],[Date]],Database!A:D,3,)</f>
        <v>132896</v>
      </c>
      <c r="C887" s="39">
        <f t="shared" si="27"/>
        <v>202</v>
      </c>
      <c r="D887" s="39">
        <f t="shared" si="26"/>
        <v>179.33333333333334</v>
      </c>
      <c r="E887" s="27">
        <f>VLOOKUP(Table1[[#This Row],[Date]],Database!A:D,4,)</f>
        <v>8.5</v>
      </c>
      <c r="F887" s="40">
        <v>1.1592849873899337E-2</v>
      </c>
      <c r="G887" s="27">
        <f>VLOOKUP(Table1[[#This Row],[Date]],Database!A:D,2,)</f>
        <v>64</v>
      </c>
      <c r="H887" s="26"/>
    </row>
    <row r="888" spans="1:8" x14ac:dyDescent="0.2">
      <c r="A888" s="37">
        <v>40909</v>
      </c>
      <c r="B888" s="38">
        <f>VLOOKUP(Table1[[#This Row],[Date]],Database!A:D,3,)</f>
        <v>133250</v>
      </c>
      <c r="C888" s="39">
        <f t="shared" si="27"/>
        <v>354</v>
      </c>
      <c r="D888" s="39">
        <f t="shared" si="26"/>
        <v>229.33333333333334</v>
      </c>
      <c r="E888" s="27">
        <f>VLOOKUP(Table1[[#This Row],[Date]],Database!A:D,4,)</f>
        <v>8.3000000000000007</v>
      </c>
      <c r="F888" s="40">
        <v>7.8299276554449244E-3</v>
      </c>
      <c r="G888" s="27">
        <f>VLOOKUP(Table1[[#This Row],[Date]],Database!A:D,2,)</f>
        <v>63.7</v>
      </c>
      <c r="H888" s="26"/>
    </row>
    <row r="889" spans="1:8" x14ac:dyDescent="0.2">
      <c r="A889" s="37">
        <v>40940</v>
      </c>
      <c r="B889" s="38">
        <f>VLOOKUP(Table1[[#This Row],[Date]],Database!A:D,3,)</f>
        <v>133512</v>
      </c>
      <c r="C889" s="39">
        <f t="shared" si="27"/>
        <v>262</v>
      </c>
      <c r="D889" s="39">
        <f t="shared" si="26"/>
        <v>272.66666666666669</v>
      </c>
      <c r="E889" s="27">
        <f>VLOOKUP(Table1[[#This Row],[Date]],Database!A:D,4,)</f>
        <v>8.3000000000000007</v>
      </c>
      <c r="F889" s="40">
        <v>7.8299276554449244E-3</v>
      </c>
      <c r="G889" s="27">
        <f>VLOOKUP(Table1[[#This Row],[Date]],Database!A:D,2,)</f>
        <v>63.8</v>
      </c>
      <c r="H889" s="26"/>
    </row>
    <row r="890" spans="1:8" x14ac:dyDescent="0.2">
      <c r="A890" s="37">
        <v>40969</v>
      </c>
      <c r="B890" s="38">
        <f>VLOOKUP(Table1[[#This Row],[Date]],Database!A:D,3,)</f>
        <v>133752</v>
      </c>
      <c r="C890" s="39">
        <f t="shared" si="27"/>
        <v>240</v>
      </c>
      <c r="D890" s="39">
        <f t="shared" si="26"/>
        <v>285.33333333333331</v>
      </c>
      <c r="E890" s="27">
        <f>VLOOKUP(Table1[[#This Row],[Date]],Database!A:D,4,)</f>
        <v>8.1999999999999993</v>
      </c>
      <c r="F890" s="40">
        <v>7.8299276554449244E-3</v>
      </c>
      <c r="G890" s="27">
        <f>VLOOKUP(Table1[[#This Row],[Date]],Database!A:D,2,)</f>
        <v>63.8</v>
      </c>
      <c r="H890" s="26"/>
    </row>
    <row r="891" spans="1:8" x14ac:dyDescent="0.2">
      <c r="A891" s="37">
        <v>41000</v>
      </c>
      <c r="B891" s="38">
        <f>VLOOKUP(Table1[[#This Row],[Date]],Database!A:D,3,)</f>
        <v>133834</v>
      </c>
      <c r="C891" s="39">
        <f t="shared" si="27"/>
        <v>82</v>
      </c>
      <c r="D891" s="39">
        <f t="shared" si="26"/>
        <v>194.66666666666666</v>
      </c>
      <c r="E891" s="27">
        <f>VLOOKUP(Table1[[#This Row],[Date]],Database!A:D,4,)</f>
        <v>8.1999999999999993</v>
      </c>
      <c r="F891" s="40">
        <v>4.3020151130066216E-3</v>
      </c>
      <c r="G891" s="27">
        <f>VLOOKUP(Table1[[#This Row],[Date]],Database!A:D,2,)</f>
        <v>63.7</v>
      </c>
      <c r="H891" s="26"/>
    </row>
    <row r="892" spans="1:8" x14ac:dyDescent="0.2">
      <c r="A892" s="37">
        <v>41030</v>
      </c>
      <c r="B892" s="38">
        <f>VLOOKUP(Table1[[#This Row],[Date]],Database!A:D,3,)</f>
        <v>133934</v>
      </c>
      <c r="C892" s="39">
        <f t="shared" si="27"/>
        <v>100</v>
      </c>
      <c r="D892" s="39">
        <f t="shared" si="26"/>
        <v>140.66666666666666</v>
      </c>
      <c r="E892" s="27">
        <f>VLOOKUP(Table1[[#This Row],[Date]],Database!A:D,4,)</f>
        <v>8.1999999999999993</v>
      </c>
      <c r="F892" s="40">
        <v>4.3020151130066216E-3</v>
      </c>
      <c r="G892" s="27">
        <f>VLOOKUP(Table1[[#This Row],[Date]],Database!A:D,2,)</f>
        <v>63.7</v>
      </c>
      <c r="H892" s="26"/>
    </row>
    <row r="893" spans="1:8" x14ac:dyDescent="0.2">
      <c r="A893" s="37">
        <v>41061</v>
      </c>
      <c r="B893" s="38">
        <f>VLOOKUP(Table1[[#This Row],[Date]],Database!A:D,3,)</f>
        <v>134007</v>
      </c>
      <c r="C893" s="39">
        <f t="shared" si="27"/>
        <v>73</v>
      </c>
      <c r="D893" s="39">
        <f t="shared" si="26"/>
        <v>85</v>
      </c>
      <c r="E893" s="27">
        <f>VLOOKUP(Table1[[#This Row],[Date]],Database!A:D,4,)</f>
        <v>8.1999999999999993</v>
      </c>
      <c r="F893" s="40">
        <v>4.3020151130066216E-3</v>
      </c>
      <c r="G893" s="27">
        <f>VLOOKUP(Table1[[#This Row],[Date]],Database!A:D,2,)</f>
        <v>63.8</v>
      </c>
      <c r="H893" s="26"/>
    </row>
    <row r="894" spans="1:8" x14ac:dyDescent="0.2">
      <c r="A894" s="37">
        <v>41091</v>
      </c>
      <c r="B894" s="38">
        <f>VLOOKUP(Table1[[#This Row],[Date]],Database!A:D,3,)</f>
        <v>134159</v>
      </c>
      <c r="C894" s="39">
        <f t="shared" si="27"/>
        <v>152</v>
      </c>
      <c r="D894" s="39">
        <f t="shared" si="26"/>
        <v>108.33333333333333</v>
      </c>
      <c r="E894" s="27">
        <f>VLOOKUP(Table1[[#This Row],[Date]],Database!A:D,4,)</f>
        <v>8.1999999999999993</v>
      </c>
      <c r="F894" s="40">
        <v>1.3494820945763946E-3</v>
      </c>
      <c r="G894" s="27">
        <f>VLOOKUP(Table1[[#This Row],[Date]],Database!A:D,2,)</f>
        <v>63.7</v>
      </c>
      <c r="H894" s="26"/>
    </row>
    <row r="895" spans="1:8" x14ac:dyDescent="0.2">
      <c r="A895" s="37">
        <v>41122</v>
      </c>
      <c r="B895" s="38">
        <f>VLOOKUP(Table1[[#This Row],[Date]],Database!A:D,3,)</f>
        <v>134331</v>
      </c>
      <c r="C895" s="39">
        <f t="shared" si="27"/>
        <v>172</v>
      </c>
      <c r="D895" s="39">
        <f t="shared" si="26"/>
        <v>132.33333333333334</v>
      </c>
      <c r="E895" s="27">
        <f>VLOOKUP(Table1[[#This Row],[Date]],Database!A:D,4,)</f>
        <v>8.1</v>
      </c>
      <c r="F895" s="40">
        <v>1.3494820945763946E-3</v>
      </c>
      <c r="G895" s="27">
        <f>VLOOKUP(Table1[[#This Row],[Date]],Database!A:D,2,)</f>
        <v>63.5</v>
      </c>
      <c r="H895" s="26"/>
    </row>
    <row r="896" spans="1:8" x14ac:dyDescent="0.2">
      <c r="A896" s="37">
        <v>41153</v>
      </c>
      <c r="B896" s="38">
        <f>VLOOKUP(Table1[[#This Row],[Date]],Database!A:D,3,)</f>
        <v>134518</v>
      </c>
      <c r="C896" s="39">
        <f t="shared" si="27"/>
        <v>187</v>
      </c>
      <c r="D896" s="39">
        <f t="shared" si="26"/>
        <v>170.33333333333334</v>
      </c>
      <c r="E896" s="27">
        <f>VLOOKUP(Table1[[#This Row],[Date]],Database!A:D,4,)</f>
        <v>7.8</v>
      </c>
      <c r="F896" s="40">
        <v>1.3494820945763946E-3</v>
      </c>
      <c r="G896" s="27">
        <f>VLOOKUP(Table1[[#This Row],[Date]],Database!A:D,2,)</f>
        <v>63.6</v>
      </c>
      <c r="H896" s="26"/>
    </row>
    <row r="897" spans="1:8" x14ac:dyDescent="0.2">
      <c r="A897" s="37">
        <v>41183</v>
      </c>
      <c r="B897" s="38">
        <f>VLOOKUP(Table1[[#This Row],[Date]],Database!A:D,3,)</f>
        <v>134677</v>
      </c>
      <c r="C897" s="39">
        <f t="shared" si="27"/>
        <v>159</v>
      </c>
      <c r="D897" s="39">
        <f t="shared" si="26"/>
        <v>172.66666666666666</v>
      </c>
      <c r="E897" s="27">
        <f>VLOOKUP(Table1[[#This Row],[Date]],Database!A:D,4,)</f>
        <v>7.8</v>
      </c>
      <c r="F897" s="40">
        <v>1.1387324577960553E-3</v>
      </c>
      <c r="G897" s="27">
        <f>VLOOKUP(Table1[[#This Row],[Date]],Database!A:D,2,)</f>
        <v>63.8</v>
      </c>
      <c r="H897" s="26"/>
    </row>
    <row r="898" spans="1:8" x14ac:dyDescent="0.2">
      <c r="A898" s="37">
        <v>41214</v>
      </c>
      <c r="B898" s="38">
        <f>VLOOKUP(Table1[[#This Row],[Date]],Database!A:D,3,)</f>
        <v>134833</v>
      </c>
      <c r="C898" s="39">
        <f t="shared" si="27"/>
        <v>156</v>
      </c>
      <c r="D898" s="39">
        <f t="shared" si="26"/>
        <v>167.33333333333334</v>
      </c>
      <c r="E898" s="27">
        <f>VLOOKUP(Table1[[#This Row],[Date]],Database!A:D,4,)</f>
        <v>7.7</v>
      </c>
      <c r="F898" s="40">
        <v>1.1387324577960553E-3</v>
      </c>
      <c r="G898" s="27">
        <f>VLOOKUP(Table1[[#This Row],[Date]],Database!A:D,2,)</f>
        <v>63.6</v>
      </c>
      <c r="H898" s="26"/>
    </row>
    <row r="899" spans="1:8" x14ac:dyDescent="0.2">
      <c r="A899" s="37">
        <v>41244</v>
      </c>
      <c r="B899" s="38">
        <f>VLOOKUP(Table1[[#This Row],[Date]],Database!A:D,3,)</f>
        <v>135072</v>
      </c>
      <c r="C899" s="39">
        <f t="shared" si="27"/>
        <v>239</v>
      </c>
      <c r="D899" s="39">
        <f t="shared" si="26"/>
        <v>184.66666666666666</v>
      </c>
      <c r="E899" s="27">
        <f>VLOOKUP(Table1[[#This Row],[Date]],Database!A:D,4,)</f>
        <v>7.9</v>
      </c>
      <c r="F899" s="40">
        <v>1.1387324577960553E-3</v>
      </c>
      <c r="G899" s="27">
        <f>VLOOKUP(Table1[[#This Row],[Date]],Database!A:D,2,)</f>
        <v>63.7</v>
      </c>
      <c r="H899" s="26"/>
    </row>
    <row r="900" spans="1:8" x14ac:dyDescent="0.2">
      <c r="A900" s="37">
        <v>41275</v>
      </c>
      <c r="B900" s="38">
        <f>VLOOKUP(Table1[[#This Row],[Date]],Database!A:D,3,)</f>
        <v>135263</v>
      </c>
      <c r="C900" s="39">
        <f t="shared" si="27"/>
        <v>191</v>
      </c>
      <c r="D900" s="39">
        <f t="shared" si="26"/>
        <v>195.33333333333334</v>
      </c>
      <c r="E900" s="27">
        <f>VLOOKUP(Table1[[#This Row],[Date]],Database!A:D,4,)</f>
        <v>8</v>
      </c>
      <c r="F900" s="40">
        <v>8.8567508940437054E-3</v>
      </c>
      <c r="G900" s="27">
        <f>VLOOKUP(Table1[[#This Row],[Date]],Database!A:D,2,)</f>
        <v>63.7</v>
      </c>
      <c r="H900" s="26"/>
    </row>
    <row r="901" spans="1:8" x14ac:dyDescent="0.2">
      <c r="A901" s="37">
        <v>41306</v>
      </c>
      <c r="B901" s="38">
        <f>VLOOKUP(Table1[[#This Row],[Date]],Database!A:D,3,)</f>
        <v>135541</v>
      </c>
      <c r="C901" s="39">
        <f t="shared" si="27"/>
        <v>278</v>
      </c>
      <c r="D901" s="39">
        <f t="shared" si="26"/>
        <v>236</v>
      </c>
      <c r="E901" s="27">
        <f>VLOOKUP(Table1[[#This Row],[Date]],Database!A:D,4,)</f>
        <v>7.7</v>
      </c>
      <c r="F901" s="40">
        <v>8.8567508940437054E-3</v>
      </c>
      <c r="G901" s="27">
        <f>VLOOKUP(Table1[[#This Row],[Date]],Database!A:D,2,)</f>
        <v>63.4</v>
      </c>
      <c r="H901" s="26"/>
    </row>
    <row r="902" spans="1:8" x14ac:dyDescent="0.2">
      <c r="A902" s="37">
        <v>41334</v>
      </c>
      <c r="B902" s="38">
        <f>VLOOKUP(Table1[[#This Row],[Date]],Database!A:D,3,)</f>
        <v>135680</v>
      </c>
      <c r="C902" s="39">
        <f t="shared" si="27"/>
        <v>139</v>
      </c>
      <c r="D902" s="39">
        <f t="shared" si="26"/>
        <v>202.66666666666666</v>
      </c>
      <c r="E902" s="27">
        <f>VLOOKUP(Table1[[#This Row],[Date]],Database!A:D,4,)</f>
        <v>7.5</v>
      </c>
      <c r="F902" s="40">
        <v>8.8567508940437054E-3</v>
      </c>
      <c r="G902" s="27">
        <f>VLOOKUP(Table1[[#This Row],[Date]],Database!A:D,2,)</f>
        <v>63.3</v>
      </c>
      <c r="H902" s="26"/>
    </row>
    <row r="903" spans="1:8" x14ac:dyDescent="0.2">
      <c r="A903" s="37">
        <v>41365</v>
      </c>
      <c r="B903" s="38">
        <f>VLOOKUP(Table1[[#This Row],[Date]],Database!A:D,3,)</f>
        <v>135871</v>
      </c>
      <c r="C903" s="39">
        <f t="shared" si="27"/>
        <v>191</v>
      </c>
      <c r="D903" s="39">
        <f t="shared" si="26"/>
        <v>202.66666666666666</v>
      </c>
      <c r="E903" s="27">
        <f>VLOOKUP(Table1[[#This Row],[Date]],Database!A:D,4,)</f>
        <v>7.6</v>
      </c>
      <c r="F903" s="40">
        <v>1.2339647453293769E-3</v>
      </c>
      <c r="G903" s="27">
        <f>VLOOKUP(Table1[[#This Row],[Date]],Database!A:D,2,)</f>
        <v>63.4</v>
      </c>
      <c r="H903" s="26"/>
    </row>
    <row r="904" spans="1:8" x14ac:dyDescent="0.2">
      <c r="A904" s="37">
        <v>41395</v>
      </c>
      <c r="B904" s="38">
        <f>VLOOKUP(Table1[[#This Row],[Date]],Database!A:D,3,)</f>
        <v>136093</v>
      </c>
      <c r="C904" s="39">
        <f t="shared" si="27"/>
        <v>222</v>
      </c>
      <c r="D904" s="39">
        <f t="shared" si="26"/>
        <v>184</v>
      </c>
      <c r="E904" s="27">
        <f>VLOOKUP(Table1[[#This Row],[Date]],Database!A:D,4,)</f>
        <v>7.5</v>
      </c>
      <c r="F904" s="40">
        <v>1.2339647453293769E-3</v>
      </c>
      <c r="G904" s="27">
        <f>VLOOKUP(Table1[[#This Row],[Date]],Database!A:D,2,)</f>
        <v>63.4</v>
      </c>
      <c r="H904" s="26"/>
    </row>
    <row r="905" spans="1:8" x14ac:dyDescent="0.2">
      <c r="A905" s="37">
        <v>41426</v>
      </c>
      <c r="B905" s="38">
        <f>VLOOKUP(Table1[[#This Row],[Date]],Database!A:D,3,)</f>
        <v>136274</v>
      </c>
      <c r="C905" s="39">
        <f t="shared" si="27"/>
        <v>181</v>
      </c>
      <c r="D905" s="39">
        <f t="shared" si="26"/>
        <v>198</v>
      </c>
      <c r="E905" s="27">
        <f>VLOOKUP(Table1[[#This Row],[Date]],Database!A:D,4,)</f>
        <v>7.5</v>
      </c>
      <c r="F905" s="40">
        <v>1.2339647453293769E-3</v>
      </c>
      <c r="G905" s="27">
        <f>VLOOKUP(Table1[[#This Row],[Date]],Database!A:D,2,)</f>
        <v>63.4</v>
      </c>
      <c r="H905" s="26"/>
    </row>
    <row r="906" spans="1:8" x14ac:dyDescent="0.2">
      <c r="A906" s="37">
        <v>41456</v>
      </c>
      <c r="B906" s="38">
        <f>VLOOKUP(Table1[[#This Row],[Date]],Database!A:D,3,)</f>
        <v>136386</v>
      </c>
      <c r="C906" s="39">
        <f t="shared" si="27"/>
        <v>112</v>
      </c>
      <c r="D906" s="39">
        <f t="shared" si="26"/>
        <v>171.66666666666666</v>
      </c>
      <c r="E906" s="27">
        <f>VLOOKUP(Table1[[#This Row],[Date]],Database!A:D,4,)</f>
        <v>7.3</v>
      </c>
      <c r="F906" s="40">
        <v>7.8341516705907645E-3</v>
      </c>
      <c r="G906" s="27">
        <f>VLOOKUP(Table1[[#This Row],[Date]],Database!A:D,2,)</f>
        <v>63.3</v>
      </c>
      <c r="H906" s="26"/>
    </row>
    <row r="907" spans="1:8" x14ac:dyDescent="0.2">
      <c r="A907" s="37">
        <v>41487</v>
      </c>
      <c r="B907" s="38">
        <f>VLOOKUP(Table1[[#This Row],[Date]],Database!A:D,3,)</f>
        <v>136628</v>
      </c>
      <c r="C907" s="39">
        <f t="shared" si="27"/>
        <v>242</v>
      </c>
      <c r="D907" s="39">
        <f t="shared" si="26"/>
        <v>178.33333333333334</v>
      </c>
      <c r="E907" s="27">
        <f>VLOOKUP(Table1[[#This Row],[Date]],Database!A:D,4,)</f>
        <v>7.2</v>
      </c>
      <c r="F907" s="40">
        <v>7.8341516705907645E-3</v>
      </c>
      <c r="G907" s="27">
        <f>VLOOKUP(Table1[[#This Row],[Date]],Database!A:D,2,)</f>
        <v>63.3</v>
      </c>
      <c r="H907" s="26"/>
    </row>
    <row r="908" spans="1:8" x14ac:dyDescent="0.2">
      <c r="A908" s="37">
        <v>41518</v>
      </c>
      <c r="B908" s="38">
        <f>VLOOKUP(Table1[[#This Row],[Date]],Database!A:D,3,)</f>
        <v>136815</v>
      </c>
      <c r="C908" s="39">
        <f t="shared" si="27"/>
        <v>187</v>
      </c>
      <c r="D908" s="39">
        <f t="shared" ref="D908:D963" si="28">AVERAGE(C906:C908)</f>
        <v>180.33333333333334</v>
      </c>
      <c r="E908" s="27">
        <f>VLOOKUP(Table1[[#This Row],[Date]],Database!A:D,4,)</f>
        <v>7.2</v>
      </c>
      <c r="F908" s="40">
        <v>7.8341516705907645E-3</v>
      </c>
      <c r="G908" s="27">
        <f>VLOOKUP(Table1[[#This Row],[Date]],Database!A:D,2,)</f>
        <v>63.2</v>
      </c>
      <c r="H908" s="26"/>
    </row>
    <row r="909" spans="1:8" x14ac:dyDescent="0.2">
      <c r="A909" s="37">
        <v>41548</v>
      </c>
      <c r="B909" s="38">
        <f>VLOOKUP(Table1[[#This Row],[Date]],Database!A:D,3,)</f>
        <v>137040</v>
      </c>
      <c r="C909" s="39">
        <f t="shared" ref="C909:C960" si="29">B909-B908</f>
        <v>225</v>
      </c>
      <c r="D909" s="39">
        <f t="shared" si="28"/>
        <v>218</v>
      </c>
      <c r="E909" s="27">
        <f>VLOOKUP(Table1[[#This Row],[Date]],Database!A:D,4,)</f>
        <v>7.2</v>
      </c>
      <c r="F909" s="40">
        <v>7.9824893832661295E-3</v>
      </c>
      <c r="G909" s="27">
        <f>VLOOKUP(Table1[[#This Row],[Date]],Database!A:D,2,)</f>
        <v>62.8</v>
      </c>
      <c r="H909" s="26"/>
    </row>
    <row r="910" spans="1:8" x14ac:dyDescent="0.2">
      <c r="A910" s="37">
        <v>41579</v>
      </c>
      <c r="B910" s="38">
        <f>VLOOKUP(Table1[[#This Row],[Date]],Database!A:D,3,)</f>
        <v>137304</v>
      </c>
      <c r="C910" s="39">
        <f t="shared" si="29"/>
        <v>264</v>
      </c>
      <c r="D910" s="39">
        <f t="shared" si="28"/>
        <v>225.33333333333334</v>
      </c>
      <c r="E910" s="27">
        <f>VLOOKUP(Table1[[#This Row],[Date]],Database!A:D,4,)</f>
        <v>6.9</v>
      </c>
      <c r="F910" s="40">
        <v>7.9824893832661295E-3</v>
      </c>
      <c r="G910" s="27">
        <f>VLOOKUP(Table1[[#This Row],[Date]],Database!A:D,2,)</f>
        <v>63</v>
      </c>
      <c r="H910" s="26"/>
    </row>
    <row r="911" spans="1:8" x14ac:dyDescent="0.2">
      <c r="A911" s="37">
        <v>41609</v>
      </c>
      <c r="B911" s="38">
        <f>VLOOKUP(Table1[[#This Row],[Date]],Database!A:D,3,)</f>
        <v>137373</v>
      </c>
      <c r="C911" s="39">
        <f t="shared" si="29"/>
        <v>69</v>
      </c>
      <c r="D911" s="39">
        <f t="shared" si="28"/>
        <v>186</v>
      </c>
      <c r="E911" s="27">
        <f>VLOOKUP(Table1[[#This Row],[Date]],Database!A:D,4,)</f>
        <v>6.7</v>
      </c>
      <c r="F911" s="40">
        <v>7.9824893832661295E-3</v>
      </c>
      <c r="G911" s="27">
        <f>VLOOKUP(Table1[[#This Row],[Date]],Database!A:D,2,)</f>
        <v>62.9</v>
      </c>
      <c r="H911" s="26"/>
    </row>
    <row r="912" spans="1:8" x14ac:dyDescent="0.2">
      <c r="A912" s="37">
        <v>41640</v>
      </c>
      <c r="B912" s="38">
        <f>VLOOKUP(Table1[[#This Row],[Date]],Database!A:D,3,)</f>
        <v>137548</v>
      </c>
      <c r="C912" s="39">
        <f t="shared" si="29"/>
        <v>175</v>
      </c>
      <c r="D912" s="39">
        <f t="shared" si="28"/>
        <v>169.33333333333334</v>
      </c>
      <c r="E912" s="27">
        <f>VLOOKUP(Table1[[#This Row],[Date]],Database!A:D,4,)</f>
        <v>6.6</v>
      </c>
      <c r="F912" s="40">
        <v>-2.8270518660108825E-3</v>
      </c>
      <c r="G912" s="27">
        <f>VLOOKUP(Table1[[#This Row],[Date]],Database!A:D,2,)</f>
        <v>62.9</v>
      </c>
      <c r="H912" s="26"/>
    </row>
    <row r="913" spans="1:8" x14ac:dyDescent="0.2">
      <c r="A913" s="37">
        <v>41671</v>
      </c>
      <c r="B913" s="38">
        <f>VLOOKUP(Table1[[#This Row],[Date]],Database!A:D,3,)</f>
        <v>137714</v>
      </c>
      <c r="C913" s="39">
        <f t="shared" si="29"/>
        <v>166</v>
      </c>
      <c r="D913" s="39">
        <f t="shared" si="28"/>
        <v>136.66666666666666</v>
      </c>
      <c r="E913" s="27">
        <f>VLOOKUP(Table1[[#This Row],[Date]],Database!A:D,4,)</f>
        <v>6.7</v>
      </c>
      <c r="F913" s="40">
        <v>-2.8270518660108825E-3</v>
      </c>
      <c r="G913" s="27">
        <f>VLOOKUP(Table1[[#This Row],[Date]],Database!A:D,2,)</f>
        <v>62.9</v>
      </c>
      <c r="H913" s="26"/>
    </row>
    <row r="914" spans="1:8" x14ac:dyDescent="0.2">
      <c r="A914" s="37">
        <v>41699</v>
      </c>
      <c r="B914" s="38">
        <f>VLOOKUP(Table1[[#This Row],[Date]],Database!A:D,3,)</f>
        <v>137968</v>
      </c>
      <c r="C914" s="39">
        <f t="shared" si="29"/>
        <v>254</v>
      </c>
      <c r="D914" s="39">
        <f t="shared" si="28"/>
        <v>198.33333333333334</v>
      </c>
      <c r="E914" s="27">
        <f>VLOOKUP(Table1[[#This Row],[Date]],Database!A:D,4,)</f>
        <v>6.7</v>
      </c>
      <c r="F914" s="40">
        <v>-2.8270518660108825E-3</v>
      </c>
      <c r="G914" s="27">
        <f>VLOOKUP(Table1[[#This Row],[Date]],Database!A:D,2,)</f>
        <v>63.1</v>
      </c>
      <c r="H914" s="26"/>
    </row>
    <row r="915" spans="1:8" x14ac:dyDescent="0.2">
      <c r="A915" s="37">
        <v>41730</v>
      </c>
      <c r="B915" s="38">
        <f>VLOOKUP(Table1[[#This Row],[Date]],Database!A:D,3,)</f>
        <v>138293</v>
      </c>
      <c r="C915" s="39">
        <f t="shared" si="29"/>
        <v>325</v>
      </c>
      <c r="D915" s="39">
        <f t="shared" si="28"/>
        <v>248.33333333333334</v>
      </c>
      <c r="E915" s="27">
        <f>VLOOKUP(Table1[[#This Row],[Date]],Database!A:D,4,)</f>
        <v>6.2</v>
      </c>
      <c r="F915" s="40">
        <v>1.3536813319740311E-2</v>
      </c>
      <c r="G915" s="27">
        <f>VLOOKUP(Table1[[#This Row],[Date]],Database!A:D,2,)</f>
        <v>62.8</v>
      </c>
      <c r="H915" s="26"/>
    </row>
    <row r="916" spans="1:8" x14ac:dyDescent="0.2">
      <c r="A916" s="37">
        <v>41760</v>
      </c>
      <c r="B916" s="38">
        <f>VLOOKUP(Table1[[#This Row],[Date]],Database!A:D,3,)</f>
        <v>138511</v>
      </c>
      <c r="C916" s="39">
        <f t="shared" si="29"/>
        <v>218</v>
      </c>
      <c r="D916" s="39">
        <f t="shared" si="28"/>
        <v>265.66666666666669</v>
      </c>
      <c r="E916" s="27">
        <f>VLOOKUP(Table1[[#This Row],[Date]],Database!A:D,4,)</f>
        <v>6.3</v>
      </c>
      <c r="F916" s="40">
        <v>1.3536813319740311E-2</v>
      </c>
      <c r="G916" s="27">
        <f>VLOOKUP(Table1[[#This Row],[Date]],Database!A:D,2,)</f>
        <v>62.9</v>
      </c>
      <c r="H916" s="26"/>
    </row>
    <row r="917" spans="1:8" x14ac:dyDescent="0.2">
      <c r="A917" s="37">
        <v>41791</v>
      </c>
      <c r="B917" s="38">
        <f>VLOOKUP(Table1[[#This Row],[Date]],Database!A:D,3,)</f>
        <v>138837</v>
      </c>
      <c r="C917" s="39">
        <f t="shared" si="29"/>
        <v>326</v>
      </c>
      <c r="D917" s="39">
        <f t="shared" si="28"/>
        <v>289.66666666666669</v>
      </c>
      <c r="E917" s="27">
        <f>VLOOKUP(Table1[[#This Row],[Date]],Database!A:D,4,)</f>
        <v>6.1</v>
      </c>
      <c r="F917" s="40">
        <v>1.3536813319740311E-2</v>
      </c>
      <c r="G917" s="27">
        <f>VLOOKUP(Table1[[#This Row],[Date]],Database!A:D,2,)</f>
        <v>62.8</v>
      </c>
      <c r="H917" s="26"/>
    </row>
    <row r="918" spans="1:8" x14ac:dyDescent="0.2">
      <c r="A918" s="37">
        <v>41821</v>
      </c>
      <c r="B918" s="38">
        <f>VLOOKUP(Table1[[#This Row],[Date]],Database!A:D,3,)</f>
        <v>139069</v>
      </c>
      <c r="C918" s="39">
        <f t="shared" si="29"/>
        <v>232</v>
      </c>
      <c r="D918" s="39">
        <f t="shared" si="28"/>
        <v>258.66666666666669</v>
      </c>
      <c r="E918" s="27">
        <f>VLOOKUP(Table1[[#This Row],[Date]],Database!A:D,4,)</f>
        <v>6.2</v>
      </c>
      <c r="F918" s="40">
        <v>1.22093225207414E-2</v>
      </c>
      <c r="G918" s="27">
        <f>VLOOKUP(Table1[[#This Row],[Date]],Database!A:D,2,)</f>
        <v>62.9</v>
      </c>
      <c r="H918" s="26"/>
    </row>
    <row r="919" spans="1:8" x14ac:dyDescent="0.2">
      <c r="A919" s="37">
        <v>41852</v>
      </c>
      <c r="B919" s="38">
        <f>VLOOKUP(Table1[[#This Row],[Date]],Database!A:D,3,)</f>
        <v>139257</v>
      </c>
      <c r="C919" s="39">
        <f t="shared" si="29"/>
        <v>188</v>
      </c>
      <c r="D919" s="39">
        <f t="shared" si="28"/>
        <v>248.66666666666666</v>
      </c>
      <c r="E919" s="27">
        <f>VLOOKUP(Table1[[#This Row],[Date]],Database!A:D,4,)</f>
        <v>6.1</v>
      </c>
      <c r="F919" s="40">
        <v>1.22093225207414E-2</v>
      </c>
      <c r="G919" s="27">
        <f>VLOOKUP(Table1[[#This Row],[Date]],Database!A:D,2,)</f>
        <v>62.9</v>
      </c>
      <c r="H919" s="26"/>
    </row>
    <row r="920" spans="1:8" x14ac:dyDescent="0.2">
      <c r="A920" s="37">
        <v>41883</v>
      </c>
      <c r="B920" s="38">
        <f>VLOOKUP(Table1[[#This Row],[Date]],Database!A:D,3,)</f>
        <v>139566</v>
      </c>
      <c r="C920" s="39">
        <f t="shared" si="29"/>
        <v>309</v>
      </c>
      <c r="D920" s="39">
        <f t="shared" si="28"/>
        <v>243</v>
      </c>
      <c r="E920" s="27">
        <f>VLOOKUP(Table1[[#This Row],[Date]],Database!A:D,4,)</f>
        <v>5.9</v>
      </c>
      <c r="F920" s="40">
        <v>1.22093225207414E-2</v>
      </c>
      <c r="G920" s="27">
        <f>VLOOKUP(Table1[[#This Row],[Date]],Database!A:D,2,)</f>
        <v>62.8</v>
      </c>
      <c r="H920" s="26"/>
    </row>
    <row r="921" spans="1:8" x14ac:dyDescent="0.2">
      <c r="A921" s="37">
        <v>41913</v>
      </c>
      <c r="B921" s="38">
        <f>VLOOKUP(Table1[[#This Row],[Date]],Database!A:D,3,)</f>
        <v>139818</v>
      </c>
      <c r="C921" s="39">
        <f t="shared" si="29"/>
        <v>252</v>
      </c>
      <c r="D921" s="39">
        <f t="shared" si="28"/>
        <v>249.66666666666666</v>
      </c>
      <c r="E921" s="27">
        <f>VLOOKUP(Table1[[#This Row],[Date]],Database!A:D,4,)</f>
        <v>5.7</v>
      </c>
      <c r="F921" s="40">
        <v>5.627937376789802E-3</v>
      </c>
      <c r="G921" s="27">
        <f>VLOOKUP(Table1[[#This Row],[Date]],Database!A:D,2,)</f>
        <v>62.9</v>
      </c>
      <c r="H921" s="26"/>
    </row>
    <row r="922" spans="1:8" x14ac:dyDescent="0.2">
      <c r="A922" s="37">
        <v>41944</v>
      </c>
      <c r="B922" s="38">
        <f>VLOOKUP(Table1[[#This Row],[Date]],Database!A:D,3,)</f>
        <v>140109</v>
      </c>
      <c r="C922" s="39">
        <f t="shared" si="29"/>
        <v>291</v>
      </c>
      <c r="D922" s="39">
        <f t="shared" si="28"/>
        <v>284</v>
      </c>
      <c r="E922" s="27">
        <f>VLOOKUP(Table1[[#This Row],[Date]],Database!A:D,4,)</f>
        <v>5.8</v>
      </c>
      <c r="F922" s="40">
        <v>5.627937376789802E-3</v>
      </c>
      <c r="G922" s="27">
        <f>VLOOKUP(Table1[[#This Row],[Date]],Database!A:D,2,)</f>
        <v>62.9</v>
      </c>
      <c r="H922" s="26"/>
    </row>
    <row r="923" spans="1:8" x14ac:dyDescent="0.2">
      <c r="A923" s="37">
        <v>41974</v>
      </c>
      <c r="B923" s="38">
        <f>VLOOKUP(Table1[[#This Row],[Date]],Database!A:D,3,)</f>
        <v>140377</v>
      </c>
      <c r="C923" s="39">
        <f t="shared" si="29"/>
        <v>268</v>
      </c>
      <c r="D923" s="39">
        <f t="shared" si="28"/>
        <v>270.33333333333331</v>
      </c>
      <c r="E923" s="27">
        <f>VLOOKUP(Table1[[#This Row],[Date]],Database!A:D,4,)</f>
        <v>5.6</v>
      </c>
      <c r="F923" s="40">
        <v>5.627937376789802E-3</v>
      </c>
      <c r="G923" s="27">
        <f>VLOOKUP(Table1[[#This Row],[Date]],Database!A:D,2,)</f>
        <v>62.8</v>
      </c>
      <c r="H923" s="26"/>
    </row>
    <row r="924" spans="1:8" x14ac:dyDescent="0.2">
      <c r="A924" s="37">
        <v>42005</v>
      </c>
      <c r="B924" s="38">
        <f>VLOOKUP(Table1[[#This Row],[Date]],Database!A:D,3,)</f>
        <v>140568</v>
      </c>
      <c r="C924" s="39">
        <f t="shared" si="29"/>
        <v>191</v>
      </c>
      <c r="D924" s="39">
        <f t="shared" si="28"/>
        <v>250</v>
      </c>
      <c r="E924" s="27">
        <f>VLOOKUP(Table1[[#This Row],[Date]],Database!A:D,4,)</f>
        <v>5.7</v>
      </c>
      <c r="F924" s="40">
        <v>7.8482005348177661E-3</v>
      </c>
      <c r="G924" s="27">
        <f>VLOOKUP(Table1[[#This Row],[Date]],Database!A:D,2,)</f>
        <v>62.9</v>
      </c>
      <c r="H924" s="26"/>
    </row>
    <row r="925" spans="1:8" x14ac:dyDescent="0.2">
      <c r="A925" s="37">
        <v>42036</v>
      </c>
      <c r="B925" s="38">
        <f>VLOOKUP(Table1[[#This Row],[Date]],Database!A:D,3,)</f>
        <v>140839</v>
      </c>
      <c r="C925" s="39">
        <f t="shared" si="29"/>
        <v>271</v>
      </c>
      <c r="D925" s="39">
        <f t="shared" si="28"/>
        <v>243.33333333333334</v>
      </c>
      <c r="E925" s="27">
        <f>VLOOKUP(Table1[[#This Row],[Date]],Database!A:D,4,)</f>
        <v>5.5</v>
      </c>
      <c r="F925" s="40">
        <v>7.8482005348177661E-3</v>
      </c>
      <c r="G925" s="27">
        <f>VLOOKUP(Table1[[#This Row],[Date]],Database!A:D,2,)</f>
        <v>62.7</v>
      </c>
      <c r="H925" s="26"/>
    </row>
    <row r="926" spans="1:8" x14ac:dyDescent="0.2">
      <c r="A926" s="37">
        <v>42064</v>
      </c>
      <c r="B926" s="38">
        <f>VLOOKUP(Table1[[#This Row],[Date]],Database!A:D,3,)</f>
        <v>140910</v>
      </c>
      <c r="C926" s="39">
        <f t="shared" si="29"/>
        <v>71</v>
      </c>
      <c r="D926" s="39">
        <f t="shared" si="28"/>
        <v>177.66666666666666</v>
      </c>
      <c r="E926" s="27">
        <f>VLOOKUP(Table1[[#This Row],[Date]],Database!A:D,4,)</f>
        <v>5.4</v>
      </c>
      <c r="F926" s="40">
        <v>7.8482005348177661E-3</v>
      </c>
      <c r="G926" s="27">
        <f>VLOOKUP(Table1[[#This Row],[Date]],Database!A:D,2,)</f>
        <v>62.6</v>
      </c>
      <c r="H926" s="26"/>
    </row>
    <row r="927" spans="1:8" x14ac:dyDescent="0.2">
      <c r="A927" s="37">
        <v>42095</v>
      </c>
      <c r="B927" s="38">
        <f>VLOOKUP(Table1[[#This Row],[Date]],Database!A:D,3,)</f>
        <v>141194</v>
      </c>
      <c r="C927" s="39">
        <f t="shared" si="29"/>
        <v>284</v>
      </c>
      <c r="D927" s="39">
        <f t="shared" si="28"/>
        <v>208.66666666666666</v>
      </c>
      <c r="E927" s="27">
        <f>VLOOKUP(Table1[[#This Row],[Date]],Database!A:D,4,)</f>
        <v>5.4</v>
      </c>
      <c r="F927" s="40">
        <v>7.4135961170487957E-3</v>
      </c>
      <c r="G927" s="27">
        <f>VLOOKUP(Table1[[#This Row],[Date]],Database!A:D,2,)</f>
        <v>62.8</v>
      </c>
      <c r="H927" s="26"/>
    </row>
    <row r="928" spans="1:8" x14ac:dyDescent="0.2">
      <c r="A928" s="37">
        <v>42125</v>
      </c>
      <c r="B928" s="38">
        <f>VLOOKUP(Table1[[#This Row],[Date]],Database!A:D,3,)</f>
        <v>141525</v>
      </c>
      <c r="C928" s="39">
        <f t="shared" si="29"/>
        <v>331</v>
      </c>
      <c r="D928" s="39">
        <f t="shared" si="28"/>
        <v>228.66666666666666</v>
      </c>
      <c r="E928" s="27">
        <f>VLOOKUP(Table1[[#This Row],[Date]],Database!A:D,4,)</f>
        <v>5.6</v>
      </c>
      <c r="F928" s="40">
        <v>7.4135961170487957E-3</v>
      </c>
      <c r="G928" s="27">
        <f>VLOOKUP(Table1[[#This Row],[Date]],Database!A:D,2,)</f>
        <v>62.9</v>
      </c>
      <c r="H928" s="26"/>
    </row>
    <row r="929" spans="1:9" x14ac:dyDescent="0.2">
      <c r="A929" s="37">
        <v>42156</v>
      </c>
      <c r="B929" s="38">
        <f>VLOOKUP(Table1[[#This Row],[Date]],Database!A:D,3,)</f>
        <v>141699</v>
      </c>
      <c r="C929" s="39">
        <f t="shared" si="29"/>
        <v>174</v>
      </c>
      <c r="D929" s="39">
        <f t="shared" si="28"/>
        <v>263</v>
      </c>
      <c r="E929" s="27">
        <f>VLOOKUP(Table1[[#This Row],[Date]],Database!A:D,4,)</f>
        <v>5.3</v>
      </c>
      <c r="F929" s="40">
        <v>7.4135961170487957E-3</v>
      </c>
      <c r="G929" s="27">
        <f>VLOOKUP(Table1[[#This Row],[Date]],Database!A:D,2,)</f>
        <v>62.7</v>
      </c>
      <c r="H929" s="26"/>
    </row>
    <row r="930" spans="1:9" x14ac:dyDescent="0.2">
      <c r="A930" s="37">
        <v>42186</v>
      </c>
      <c r="B930" s="38">
        <f>VLOOKUP(Table1[[#This Row],[Date]],Database!A:D,3,)</f>
        <v>142001</v>
      </c>
      <c r="C930" s="39">
        <f t="shared" si="29"/>
        <v>302</v>
      </c>
      <c r="D930" s="39">
        <f t="shared" si="28"/>
        <v>269</v>
      </c>
      <c r="E930" s="27">
        <f>VLOOKUP(Table1[[#This Row],[Date]],Database!A:D,4,)</f>
        <v>5.2</v>
      </c>
      <c r="F930" s="40">
        <v>3.3065663836305218E-3</v>
      </c>
      <c r="G930" s="27">
        <f>VLOOKUP(Table1[[#This Row],[Date]],Database!A:D,2,)</f>
        <v>62.6</v>
      </c>
      <c r="H930" s="26"/>
    </row>
    <row r="931" spans="1:9" x14ac:dyDescent="0.2">
      <c r="A931" s="37">
        <v>42217</v>
      </c>
      <c r="B931" s="38">
        <f>VLOOKUP(Table1[[#This Row],[Date]],Database!A:D,3,)</f>
        <v>142126</v>
      </c>
      <c r="C931" s="39">
        <f t="shared" si="29"/>
        <v>125</v>
      </c>
      <c r="D931" s="39">
        <f t="shared" si="28"/>
        <v>200.33333333333334</v>
      </c>
      <c r="E931" s="27">
        <f>VLOOKUP(Table1[[#This Row],[Date]],Database!A:D,4,)</f>
        <v>5.0999999999999996</v>
      </c>
      <c r="F931" s="40">
        <v>3.3065663836305218E-3</v>
      </c>
      <c r="G931" s="27">
        <f>VLOOKUP(Table1[[#This Row],[Date]],Database!A:D,2,)</f>
        <v>62.6</v>
      </c>
      <c r="H931" s="26"/>
    </row>
    <row r="932" spans="1:9" x14ac:dyDescent="0.2">
      <c r="A932" s="37">
        <v>42248</v>
      </c>
      <c r="B932" s="38">
        <f>VLOOKUP(Table1[[#This Row],[Date]],Database!A:D,3,)</f>
        <v>142281</v>
      </c>
      <c r="C932" s="39">
        <f t="shared" si="29"/>
        <v>155</v>
      </c>
      <c r="D932" s="39">
        <f t="shared" si="28"/>
        <v>194</v>
      </c>
      <c r="E932" s="27">
        <f>VLOOKUP(Table1[[#This Row],[Date]],Database!A:D,4,)</f>
        <v>5</v>
      </c>
      <c r="F932" s="40">
        <v>3.3065663836305218E-3</v>
      </c>
      <c r="G932" s="27">
        <f>VLOOKUP(Table1[[#This Row],[Date]],Database!A:D,2,)</f>
        <v>62.4</v>
      </c>
      <c r="H932" s="26"/>
    </row>
    <row r="933" spans="1:9" x14ac:dyDescent="0.2">
      <c r="A933" s="37">
        <v>42278</v>
      </c>
      <c r="B933" s="38">
        <f>VLOOKUP(Table1[[#This Row],[Date]],Database!A:D,3,)</f>
        <v>142587</v>
      </c>
      <c r="C933" s="39">
        <f t="shared" si="29"/>
        <v>306</v>
      </c>
      <c r="D933" s="39">
        <f t="shared" si="28"/>
        <v>195.33333333333334</v>
      </c>
      <c r="E933" s="27">
        <f>VLOOKUP(Table1[[#This Row],[Date]],Database!A:D,4,)</f>
        <v>5</v>
      </c>
      <c r="F933" s="40">
        <v>3.2525498444655018E-4</v>
      </c>
      <c r="G933" s="27">
        <f>VLOOKUP(Table1[[#This Row],[Date]],Database!A:D,2,)</f>
        <v>62.5</v>
      </c>
      <c r="H933" s="26"/>
    </row>
    <row r="934" spans="1:9" x14ac:dyDescent="0.2">
      <c r="A934" s="37">
        <v>42309</v>
      </c>
      <c r="B934" s="38">
        <f>VLOOKUP(Table1[[#This Row],[Date]],Database!A:D,3,)</f>
        <v>142824</v>
      </c>
      <c r="C934" s="39">
        <f t="shared" si="29"/>
        <v>237</v>
      </c>
      <c r="D934" s="39">
        <f t="shared" si="28"/>
        <v>232.66666666666666</v>
      </c>
      <c r="E934" s="27">
        <f>VLOOKUP(Table1[[#This Row],[Date]],Database!A:D,4,)</f>
        <v>5.0999999999999996</v>
      </c>
      <c r="F934" s="40">
        <v>3.2525498444655018E-4</v>
      </c>
      <c r="G934" s="27">
        <f>VLOOKUP(Table1[[#This Row],[Date]],Database!A:D,2,)</f>
        <v>62.5</v>
      </c>
      <c r="H934" s="26"/>
    </row>
    <row r="935" spans="1:9" x14ac:dyDescent="0.2">
      <c r="A935" s="37">
        <v>42339</v>
      </c>
      <c r="B935" s="38">
        <f>VLOOKUP(Table1[[#This Row],[Date]],Database!A:D,3,)</f>
        <v>143097</v>
      </c>
      <c r="C935" s="39">
        <f t="shared" si="29"/>
        <v>273</v>
      </c>
      <c r="D935" s="39">
        <f t="shared" si="28"/>
        <v>272</v>
      </c>
      <c r="E935" s="27">
        <f>VLOOKUP(Table1[[#This Row],[Date]],Database!A:D,4,)</f>
        <v>5</v>
      </c>
      <c r="F935" s="40">
        <v>3.2525498444655018E-4</v>
      </c>
      <c r="G935" s="27">
        <f>VLOOKUP(Table1[[#This Row],[Date]],Database!A:D,2,)</f>
        <v>62.7</v>
      </c>
      <c r="H935" s="26"/>
    </row>
    <row r="936" spans="1:9" x14ac:dyDescent="0.2">
      <c r="A936" s="37">
        <v>42370</v>
      </c>
      <c r="B936" s="38">
        <f>VLOOKUP(Table1[[#This Row],[Date]],Database!A:D,3,)</f>
        <v>143205</v>
      </c>
      <c r="C936" s="39">
        <f t="shared" si="29"/>
        <v>108</v>
      </c>
      <c r="D936" s="39">
        <f t="shared" si="28"/>
        <v>206</v>
      </c>
      <c r="E936" s="27">
        <f>VLOOKUP(Table1[[#This Row],[Date]],Database!A:D,4,)</f>
        <v>4.8</v>
      </c>
      <c r="F936" s="40">
        <v>5.0339168426270708E-3</v>
      </c>
      <c r="G936" s="27">
        <f>VLOOKUP(Table1[[#This Row],[Date]],Database!A:D,2,)</f>
        <v>62.7</v>
      </c>
      <c r="H936" s="26"/>
    </row>
    <row r="937" spans="1:9" x14ac:dyDescent="0.2">
      <c r="A937" s="37">
        <v>42401</v>
      </c>
      <c r="B937" s="38">
        <f>VLOOKUP(Table1[[#This Row],[Date]],Database!A:D,3,)</f>
        <v>143417</v>
      </c>
      <c r="C937" s="39">
        <f t="shared" si="29"/>
        <v>212</v>
      </c>
      <c r="D937" s="39">
        <f t="shared" si="28"/>
        <v>197.66666666666666</v>
      </c>
      <c r="E937" s="27">
        <f>VLOOKUP(Table1[[#This Row],[Date]],Database!A:D,4,)</f>
        <v>4.9000000000000004</v>
      </c>
      <c r="F937" s="40">
        <v>5.0339168426270708E-3</v>
      </c>
      <c r="G937" s="27">
        <f>VLOOKUP(Table1[[#This Row],[Date]],Database!A:D,2,)</f>
        <v>62.8</v>
      </c>
      <c r="H937" s="26"/>
    </row>
    <row r="938" spans="1:9" x14ac:dyDescent="0.2">
      <c r="A938" s="37">
        <v>42430</v>
      </c>
      <c r="B938" s="38">
        <f>VLOOKUP(Table1[[#This Row],[Date]],Database!A:D,3,)</f>
        <v>143654</v>
      </c>
      <c r="C938" s="39">
        <f t="shared" si="29"/>
        <v>237</v>
      </c>
      <c r="D938" s="39">
        <f t="shared" si="28"/>
        <v>185.66666666666666</v>
      </c>
      <c r="E938" s="27">
        <f>VLOOKUP(Table1[[#This Row],[Date]],Database!A:D,4,)</f>
        <v>5</v>
      </c>
      <c r="F938" s="40">
        <v>5.0339168426270708E-3</v>
      </c>
      <c r="G938" s="27">
        <f>VLOOKUP(Table1[[#This Row],[Date]],Database!A:D,2,)</f>
        <v>63</v>
      </c>
      <c r="H938" s="26"/>
    </row>
    <row r="939" spans="1:9" x14ac:dyDescent="0.2">
      <c r="A939" s="37">
        <v>42461</v>
      </c>
      <c r="B939" s="38">
        <f>VLOOKUP(Table1[[#This Row],[Date]],Database!A:D,3,)</f>
        <v>143851</v>
      </c>
      <c r="C939" s="39">
        <f t="shared" si="29"/>
        <v>197</v>
      </c>
      <c r="D939" s="39">
        <f t="shared" si="28"/>
        <v>215.33333333333334</v>
      </c>
      <c r="E939" s="27">
        <f>VLOOKUP(Table1[[#This Row],[Date]],Database!A:D,4,)</f>
        <v>5.0999999999999996</v>
      </c>
      <c r="F939" s="40">
        <v>4.7034662674756735E-3</v>
      </c>
      <c r="G939" s="27">
        <f>VLOOKUP(Table1[[#This Row],[Date]],Database!A:D,2,)</f>
        <v>62.9</v>
      </c>
      <c r="H939" s="26"/>
      <c r="I939" s="1">
        <v>1</v>
      </c>
    </row>
    <row r="940" spans="1:9" x14ac:dyDescent="0.2">
      <c r="A940" s="37">
        <v>42491</v>
      </c>
      <c r="B940" s="38">
        <f>VLOOKUP(Table1[[#This Row],[Date]],Database!A:D,3,)</f>
        <v>143892</v>
      </c>
      <c r="C940" s="39">
        <f t="shared" si="29"/>
        <v>41</v>
      </c>
      <c r="D940" s="39">
        <f t="shared" si="28"/>
        <v>158.33333333333334</v>
      </c>
      <c r="E940" s="27">
        <f>VLOOKUP(Table1[[#This Row],[Date]],Database!A:D,4,)</f>
        <v>4.8</v>
      </c>
      <c r="F940" s="40">
        <v>4.7034662674756735E-3</v>
      </c>
      <c r="G940" s="27">
        <f>VLOOKUP(Table1[[#This Row],[Date]],Database!A:D,2,)</f>
        <v>62.7</v>
      </c>
      <c r="H940" s="26"/>
      <c r="I940" s="1">
        <v>2</v>
      </c>
    </row>
    <row r="941" spans="1:9" x14ac:dyDescent="0.2">
      <c r="A941" s="37">
        <v>42522</v>
      </c>
      <c r="B941" s="38">
        <f>VLOOKUP(Table1[[#This Row],[Date]],Database!A:D,3,)</f>
        <v>144150</v>
      </c>
      <c r="C941" s="39">
        <f t="shared" si="29"/>
        <v>258</v>
      </c>
      <c r="D941" s="39">
        <f t="shared" si="28"/>
        <v>165.33333333333334</v>
      </c>
      <c r="E941" s="27">
        <f>VLOOKUP(Table1[[#This Row],[Date]],Database!A:D,4,)</f>
        <v>4.9000000000000004</v>
      </c>
      <c r="F941" s="40">
        <v>4.7034662674756735E-3</v>
      </c>
      <c r="G941" s="27">
        <f>VLOOKUP(Table1[[#This Row],[Date]],Database!A:D,2,)</f>
        <v>62.7</v>
      </c>
      <c r="H941" s="26"/>
      <c r="I941" s="1">
        <v>3</v>
      </c>
    </row>
    <row r="942" spans="1:9" x14ac:dyDescent="0.2">
      <c r="A942" s="37">
        <v>42552</v>
      </c>
      <c r="B942" s="38">
        <f>VLOOKUP(Table1[[#This Row],[Date]],Database!A:D,3,)</f>
        <v>144521</v>
      </c>
      <c r="C942" s="39">
        <f t="shared" si="29"/>
        <v>371</v>
      </c>
      <c r="D942" s="39">
        <f t="shared" si="28"/>
        <v>223.33333333333334</v>
      </c>
      <c r="E942" s="27">
        <f>VLOOKUP(Table1[[#This Row],[Date]],Database!A:D,4,)</f>
        <v>4.8</v>
      </c>
      <c r="F942" s="40">
        <v>5.422911652919098E-3</v>
      </c>
      <c r="G942" s="27">
        <f>VLOOKUP(Table1[[#This Row],[Date]],Database!A:D,2,)</f>
        <v>62.8</v>
      </c>
      <c r="H942" s="26"/>
      <c r="I942" s="1">
        <v>4</v>
      </c>
    </row>
    <row r="943" spans="1:9" x14ac:dyDescent="0.2">
      <c r="A943" s="37">
        <v>42583</v>
      </c>
      <c r="B943" s="38">
        <f>VLOOKUP(Table1[[#This Row],[Date]],Database!A:D,3,)</f>
        <v>144664</v>
      </c>
      <c r="C943" s="39">
        <f t="shared" si="29"/>
        <v>143</v>
      </c>
      <c r="D943" s="39">
        <f t="shared" si="28"/>
        <v>257.33333333333331</v>
      </c>
      <c r="E943" s="27">
        <f>VLOOKUP(Table1[[#This Row],[Date]],Database!A:D,4,)</f>
        <v>4.9000000000000004</v>
      </c>
      <c r="F943" s="40">
        <v>5.422911652919098E-3</v>
      </c>
      <c r="G943" s="27">
        <f>VLOOKUP(Table1[[#This Row],[Date]],Database!A:D,2,)</f>
        <v>62.9</v>
      </c>
      <c r="H943" s="26"/>
      <c r="I943" s="1">
        <v>5</v>
      </c>
    </row>
    <row r="944" spans="1:9" x14ac:dyDescent="0.2">
      <c r="A944" s="37">
        <v>42614</v>
      </c>
      <c r="B944" s="38">
        <f>VLOOKUP(Table1[[#This Row],[Date]],Database!A:D,3,)</f>
        <v>144953</v>
      </c>
      <c r="C944" s="39">
        <f t="shared" si="29"/>
        <v>289</v>
      </c>
      <c r="D944" s="39">
        <f t="shared" si="28"/>
        <v>267.66666666666669</v>
      </c>
      <c r="E944" s="27">
        <f>VLOOKUP(Table1[[#This Row],[Date]],Database!A:D,4,)</f>
        <v>5</v>
      </c>
      <c r="F944" s="40">
        <v>5.422911652919098E-3</v>
      </c>
      <c r="G944" s="27">
        <f>VLOOKUP(Table1[[#This Row],[Date]],Database!A:D,2,)</f>
        <v>62.9</v>
      </c>
      <c r="H944" s="26"/>
      <c r="I944" s="1">
        <v>6</v>
      </c>
    </row>
    <row r="945" spans="1:9" x14ac:dyDescent="0.2">
      <c r="A945" s="37">
        <v>42644</v>
      </c>
      <c r="B945" s="38">
        <f>VLOOKUP(Table1[[#This Row],[Date]],Database!A:D,3,)</f>
        <v>145071</v>
      </c>
      <c r="C945" s="39">
        <f t="shared" si="29"/>
        <v>118</v>
      </c>
      <c r="D945" s="39">
        <f t="shared" si="28"/>
        <v>183.33333333333334</v>
      </c>
      <c r="E945" s="27">
        <f>VLOOKUP(Table1[[#This Row],[Date]],Database!A:D,4,)</f>
        <v>4.9000000000000004</v>
      </c>
      <c r="F945" s="40">
        <v>5.0271569207999489E-3</v>
      </c>
      <c r="G945" s="27">
        <f>VLOOKUP(Table1[[#This Row],[Date]],Database!A:D,2,)</f>
        <v>62.8</v>
      </c>
      <c r="H945" s="26"/>
      <c r="I945" s="1">
        <v>7</v>
      </c>
    </row>
    <row r="946" spans="1:9" x14ac:dyDescent="0.2">
      <c r="A946" s="37">
        <v>42675</v>
      </c>
      <c r="B946" s="38">
        <f>VLOOKUP(Table1[[#This Row],[Date]],Database!A:D,3,)</f>
        <v>145201</v>
      </c>
      <c r="C946" s="39">
        <f t="shared" si="29"/>
        <v>130</v>
      </c>
      <c r="D946" s="39">
        <f t="shared" si="28"/>
        <v>179</v>
      </c>
      <c r="E946" s="27">
        <f>VLOOKUP(Table1[[#This Row],[Date]],Database!A:D,4,)</f>
        <v>4.7</v>
      </c>
      <c r="F946" s="40">
        <v>5.0271569207999489E-3</v>
      </c>
      <c r="G946" s="27">
        <f>VLOOKUP(Table1[[#This Row],[Date]],Database!A:D,2,)</f>
        <v>62.7</v>
      </c>
      <c r="H946" s="26"/>
      <c r="I946" s="1">
        <v>8</v>
      </c>
    </row>
    <row r="947" spans="1:9" x14ac:dyDescent="0.2">
      <c r="A947" s="37">
        <v>42705</v>
      </c>
      <c r="B947" s="38">
        <f>VLOOKUP(Table1[[#This Row],[Date]],Database!A:D,3,)</f>
        <v>145415</v>
      </c>
      <c r="C947" s="39">
        <f t="shared" si="29"/>
        <v>214</v>
      </c>
      <c r="D947" s="39">
        <f t="shared" si="28"/>
        <v>154</v>
      </c>
      <c r="E947" s="27">
        <f>VLOOKUP(Table1[[#This Row],[Date]],Database!A:D,4,)</f>
        <v>4.7</v>
      </c>
      <c r="F947" s="40">
        <v>5.0271569207999489E-3</v>
      </c>
      <c r="G947" s="27">
        <f>VLOOKUP(Table1[[#This Row],[Date]],Database!A:D,2,)</f>
        <v>62.7</v>
      </c>
      <c r="H947" s="26"/>
      <c r="I947" s="1">
        <v>9</v>
      </c>
    </row>
    <row r="948" spans="1:9" x14ac:dyDescent="0.2">
      <c r="A948" s="37">
        <v>42736</v>
      </c>
      <c r="B948" s="38">
        <f>VLOOKUP(Table1[[#This Row],[Date]],Database!A:D,3,)</f>
        <v>145612</v>
      </c>
      <c r="C948" s="39">
        <f t="shared" si="29"/>
        <v>197</v>
      </c>
      <c r="D948" s="39">
        <f t="shared" si="28"/>
        <v>180.33333333333334</v>
      </c>
      <c r="E948" s="27">
        <f>VLOOKUP(Table1[[#This Row],[Date]],Database!A:D,4,)</f>
        <v>4.7</v>
      </c>
      <c r="F948" s="40">
        <v>5.6678462032949111E-3</v>
      </c>
      <c r="G948" s="27">
        <f>VLOOKUP(Table1[[#This Row],[Date]],Database!A:D,2,)</f>
        <v>62.8</v>
      </c>
      <c r="H948" s="26"/>
      <c r="I948" s="1">
        <v>10</v>
      </c>
    </row>
    <row r="949" spans="1:9" x14ac:dyDescent="0.2">
      <c r="A949" s="37">
        <v>42767</v>
      </c>
      <c r="B949" s="38">
        <f>VLOOKUP(Table1[[#This Row],[Date]],Database!A:D,3,)</f>
        <v>145795</v>
      </c>
      <c r="C949" s="39">
        <f t="shared" si="29"/>
        <v>183</v>
      </c>
      <c r="D949" s="39">
        <f t="shared" si="28"/>
        <v>198</v>
      </c>
      <c r="E949" s="27">
        <f>VLOOKUP(Table1[[#This Row],[Date]],Database!A:D,4,)</f>
        <v>4.5999999999999996</v>
      </c>
      <c r="F949" s="40">
        <v>5.6678462032949111E-3</v>
      </c>
      <c r="G949" s="27">
        <f>VLOOKUP(Table1[[#This Row],[Date]],Database!A:D,2,)</f>
        <v>62.8</v>
      </c>
      <c r="H949" s="26"/>
      <c r="I949" s="1">
        <v>11</v>
      </c>
    </row>
    <row r="950" spans="1:9" x14ac:dyDescent="0.2">
      <c r="A950" s="37">
        <v>42795</v>
      </c>
      <c r="B950" s="38">
        <f>VLOOKUP(Table1[[#This Row],[Date]],Database!A:D,3,)</f>
        <v>145934</v>
      </c>
      <c r="C950" s="39">
        <f t="shared" si="29"/>
        <v>139</v>
      </c>
      <c r="D950" s="39">
        <f t="shared" si="28"/>
        <v>173</v>
      </c>
      <c r="E950" s="27">
        <f>VLOOKUP(Table1[[#This Row],[Date]],Database!A:D,4,)</f>
        <v>4.4000000000000004</v>
      </c>
      <c r="F950" s="40">
        <v>5.6678462032949111E-3</v>
      </c>
      <c r="G950" s="27">
        <f>VLOOKUP(Table1[[#This Row],[Date]],Database!A:D,2,)</f>
        <v>63</v>
      </c>
      <c r="H950" s="26"/>
      <c r="I950" s="1">
        <v>12</v>
      </c>
    </row>
    <row r="951" spans="1:9" x14ac:dyDescent="0.2">
      <c r="A951" s="37">
        <v>42826</v>
      </c>
      <c r="B951" s="38">
        <f>VLOOKUP(Table1[[#This Row],[Date]],Database!A:D,3,)</f>
        <v>146154</v>
      </c>
      <c r="C951" s="39">
        <f t="shared" si="29"/>
        <v>220</v>
      </c>
      <c r="D951" s="39">
        <f t="shared" si="28"/>
        <v>180.66666666666666</v>
      </c>
      <c r="E951" s="27">
        <f>VLOOKUP(Table1[[#This Row],[Date]],Database!A:D,4,)</f>
        <v>4.5</v>
      </c>
      <c r="F951" s="40">
        <v>5.343968309294865E-3</v>
      </c>
      <c r="G951" s="27">
        <f>VLOOKUP(Table1[[#This Row],[Date]],Database!A:D,2,)</f>
        <v>63</v>
      </c>
      <c r="H951" s="26"/>
      <c r="I951" s="1">
        <v>13</v>
      </c>
    </row>
    <row r="952" spans="1:9" x14ac:dyDescent="0.2">
      <c r="A952" s="37">
        <v>42856</v>
      </c>
      <c r="B952" s="38">
        <f>VLOOKUP(Table1[[#This Row],[Date]],Database!A:D,3,)</f>
        <v>146295</v>
      </c>
      <c r="C952" s="39">
        <f t="shared" si="29"/>
        <v>141</v>
      </c>
      <c r="D952" s="39">
        <f t="shared" si="28"/>
        <v>166.66666666666666</v>
      </c>
      <c r="E952" s="27">
        <f>VLOOKUP(Table1[[#This Row],[Date]],Database!A:D,4,)</f>
        <v>4.4000000000000004</v>
      </c>
      <c r="F952" s="40">
        <v>5.343968309294865E-3</v>
      </c>
      <c r="G952" s="27">
        <f>VLOOKUP(Table1[[#This Row],[Date]],Database!A:D,2,)</f>
        <v>62.8</v>
      </c>
      <c r="H952" s="26"/>
      <c r="I952" s="1">
        <v>14</v>
      </c>
    </row>
    <row r="953" spans="1:9" x14ac:dyDescent="0.2">
      <c r="A953" s="37">
        <v>42887</v>
      </c>
      <c r="B953" s="38">
        <f>VLOOKUP(Table1[[#This Row],[Date]],Database!A:D,3,)</f>
        <v>146506</v>
      </c>
      <c r="C953" s="39">
        <f t="shared" si="29"/>
        <v>211</v>
      </c>
      <c r="D953" s="39">
        <f t="shared" si="28"/>
        <v>190.66666666666666</v>
      </c>
      <c r="E953" s="27">
        <f>VLOOKUP(Table1[[#This Row],[Date]],Database!A:D,4,)</f>
        <v>4.3</v>
      </c>
      <c r="F953" s="40">
        <v>5.343968309294865E-3</v>
      </c>
      <c r="G953" s="27">
        <f>VLOOKUP(Table1[[#This Row],[Date]],Database!A:D,2,)</f>
        <v>62.8</v>
      </c>
      <c r="H953" s="26"/>
      <c r="I953" s="1">
        <v>15</v>
      </c>
    </row>
    <row r="954" spans="1:9" x14ac:dyDescent="0.2">
      <c r="A954" s="37">
        <v>42917</v>
      </c>
      <c r="B954" s="38">
        <f>VLOOKUP(Table1[[#This Row],[Date]],Database!A:D,3,)</f>
        <v>146734</v>
      </c>
      <c r="C954" s="39">
        <f t="shared" si="29"/>
        <v>228</v>
      </c>
      <c r="D954" s="39">
        <f t="shared" si="28"/>
        <v>193.33333333333334</v>
      </c>
      <c r="E954" s="27">
        <f>VLOOKUP(Table1[[#This Row],[Date]],Database!A:D,4,)</f>
        <v>4.3</v>
      </c>
      <c r="F954" s="40">
        <v>7.9079751632647587E-3</v>
      </c>
      <c r="G954" s="27">
        <f>VLOOKUP(Table1[[#This Row],[Date]],Database!A:D,2,)</f>
        <v>62.9</v>
      </c>
      <c r="H954" s="26"/>
      <c r="I954" s="1">
        <v>16</v>
      </c>
    </row>
    <row r="955" spans="1:9" x14ac:dyDescent="0.2">
      <c r="A955" s="37">
        <v>42948</v>
      </c>
      <c r="B955" s="38">
        <f>VLOOKUP(Table1[[#This Row],[Date]],Database!A:D,3,)</f>
        <v>146924</v>
      </c>
      <c r="C955" s="39">
        <f t="shared" si="29"/>
        <v>190</v>
      </c>
      <c r="D955" s="39">
        <f t="shared" si="28"/>
        <v>209.66666666666666</v>
      </c>
      <c r="E955" s="27">
        <f>VLOOKUP(Table1[[#This Row],[Date]],Database!A:D,4,)</f>
        <v>4.4000000000000004</v>
      </c>
      <c r="F955" s="40">
        <v>7.9079751632647587E-3</v>
      </c>
      <c r="G955" s="27">
        <f>VLOOKUP(Table1[[#This Row],[Date]],Database!A:D,2,)</f>
        <v>62.9</v>
      </c>
      <c r="H955" s="26"/>
      <c r="I955" s="1">
        <v>17</v>
      </c>
    </row>
    <row r="956" spans="1:9" x14ac:dyDescent="0.2">
      <c r="A956" s="37">
        <v>42979</v>
      </c>
      <c r="B956" s="38">
        <f>VLOOKUP(Table1[[#This Row],[Date]],Database!A:D,3,)</f>
        <v>146966</v>
      </c>
      <c r="C956" s="39">
        <f t="shared" si="29"/>
        <v>42</v>
      </c>
      <c r="D956" s="39">
        <f t="shared" si="28"/>
        <v>153.33333333333334</v>
      </c>
      <c r="E956" s="27">
        <f>VLOOKUP(Table1[[#This Row],[Date]],Database!A:D,4,)</f>
        <v>4.2</v>
      </c>
      <c r="F956" s="40">
        <v>7.9079751632647587E-3</v>
      </c>
      <c r="G956" s="27">
        <f>VLOOKUP(Table1[[#This Row],[Date]],Database!A:D,2,)</f>
        <v>63</v>
      </c>
      <c r="H956" s="26"/>
      <c r="I956" s="1">
        <v>18</v>
      </c>
    </row>
    <row r="957" spans="1:9" x14ac:dyDescent="0.2">
      <c r="A957" s="37">
        <v>43009</v>
      </c>
      <c r="B957" s="38">
        <f>VLOOKUP(Table1[[#This Row],[Date]],Database!A:D,3,)</f>
        <v>147215</v>
      </c>
      <c r="C957" s="39">
        <f t="shared" si="29"/>
        <v>249</v>
      </c>
      <c r="D957" s="39">
        <f t="shared" si="28"/>
        <v>160.33333333333334</v>
      </c>
      <c r="E957" s="27">
        <f>VLOOKUP(Table1[[#This Row],[Date]],Database!A:D,4,)</f>
        <v>4.0999999999999996</v>
      </c>
      <c r="F957" s="40">
        <v>8.7486163228591568E-3</v>
      </c>
      <c r="G957" s="27">
        <f>VLOOKUP(Table1[[#This Row],[Date]],Database!A:D,2,)</f>
        <v>62.7</v>
      </c>
      <c r="H957" s="26"/>
      <c r="I957" s="1">
        <v>19</v>
      </c>
    </row>
    <row r="958" spans="1:9" x14ac:dyDescent="0.2">
      <c r="A958" s="37">
        <v>43040</v>
      </c>
      <c r="B958" s="38">
        <f>VLOOKUP(Table1[[#This Row],[Date]],Database!A:D,3,)</f>
        <v>147411</v>
      </c>
      <c r="C958" s="39">
        <f t="shared" si="29"/>
        <v>196</v>
      </c>
      <c r="D958" s="39">
        <f t="shared" si="28"/>
        <v>162.33333333333334</v>
      </c>
      <c r="E958" s="27">
        <f>VLOOKUP(Table1[[#This Row],[Date]],Database!A:D,4,)</f>
        <v>4.2</v>
      </c>
      <c r="F958" s="40">
        <v>8.7486163228591568E-3</v>
      </c>
      <c r="G958" s="27">
        <f>VLOOKUP(Table1[[#This Row],[Date]],Database!A:D,2,)</f>
        <v>62.7</v>
      </c>
      <c r="H958" s="26"/>
      <c r="I958" s="1">
        <v>20</v>
      </c>
    </row>
    <row r="959" spans="1:9" x14ac:dyDescent="0.2">
      <c r="A959" s="37">
        <v>43070</v>
      </c>
      <c r="B959" s="38">
        <f>VLOOKUP(Table1[[#This Row],[Date]],Database!A:D,3,)</f>
        <v>147590</v>
      </c>
      <c r="C959" s="39">
        <f t="shared" si="29"/>
        <v>179</v>
      </c>
      <c r="D959" s="39">
        <f t="shared" si="28"/>
        <v>208</v>
      </c>
      <c r="E959" s="27">
        <f>VLOOKUP(Table1[[#This Row],[Date]],Database!A:D,4,)</f>
        <v>4.0999999999999996</v>
      </c>
      <c r="F959" s="40">
        <v>8.7486163228591568E-3</v>
      </c>
      <c r="G959" s="27">
        <f>VLOOKUP(Table1[[#This Row],[Date]],Database!A:D,2,)</f>
        <v>62.7</v>
      </c>
      <c r="H959" s="26"/>
      <c r="I959" s="1">
        <v>21</v>
      </c>
    </row>
    <row r="960" spans="1:9" x14ac:dyDescent="0.2">
      <c r="A960" s="37">
        <v>43101</v>
      </c>
      <c r="B960" s="38">
        <f>VLOOKUP(Table1[[#This Row],[Date]],Database!A:D,3,)</f>
        <v>147671</v>
      </c>
      <c r="C960" s="39">
        <f t="shared" si="29"/>
        <v>81</v>
      </c>
      <c r="D960" s="39">
        <f t="shared" si="28"/>
        <v>152</v>
      </c>
      <c r="E960" s="27">
        <f>VLOOKUP(Table1[[#This Row],[Date]],Database!A:D,4,)</f>
        <v>4</v>
      </c>
      <c r="F960" s="40">
        <v>6.3195648794835057E-3</v>
      </c>
      <c r="G960" s="27">
        <f>VLOOKUP(Table1[[#This Row],[Date]],Database!A:D,2,)</f>
        <v>62.7</v>
      </c>
      <c r="H960" s="26"/>
    </row>
    <row r="961" spans="1:8" x14ac:dyDescent="0.2">
      <c r="A961" s="37">
        <v>43132</v>
      </c>
      <c r="B961" s="38">
        <f>VLOOKUP(Table1[[#This Row],[Date]],Database!A:D,3,)</f>
        <v>148049</v>
      </c>
      <c r="C961" s="39">
        <f>B961-B960</f>
        <v>378</v>
      </c>
      <c r="D961" s="39">
        <f t="shared" si="28"/>
        <v>212.66666666666666</v>
      </c>
      <c r="E961" s="27">
        <f>VLOOKUP(Table1[[#This Row],[Date]],Database!A:D,4,)</f>
        <v>4.0999999999999996</v>
      </c>
      <c r="F961" s="40">
        <v>6.3195648794835057E-3</v>
      </c>
      <c r="G961" s="27">
        <f>VLOOKUP(Table1[[#This Row],[Date]],Database!A:D,2,)</f>
        <v>63</v>
      </c>
      <c r="H961" s="26"/>
    </row>
    <row r="962" spans="1:8" x14ac:dyDescent="0.2">
      <c r="A962" s="37">
        <v>43160</v>
      </c>
      <c r="B962" s="38">
        <f>VLOOKUP(Table1[[#This Row],[Date]],Database!A:D,3,)</f>
        <v>148244</v>
      </c>
      <c r="C962" s="39">
        <f t="shared" ref="C962" si="30">B962-B961</f>
        <v>195</v>
      </c>
      <c r="D962" s="39">
        <f t="shared" si="28"/>
        <v>218</v>
      </c>
      <c r="E962" s="27">
        <f>VLOOKUP(Table1[[#This Row],[Date]],Database!A:D,4,)</f>
        <v>4</v>
      </c>
      <c r="F962" s="40">
        <v>6.3195648794835057E-3</v>
      </c>
      <c r="G962" s="27">
        <f>VLOOKUP(Table1[[#This Row],[Date]],Database!A:D,2,)</f>
        <v>62.9</v>
      </c>
      <c r="H962" s="26"/>
    </row>
    <row r="963" spans="1:8" x14ac:dyDescent="0.2">
      <c r="A963" s="37">
        <v>43191</v>
      </c>
      <c r="B963" s="38">
        <f>VLOOKUP(Table1[[#This Row],[Date]],Database!A:D,3,)</f>
        <v>148397</v>
      </c>
      <c r="C963" s="39">
        <f>B963-B962</f>
        <v>153</v>
      </c>
      <c r="D963" s="39">
        <f t="shared" si="28"/>
        <v>242</v>
      </c>
      <c r="E963" s="27">
        <f>VLOOKUP(Table1[[#This Row],[Date]],Database!A:D,4,)</f>
        <v>4</v>
      </c>
      <c r="F963" s="40">
        <v>8.6711572581654201E-3</v>
      </c>
      <c r="G963" s="27">
        <f>VLOOKUP(Table1[[#This Row],[Date]],Database!A:D,2,)</f>
        <v>62.9</v>
      </c>
    </row>
    <row r="964" spans="1:8" x14ac:dyDescent="0.2">
      <c r="A964" s="37">
        <v>43221</v>
      </c>
      <c r="B964" s="38">
        <f>VLOOKUP(Table1[[#This Row],[Date]],Database!A:D,3,)</f>
        <v>148667</v>
      </c>
      <c r="C964" s="39">
        <f t="shared" ref="C964" si="31">B964-B963</f>
        <v>270</v>
      </c>
      <c r="D964" s="39">
        <f t="shared" ref="D964" si="32">AVERAGE(C962:C964)</f>
        <v>206</v>
      </c>
      <c r="E964" s="27">
        <f>VLOOKUP(Table1[[#This Row],[Date]],Database!A:D,4,)</f>
        <v>3.8</v>
      </c>
      <c r="F964" s="40">
        <v>8.6711572581654201E-3</v>
      </c>
      <c r="G964" s="27">
        <f>VLOOKUP(Table1[[#This Row],[Date]],Database!A:D,2,)</f>
        <v>62.9</v>
      </c>
    </row>
    <row r="965" spans="1:8" x14ac:dyDescent="0.2">
      <c r="A965" s="37">
        <v>43252</v>
      </c>
      <c r="B965" s="38">
        <f>VLOOKUP(Table1[[#This Row],[Date]],Database!A:D,3,)</f>
        <v>148881</v>
      </c>
      <c r="C965" s="39">
        <f>B965-B964</f>
        <v>214</v>
      </c>
      <c r="D965" s="39">
        <f>AVERAGE(C963:C965)</f>
        <v>212.33333333333334</v>
      </c>
      <c r="E965" s="27">
        <f>VLOOKUP(Table1[[#This Row],[Date]],Database!A:D,4,)</f>
        <v>4</v>
      </c>
      <c r="F965" s="40">
        <v>8.6711572581654201E-3</v>
      </c>
      <c r="G965" s="27">
        <f>VLOOKUP(Table1[[#This Row],[Date]],Database!A:D,2,)</f>
        <v>63</v>
      </c>
    </row>
    <row r="966" spans="1:8" x14ac:dyDescent="0.2">
      <c r="A966" s="37">
        <v>43282</v>
      </c>
      <c r="B966" s="41">
        <f>VLOOKUP(Table1[[#This Row],[Date]],Database!A:D,3,)</f>
        <v>149030</v>
      </c>
      <c r="C966" s="39">
        <f t="shared" ref="C966" si="33">B966-B965</f>
        <v>149</v>
      </c>
      <c r="D966" s="39">
        <f t="shared" ref="D966" si="34">AVERAGE(C964:C966)</f>
        <v>211</v>
      </c>
      <c r="E966" s="27">
        <f>VLOOKUP(Table1[[#This Row],[Date]],Database!A:D,4,)</f>
        <v>3.8</v>
      </c>
      <c r="F966" s="40">
        <v>7.2364782812901814E-3</v>
      </c>
      <c r="G966" s="27">
        <f>VLOOKUP(Table1[[#This Row],[Date]],Database!A:D,2,)</f>
        <v>63</v>
      </c>
    </row>
    <row r="967" spans="1:8" x14ac:dyDescent="0.2">
      <c r="A967" s="37">
        <v>43313</v>
      </c>
      <c r="B967" s="38">
        <f>VLOOKUP(Table1[[#This Row],[Date]],Database!A:D,3,)</f>
        <v>149259</v>
      </c>
      <c r="C967" s="39">
        <f>B967-B966</f>
        <v>229</v>
      </c>
      <c r="D967" s="39">
        <f>AVERAGE(C965:C967)</f>
        <v>197.33333333333334</v>
      </c>
      <c r="E967" s="27">
        <f>VLOOKUP(Table1[[#This Row],[Date]],Database!A:D,4,)</f>
        <v>3.8</v>
      </c>
      <c r="F967" s="40">
        <v>7.2364782812901814E-3</v>
      </c>
      <c r="G967" s="27">
        <f>VLOOKUP(Table1[[#This Row],[Date]],Database!A:D,2,)</f>
        <v>62.7</v>
      </c>
    </row>
    <row r="968" spans="1:8" x14ac:dyDescent="0.2">
      <c r="A968" s="37">
        <v>43344</v>
      </c>
      <c r="B968" s="41">
        <f>VLOOKUP(Table1[[#This Row],[Date]],Database!A:D,3,)</f>
        <v>149364</v>
      </c>
      <c r="C968" s="39">
        <f t="shared" ref="C968" si="35">B968-B967</f>
        <v>105</v>
      </c>
      <c r="D968" s="39">
        <f t="shared" ref="D968" si="36">AVERAGE(C966:C968)</f>
        <v>161</v>
      </c>
      <c r="E968" s="27">
        <f>VLOOKUP(Table1[[#This Row],[Date]],Database!A:D,4,)</f>
        <v>3.7</v>
      </c>
      <c r="F968" s="40">
        <v>7.2364782812901814E-3</v>
      </c>
      <c r="G968" s="27">
        <f>VLOOKUP(Table1[[#This Row],[Date]],Database!A:D,2,)</f>
        <v>62.7</v>
      </c>
    </row>
    <row r="969" spans="1:8" x14ac:dyDescent="0.2">
      <c r="A969" s="37">
        <v>43374</v>
      </c>
      <c r="B969" s="38">
        <f>VLOOKUP(Table1[[#This Row],[Date]],Database!A:D,3,)</f>
        <v>149576</v>
      </c>
      <c r="C969" s="39">
        <f>B969-B968</f>
        <v>212</v>
      </c>
      <c r="D969" s="39">
        <f>AVERAGE(C967:C969)</f>
        <v>182</v>
      </c>
      <c r="E969" s="27">
        <f>VLOOKUP(Table1[[#This Row],[Date]],Database!A:D,4,)</f>
        <v>3.8</v>
      </c>
      <c r="F969" s="40">
        <v>2.713327269077726E-3</v>
      </c>
      <c r="G969" s="27">
        <f>VLOOKUP(Table1[[#This Row],[Date]],Database!A:D,2,)</f>
        <v>62.8</v>
      </c>
    </row>
    <row r="970" spans="1:8" x14ac:dyDescent="0.2">
      <c r="A970" s="37">
        <v>43405</v>
      </c>
      <c r="B970" s="41">
        <f>VLOOKUP(Table1[[#This Row],[Date]],Database!A:D,3,)</f>
        <v>149668</v>
      </c>
      <c r="C970" s="39">
        <f t="shared" ref="C970" si="37">B970-B969</f>
        <v>92</v>
      </c>
      <c r="D970" s="39">
        <f t="shared" ref="D970" si="38">AVERAGE(C968:C970)</f>
        <v>136.33333333333334</v>
      </c>
      <c r="E970" s="27">
        <f>VLOOKUP(Table1[[#This Row],[Date]],Database!A:D,4,)</f>
        <v>3.8</v>
      </c>
      <c r="F970" s="40">
        <v>2.713327269077726E-3</v>
      </c>
      <c r="G970" s="27">
        <f>VLOOKUP(Table1[[#This Row],[Date]],Database!A:D,2,)</f>
        <v>62.9</v>
      </c>
    </row>
    <row r="971" spans="1:8" x14ac:dyDescent="0.2">
      <c r="A971" s="37">
        <v>43435</v>
      </c>
      <c r="B971" s="38">
        <f>VLOOKUP(Table1[[#This Row],[Date]],Database!A:D,3,)</f>
        <v>149908</v>
      </c>
      <c r="C971" s="39">
        <f>B971-B970</f>
        <v>240</v>
      </c>
      <c r="D971" s="39">
        <f>AVERAGE(C969:C971)</f>
        <v>181.33333333333334</v>
      </c>
      <c r="E971" s="27">
        <f>VLOOKUP(Table1[[#This Row],[Date]],Database!A:D,4,)</f>
        <v>3.9</v>
      </c>
      <c r="F971" s="40">
        <v>2.713327269077726E-3</v>
      </c>
      <c r="G971" s="27">
        <f>VLOOKUP(Table1[[#This Row],[Date]],Database!A:D,2,)</f>
        <v>63</v>
      </c>
    </row>
    <row r="972" spans="1:8" x14ac:dyDescent="0.2">
      <c r="A972" s="37">
        <v>43466</v>
      </c>
      <c r="B972" s="41">
        <f>VLOOKUP(Table1[[#This Row],[Date]],Database!A:D,3,)</f>
        <v>150145</v>
      </c>
      <c r="C972" s="39">
        <f t="shared" ref="C972" si="39">B972-B971</f>
        <v>237</v>
      </c>
      <c r="D972" s="39">
        <f t="shared" ref="D972" si="40">AVERAGE(C970:C972)</f>
        <v>189.66666666666666</v>
      </c>
      <c r="E972" s="27">
        <f>VLOOKUP(Table1[[#This Row],[Date]],Database!A:D,4,)</f>
        <v>4</v>
      </c>
      <c r="F972" s="40">
        <v>7.6520687146006804E-3</v>
      </c>
      <c r="G972" s="27">
        <f>VLOOKUP(Table1[[#This Row],[Date]],Database!A:D,2,)</f>
        <v>63.1</v>
      </c>
    </row>
    <row r="973" spans="1:8" x14ac:dyDescent="0.2">
      <c r="A973" s="37">
        <v>43497</v>
      </c>
      <c r="B973" s="38">
        <f>VLOOKUP(Table1[[#This Row],[Date]],Database!A:D,3,)</f>
        <v>150095</v>
      </c>
      <c r="C973" s="39">
        <f>B973-B972</f>
        <v>-50</v>
      </c>
      <c r="D973" s="39">
        <f>AVERAGE(C971:C973)</f>
        <v>142.33333333333334</v>
      </c>
      <c r="E973" s="27">
        <f>VLOOKUP(Table1[[#This Row],[Date]],Database!A:D,4,)</f>
        <v>3.8</v>
      </c>
      <c r="F973" s="40">
        <v>7.6520687146006804E-3</v>
      </c>
      <c r="G973" s="27">
        <f>VLOOKUP(Table1[[#This Row],[Date]],Database!A:D,2,)</f>
        <v>63.1</v>
      </c>
    </row>
    <row r="974" spans="1:8" x14ac:dyDescent="0.2">
      <c r="A974" s="37">
        <v>43525</v>
      </c>
      <c r="B974" s="41">
        <f>VLOOKUP(Table1[[#This Row],[Date]],Database!A:D,3,)</f>
        <v>150263</v>
      </c>
      <c r="C974" s="39">
        <f t="shared" ref="C974" si="41">B974-B973</f>
        <v>168</v>
      </c>
      <c r="D974" s="39">
        <f t="shared" ref="D974" si="42">AVERAGE(C972:C974)</f>
        <v>118.33333333333333</v>
      </c>
      <c r="E974" s="27">
        <f>VLOOKUP(Table1[[#This Row],[Date]],Database!A:D,4,)</f>
        <v>3.8</v>
      </c>
      <c r="F974" s="40">
        <v>7.6520687146006804E-3</v>
      </c>
      <c r="G974" s="27">
        <f>VLOOKUP(Table1[[#This Row],[Date]],Database!A:D,2,)</f>
        <v>63.1</v>
      </c>
    </row>
    <row r="975" spans="1:8" x14ac:dyDescent="0.2">
      <c r="A975" s="37">
        <v>43556</v>
      </c>
      <c r="B975" s="38">
        <f>VLOOKUP(Table1[[#This Row],[Date]],Database!A:D,3,)</f>
        <v>150482</v>
      </c>
      <c r="C975" s="39">
        <f>B975-B974</f>
        <v>219</v>
      </c>
      <c r="D975" s="39">
        <f>AVERAGE(C973:C975)</f>
        <v>112.33333333333333</v>
      </c>
      <c r="E975" s="27">
        <f>VLOOKUP(Table1[[#This Row],[Date]],Database!A:D,4,)</f>
        <v>3.7</v>
      </c>
      <c r="F975" s="40">
        <v>5.0583599408706307E-3</v>
      </c>
      <c r="G975" s="27">
        <f>VLOOKUP(Table1[[#This Row],[Date]],Database!A:D,2,)</f>
        <v>62.9</v>
      </c>
    </row>
    <row r="976" spans="1:8" x14ac:dyDescent="0.2">
      <c r="A976" s="37">
        <v>43586</v>
      </c>
      <c r="B976" s="41">
        <f>VLOOKUP(Table1[[#This Row],[Date]],Database!A:D,3,)</f>
        <v>150545</v>
      </c>
      <c r="C976" s="39">
        <f t="shared" ref="C976" si="43">B976-B975</f>
        <v>63</v>
      </c>
      <c r="D976" s="39">
        <f t="shared" ref="D976" si="44">AVERAGE(C974:C976)</f>
        <v>150</v>
      </c>
      <c r="E976" s="27">
        <f>VLOOKUP(Table1[[#This Row],[Date]],Database!A:D,4,)</f>
        <v>3.7</v>
      </c>
      <c r="F976" s="40">
        <v>5.0583599408706307E-3</v>
      </c>
      <c r="G976" s="27">
        <f>VLOOKUP(Table1[[#This Row],[Date]],Database!A:D,2,)</f>
        <v>62.9</v>
      </c>
    </row>
    <row r="977" spans="1:7" x14ac:dyDescent="0.2">
      <c r="A977" s="37">
        <v>43617</v>
      </c>
      <c r="B977" s="38">
        <f>VLOOKUP(Table1[[#This Row],[Date]],Database!A:D,3,)</f>
        <v>150720</v>
      </c>
      <c r="C977" s="39">
        <f>B977-B976</f>
        <v>175</v>
      </c>
      <c r="D977" s="39">
        <f>AVERAGE(C975:C977)</f>
        <v>152.33333333333334</v>
      </c>
      <c r="E977" s="27">
        <f>VLOOKUP(Table1[[#This Row],[Date]],Database!A:D,4,)</f>
        <v>3.6</v>
      </c>
      <c r="F977" s="40">
        <v>5.0583599408706307E-3</v>
      </c>
      <c r="G977" s="27">
        <f>VLOOKUP(Table1[[#This Row],[Date]],Database!A:D,2,)</f>
        <v>62.9</v>
      </c>
    </row>
    <row r="978" spans="1:7" x14ac:dyDescent="0.2">
      <c r="A978" s="37">
        <v>43647</v>
      </c>
      <c r="B978" s="41">
        <f>VLOOKUP(Table1[[#This Row],[Date]],Database!A:D,3,)</f>
        <v>150913</v>
      </c>
      <c r="C978" s="39">
        <f t="shared" ref="C978:C979" si="45">B978-B977</f>
        <v>193</v>
      </c>
      <c r="D978" s="39">
        <f t="shared" ref="D978:D979" si="46">AVERAGE(C976:C978)</f>
        <v>143.66666666666666</v>
      </c>
      <c r="E978" s="27">
        <f>VLOOKUP(Table1[[#This Row],[Date]],Database!A:D,4,)</f>
        <v>3.6</v>
      </c>
      <c r="F978" s="40"/>
      <c r="G978" s="27">
        <f>VLOOKUP(Table1[[#This Row],[Date]],Database!A:D,2,)</f>
        <v>63.1</v>
      </c>
    </row>
    <row r="979" spans="1:7" x14ac:dyDescent="0.2">
      <c r="A979" s="37">
        <v>43678</v>
      </c>
      <c r="B979" s="38">
        <f>VLOOKUP(Table1[[#This Row],[Date]],Database!A:D,3,)</f>
        <v>151108</v>
      </c>
      <c r="C979" s="39">
        <f t="shared" si="45"/>
        <v>195</v>
      </c>
      <c r="D979" s="39">
        <f t="shared" si="46"/>
        <v>187.66666666666666</v>
      </c>
      <c r="E979" s="27">
        <f>VLOOKUP(Table1[[#This Row],[Date]],Database!A:D,4,)</f>
        <v>3.7</v>
      </c>
      <c r="F979" s="40"/>
      <c r="G979" s="27">
        <f>VLOOKUP(Table1[[#This Row],[Date]],Database!A:D,2,)</f>
        <v>63.2</v>
      </c>
    </row>
    <row r="980" spans="1:7" x14ac:dyDescent="0.2">
      <c r="A980" s="37">
        <v>43709</v>
      </c>
      <c r="B980" s="41">
        <f>VLOOKUP(Table1[[#This Row],[Date]],Database!A:D,3,)</f>
        <v>151329</v>
      </c>
      <c r="C980" s="39">
        <f t="shared" ref="C980:C981" si="47">B980-B979</f>
        <v>221</v>
      </c>
      <c r="D980" s="39">
        <f t="shared" ref="D980:D981" si="48">AVERAGE(C978:C980)</f>
        <v>203</v>
      </c>
      <c r="E980" s="27">
        <f>VLOOKUP(Table1[[#This Row],[Date]],Database!A:D,4,)</f>
        <v>3.5</v>
      </c>
      <c r="F980" s="40"/>
      <c r="G980" s="27">
        <f>VLOOKUP(Table1[[#This Row],[Date]],Database!A:D,2,)</f>
        <v>63.1</v>
      </c>
    </row>
    <row r="981" spans="1:7" x14ac:dyDescent="0.2">
      <c r="A981" s="37">
        <v>43739</v>
      </c>
      <c r="B981" s="38">
        <f>VLOOKUP(Table1[[#This Row],[Date]],Database!A:D,3,)</f>
        <v>151524</v>
      </c>
      <c r="C981" s="39">
        <f t="shared" si="47"/>
        <v>195</v>
      </c>
      <c r="D981" s="39">
        <f t="shared" si="48"/>
        <v>203.66666666666666</v>
      </c>
      <c r="E981" s="27">
        <f>VLOOKUP(Table1[[#This Row],[Date]],Database!A:D,4,)</f>
        <v>3.6</v>
      </c>
      <c r="F981" s="40"/>
      <c r="G981" s="27">
        <f>VLOOKUP(Table1[[#This Row],[Date]],Database!A:D,2,)</f>
        <v>63.2</v>
      </c>
    </row>
    <row r="982" spans="1:7" x14ac:dyDescent="0.2">
      <c r="A982" s="37">
        <v>43770</v>
      </c>
      <c r="B982" s="41">
        <f>VLOOKUP(Table1[[#This Row],[Date]],Database!A:D,3,)</f>
        <v>151758</v>
      </c>
      <c r="C982" s="39">
        <f t="shared" ref="C982:C983" si="49">B982-B981</f>
        <v>234</v>
      </c>
      <c r="D982" s="39">
        <f t="shared" ref="D982:D983" si="50">AVERAGE(C980:C982)</f>
        <v>216.66666666666666</v>
      </c>
      <c r="E982" s="27">
        <f>VLOOKUP(Table1[[#This Row],[Date]],Database!A:D,4,)</f>
        <v>3.6</v>
      </c>
      <c r="F982" s="40"/>
      <c r="G982" s="27">
        <f>VLOOKUP(Table1[[#This Row],[Date]],Database!A:D,2,)</f>
        <v>63.2</v>
      </c>
    </row>
    <row r="983" spans="1:7" x14ac:dyDescent="0.2">
      <c r="A983" s="37">
        <v>43800</v>
      </c>
      <c r="B983" s="38">
        <f>VLOOKUP(Table1[[#This Row],[Date]],Database!A:D,3,)</f>
        <v>151919</v>
      </c>
      <c r="C983" s="39">
        <f t="shared" si="49"/>
        <v>161</v>
      </c>
      <c r="D983" s="39">
        <f t="shared" si="50"/>
        <v>196.66666666666666</v>
      </c>
      <c r="E983" s="27">
        <f>VLOOKUP(Table1[[#This Row],[Date]],Database!A:D,4,)</f>
        <v>3.6</v>
      </c>
      <c r="F983" s="40"/>
      <c r="G983" s="27">
        <f>VLOOKUP(Table1[[#This Row],[Date]],Database!A:D,2,)</f>
        <v>63.3</v>
      </c>
    </row>
    <row r="984" spans="1:7" x14ac:dyDescent="0.2">
      <c r="A984" s="37">
        <v>43831</v>
      </c>
      <c r="B984" s="41">
        <f>VLOOKUP(Table1[[#This Row],[Date]],Database!A:D,3,)</f>
        <v>152234</v>
      </c>
      <c r="C984" s="39">
        <f t="shared" ref="C984:C985" si="51">B984-B983</f>
        <v>315</v>
      </c>
      <c r="D984" s="39">
        <f t="shared" ref="D984:D985" si="52">AVERAGE(C982:C984)</f>
        <v>236.66666666666666</v>
      </c>
      <c r="E984" s="27">
        <f>VLOOKUP(Table1[[#This Row],[Date]],Database!A:D,4,)</f>
        <v>3.5</v>
      </c>
      <c r="F984" s="40"/>
      <c r="G984" s="27">
        <f>VLOOKUP(Table1[[#This Row],[Date]],Database!A:D,2,)</f>
        <v>63.4</v>
      </c>
    </row>
    <row r="985" spans="1:7" x14ac:dyDescent="0.2">
      <c r="A985" s="37">
        <v>43862</v>
      </c>
      <c r="B985" s="38">
        <f>VLOOKUP(Table1[[#This Row],[Date]],Database!A:D,3,)</f>
        <v>152523</v>
      </c>
      <c r="C985" s="39">
        <f t="shared" si="51"/>
        <v>289</v>
      </c>
      <c r="D985" s="39">
        <f t="shared" si="52"/>
        <v>255</v>
      </c>
      <c r="E985" s="27">
        <f>VLOOKUP(Table1[[#This Row],[Date]],Database!A:D,4,)</f>
        <v>3.5</v>
      </c>
      <c r="F985" s="40"/>
      <c r="G985" s="27">
        <f>VLOOKUP(Table1[[#This Row],[Date]],Database!A:D,2,)</f>
        <v>63.3</v>
      </c>
    </row>
    <row r="986" spans="1:7" x14ac:dyDescent="0.2">
      <c r="A986" s="37">
        <v>43891</v>
      </c>
      <c r="B986" s="41">
        <f>VLOOKUP(Table1[[#This Row],[Date]],Database!A:D,3,)</f>
        <v>150840</v>
      </c>
      <c r="C986" s="39">
        <f t="shared" ref="C986:C987" si="53">B986-B985</f>
        <v>-1683</v>
      </c>
      <c r="D986" s="39">
        <f t="shared" ref="D986:D987" si="54">AVERAGE(C984:C986)</f>
        <v>-359.66666666666669</v>
      </c>
      <c r="E986" s="27">
        <f>VLOOKUP(Table1[[#This Row],[Date]],Database!A:D,4,)</f>
        <v>4.4000000000000004</v>
      </c>
      <c r="F986" s="40"/>
      <c r="G986" s="27">
        <f>VLOOKUP(Table1[[#This Row],[Date]],Database!A:D,2,)</f>
        <v>62.6</v>
      </c>
    </row>
    <row r="987" spans="1:7" x14ac:dyDescent="0.2">
      <c r="A987" s="37">
        <v>43922</v>
      </c>
      <c r="B987" s="38">
        <f>VLOOKUP(Table1[[#This Row],[Date]],Database!A:D,3,)</f>
        <v>130161</v>
      </c>
      <c r="C987" s="39">
        <f t="shared" si="53"/>
        <v>-20679</v>
      </c>
      <c r="D987" s="39">
        <f t="shared" si="54"/>
        <v>-7357.666666666667</v>
      </c>
      <c r="E987" s="27">
        <f>VLOOKUP(Table1[[#This Row],[Date]],Database!A:D,4,)</f>
        <v>14.8</v>
      </c>
      <c r="F987" s="40"/>
      <c r="G987" s="27">
        <f>VLOOKUP(Table1[[#This Row],[Date]],Database!A:D,2,)</f>
        <v>60.2</v>
      </c>
    </row>
    <row r="988" spans="1:7" x14ac:dyDescent="0.2">
      <c r="A988" s="37">
        <v>43952</v>
      </c>
      <c r="B988" s="41">
        <f>VLOOKUP(Table1[[#This Row],[Date]],Database!A:D,3,)</f>
        <v>132994</v>
      </c>
      <c r="C988" s="39">
        <f t="shared" ref="C988:C989" si="55">B988-B987</f>
        <v>2833</v>
      </c>
      <c r="D988" s="39">
        <f t="shared" ref="D988:D989" si="56">AVERAGE(C986:C988)</f>
        <v>-6509.666666666667</v>
      </c>
      <c r="E988" s="27">
        <f>VLOOKUP(Table1[[#This Row],[Date]],Database!A:D,4,)</f>
        <v>13.3</v>
      </c>
      <c r="F988" s="40"/>
      <c r="G988" s="27">
        <f>VLOOKUP(Table1[[#This Row],[Date]],Database!A:D,2,)</f>
        <v>60.8</v>
      </c>
    </row>
    <row r="989" spans="1:7" x14ac:dyDescent="0.2">
      <c r="A989" s="37">
        <v>43983</v>
      </c>
      <c r="B989" s="38">
        <f>VLOOKUP(Table1[[#This Row],[Date]],Database!A:D,3,)</f>
        <v>137840</v>
      </c>
      <c r="C989" s="39">
        <f t="shared" si="55"/>
        <v>4846</v>
      </c>
      <c r="D989" s="39">
        <f t="shared" si="56"/>
        <v>-4333.333333333333</v>
      </c>
      <c r="E989" s="27">
        <f>VLOOKUP(Table1[[#This Row],[Date]],Database!A:D,4,)</f>
        <v>11.1</v>
      </c>
      <c r="F989" s="40"/>
      <c r="G989" s="27">
        <f>VLOOKUP(Table1[[#This Row],[Date]],Database!A:D,2,)</f>
        <v>61.4</v>
      </c>
    </row>
    <row r="990" spans="1:7" x14ac:dyDescent="0.2">
      <c r="A990" s="37">
        <v>44013</v>
      </c>
      <c r="B990" s="41">
        <f>VLOOKUP(Table1[[#This Row],[Date]],Database!A:D,3,)</f>
        <v>139566</v>
      </c>
      <c r="C990" s="39">
        <f t="shared" ref="C990:C991" si="57">B990-B989</f>
        <v>1726</v>
      </c>
      <c r="D990" s="39">
        <f t="shared" ref="D990:D991" si="58">AVERAGE(C988:C990)</f>
        <v>3135</v>
      </c>
      <c r="E990" s="27">
        <f>VLOOKUP(Table1[[#This Row],[Date]],Database!A:D,4,)</f>
        <v>10.199999999999999</v>
      </c>
      <c r="F990" s="40"/>
      <c r="G990" s="27">
        <f>VLOOKUP(Table1[[#This Row],[Date]],Database!A:D,2,)</f>
        <v>61.5</v>
      </c>
    </row>
    <row r="991" spans="1:7" x14ac:dyDescent="0.2">
      <c r="A991" s="37">
        <v>44044</v>
      </c>
      <c r="B991" s="38">
        <f>VLOOKUP(Table1[[#This Row],[Date]],Database!A:D,3,)</f>
        <v>141149</v>
      </c>
      <c r="C991" s="39">
        <f t="shared" si="57"/>
        <v>1583</v>
      </c>
      <c r="D991" s="39">
        <f t="shared" si="58"/>
        <v>2718.3333333333335</v>
      </c>
      <c r="E991" s="27">
        <f>VLOOKUP(Table1[[#This Row],[Date]],Database!A:D,4,)</f>
        <v>8.4</v>
      </c>
      <c r="F991" s="40"/>
      <c r="G991" s="27">
        <f>VLOOKUP(Table1[[#This Row],[Date]],Database!A:D,2,)</f>
        <v>61.7</v>
      </c>
    </row>
    <row r="992" spans="1:7" x14ac:dyDescent="0.2">
      <c r="A992" s="37">
        <v>44075</v>
      </c>
      <c r="B992" s="41">
        <f>VLOOKUP(Table1[[#This Row],[Date]],Database!A:D,3,)</f>
        <v>141865</v>
      </c>
      <c r="C992" s="39">
        <f t="shared" ref="C992:C993" si="59">B992-B991</f>
        <v>716</v>
      </c>
      <c r="D992" s="39">
        <f t="shared" ref="D992:D993" si="60">AVERAGE(C990:C992)</f>
        <v>1341.6666666666667</v>
      </c>
      <c r="E992" s="27">
        <f>VLOOKUP(Table1[[#This Row],[Date]],Database!A:D,4,)</f>
        <v>7.8</v>
      </c>
      <c r="F992" s="40"/>
      <c r="G992" s="27">
        <f>VLOOKUP(Table1[[#This Row],[Date]],Database!A:D,2,)</f>
        <v>61.4</v>
      </c>
    </row>
    <row r="993" spans="1:12" x14ac:dyDescent="0.2">
      <c r="A993" s="37">
        <v>44105</v>
      </c>
      <c r="B993" s="38">
        <f>VLOOKUP(Table1[[#This Row],[Date]],Database!A:D,3,)</f>
        <v>142545</v>
      </c>
      <c r="C993" s="39">
        <f t="shared" si="59"/>
        <v>680</v>
      </c>
      <c r="D993" s="39">
        <f t="shared" si="60"/>
        <v>993</v>
      </c>
      <c r="E993" s="27">
        <f>VLOOKUP(Table1[[#This Row],[Date]],Database!A:D,4,)</f>
        <v>6.9</v>
      </c>
      <c r="F993" s="40"/>
      <c r="G993" s="27">
        <f>VLOOKUP(Table1[[#This Row],[Date]],Database!A:D,2,)</f>
        <v>61.6</v>
      </c>
    </row>
    <row r="994" spans="1:12" x14ac:dyDescent="0.2">
      <c r="A994" s="37">
        <v>44136</v>
      </c>
      <c r="B994" s="41">
        <f>VLOOKUP(Table1[[#This Row],[Date]],Database!A:D,3,)</f>
        <v>142809</v>
      </c>
      <c r="C994" s="39">
        <f t="shared" ref="C994:C995" si="61">B994-B993</f>
        <v>264</v>
      </c>
      <c r="D994" s="39">
        <f t="shared" ref="D994:D995" si="62">AVERAGE(C992:C994)</f>
        <v>553.33333333333337</v>
      </c>
      <c r="E994" s="27">
        <f>VLOOKUP(Table1[[#This Row],[Date]],Database!A:D,4,)</f>
        <v>6.7</v>
      </c>
      <c r="F994" s="40"/>
      <c r="G994" s="27">
        <f>VLOOKUP(Table1[[#This Row],[Date]],Database!A:D,2,)</f>
        <v>61.5</v>
      </c>
    </row>
    <row r="995" spans="1:12" x14ac:dyDescent="0.2">
      <c r="A995" s="37">
        <v>44166</v>
      </c>
      <c r="B995" s="38">
        <f>VLOOKUP(Table1[[#This Row],[Date]],Database!A:D,3,)</f>
        <v>142503</v>
      </c>
      <c r="C995" s="39">
        <f t="shared" si="61"/>
        <v>-306</v>
      </c>
      <c r="D995" s="39">
        <f t="shared" si="62"/>
        <v>212.66666666666666</v>
      </c>
      <c r="E995" s="27">
        <f>VLOOKUP(Table1[[#This Row],[Date]],Database!A:D,4,)</f>
        <v>6.7</v>
      </c>
      <c r="F995" s="40"/>
      <c r="G995" s="27">
        <f>VLOOKUP(Table1[[#This Row],[Date]],Database!A:D,2,)</f>
        <v>61.5</v>
      </c>
    </row>
    <row r="996" spans="1:12" x14ac:dyDescent="0.2">
      <c r="A996" s="37">
        <v>44197</v>
      </c>
      <c r="B996" s="41">
        <f>VLOOKUP(Table1[[#This Row],[Date]],Database!A:D,3,)</f>
        <v>142736</v>
      </c>
      <c r="C996" s="39">
        <f t="shared" ref="C996:C997" si="63">B996-B995</f>
        <v>233</v>
      </c>
      <c r="D996" s="39">
        <f t="shared" ref="D996:D997" si="64">AVERAGE(C994:C996)</f>
        <v>63.666666666666664</v>
      </c>
      <c r="E996" s="27">
        <f>VLOOKUP(Table1[[#This Row],[Date]],Database!A:D,4,)</f>
        <v>6.3</v>
      </c>
      <c r="F996" s="40"/>
      <c r="G996" s="27">
        <f>VLOOKUP(Table1[[#This Row],[Date]],Database!A:D,2,)</f>
        <v>61.4</v>
      </c>
    </row>
    <row r="997" spans="1:12" x14ac:dyDescent="0.2">
      <c r="A997" s="37">
        <v>44228</v>
      </c>
      <c r="B997" s="38">
        <f>VLOOKUP(Table1[[#This Row],[Date]],Database!A:D,3,)</f>
        <v>143272</v>
      </c>
      <c r="C997" s="39">
        <f t="shared" si="63"/>
        <v>536</v>
      </c>
      <c r="D997" s="39">
        <f t="shared" si="64"/>
        <v>154.33333333333334</v>
      </c>
      <c r="E997" s="27">
        <f>VLOOKUP(Table1[[#This Row],[Date]],Database!A:D,4,)</f>
        <v>6.2</v>
      </c>
      <c r="F997" s="40"/>
      <c r="G997" s="27">
        <f>VLOOKUP(Table1[[#This Row],[Date]],Database!A:D,2,)</f>
        <v>61.4</v>
      </c>
    </row>
    <row r="998" spans="1:12" x14ac:dyDescent="0.2">
      <c r="A998" s="37">
        <v>44256</v>
      </c>
      <c r="B998" s="41">
        <f>VLOOKUP(Table1[[#This Row],[Date]],Database!A:D,3,)</f>
        <v>144057</v>
      </c>
      <c r="C998" s="39">
        <f t="shared" ref="C998:C999" si="65">B998-B997</f>
        <v>785</v>
      </c>
      <c r="D998" s="39">
        <f t="shared" ref="D998:D999" si="66">AVERAGE(C996:C998)</f>
        <v>518</v>
      </c>
      <c r="E998" s="27">
        <f>VLOOKUP(Table1[[#This Row],[Date]],Database!A:D,4,)</f>
        <v>6</v>
      </c>
      <c r="F998" s="40"/>
      <c r="G998" s="27">
        <f>VLOOKUP(Table1[[#This Row],[Date]],Database!A:D,2,)</f>
        <v>61.5</v>
      </c>
    </row>
    <row r="999" spans="1:12" x14ac:dyDescent="0.2">
      <c r="A999" s="37">
        <v>44287</v>
      </c>
      <c r="B999" s="38">
        <f>VLOOKUP(Table1[[#This Row],[Date]],Database!A:D,3,)</f>
        <v>144326</v>
      </c>
      <c r="C999" s="39">
        <f t="shared" si="65"/>
        <v>269</v>
      </c>
      <c r="D999" s="39">
        <f t="shared" si="66"/>
        <v>530</v>
      </c>
      <c r="E999" s="27">
        <f>VLOOKUP(Table1[[#This Row],[Date]],Database!A:D,4,)</f>
        <v>6.1</v>
      </c>
      <c r="F999" s="40"/>
      <c r="G999" s="27">
        <f>VLOOKUP(Table1[[#This Row],[Date]],Database!A:D,2,)</f>
        <v>61.7</v>
      </c>
    </row>
    <row r="1000" spans="1:12" x14ac:dyDescent="0.2">
      <c r="A1000" s="37">
        <v>44317</v>
      </c>
      <c r="B1000" s="41">
        <f>VLOOKUP(Table1[[#This Row],[Date]],Database!A:D,3,)</f>
        <v>144940</v>
      </c>
      <c r="C1000" s="39">
        <f t="shared" ref="C1000:C1001" si="67">B1000-B999</f>
        <v>614</v>
      </c>
      <c r="D1000" s="39">
        <f t="shared" ref="D1000:D1001" si="68">AVERAGE(C998:C1000)</f>
        <v>556</v>
      </c>
      <c r="E1000" s="27">
        <f>VLOOKUP(Table1[[#This Row],[Date]],Database!A:D,4,)</f>
        <v>5.8</v>
      </c>
      <c r="F1000" s="40"/>
      <c r="G1000" s="27">
        <f>VLOOKUP(Table1[[#This Row],[Date]],Database!A:D,2,)</f>
        <v>61.6</v>
      </c>
    </row>
    <row r="1001" spans="1:12" x14ac:dyDescent="0.2">
      <c r="A1001" s="37">
        <v>44348</v>
      </c>
      <c r="B1001" s="38">
        <f>VLOOKUP(Table1[[#This Row],[Date]],Database!A:D,3,)</f>
        <v>145902</v>
      </c>
      <c r="C1001" s="39">
        <f t="shared" si="67"/>
        <v>962</v>
      </c>
      <c r="D1001" s="39">
        <f t="shared" si="68"/>
        <v>615</v>
      </c>
      <c r="E1001" s="27">
        <f>VLOOKUP(Table1[[#This Row],[Date]],Database!A:D,4,)</f>
        <v>5.9</v>
      </c>
      <c r="F1001" s="40"/>
      <c r="G1001" s="27">
        <f>VLOOKUP(Table1[[#This Row],[Date]],Database!A:D,2,)</f>
        <v>61.6</v>
      </c>
    </row>
    <row r="1002" spans="1:12" x14ac:dyDescent="0.2">
      <c r="A1002" s="37">
        <v>44378</v>
      </c>
      <c r="B1002" s="41">
        <f>VLOOKUP(Table1[[#This Row],[Date]],Database!A:D,3,)</f>
        <v>146955</v>
      </c>
      <c r="C1002" s="39">
        <f t="shared" ref="C1002:C1003" si="69">B1002-B1001</f>
        <v>1053</v>
      </c>
      <c r="D1002" s="39">
        <f t="shared" ref="D1002:D1003" si="70">AVERAGE(C1000:C1002)</f>
        <v>876.33333333333337</v>
      </c>
      <c r="E1002" s="27">
        <f>VLOOKUP(Table1[[#This Row],[Date]],Database!A:D,4,)</f>
        <v>5.4</v>
      </c>
      <c r="F1002" s="40"/>
      <c r="G1002" s="27">
        <f>VLOOKUP(Table1[[#This Row],[Date]],Database!A:D,2,)</f>
        <v>61.7</v>
      </c>
    </row>
    <row r="1003" spans="1:12" x14ac:dyDescent="0.2">
      <c r="A1003" s="37">
        <v>44409</v>
      </c>
      <c r="B1003" s="38">
        <f>VLOOKUP(Table1[[#This Row],[Date]],Database!A:D,3,)</f>
        <v>147190</v>
      </c>
      <c r="C1003" s="39">
        <f t="shared" si="69"/>
        <v>235</v>
      </c>
      <c r="D1003" s="39">
        <f t="shared" si="70"/>
        <v>750</v>
      </c>
      <c r="E1003" s="27">
        <f>VLOOKUP(Table1[[#This Row],[Date]],Database!A:D,4,)</f>
        <v>5.2</v>
      </c>
      <c r="F1003" s="40"/>
      <c r="G1003" s="27">
        <f>VLOOKUP(Table1[[#This Row],[Date]],Database!A:D,2,)</f>
        <v>61.7</v>
      </c>
      <c r="K1003" s="71">
        <f>B1003-B985</f>
        <v>-5333</v>
      </c>
      <c r="L1003" s="74"/>
    </row>
  </sheetData>
  <sortState xmlns:xlrd2="http://schemas.microsoft.com/office/spreadsheetml/2017/richdata2" ref="A8:C611">
    <sortCondition ref="A8:A611"/>
  </sortState>
  <conditionalFormatting sqref="C864:C1003">
    <cfRule type="colorScale" priority="96">
      <colorScale>
        <cfvo type="min"/>
        <cfvo type="percentile" val="50"/>
        <cfvo type="max"/>
        <color rgb="FFF8696B"/>
        <color rgb="FFFFEB84"/>
        <color rgb="FF63BE7B"/>
      </colorScale>
    </cfRule>
  </conditionalFormatting>
  <pageMargins left="0.7" right="0.7" top="0.75" bottom="0.75" header="0.3" footer="0.3"/>
  <ignoredErrors>
    <ignoredError sqref="E120:E981 E982:E991 E992:E994 E995:E1002" calculatedColumn="1"/>
  </ignoredErrors>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A57E0-50DF-4FA6-98BE-9B33D3859816}">
  <sheetPr codeName="Sheet4">
    <tabColor rgb="FF00B050"/>
  </sheetPr>
  <dimension ref="A1:FL3062"/>
  <sheetViews>
    <sheetView zoomScale="110" zoomScaleNormal="110" workbookViewId="0">
      <pane ySplit="4" topLeftCell="A3053" activePane="bottomLeft" state="frozen"/>
      <selection activeCell="K1" sqref="K1"/>
      <selection pane="bottomLeft" activeCell="P2856" sqref="P2856"/>
    </sheetView>
  </sheetViews>
  <sheetFormatPr baseColWidth="10" defaultColWidth="8.83203125" defaultRowHeight="15" x14ac:dyDescent="0.2"/>
  <cols>
    <col min="1" max="1" width="10.6640625" bestFit="1" customWidth="1"/>
    <col min="2" max="2" width="14.6640625" customWidth="1"/>
    <col min="4" max="4" width="18.6640625" customWidth="1"/>
    <col min="5" max="5" width="12" customWidth="1"/>
    <col min="6" max="168" width="9.1640625" style="1"/>
  </cols>
  <sheetData>
    <row r="1" spans="1:5" s="1" customFormat="1" x14ac:dyDescent="0.2">
      <c r="B1" s="1" t="s">
        <v>12</v>
      </c>
      <c r="D1" s="1" t="s">
        <v>11</v>
      </c>
    </row>
    <row r="2" spans="1:5" s="1" customFormat="1" x14ac:dyDescent="0.2"/>
    <row r="3" spans="1:5" s="1" customFormat="1" x14ac:dyDescent="0.2"/>
    <row r="4" spans="1:5" ht="16" x14ac:dyDescent="0.2">
      <c r="A4" s="44" t="s">
        <v>0</v>
      </c>
      <c r="B4" s="44" t="s">
        <v>2</v>
      </c>
      <c r="C4" s="44" t="s">
        <v>34</v>
      </c>
      <c r="D4" s="44" t="s">
        <v>3</v>
      </c>
      <c r="E4" s="44" t="s">
        <v>35</v>
      </c>
    </row>
    <row r="5" spans="1:5" x14ac:dyDescent="0.2">
      <c r="A5" s="42">
        <v>24479</v>
      </c>
      <c r="B5" s="28">
        <f>VLOOKUP(A5,Database!F:H,3,)</f>
        <v>208000</v>
      </c>
      <c r="C5" s="27"/>
      <c r="D5" s="28">
        <f>VLOOKUP(A5,Database!F:H,2,)</f>
        <v>1134000</v>
      </c>
      <c r="E5" s="27"/>
    </row>
    <row r="6" spans="1:5" x14ac:dyDescent="0.2">
      <c r="A6" s="42">
        <v>24486</v>
      </c>
      <c r="B6" s="43">
        <f>VLOOKUP(A6,Database!F:H,3,)</f>
        <v>207000</v>
      </c>
      <c r="C6" s="43">
        <f>B6-B5</f>
        <v>-1000</v>
      </c>
      <c r="D6" s="43">
        <f>VLOOKUP(A6,Database!F:H,2,)</f>
        <v>1119000</v>
      </c>
      <c r="E6" s="43">
        <f>D6-D5</f>
        <v>-15000</v>
      </c>
    </row>
    <row r="7" spans="1:5" x14ac:dyDescent="0.2">
      <c r="A7" s="42">
        <v>24493</v>
      </c>
      <c r="B7" s="43">
        <f>VLOOKUP(A7,Database!F:H,3,)</f>
        <v>217000</v>
      </c>
      <c r="C7" s="43">
        <f>B7-B6</f>
        <v>10000</v>
      </c>
      <c r="D7" s="43">
        <f>VLOOKUP(A7,Database!F:H,2,)</f>
        <v>1119000</v>
      </c>
      <c r="E7" s="43">
        <f>D7-D6</f>
        <v>0</v>
      </c>
    </row>
    <row r="8" spans="1:5" x14ac:dyDescent="0.2">
      <c r="A8" s="42">
        <v>24500</v>
      </c>
      <c r="B8" s="43">
        <f>VLOOKUP(A8,Database!F:H,3,)</f>
        <v>204000</v>
      </c>
      <c r="C8" s="43">
        <f t="shared" ref="C8:C71" si="0">B8-B7</f>
        <v>-13000</v>
      </c>
      <c r="D8" s="43">
        <f>VLOOKUP(A8,Database!F:H,2,)</f>
        <v>1103000</v>
      </c>
      <c r="E8" s="43">
        <f t="shared" ref="E8:E71" si="1">D8-D7</f>
        <v>-16000</v>
      </c>
    </row>
    <row r="9" spans="1:5" x14ac:dyDescent="0.2">
      <c r="A9" s="42">
        <v>24507</v>
      </c>
      <c r="B9" s="43">
        <f>VLOOKUP(A9,Database!F:H,3,)</f>
        <v>216000</v>
      </c>
      <c r="C9" s="43">
        <f t="shared" si="0"/>
        <v>12000</v>
      </c>
      <c r="D9" s="43">
        <f>VLOOKUP(A9,Database!F:H,2,)</f>
        <v>1131000</v>
      </c>
      <c r="E9" s="43">
        <f t="shared" si="1"/>
        <v>28000</v>
      </c>
    </row>
    <row r="10" spans="1:5" x14ac:dyDescent="0.2">
      <c r="A10" s="42">
        <v>24514</v>
      </c>
      <c r="B10" s="43">
        <f>VLOOKUP(A10,Database!F:H,3,)</f>
        <v>229000</v>
      </c>
      <c r="C10" s="43">
        <f t="shared" si="0"/>
        <v>13000</v>
      </c>
      <c r="D10" s="43">
        <f>VLOOKUP(A10,Database!F:H,2,)</f>
        <v>1153000</v>
      </c>
      <c r="E10" s="43">
        <f t="shared" si="1"/>
        <v>22000</v>
      </c>
    </row>
    <row r="11" spans="1:5" x14ac:dyDescent="0.2">
      <c r="A11" s="42">
        <v>24521</v>
      </c>
      <c r="B11" s="43">
        <f>VLOOKUP(A11,Database!F:H,3,)</f>
        <v>229000</v>
      </c>
      <c r="C11" s="43">
        <f t="shared" si="0"/>
        <v>0</v>
      </c>
      <c r="D11" s="43">
        <f>VLOOKUP(A11,Database!F:H,2,)</f>
        <v>1167000</v>
      </c>
      <c r="E11" s="43">
        <f t="shared" si="1"/>
        <v>14000</v>
      </c>
    </row>
    <row r="12" spans="1:5" x14ac:dyDescent="0.2">
      <c r="A12" s="42">
        <v>24528</v>
      </c>
      <c r="B12" s="43">
        <f>VLOOKUP(A12,Database!F:H,3,)</f>
        <v>242000</v>
      </c>
      <c r="C12" s="43">
        <f t="shared" si="0"/>
        <v>13000</v>
      </c>
      <c r="D12" s="43">
        <f>VLOOKUP(A12,Database!F:H,2,)</f>
        <v>1199000</v>
      </c>
      <c r="E12" s="43">
        <f t="shared" si="1"/>
        <v>32000</v>
      </c>
    </row>
    <row r="13" spans="1:5" x14ac:dyDescent="0.2">
      <c r="A13" s="42">
        <v>24535</v>
      </c>
      <c r="B13" s="43">
        <f>VLOOKUP(A13,Database!F:H,3,)</f>
        <v>310000</v>
      </c>
      <c r="C13" s="43">
        <f t="shared" si="0"/>
        <v>68000</v>
      </c>
      <c r="D13" s="43">
        <f>VLOOKUP(A13,Database!F:H,2,)</f>
        <v>1235000</v>
      </c>
      <c r="E13" s="43">
        <f t="shared" si="1"/>
        <v>36000</v>
      </c>
    </row>
    <row r="14" spans="1:5" x14ac:dyDescent="0.2">
      <c r="A14" s="42">
        <v>24542</v>
      </c>
      <c r="B14" s="43">
        <f>VLOOKUP(A14,Database!F:H,3,)</f>
        <v>241000</v>
      </c>
      <c r="C14" s="43">
        <f t="shared" si="0"/>
        <v>-69000</v>
      </c>
      <c r="D14" s="43">
        <f>VLOOKUP(A14,Database!F:H,2,)</f>
        <v>1234000</v>
      </c>
      <c r="E14" s="43">
        <f t="shared" si="1"/>
        <v>-1000</v>
      </c>
    </row>
    <row r="15" spans="1:5" x14ac:dyDescent="0.2">
      <c r="A15" s="42">
        <v>24549</v>
      </c>
      <c r="B15" s="43">
        <f>VLOOKUP(A15,Database!F:H,3,)</f>
        <v>245000</v>
      </c>
      <c r="C15" s="43">
        <f t="shared" si="0"/>
        <v>4000</v>
      </c>
      <c r="D15" s="43">
        <f>VLOOKUP(A15,Database!F:H,2,)</f>
        <v>1236000</v>
      </c>
      <c r="E15" s="43">
        <f t="shared" si="1"/>
        <v>2000</v>
      </c>
    </row>
    <row r="16" spans="1:5" x14ac:dyDescent="0.2">
      <c r="A16" s="42">
        <v>24556</v>
      </c>
      <c r="B16" s="43">
        <f>VLOOKUP(A16,Database!F:H,3,)</f>
        <v>247000</v>
      </c>
      <c r="C16" s="43">
        <f t="shared" si="0"/>
        <v>2000</v>
      </c>
      <c r="D16" s="43">
        <f>VLOOKUP(A16,Database!F:H,2,)</f>
        <v>1268000</v>
      </c>
      <c r="E16" s="43">
        <f t="shared" si="1"/>
        <v>32000</v>
      </c>
    </row>
    <row r="17" spans="1:5" x14ac:dyDescent="0.2">
      <c r="A17" s="42">
        <v>24563</v>
      </c>
      <c r="B17" s="43">
        <f>VLOOKUP(A17,Database!F:H,3,)</f>
        <v>259000</v>
      </c>
      <c r="C17" s="43">
        <f t="shared" si="0"/>
        <v>12000</v>
      </c>
      <c r="D17" s="43">
        <f>VLOOKUP(A17,Database!F:H,2,)</f>
        <v>1291000</v>
      </c>
      <c r="E17" s="43">
        <f t="shared" si="1"/>
        <v>23000</v>
      </c>
    </row>
    <row r="18" spans="1:5" x14ac:dyDescent="0.2">
      <c r="A18" s="42">
        <v>24570</v>
      </c>
      <c r="B18" s="43">
        <f>VLOOKUP(A18,Database!F:H,3,)</f>
        <v>257000</v>
      </c>
      <c r="C18" s="43">
        <f t="shared" si="0"/>
        <v>-2000</v>
      </c>
      <c r="D18" s="43">
        <f>VLOOKUP(A18,Database!F:H,2,)</f>
        <v>1273000</v>
      </c>
      <c r="E18" s="43">
        <f t="shared" si="1"/>
        <v>-18000</v>
      </c>
    </row>
    <row r="19" spans="1:5" x14ac:dyDescent="0.2">
      <c r="A19" s="42">
        <v>24577</v>
      </c>
      <c r="B19" s="43">
        <f>VLOOKUP(A19,Database!F:H,3,)</f>
        <v>299000</v>
      </c>
      <c r="C19" s="43">
        <f t="shared" si="0"/>
        <v>42000</v>
      </c>
      <c r="D19" s="43">
        <f>VLOOKUP(A19,Database!F:H,2,)</f>
        <v>1278000</v>
      </c>
      <c r="E19" s="43">
        <f t="shared" si="1"/>
        <v>5000</v>
      </c>
    </row>
    <row r="20" spans="1:5" x14ac:dyDescent="0.2">
      <c r="A20" s="42">
        <v>24584</v>
      </c>
      <c r="B20" s="43">
        <f>VLOOKUP(A20,Database!F:H,3,)</f>
        <v>245000</v>
      </c>
      <c r="C20" s="43">
        <f t="shared" si="0"/>
        <v>-54000</v>
      </c>
      <c r="D20" s="43">
        <f>VLOOKUP(A20,Database!F:H,2,)</f>
        <v>1277000</v>
      </c>
      <c r="E20" s="43">
        <f t="shared" si="1"/>
        <v>-1000</v>
      </c>
    </row>
    <row r="21" spans="1:5" x14ac:dyDescent="0.2">
      <c r="A21" s="42">
        <v>24591</v>
      </c>
      <c r="B21" s="43">
        <f>VLOOKUP(A21,Database!F:H,3,)</f>
        <v>255000</v>
      </c>
      <c r="C21" s="43">
        <f t="shared" si="0"/>
        <v>10000</v>
      </c>
      <c r="D21" s="43">
        <f>VLOOKUP(A21,Database!F:H,2,)</f>
        <v>1286000</v>
      </c>
      <c r="E21" s="43">
        <f t="shared" si="1"/>
        <v>9000</v>
      </c>
    </row>
    <row r="22" spans="1:5" x14ac:dyDescent="0.2">
      <c r="A22" s="42">
        <v>24598</v>
      </c>
      <c r="B22" s="43">
        <f>VLOOKUP(A22,Database!F:H,3,)</f>
        <v>254000</v>
      </c>
      <c r="C22" s="43">
        <f t="shared" si="0"/>
        <v>-1000</v>
      </c>
      <c r="D22" s="43">
        <f>VLOOKUP(A22,Database!F:H,2,)</f>
        <v>1308000</v>
      </c>
      <c r="E22" s="43">
        <f t="shared" si="1"/>
        <v>22000</v>
      </c>
    </row>
    <row r="23" spans="1:5" x14ac:dyDescent="0.2">
      <c r="A23" s="42">
        <v>24605</v>
      </c>
      <c r="B23" s="43">
        <f>VLOOKUP(A23,Database!F:H,3,)</f>
        <v>231000</v>
      </c>
      <c r="C23" s="43">
        <f t="shared" si="0"/>
        <v>-23000</v>
      </c>
      <c r="D23" s="43">
        <f>VLOOKUP(A23,Database!F:H,2,)</f>
        <v>1284000</v>
      </c>
      <c r="E23" s="43">
        <f t="shared" si="1"/>
        <v>-24000</v>
      </c>
    </row>
    <row r="24" spans="1:5" x14ac:dyDescent="0.2">
      <c r="A24" s="42">
        <v>24612</v>
      </c>
      <c r="B24" s="43">
        <f>VLOOKUP(A24,Database!F:H,3,)</f>
        <v>230000</v>
      </c>
      <c r="C24" s="43">
        <f t="shared" si="0"/>
        <v>-1000</v>
      </c>
      <c r="D24" s="43">
        <f>VLOOKUP(A24,Database!F:H,2,)</f>
        <v>1265000</v>
      </c>
      <c r="E24" s="43">
        <f t="shared" si="1"/>
        <v>-19000</v>
      </c>
    </row>
    <row r="25" spans="1:5" x14ac:dyDescent="0.2">
      <c r="A25" s="42">
        <v>24619</v>
      </c>
      <c r="B25" s="43">
        <f>VLOOKUP(A25,Database!F:H,3,)</f>
        <v>228000</v>
      </c>
      <c r="C25" s="43">
        <f t="shared" si="0"/>
        <v>-2000</v>
      </c>
      <c r="D25" s="43">
        <f>VLOOKUP(A25,Database!F:H,2,)</f>
        <v>1253000</v>
      </c>
      <c r="E25" s="43">
        <f t="shared" si="1"/>
        <v>-12000</v>
      </c>
    </row>
    <row r="26" spans="1:5" x14ac:dyDescent="0.2">
      <c r="A26" s="42">
        <v>24626</v>
      </c>
      <c r="B26" s="43">
        <f>VLOOKUP(A26,Database!F:H,3,)</f>
        <v>248000</v>
      </c>
      <c r="C26" s="43">
        <f t="shared" si="0"/>
        <v>20000</v>
      </c>
      <c r="D26" s="43">
        <f>VLOOKUP(A26,Database!F:H,2,)</f>
        <v>1265000</v>
      </c>
      <c r="E26" s="43">
        <f t="shared" si="1"/>
        <v>12000</v>
      </c>
    </row>
    <row r="27" spans="1:5" x14ac:dyDescent="0.2">
      <c r="A27" s="42">
        <v>24633</v>
      </c>
      <c r="B27" s="43">
        <f>VLOOKUP(A27,Database!F:H,3,)</f>
        <v>238000</v>
      </c>
      <c r="C27" s="43">
        <f t="shared" si="0"/>
        <v>-10000</v>
      </c>
      <c r="D27" s="43">
        <f>VLOOKUP(A27,Database!F:H,2,)</f>
        <v>1251000</v>
      </c>
      <c r="E27" s="43">
        <f t="shared" si="1"/>
        <v>-14000</v>
      </c>
    </row>
    <row r="28" spans="1:5" x14ac:dyDescent="0.2">
      <c r="A28" s="42">
        <v>24640</v>
      </c>
      <c r="B28" s="43">
        <f>VLOOKUP(A28,Database!F:H,3,)</f>
        <v>224000</v>
      </c>
      <c r="C28" s="43">
        <f t="shared" si="0"/>
        <v>-14000</v>
      </c>
      <c r="D28" s="43">
        <f>VLOOKUP(A28,Database!F:H,2,)</f>
        <v>1248000</v>
      </c>
      <c r="E28" s="43">
        <f t="shared" si="1"/>
        <v>-3000</v>
      </c>
    </row>
    <row r="29" spans="1:5" x14ac:dyDescent="0.2">
      <c r="A29" s="42">
        <v>24647</v>
      </c>
      <c r="B29" s="43">
        <f>VLOOKUP(A29,Database!F:H,3,)</f>
        <v>218000</v>
      </c>
      <c r="C29" s="43">
        <f t="shared" si="0"/>
        <v>-6000</v>
      </c>
      <c r="D29" s="43">
        <f>VLOOKUP(A29,Database!F:H,2,)</f>
        <v>1220000</v>
      </c>
      <c r="E29" s="43">
        <f t="shared" si="1"/>
        <v>-28000</v>
      </c>
    </row>
    <row r="30" spans="1:5" x14ac:dyDescent="0.2">
      <c r="A30" s="42">
        <v>24654</v>
      </c>
      <c r="B30" s="43">
        <f>VLOOKUP(A30,Database!F:H,3,)</f>
        <v>209000</v>
      </c>
      <c r="C30" s="43">
        <f t="shared" si="0"/>
        <v>-9000</v>
      </c>
      <c r="D30" s="43">
        <f>VLOOKUP(A30,Database!F:H,2,)</f>
        <v>1193000</v>
      </c>
      <c r="E30" s="43">
        <f t="shared" si="1"/>
        <v>-27000</v>
      </c>
    </row>
    <row r="31" spans="1:5" x14ac:dyDescent="0.2">
      <c r="A31" s="42">
        <v>24661</v>
      </c>
      <c r="B31" s="43">
        <f>VLOOKUP(A31,Database!F:H,3,)</f>
        <v>240000</v>
      </c>
      <c r="C31" s="43">
        <f t="shared" si="0"/>
        <v>31000</v>
      </c>
      <c r="D31" s="43">
        <f>VLOOKUP(A31,Database!F:H,2,)</f>
        <v>1248000</v>
      </c>
      <c r="E31" s="43">
        <f t="shared" si="1"/>
        <v>55000</v>
      </c>
    </row>
    <row r="32" spans="1:5" x14ac:dyDescent="0.2">
      <c r="A32" s="42">
        <v>24668</v>
      </c>
      <c r="B32" s="43">
        <f>VLOOKUP(A32,Database!F:H,3,)</f>
        <v>241000</v>
      </c>
      <c r="C32" s="43">
        <f t="shared" si="0"/>
        <v>1000</v>
      </c>
      <c r="D32" s="43">
        <f>VLOOKUP(A32,Database!F:H,2,)</f>
        <v>1258000</v>
      </c>
      <c r="E32" s="43">
        <f t="shared" si="1"/>
        <v>10000</v>
      </c>
    </row>
    <row r="33" spans="1:5" x14ac:dyDescent="0.2">
      <c r="A33" s="42">
        <v>24675</v>
      </c>
      <c r="B33" s="43">
        <f>VLOOKUP(A33,Database!F:H,3,)</f>
        <v>240000</v>
      </c>
      <c r="C33" s="43">
        <f t="shared" si="0"/>
        <v>-1000</v>
      </c>
      <c r="D33" s="43">
        <f>VLOOKUP(A33,Database!F:H,2,)</f>
        <v>1252000</v>
      </c>
      <c r="E33" s="43">
        <f t="shared" si="1"/>
        <v>-6000</v>
      </c>
    </row>
    <row r="34" spans="1:5" x14ac:dyDescent="0.2">
      <c r="A34" s="42">
        <v>24682</v>
      </c>
      <c r="B34" s="43">
        <f>VLOOKUP(A34,Database!F:H,3,)</f>
        <v>209000</v>
      </c>
      <c r="C34" s="43">
        <f t="shared" si="0"/>
        <v>-31000</v>
      </c>
      <c r="D34" s="43">
        <f>VLOOKUP(A34,Database!F:H,2,)</f>
        <v>1280000</v>
      </c>
      <c r="E34" s="43">
        <f t="shared" si="1"/>
        <v>28000</v>
      </c>
    </row>
    <row r="35" spans="1:5" x14ac:dyDescent="0.2">
      <c r="A35" s="42">
        <v>24689</v>
      </c>
      <c r="B35" s="43">
        <f>VLOOKUP(A35,Database!F:H,3,)</f>
        <v>221000</v>
      </c>
      <c r="C35" s="43">
        <f t="shared" si="0"/>
        <v>12000</v>
      </c>
      <c r="D35" s="43">
        <f>VLOOKUP(A35,Database!F:H,2,)</f>
        <v>1240000</v>
      </c>
      <c r="E35" s="43">
        <f t="shared" si="1"/>
        <v>-40000</v>
      </c>
    </row>
    <row r="36" spans="1:5" x14ac:dyDescent="0.2">
      <c r="A36" s="42">
        <v>24696</v>
      </c>
      <c r="B36" s="43">
        <f>VLOOKUP(A36,Database!F:H,3,)</f>
        <v>202000</v>
      </c>
      <c r="C36" s="43">
        <f t="shared" si="0"/>
        <v>-19000</v>
      </c>
      <c r="D36" s="43">
        <f>VLOOKUP(A36,Database!F:H,2,)</f>
        <v>1215000</v>
      </c>
      <c r="E36" s="43">
        <f t="shared" si="1"/>
        <v>-25000</v>
      </c>
    </row>
    <row r="37" spans="1:5" x14ac:dyDescent="0.2">
      <c r="A37" s="42">
        <v>24703</v>
      </c>
      <c r="B37" s="43">
        <f>VLOOKUP(A37,Database!F:H,3,)</f>
        <v>215000</v>
      </c>
      <c r="C37" s="43">
        <f t="shared" si="0"/>
        <v>13000</v>
      </c>
      <c r="D37" s="43">
        <f>VLOOKUP(A37,Database!F:H,2,)</f>
        <v>1202000</v>
      </c>
      <c r="E37" s="43">
        <f t="shared" si="1"/>
        <v>-13000</v>
      </c>
    </row>
    <row r="38" spans="1:5" x14ac:dyDescent="0.2">
      <c r="A38" s="42">
        <v>24710</v>
      </c>
      <c r="B38" s="43">
        <f>VLOOKUP(A38,Database!F:H,3,)</f>
        <v>213000</v>
      </c>
      <c r="C38" s="43">
        <f t="shared" si="0"/>
        <v>-2000</v>
      </c>
      <c r="D38" s="43">
        <f>VLOOKUP(A38,Database!F:H,2,)</f>
        <v>1180000</v>
      </c>
      <c r="E38" s="43">
        <f t="shared" si="1"/>
        <v>-22000</v>
      </c>
    </row>
    <row r="39" spans="1:5" x14ac:dyDescent="0.2">
      <c r="A39" s="42">
        <v>24717</v>
      </c>
      <c r="B39" s="43">
        <f>VLOOKUP(A39,Database!F:H,3,)</f>
        <v>218000</v>
      </c>
      <c r="C39" s="43">
        <f t="shared" si="0"/>
        <v>5000</v>
      </c>
      <c r="D39" s="43">
        <f>VLOOKUP(A39,Database!F:H,2,)</f>
        <v>1204000</v>
      </c>
      <c r="E39" s="43">
        <f t="shared" si="1"/>
        <v>24000</v>
      </c>
    </row>
    <row r="40" spans="1:5" x14ac:dyDescent="0.2">
      <c r="A40" s="42">
        <v>24724</v>
      </c>
      <c r="B40" s="43">
        <f>VLOOKUP(A40,Database!F:H,3,)</f>
        <v>231000</v>
      </c>
      <c r="C40" s="43">
        <f t="shared" si="0"/>
        <v>13000</v>
      </c>
      <c r="D40" s="43">
        <f>VLOOKUP(A40,Database!F:H,2,)</f>
        <v>1189000</v>
      </c>
      <c r="E40" s="43">
        <f t="shared" si="1"/>
        <v>-15000</v>
      </c>
    </row>
    <row r="41" spans="1:5" x14ac:dyDescent="0.2">
      <c r="A41" s="42">
        <v>24731</v>
      </c>
      <c r="B41" s="43">
        <f>VLOOKUP(A41,Database!F:H,3,)</f>
        <v>220000</v>
      </c>
      <c r="C41" s="43">
        <f t="shared" si="0"/>
        <v>-11000</v>
      </c>
      <c r="D41" s="43">
        <f>VLOOKUP(A41,Database!F:H,2,)</f>
        <v>1179000</v>
      </c>
      <c r="E41" s="43">
        <f t="shared" si="1"/>
        <v>-10000</v>
      </c>
    </row>
    <row r="42" spans="1:5" x14ac:dyDescent="0.2">
      <c r="A42" s="42">
        <v>24738</v>
      </c>
      <c r="B42" s="43">
        <f>VLOOKUP(A42,Database!F:H,3,)</f>
        <v>209000</v>
      </c>
      <c r="C42" s="43">
        <f t="shared" si="0"/>
        <v>-11000</v>
      </c>
      <c r="D42" s="43">
        <f>VLOOKUP(A42,Database!F:H,2,)</f>
        <v>1178000</v>
      </c>
      <c r="E42" s="43">
        <f t="shared" si="1"/>
        <v>-1000</v>
      </c>
    </row>
    <row r="43" spans="1:5" x14ac:dyDescent="0.2">
      <c r="A43" s="42">
        <v>24745</v>
      </c>
      <c r="B43" s="43">
        <f>VLOOKUP(A43,Database!F:H,3,)</f>
        <v>204000</v>
      </c>
      <c r="C43" s="43">
        <f t="shared" si="0"/>
        <v>-5000</v>
      </c>
      <c r="D43" s="43">
        <f>VLOOKUP(A43,Database!F:H,2,)</f>
        <v>1157000</v>
      </c>
      <c r="E43" s="43">
        <f t="shared" si="1"/>
        <v>-21000</v>
      </c>
    </row>
    <row r="44" spans="1:5" x14ac:dyDescent="0.2">
      <c r="A44" s="42">
        <v>24752</v>
      </c>
      <c r="B44" s="43">
        <f>VLOOKUP(A44,Database!F:H,3,)</f>
        <v>231000</v>
      </c>
      <c r="C44" s="43">
        <f t="shared" si="0"/>
        <v>27000</v>
      </c>
      <c r="D44" s="43">
        <f>VLOOKUP(A44,Database!F:H,2,)</f>
        <v>1165000</v>
      </c>
      <c r="E44" s="43">
        <f t="shared" si="1"/>
        <v>8000</v>
      </c>
    </row>
    <row r="45" spans="1:5" x14ac:dyDescent="0.2">
      <c r="A45" s="42">
        <v>24759</v>
      </c>
      <c r="B45" s="43">
        <f>VLOOKUP(A45,Database!F:H,3,)</f>
        <v>206000</v>
      </c>
      <c r="C45" s="43">
        <f t="shared" si="0"/>
        <v>-25000</v>
      </c>
      <c r="D45" s="43">
        <f>VLOOKUP(A45,Database!F:H,2,)</f>
        <v>1189000</v>
      </c>
      <c r="E45" s="43">
        <f t="shared" si="1"/>
        <v>24000</v>
      </c>
    </row>
    <row r="46" spans="1:5" x14ac:dyDescent="0.2">
      <c r="A46" s="42">
        <v>24766</v>
      </c>
      <c r="B46" s="43">
        <f>VLOOKUP(A46,Database!F:H,3,)</f>
        <v>223000</v>
      </c>
      <c r="C46" s="43">
        <f t="shared" si="0"/>
        <v>17000</v>
      </c>
      <c r="D46" s="43">
        <f>VLOOKUP(A46,Database!F:H,2,)</f>
        <v>1174000</v>
      </c>
      <c r="E46" s="43">
        <f t="shared" si="1"/>
        <v>-15000</v>
      </c>
    </row>
    <row r="47" spans="1:5" x14ac:dyDescent="0.2">
      <c r="A47" s="42">
        <v>24773</v>
      </c>
      <c r="B47" s="43">
        <f>VLOOKUP(A47,Database!F:H,3,)</f>
        <v>207000</v>
      </c>
      <c r="C47" s="43">
        <f t="shared" si="0"/>
        <v>-16000</v>
      </c>
      <c r="D47" s="43">
        <f>VLOOKUP(A47,Database!F:H,2,)</f>
        <v>1161000</v>
      </c>
      <c r="E47" s="43">
        <f t="shared" si="1"/>
        <v>-13000</v>
      </c>
    </row>
    <row r="48" spans="1:5" x14ac:dyDescent="0.2">
      <c r="A48" s="42">
        <v>24780</v>
      </c>
      <c r="B48" s="43">
        <f>VLOOKUP(A48,Database!F:H,3,)</f>
        <v>222000</v>
      </c>
      <c r="C48" s="43">
        <f t="shared" si="0"/>
        <v>15000</v>
      </c>
      <c r="D48" s="43">
        <f>VLOOKUP(A48,Database!F:H,2,)</f>
        <v>1176000</v>
      </c>
      <c r="E48" s="43">
        <f t="shared" si="1"/>
        <v>15000</v>
      </c>
    </row>
    <row r="49" spans="1:5" x14ac:dyDescent="0.2">
      <c r="A49" s="42">
        <v>24787</v>
      </c>
      <c r="B49" s="43">
        <f>VLOOKUP(A49,Database!F:H,3,)</f>
        <v>214000</v>
      </c>
      <c r="C49" s="43">
        <f t="shared" si="0"/>
        <v>-8000</v>
      </c>
      <c r="D49" s="43">
        <f>VLOOKUP(A49,Database!F:H,2,)</f>
        <v>1142000</v>
      </c>
      <c r="E49" s="43">
        <f t="shared" si="1"/>
        <v>-34000</v>
      </c>
    </row>
    <row r="50" spans="1:5" x14ac:dyDescent="0.2">
      <c r="A50" s="42">
        <v>24794</v>
      </c>
      <c r="B50" s="43">
        <f>VLOOKUP(A50,Database!F:H,3,)</f>
        <v>198000</v>
      </c>
      <c r="C50" s="43">
        <f t="shared" si="0"/>
        <v>-16000</v>
      </c>
      <c r="D50" s="43">
        <f>VLOOKUP(A50,Database!F:H,2,)</f>
        <v>1133000</v>
      </c>
      <c r="E50" s="43">
        <f t="shared" si="1"/>
        <v>-9000</v>
      </c>
    </row>
    <row r="51" spans="1:5" x14ac:dyDescent="0.2">
      <c r="A51" s="42">
        <v>24801</v>
      </c>
      <c r="B51" s="43">
        <f>VLOOKUP(A51,Database!F:H,3,)</f>
        <v>191000</v>
      </c>
      <c r="C51" s="43">
        <f t="shared" si="0"/>
        <v>-7000</v>
      </c>
      <c r="D51" s="43">
        <f>VLOOKUP(A51,Database!F:H,2,)</f>
        <v>1142000</v>
      </c>
      <c r="E51" s="43">
        <f t="shared" si="1"/>
        <v>9000</v>
      </c>
    </row>
    <row r="52" spans="1:5" x14ac:dyDescent="0.2">
      <c r="A52" s="42">
        <v>24808</v>
      </c>
      <c r="B52" s="43">
        <f>VLOOKUP(A52,Database!F:H,3,)</f>
        <v>196000</v>
      </c>
      <c r="C52" s="43">
        <f t="shared" si="0"/>
        <v>5000</v>
      </c>
      <c r="D52" s="43">
        <f>VLOOKUP(A52,Database!F:H,2,)</f>
        <v>1150000</v>
      </c>
      <c r="E52" s="43">
        <f t="shared" si="1"/>
        <v>8000</v>
      </c>
    </row>
    <row r="53" spans="1:5" x14ac:dyDescent="0.2">
      <c r="A53" s="42">
        <v>24815</v>
      </c>
      <c r="B53" s="43">
        <f>VLOOKUP(A53,Database!F:H,3,)</f>
        <v>221000</v>
      </c>
      <c r="C53" s="43">
        <f t="shared" si="0"/>
        <v>25000</v>
      </c>
      <c r="D53" s="43">
        <f>VLOOKUP(A53,Database!F:H,2,)</f>
        <v>1153000</v>
      </c>
      <c r="E53" s="43">
        <f t="shared" si="1"/>
        <v>3000</v>
      </c>
    </row>
    <row r="54" spans="1:5" x14ac:dyDescent="0.2">
      <c r="A54" s="42">
        <v>24822</v>
      </c>
      <c r="B54" s="43">
        <f>VLOOKUP(A54,Database!F:H,3,)</f>
        <v>204000</v>
      </c>
      <c r="C54" s="43">
        <f t="shared" si="0"/>
        <v>-17000</v>
      </c>
      <c r="D54" s="43">
        <f>VLOOKUP(A54,Database!F:H,2,)</f>
        <v>1188000</v>
      </c>
      <c r="E54" s="43">
        <f t="shared" si="1"/>
        <v>35000</v>
      </c>
    </row>
    <row r="55" spans="1:5" x14ac:dyDescent="0.2">
      <c r="A55" s="42">
        <v>24829</v>
      </c>
      <c r="B55" s="43">
        <f>VLOOKUP(A55,Database!F:H,3,)</f>
        <v>219000</v>
      </c>
      <c r="C55" s="43">
        <f t="shared" si="0"/>
        <v>15000</v>
      </c>
      <c r="D55" s="43">
        <f>VLOOKUP(A55,Database!F:H,2,)</f>
        <v>1195000</v>
      </c>
      <c r="E55" s="43">
        <f t="shared" si="1"/>
        <v>7000</v>
      </c>
    </row>
    <row r="56" spans="1:5" x14ac:dyDescent="0.2">
      <c r="A56" s="42">
        <v>24836</v>
      </c>
      <c r="B56" s="43">
        <f>VLOOKUP(A56,Database!F:H,3,)</f>
        <v>216000</v>
      </c>
      <c r="C56" s="43">
        <f t="shared" si="0"/>
        <v>-3000</v>
      </c>
      <c r="D56" s="43">
        <f>VLOOKUP(A56,Database!F:H,2,)</f>
        <v>1167000</v>
      </c>
      <c r="E56" s="43">
        <f t="shared" si="1"/>
        <v>-28000</v>
      </c>
    </row>
    <row r="57" spans="1:5" x14ac:dyDescent="0.2">
      <c r="A57" s="42">
        <v>24843</v>
      </c>
      <c r="B57" s="43">
        <f>VLOOKUP(A57,Database!F:H,3,)</f>
        <v>222000</v>
      </c>
      <c r="C57" s="43">
        <f t="shared" si="0"/>
        <v>6000</v>
      </c>
      <c r="D57" s="43">
        <f>VLOOKUP(A57,Database!F:H,2,)</f>
        <v>1158000</v>
      </c>
      <c r="E57" s="43">
        <f t="shared" si="1"/>
        <v>-9000</v>
      </c>
    </row>
    <row r="58" spans="1:5" x14ac:dyDescent="0.2">
      <c r="A58" s="42">
        <v>24850</v>
      </c>
      <c r="B58" s="43">
        <f>VLOOKUP(A58,Database!F:H,3,)</f>
        <v>222000</v>
      </c>
      <c r="C58" s="43">
        <f t="shared" si="0"/>
        <v>0</v>
      </c>
      <c r="D58" s="43">
        <f>VLOOKUP(A58,Database!F:H,2,)</f>
        <v>1187000</v>
      </c>
      <c r="E58" s="43">
        <f t="shared" si="1"/>
        <v>29000</v>
      </c>
    </row>
    <row r="59" spans="1:5" x14ac:dyDescent="0.2">
      <c r="A59" s="42">
        <v>24857</v>
      </c>
      <c r="B59" s="43">
        <f>VLOOKUP(A59,Database!F:H,3,)</f>
        <v>221000</v>
      </c>
      <c r="C59" s="43">
        <f t="shared" si="0"/>
        <v>-1000</v>
      </c>
      <c r="D59" s="43">
        <f>VLOOKUP(A59,Database!F:H,2,)</f>
        <v>1191000</v>
      </c>
      <c r="E59" s="43">
        <f t="shared" si="1"/>
        <v>4000</v>
      </c>
    </row>
    <row r="60" spans="1:5" x14ac:dyDescent="0.2">
      <c r="A60" s="42">
        <v>24864</v>
      </c>
      <c r="B60" s="43">
        <f>VLOOKUP(A60,Database!F:H,3,)</f>
        <v>198000</v>
      </c>
      <c r="C60" s="43">
        <f t="shared" si="0"/>
        <v>-23000</v>
      </c>
      <c r="D60" s="43">
        <f>VLOOKUP(A60,Database!F:H,2,)</f>
        <v>1157000</v>
      </c>
      <c r="E60" s="43">
        <f t="shared" si="1"/>
        <v>-34000</v>
      </c>
    </row>
    <row r="61" spans="1:5" x14ac:dyDescent="0.2">
      <c r="A61" s="42">
        <v>24871</v>
      </c>
      <c r="B61" s="43">
        <f>VLOOKUP(A61,Database!F:H,3,)</f>
        <v>244000</v>
      </c>
      <c r="C61" s="43">
        <f t="shared" si="0"/>
        <v>46000</v>
      </c>
      <c r="D61" s="43">
        <f>VLOOKUP(A61,Database!F:H,2,)</f>
        <v>1173000</v>
      </c>
      <c r="E61" s="43">
        <f t="shared" si="1"/>
        <v>16000</v>
      </c>
    </row>
    <row r="62" spans="1:5" x14ac:dyDescent="0.2">
      <c r="A62" s="42">
        <v>24878</v>
      </c>
      <c r="B62" s="43">
        <f>VLOOKUP(A62,Database!F:H,3,)</f>
        <v>210000</v>
      </c>
      <c r="C62" s="43">
        <f t="shared" si="0"/>
        <v>-34000</v>
      </c>
      <c r="D62" s="43">
        <f>VLOOKUP(A62,Database!F:H,2,)</f>
        <v>1175000</v>
      </c>
      <c r="E62" s="43">
        <f t="shared" si="1"/>
        <v>2000</v>
      </c>
    </row>
    <row r="63" spans="1:5" x14ac:dyDescent="0.2">
      <c r="A63" s="42">
        <v>24885</v>
      </c>
      <c r="B63" s="43">
        <f>VLOOKUP(A63,Database!F:H,3,)</f>
        <v>196000</v>
      </c>
      <c r="C63" s="43">
        <f t="shared" si="0"/>
        <v>-14000</v>
      </c>
      <c r="D63" s="43">
        <f>VLOOKUP(A63,Database!F:H,2,)</f>
        <v>1143000</v>
      </c>
      <c r="E63" s="43">
        <f t="shared" si="1"/>
        <v>-32000</v>
      </c>
    </row>
    <row r="64" spans="1:5" x14ac:dyDescent="0.2">
      <c r="A64" s="42">
        <v>24892</v>
      </c>
      <c r="B64" s="43">
        <f>VLOOKUP(A64,Database!F:H,3,)</f>
        <v>193000</v>
      </c>
      <c r="C64" s="43">
        <f t="shared" si="0"/>
        <v>-3000</v>
      </c>
      <c r="D64" s="43">
        <f>VLOOKUP(A64,Database!F:H,2,)</f>
        <v>1165000</v>
      </c>
      <c r="E64" s="43">
        <f t="shared" si="1"/>
        <v>22000</v>
      </c>
    </row>
    <row r="65" spans="1:5" x14ac:dyDescent="0.2">
      <c r="A65" s="42">
        <v>24899</v>
      </c>
      <c r="B65" s="43">
        <f>VLOOKUP(A65,Database!F:H,3,)</f>
        <v>190000</v>
      </c>
      <c r="C65" s="43">
        <f t="shared" si="0"/>
        <v>-3000</v>
      </c>
      <c r="D65" s="43">
        <f>VLOOKUP(A65,Database!F:H,2,)</f>
        <v>1151000</v>
      </c>
      <c r="E65" s="43">
        <f t="shared" si="1"/>
        <v>-14000</v>
      </c>
    </row>
    <row r="66" spans="1:5" x14ac:dyDescent="0.2">
      <c r="A66" s="42">
        <v>24906</v>
      </c>
      <c r="B66" s="43">
        <f>VLOOKUP(A66,Database!F:H,3,)</f>
        <v>204000</v>
      </c>
      <c r="C66" s="43">
        <f t="shared" si="0"/>
        <v>14000</v>
      </c>
      <c r="D66" s="43">
        <f>VLOOKUP(A66,Database!F:H,2,)</f>
        <v>1147000</v>
      </c>
      <c r="E66" s="43">
        <f t="shared" si="1"/>
        <v>-4000</v>
      </c>
    </row>
    <row r="67" spans="1:5" x14ac:dyDescent="0.2">
      <c r="A67" s="42">
        <v>24913</v>
      </c>
      <c r="B67" s="43">
        <f>VLOOKUP(A67,Database!F:H,3,)</f>
        <v>190000</v>
      </c>
      <c r="C67" s="43">
        <f t="shared" si="0"/>
        <v>-14000</v>
      </c>
      <c r="D67" s="43">
        <f>VLOOKUP(A67,Database!F:H,2,)</f>
        <v>1143000</v>
      </c>
      <c r="E67" s="43">
        <f t="shared" si="1"/>
        <v>-4000</v>
      </c>
    </row>
    <row r="68" spans="1:5" x14ac:dyDescent="0.2">
      <c r="A68" s="42">
        <v>24920</v>
      </c>
      <c r="B68" s="43">
        <f>VLOOKUP(A68,Database!F:H,3,)</f>
        <v>200000</v>
      </c>
      <c r="C68" s="43">
        <f t="shared" si="0"/>
        <v>10000</v>
      </c>
      <c r="D68" s="43">
        <f>VLOOKUP(A68,Database!F:H,2,)</f>
        <v>1136000</v>
      </c>
      <c r="E68" s="43">
        <f t="shared" si="1"/>
        <v>-7000</v>
      </c>
    </row>
    <row r="69" spans="1:5" x14ac:dyDescent="0.2">
      <c r="A69" s="42">
        <v>24927</v>
      </c>
      <c r="B69" s="43">
        <f>VLOOKUP(A69,Database!F:H,3,)</f>
        <v>192000</v>
      </c>
      <c r="C69" s="43">
        <f t="shared" si="0"/>
        <v>-8000</v>
      </c>
      <c r="D69" s="43">
        <f>VLOOKUP(A69,Database!F:H,2,)</f>
        <v>1119000</v>
      </c>
      <c r="E69" s="43">
        <f t="shared" si="1"/>
        <v>-17000</v>
      </c>
    </row>
    <row r="70" spans="1:5" x14ac:dyDescent="0.2">
      <c r="A70" s="42">
        <v>24934</v>
      </c>
      <c r="B70" s="43">
        <f>VLOOKUP(A70,Database!F:H,3,)</f>
        <v>191000</v>
      </c>
      <c r="C70" s="43">
        <f t="shared" si="0"/>
        <v>-1000</v>
      </c>
      <c r="D70" s="43">
        <f>VLOOKUP(A70,Database!F:H,2,)</f>
        <v>1079000</v>
      </c>
      <c r="E70" s="43">
        <f t="shared" si="1"/>
        <v>-40000</v>
      </c>
    </row>
    <row r="71" spans="1:5" x14ac:dyDescent="0.2">
      <c r="A71" s="42">
        <v>24941</v>
      </c>
      <c r="B71" s="43">
        <f>VLOOKUP(A71,Database!F:H,3,)</f>
        <v>171000</v>
      </c>
      <c r="C71" s="43">
        <f t="shared" si="0"/>
        <v>-20000</v>
      </c>
      <c r="D71" s="43">
        <f>VLOOKUP(A71,Database!F:H,2,)</f>
        <v>1079000</v>
      </c>
      <c r="E71" s="43">
        <f t="shared" si="1"/>
        <v>0</v>
      </c>
    </row>
    <row r="72" spans="1:5" x14ac:dyDescent="0.2">
      <c r="A72" s="42">
        <v>24948</v>
      </c>
      <c r="B72" s="43">
        <f>VLOOKUP(A72,Database!F:H,3,)</f>
        <v>183000</v>
      </c>
      <c r="C72" s="43">
        <f t="shared" ref="C72:C135" si="2">B72-B71</f>
        <v>12000</v>
      </c>
      <c r="D72" s="43">
        <f>VLOOKUP(A72,Database!F:H,2,)</f>
        <v>1059000</v>
      </c>
      <c r="E72" s="43">
        <f t="shared" ref="E72:E135" si="3">D72-D71</f>
        <v>-20000</v>
      </c>
    </row>
    <row r="73" spans="1:5" x14ac:dyDescent="0.2">
      <c r="A73" s="42">
        <v>24955</v>
      </c>
      <c r="B73" s="43">
        <f>VLOOKUP(A73,Database!F:H,3,)</f>
        <v>251000</v>
      </c>
      <c r="C73" s="43">
        <f t="shared" si="2"/>
        <v>68000</v>
      </c>
      <c r="D73" s="43">
        <f>VLOOKUP(A73,Database!F:H,2,)</f>
        <v>1087000</v>
      </c>
      <c r="E73" s="43">
        <f t="shared" si="3"/>
        <v>28000</v>
      </c>
    </row>
    <row r="74" spans="1:5" x14ac:dyDescent="0.2">
      <c r="A74" s="42">
        <v>24962</v>
      </c>
      <c r="B74" s="43">
        <f>VLOOKUP(A74,Database!F:H,3,)</f>
        <v>209000</v>
      </c>
      <c r="C74" s="43">
        <f t="shared" si="2"/>
        <v>-42000</v>
      </c>
      <c r="D74" s="43">
        <f>VLOOKUP(A74,Database!F:H,2,)</f>
        <v>1079000</v>
      </c>
      <c r="E74" s="43">
        <f t="shared" si="3"/>
        <v>-8000</v>
      </c>
    </row>
    <row r="75" spans="1:5" x14ac:dyDescent="0.2">
      <c r="A75" s="42">
        <v>24969</v>
      </c>
      <c r="B75" s="43">
        <f>VLOOKUP(A75,Database!F:H,3,)</f>
        <v>194000</v>
      </c>
      <c r="C75" s="43">
        <f t="shared" si="2"/>
        <v>-15000</v>
      </c>
      <c r="D75" s="43">
        <f>VLOOKUP(A75,Database!F:H,2,)</f>
        <v>1091000</v>
      </c>
      <c r="E75" s="43">
        <f t="shared" si="3"/>
        <v>12000</v>
      </c>
    </row>
    <row r="76" spans="1:5" x14ac:dyDescent="0.2">
      <c r="A76" s="42">
        <v>24976</v>
      </c>
      <c r="B76" s="43">
        <f>VLOOKUP(A76,Database!F:H,3,)</f>
        <v>199000</v>
      </c>
      <c r="C76" s="43">
        <f t="shared" si="2"/>
        <v>5000</v>
      </c>
      <c r="D76" s="43">
        <f>VLOOKUP(A76,Database!F:H,2,)</f>
        <v>1071000</v>
      </c>
      <c r="E76" s="43">
        <f t="shared" si="3"/>
        <v>-20000</v>
      </c>
    </row>
    <row r="77" spans="1:5" x14ac:dyDescent="0.2">
      <c r="A77" s="42">
        <v>24983</v>
      </c>
      <c r="B77" s="43">
        <f>VLOOKUP(A77,Database!F:H,3,)</f>
        <v>194000</v>
      </c>
      <c r="C77" s="43">
        <f t="shared" si="2"/>
        <v>-5000</v>
      </c>
      <c r="D77" s="43">
        <f>VLOOKUP(A77,Database!F:H,2,)</f>
        <v>1073000</v>
      </c>
      <c r="E77" s="43">
        <f t="shared" si="3"/>
        <v>2000</v>
      </c>
    </row>
    <row r="78" spans="1:5" x14ac:dyDescent="0.2">
      <c r="A78" s="42">
        <v>24990</v>
      </c>
      <c r="B78" s="43">
        <f>VLOOKUP(A78,Database!F:H,3,)</f>
        <v>199000</v>
      </c>
      <c r="C78" s="43">
        <f t="shared" si="2"/>
        <v>5000</v>
      </c>
      <c r="D78" s="43">
        <f>VLOOKUP(A78,Database!F:H,2,)</f>
        <v>1063000</v>
      </c>
      <c r="E78" s="43">
        <f t="shared" si="3"/>
        <v>-10000</v>
      </c>
    </row>
    <row r="79" spans="1:5" x14ac:dyDescent="0.2">
      <c r="A79" s="42">
        <v>24997</v>
      </c>
      <c r="B79" s="43">
        <f>VLOOKUP(A79,Database!F:H,3,)</f>
        <v>192000</v>
      </c>
      <c r="C79" s="43">
        <f t="shared" si="2"/>
        <v>-7000</v>
      </c>
      <c r="D79" s="43">
        <f>VLOOKUP(A79,Database!F:H,2,)</f>
        <v>1097000</v>
      </c>
      <c r="E79" s="43">
        <f t="shared" si="3"/>
        <v>34000</v>
      </c>
    </row>
    <row r="80" spans="1:5" x14ac:dyDescent="0.2">
      <c r="A80" s="42">
        <v>25004</v>
      </c>
      <c r="B80" s="43">
        <f>VLOOKUP(A80,Database!F:H,3,)</f>
        <v>194000</v>
      </c>
      <c r="C80" s="43">
        <f t="shared" si="2"/>
        <v>2000</v>
      </c>
      <c r="D80" s="43">
        <f>VLOOKUP(A80,Database!F:H,2,)</f>
        <v>1071000</v>
      </c>
      <c r="E80" s="43">
        <f t="shared" si="3"/>
        <v>-26000</v>
      </c>
    </row>
    <row r="81" spans="1:5" x14ac:dyDescent="0.2">
      <c r="A81" s="42">
        <v>25011</v>
      </c>
      <c r="B81" s="43">
        <f>VLOOKUP(A81,Database!F:H,3,)</f>
        <v>189000</v>
      </c>
      <c r="C81" s="43">
        <f t="shared" si="2"/>
        <v>-5000</v>
      </c>
      <c r="D81" s="43">
        <f>VLOOKUP(A81,Database!F:H,2,)</f>
        <v>1060000</v>
      </c>
      <c r="E81" s="43">
        <f t="shared" si="3"/>
        <v>-11000</v>
      </c>
    </row>
    <row r="82" spans="1:5" x14ac:dyDescent="0.2">
      <c r="A82" s="42">
        <v>25018</v>
      </c>
      <c r="B82" s="43">
        <f>VLOOKUP(A82,Database!F:H,3,)</f>
        <v>194000</v>
      </c>
      <c r="C82" s="43">
        <f t="shared" si="2"/>
        <v>5000</v>
      </c>
      <c r="D82" s="43">
        <f>VLOOKUP(A82,Database!F:H,2,)</f>
        <v>1038000</v>
      </c>
      <c r="E82" s="43">
        <f t="shared" si="3"/>
        <v>-22000</v>
      </c>
    </row>
    <row r="83" spans="1:5" x14ac:dyDescent="0.2">
      <c r="A83" s="42">
        <v>25025</v>
      </c>
      <c r="B83" s="43">
        <f>VLOOKUP(A83,Database!F:H,3,)</f>
        <v>214000</v>
      </c>
      <c r="C83" s="43">
        <f t="shared" si="2"/>
        <v>20000</v>
      </c>
      <c r="D83" s="43">
        <f>VLOOKUP(A83,Database!F:H,2,)</f>
        <v>1097000</v>
      </c>
      <c r="E83" s="43">
        <f t="shared" si="3"/>
        <v>59000</v>
      </c>
    </row>
    <row r="84" spans="1:5" x14ac:dyDescent="0.2">
      <c r="A84" s="42">
        <v>25032</v>
      </c>
      <c r="B84" s="43">
        <f>VLOOKUP(A84,Database!F:H,3,)</f>
        <v>186000</v>
      </c>
      <c r="C84" s="43">
        <f t="shared" si="2"/>
        <v>-28000</v>
      </c>
      <c r="D84" s="43">
        <f>VLOOKUP(A84,Database!F:H,2,)</f>
        <v>1076000</v>
      </c>
      <c r="E84" s="43">
        <f t="shared" si="3"/>
        <v>-21000</v>
      </c>
    </row>
    <row r="85" spans="1:5" x14ac:dyDescent="0.2">
      <c r="A85" s="42">
        <v>25039</v>
      </c>
      <c r="B85" s="43">
        <f>VLOOKUP(A85,Database!F:H,3,)</f>
        <v>180000</v>
      </c>
      <c r="C85" s="43">
        <f t="shared" si="2"/>
        <v>-6000</v>
      </c>
      <c r="D85" s="43">
        <f>VLOOKUP(A85,Database!F:H,2,)</f>
        <v>1033000</v>
      </c>
      <c r="E85" s="43">
        <f t="shared" si="3"/>
        <v>-43000</v>
      </c>
    </row>
    <row r="86" spans="1:5" x14ac:dyDescent="0.2">
      <c r="A86" s="42">
        <v>25046</v>
      </c>
      <c r="B86" s="43">
        <f>VLOOKUP(A86,Database!F:H,3,)</f>
        <v>205000</v>
      </c>
      <c r="C86" s="43">
        <f t="shared" si="2"/>
        <v>25000</v>
      </c>
      <c r="D86" s="43">
        <f>VLOOKUP(A86,Database!F:H,2,)</f>
        <v>1036000</v>
      </c>
      <c r="E86" s="43">
        <f t="shared" si="3"/>
        <v>3000</v>
      </c>
    </row>
    <row r="87" spans="1:5" x14ac:dyDescent="0.2">
      <c r="A87" s="42">
        <v>25053</v>
      </c>
      <c r="B87" s="43">
        <f>VLOOKUP(A87,Database!F:H,3,)</f>
        <v>206000</v>
      </c>
      <c r="C87" s="43">
        <f t="shared" si="2"/>
        <v>1000</v>
      </c>
      <c r="D87" s="43">
        <f>VLOOKUP(A87,Database!F:H,2,)</f>
        <v>1072000</v>
      </c>
      <c r="E87" s="43">
        <f t="shared" si="3"/>
        <v>36000</v>
      </c>
    </row>
    <row r="88" spans="1:5" x14ac:dyDescent="0.2">
      <c r="A88" s="42">
        <v>25060</v>
      </c>
      <c r="B88" s="43">
        <f>VLOOKUP(A88,Database!F:H,3,)</f>
        <v>218000</v>
      </c>
      <c r="C88" s="43">
        <f t="shared" si="2"/>
        <v>12000</v>
      </c>
      <c r="D88" s="43">
        <f>VLOOKUP(A88,Database!F:H,2,)</f>
        <v>1088000</v>
      </c>
      <c r="E88" s="43">
        <f t="shared" si="3"/>
        <v>16000</v>
      </c>
    </row>
    <row r="89" spans="1:5" x14ac:dyDescent="0.2">
      <c r="A89" s="42">
        <v>25067</v>
      </c>
      <c r="B89" s="43">
        <f>VLOOKUP(A89,Database!F:H,3,)</f>
        <v>192000</v>
      </c>
      <c r="C89" s="43">
        <f t="shared" si="2"/>
        <v>-26000</v>
      </c>
      <c r="D89" s="43">
        <f>VLOOKUP(A89,Database!F:H,2,)</f>
        <v>1107000</v>
      </c>
      <c r="E89" s="43">
        <f t="shared" si="3"/>
        <v>19000</v>
      </c>
    </row>
    <row r="90" spans="1:5" x14ac:dyDescent="0.2">
      <c r="A90" s="42">
        <v>25074</v>
      </c>
      <c r="B90" s="43">
        <f>VLOOKUP(A90,Database!F:H,3,)</f>
        <v>193000</v>
      </c>
      <c r="C90" s="43">
        <f t="shared" si="2"/>
        <v>1000</v>
      </c>
      <c r="D90" s="43">
        <f>VLOOKUP(A90,Database!F:H,2,)</f>
        <v>1094000</v>
      </c>
      <c r="E90" s="43">
        <f t="shared" si="3"/>
        <v>-13000</v>
      </c>
    </row>
    <row r="91" spans="1:5" x14ac:dyDescent="0.2">
      <c r="A91" s="42">
        <v>25081</v>
      </c>
      <c r="B91" s="43">
        <f>VLOOKUP(A91,Database!F:H,3,)</f>
        <v>188000</v>
      </c>
      <c r="C91" s="43">
        <f t="shared" si="2"/>
        <v>-5000</v>
      </c>
      <c r="D91" s="43">
        <f>VLOOKUP(A91,Database!F:H,2,)</f>
        <v>1064000</v>
      </c>
      <c r="E91" s="43">
        <f t="shared" si="3"/>
        <v>-30000</v>
      </c>
    </row>
    <row r="92" spans="1:5" x14ac:dyDescent="0.2">
      <c r="A92" s="42">
        <v>25088</v>
      </c>
      <c r="B92" s="43">
        <f>VLOOKUP(A92,Database!F:H,3,)</f>
        <v>189000</v>
      </c>
      <c r="C92" s="43">
        <f t="shared" si="2"/>
        <v>1000</v>
      </c>
      <c r="D92" s="43">
        <f>VLOOKUP(A92,Database!F:H,2,)</f>
        <v>1067000</v>
      </c>
      <c r="E92" s="43">
        <f t="shared" si="3"/>
        <v>3000</v>
      </c>
    </row>
    <row r="93" spans="1:5" x14ac:dyDescent="0.2">
      <c r="A93" s="42">
        <v>25095</v>
      </c>
      <c r="B93" s="43">
        <f>VLOOKUP(A93,Database!F:H,3,)</f>
        <v>195000</v>
      </c>
      <c r="C93" s="43">
        <f t="shared" si="2"/>
        <v>6000</v>
      </c>
      <c r="D93" s="43">
        <f>VLOOKUP(A93,Database!F:H,2,)</f>
        <v>1044000</v>
      </c>
      <c r="E93" s="43">
        <f t="shared" si="3"/>
        <v>-23000</v>
      </c>
    </row>
    <row r="94" spans="1:5" x14ac:dyDescent="0.2">
      <c r="A94" s="42">
        <v>25102</v>
      </c>
      <c r="B94" s="43">
        <f>VLOOKUP(A94,Database!F:H,3,)</f>
        <v>191000</v>
      </c>
      <c r="C94" s="43">
        <f t="shared" si="2"/>
        <v>-4000</v>
      </c>
      <c r="D94" s="43">
        <f>VLOOKUP(A94,Database!F:H,2,)</f>
        <v>1047000</v>
      </c>
      <c r="E94" s="43">
        <f t="shared" si="3"/>
        <v>3000</v>
      </c>
    </row>
    <row r="95" spans="1:5" x14ac:dyDescent="0.2">
      <c r="A95" s="42">
        <v>25109</v>
      </c>
      <c r="B95" s="43">
        <f>VLOOKUP(A95,Database!F:H,3,)</f>
        <v>189000</v>
      </c>
      <c r="C95" s="43">
        <f t="shared" si="2"/>
        <v>-2000</v>
      </c>
      <c r="D95" s="43">
        <f>VLOOKUP(A95,Database!F:H,2,)</f>
        <v>1048000</v>
      </c>
      <c r="E95" s="43">
        <f t="shared" si="3"/>
        <v>1000</v>
      </c>
    </row>
    <row r="96" spans="1:5" x14ac:dyDescent="0.2">
      <c r="A96" s="42">
        <v>25116</v>
      </c>
      <c r="B96" s="43">
        <f>VLOOKUP(A96,Database!F:H,3,)</f>
        <v>185000</v>
      </c>
      <c r="C96" s="43">
        <f t="shared" si="2"/>
        <v>-4000</v>
      </c>
      <c r="D96" s="43">
        <f>VLOOKUP(A96,Database!F:H,2,)</f>
        <v>1060000</v>
      </c>
      <c r="E96" s="43">
        <f t="shared" si="3"/>
        <v>12000</v>
      </c>
    </row>
    <row r="97" spans="1:5" x14ac:dyDescent="0.2">
      <c r="A97" s="42">
        <v>25123</v>
      </c>
      <c r="B97" s="43">
        <f>VLOOKUP(A97,Database!F:H,3,)</f>
        <v>186000</v>
      </c>
      <c r="C97" s="43">
        <f t="shared" si="2"/>
        <v>1000</v>
      </c>
      <c r="D97" s="43">
        <f>VLOOKUP(A97,Database!F:H,2,)</f>
        <v>1045000</v>
      </c>
      <c r="E97" s="43">
        <f t="shared" si="3"/>
        <v>-15000</v>
      </c>
    </row>
    <row r="98" spans="1:5" x14ac:dyDescent="0.2">
      <c r="A98" s="42">
        <v>25130</v>
      </c>
      <c r="B98" s="43">
        <f>VLOOKUP(A98,Database!F:H,3,)</f>
        <v>191000</v>
      </c>
      <c r="C98" s="43">
        <f t="shared" si="2"/>
        <v>5000</v>
      </c>
      <c r="D98" s="43">
        <f>VLOOKUP(A98,Database!F:H,2,)</f>
        <v>1035000</v>
      </c>
      <c r="E98" s="43">
        <f t="shared" si="3"/>
        <v>-10000</v>
      </c>
    </row>
    <row r="99" spans="1:5" x14ac:dyDescent="0.2">
      <c r="A99" s="42">
        <v>25137</v>
      </c>
      <c r="B99" s="43">
        <f>VLOOKUP(A99,Database!F:H,3,)</f>
        <v>182000</v>
      </c>
      <c r="C99" s="43">
        <f t="shared" si="2"/>
        <v>-9000</v>
      </c>
      <c r="D99" s="43">
        <f>VLOOKUP(A99,Database!F:H,2,)</f>
        <v>1033000</v>
      </c>
      <c r="E99" s="43">
        <f t="shared" si="3"/>
        <v>-2000</v>
      </c>
    </row>
    <row r="100" spans="1:5" x14ac:dyDescent="0.2">
      <c r="A100" s="42">
        <v>25144</v>
      </c>
      <c r="B100" s="43">
        <f>VLOOKUP(A100,Database!F:H,3,)</f>
        <v>181000</v>
      </c>
      <c r="C100" s="43">
        <f t="shared" si="2"/>
        <v>-1000</v>
      </c>
      <c r="D100" s="43">
        <f>VLOOKUP(A100,Database!F:H,2,)</f>
        <v>1028000</v>
      </c>
      <c r="E100" s="43">
        <f t="shared" si="3"/>
        <v>-5000</v>
      </c>
    </row>
    <row r="101" spans="1:5" x14ac:dyDescent="0.2">
      <c r="A101" s="42">
        <v>25151</v>
      </c>
      <c r="B101" s="43">
        <f>VLOOKUP(A101,Database!F:H,3,)</f>
        <v>183000</v>
      </c>
      <c r="C101" s="43">
        <f t="shared" si="2"/>
        <v>2000</v>
      </c>
      <c r="D101" s="43">
        <f>VLOOKUP(A101,Database!F:H,2,)</f>
        <v>1028000</v>
      </c>
      <c r="E101" s="43">
        <f t="shared" si="3"/>
        <v>0</v>
      </c>
    </row>
    <row r="102" spans="1:5" x14ac:dyDescent="0.2">
      <c r="A102" s="42">
        <v>25158</v>
      </c>
      <c r="B102" s="43">
        <f>VLOOKUP(A102,Database!F:H,3,)</f>
        <v>192000</v>
      </c>
      <c r="C102" s="43">
        <f t="shared" si="2"/>
        <v>9000</v>
      </c>
      <c r="D102" s="43">
        <f>VLOOKUP(A102,Database!F:H,2,)</f>
        <v>1076000</v>
      </c>
      <c r="E102" s="43">
        <f t="shared" si="3"/>
        <v>48000</v>
      </c>
    </row>
    <row r="103" spans="1:5" x14ac:dyDescent="0.2">
      <c r="A103" s="42">
        <v>25165</v>
      </c>
      <c r="B103" s="43">
        <f>VLOOKUP(A103,Database!F:H,3,)</f>
        <v>199000</v>
      </c>
      <c r="C103" s="43">
        <f t="shared" si="2"/>
        <v>7000</v>
      </c>
      <c r="D103" s="43">
        <f>VLOOKUP(A103,Database!F:H,2,)</f>
        <v>1023000</v>
      </c>
      <c r="E103" s="43">
        <f t="shared" si="3"/>
        <v>-53000</v>
      </c>
    </row>
    <row r="104" spans="1:5" x14ac:dyDescent="0.2">
      <c r="A104" s="42">
        <v>25172</v>
      </c>
      <c r="B104" s="43">
        <f>VLOOKUP(A104,Database!F:H,3,)</f>
        <v>162000</v>
      </c>
      <c r="C104" s="43">
        <f t="shared" si="2"/>
        <v>-37000</v>
      </c>
      <c r="D104" s="43">
        <f>VLOOKUP(A104,Database!F:H,2,)</f>
        <v>1056000</v>
      </c>
      <c r="E104" s="43">
        <f t="shared" si="3"/>
        <v>33000</v>
      </c>
    </row>
    <row r="105" spans="1:5" x14ac:dyDescent="0.2">
      <c r="A105" s="42">
        <v>25179</v>
      </c>
      <c r="B105" s="43">
        <f>VLOOKUP(A105,Database!F:H,3,)</f>
        <v>188000</v>
      </c>
      <c r="C105" s="43">
        <f t="shared" si="2"/>
        <v>26000</v>
      </c>
      <c r="D105" s="43">
        <f>VLOOKUP(A105,Database!F:H,2,)</f>
        <v>1063000</v>
      </c>
      <c r="E105" s="43">
        <f t="shared" si="3"/>
        <v>7000</v>
      </c>
    </row>
    <row r="106" spans="1:5" x14ac:dyDescent="0.2">
      <c r="A106" s="42">
        <v>25186</v>
      </c>
      <c r="B106" s="43">
        <f>VLOOKUP(A106,Database!F:H,3,)</f>
        <v>195000</v>
      </c>
      <c r="C106" s="43">
        <f t="shared" si="2"/>
        <v>7000</v>
      </c>
      <c r="D106" s="43">
        <f>VLOOKUP(A106,Database!F:H,2,)</f>
        <v>1061000</v>
      </c>
      <c r="E106" s="43">
        <f t="shared" si="3"/>
        <v>-2000</v>
      </c>
    </row>
    <row r="107" spans="1:5" x14ac:dyDescent="0.2">
      <c r="A107" s="42">
        <v>25193</v>
      </c>
      <c r="B107" s="43">
        <f>VLOOKUP(A107,Database!F:H,3,)</f>
        <v>192000</v>
      </c>
      <c r="C107" s="43">
        <f t="shared" si="2"/>
        <v>-3000</v>
      </c>
      <c r="D107" s="43">
        <f>VLOOKUP(A107,Database!F:H,2,)</f>
        <v>1063000</v>
      </c>
      <c r="E107" s="43">
        <f t="shared" si="3"/>
        <v>2000</v>
      </c>
    </row>
    <row r="108" spans="1:5" x14ac:dyDescent="0.2">
      <c r="A108" s="42">
        <v>25200</v>
      </c>
      <c r="B108" s="43">
        <f>VLOOKUP(A108,Database!F:H,3,)</f>
        <v>223000</v>
      </c>
      <c r="C108" s="43">
        <f t="shared" si="2"/>
        <v>31000</v>
      </c>
      <c r="D108" s="43">
        <f>VLOOKUP(A108,Database!F:H,2,)</f>
        <v>1116000</v>
      </c>
      <c r="E108" s="43">
        <f t="shared" si="3"/>
        <v>53000</v>
      </c>
    </row>
    <row r="109" spans="1:5" x14ac:dyDescent="0.2">
      <c r="A109" s="42">
        <v>25207</v>
      </c>
      <c r="B109" s="43">
        <f>VLOOKUP(A109,Database!F:H,3,)</f>
        <v>190000</v>
      </c>
      <c r="C109" s="43">
        <f t="shared" si="2"/>
        <v>-33000</v>
      </c>
      <c r="D109" s="43">
        <f>VLOOKUP(A109,Database!F:H,2,)</f>
        <v>1118000</v>
      </c>
      <c r="E109" s="43">
        <f t="shared" si="3"/>
        <v>2000</v>
      </c>
    </row>
    <row r="110" spans="1:5" x14ac:dyDescent="0.2">
      <c r="A110" s="42">
        <v>25214</v>
      </c>
      <c r="B110" s="43">
        <f>VLOOKUP(A110,Database!F:H,3,)</f>
        <v>191000</v>
      </c>
      <c r="C110" s="43">
        <f t="shared" si="2"/>
        <v>1000</v>
      </c>
      <c r="D110" s="43">
        <f>VLOOKUP(A110,Database!F:H,2,)</f>
        <v>1099000</v>
      </c>
      <c r="E110" s="43">
        <f t="shared" si="3"/>
        <v>-19000</v>
      </c>
    </row>
    <row r="111" spans="1:5" x14ac:dyDescent="0.2">
      <c r="A111" s="42">
        <v>25221</v>
      </c>
      <c r="B111" s="43">
        <f>VLOOKUP(A111,Database!F:H,3,)</f>
        <v>192000</v>
      </c>
      <c r="C111" s="43">
        <f t="shared" si="2"/>
        <v>1000</v>
      </c>
      <c r="D111" s="43">
        <f>VLOOKUP(A111,Database!F:H,2,)</f>
        <v>1072000</v>
      </c>
      <c r="E111" s="43">
        <f t="shared" si="3"/>
        <v>-27000</v>
      </c>
    </row>
    <row r="112" spans="1:5" x14ac:dyDescent="0.2">
      <c r="A112" s="42">
        <v>25228</v>
      </c>
      <c r="B112" s="43">
        <f>VLOOKUP(A112,Database!F:H,3,)</f>
        <v>193000</v>
      </c>
      <c r="C112" s="43">
        <f t="shared" si="2"/>
        <v>1000</v>
      </c>
      <c r="D112" s="43">
        <f>VLOOKUP(A112,Database!F:H,2,)</f>
        <v>1077000</v>
      </c>
      <c r="E112" s="43">
        <f t="shared" si="3"/>
        <v>5000</v>
      </c>
    </row>
    <row r="113" spans="1:5" x14ac:dyDescent="0.2">
      <c r="A113" s="42">
        <v>25235</v>
      </c>
      <c r="B113" s="43">
        <f>VLOOKUP(A113,Database!F:H,3,)</f>
        <v>203000</v>
      </c>
      <c r="C113" s="43">
        <f t="shared" si="2"/>
        <v>10000</v>
      </c>
      <c r="D113" s="43">
        <f>VLOOKUP(A113,Database!F:H,2,)</f>
        <v>1099000</v>
      </c>
      <c r="E113" s="43">
        <f t="shared" si="3"/>
        <v>22000</v>
      </c>
    </row>
    <row r="114" spans="1:5" x14ac:dyDescent="0.2">
      <c r="A114" s="42">
        <v>25242</v>
      </c>
      <c r="B114" s="43">
        <f>VLOOKUP(A114,Database!F:H,3,)</f>
        <v>197000</v>
      </c>
      <c r="C114" s="43">
        <f t="shared" si="2"/>
        <v>-6000</v>
      </c>
      <c r="D114" s="43">
        <f>VLOOKUP(A114,Database!F:H,2,)</f>
        <v>1088000</v>
      </c>
      <c r="E114" s="43">
        <f t="shared" si="3"/>
        <v>-11000</v>
      </c>
    </row>
    <row r="115" spans="1:5" x14ac:dyDescent="0.2">
      <c r="A115" s="42">
        <v>25249</v>
      </c>
      <c r="B115" s="43">
        <f>VLOOKUP(A115,Database!F:H,3,)</f>
        <v>192000</v>
      </c>
      <c r="C115" s="43">
        <f t="shared" si="2"/>
        <v>-5000</v>
      </c>
      <c r="D115" s="43">
        <f>VLOOKUP(A115,Database!F:H,2,)</f>
        <v>1115000</v>
      </c>
      <c r="E115" s="43">
        <f t="shared" si="3"/>
        <v>27000</v>
      </c>
    </row>
    <row r="116" spans="1:5" x14ac:dyDescent="0.2">
      <c r="A116" s="42">
        <v>25256</v>
      </c>
      <c r="B116" s="43">
        <f>VLOOKUP(A116,Database!F:H,3,)</f>
        <v>192000</v>
      </c>
      <c r="C116" s="43">
        <f t="shared" si="2"/>
        <v>0</v>
      </c>
      <c r="D116" s="43">
        <f>VLOOKUP(A116,Database!F:H,2,)</f>
        <v>1092000</v>
      </c>
      <c r="E116" s="43">
        <f t="shared" si="3"/>
        <v>-23000</v>
      </c>
    </row>
    <row r="117" spans="1:5" x14ac:dyDescent="0.2">
      <c r="A117" s="42">
        <v>25263</v>
      </c>
      <c r="B117" s="43">
        <f>VLOOKUP(A117,Database!F:H,3,)</f>
        <v>201000</v>
      </c>
      <c r="C117" s="43">
        <f t="shared" si="2"/>
        <v>9000</v>
      </c>
      <c r="D117" s="43">
        <f>VLOOKUP(A117,Database!F:H,2,)</f>
        <v>1098000</v>
      </c>
      <c r="E117" s="43">
        <f t="shared" si="3"/>
        <v>6000</v>
      </c>
    </row>
    <row r="118" spans="1:5" x14ac:dyDescent="0.2">
      <c r="A118" s="42">
        <v>25270</v>
      </c>
      <c r="B118" s="43">
        <f>VLOOKUP(A118,Database!F:H,3,)</f>
        <v>191000</v>
      </c>
      <c r="C118" s="43">
        <f t="shared" si="2"/>
        <v>-10000</v>
      </c>
      <c r="D118" s="43">
        <f>VLOOKUP(A118,Database!F:H,2,)</f>
        <v>1099000</v>
      </c>
      <c r="E118" s="43">
        <f t="shared" si="3"/>
        <v>1000</v>
      </c>
    </row>
    <row r="119" spans="1:5" x14ac:dyDescent="0.2">
      <c r="A119" s="42">
        <v>25277</v>
      </c>
      <c r="B119" s="43">
        <f>VLOOKUP(A119,Database!F:H,3,)</f>
        <v>189000</v>
      </c>
      <c r="C119" s="43">
        <f t="shared" si="2"/>
        <v>-2000</v>
      </c>
      <c r="D119" s="43">
        <f>VLOOKUP(A119,Database!F:H,2,)</f>
        <v>1080000</v>
      </c>
      <c r="E119" s="43">
        <f t="shared" si="3"/>
        <v>-19000</v>
      </c>
    </row>
    <row r="120" spans="1:5" x14ac:dyDescent="0.2">
      <c r="A120" s="42">
        <v>25284</v>
      </c>
      <c r="B120" s="43">
        <f>VLOOKUP(A120,Database!F:H,3,)</f>
        <v>181000</v>
      </c>
      <c r="C120" s="43">
        <f t="shared" si="2"/>
        <v>-8000</v>
      </c>
      <c r="D120" s="43">
        <f>VLOOKUP(A120,Database!F:H,2,)</f>
        <v>1071000</v>
      </c>
      <c r="E120" s="43">
        <f t="shared" si="3"/>
        <v>-9000</v>
      </c>
    </row>
    <row r="121" spans="1:5" x14ac:dyDescent="0.2">
      <c r="A121" s="42">
        <v>25291</v>
      </c>
      <c r="B121" s="43">
        <f>VLOOKUP(A121,Database!F:H,3,)</f>
        <v>183000</v>
      </c>
      <c r="C121" s="43">
        <f t="shared" si="2"/>
        <v>2000</v>
      </c>
      <c r="D121" s="43">
        <f>VLOOKUP(A121,Database!F:H,2,)</f>
        <v>1041000</v>
      </c>
      <c r="E121" s="43">
        <f t="shared" si="3"/>
        <v>-30000</v>
      </c>
    </row>
    <row r="122" spans="1:5" x14ac:dyDescent="0.2">
      <c r="A122" s="42">
        <v>25298</v>
      </c>
      <c r="B122" s="43">
        <f>VLOOKUP(A122,Database!F:H,3,)</f>
        <v>182000</v>
      </c>
      <c r="C122" s="43">
        <f t="shared" si="2"/>
        <v>-1000</v>
      </c>
      <c r="D122" s="43">
        <f>VLOOKUP(A122,Database!F:H,2,)</f>
        <v>1076000</v>
      </c>
      <c r="E122" s="43">
        <f t="shared" si="3"/>
        <v>35000</v>
      </c>
    </row>
    <row r="123" spans="1:5" x14ac:dyDescent="0.2">
      <c r="A123" s="42">
        <v>25305</v>
      </c>
      <c r="B123" s="43">
        <f>VLOOKUP(A123,Database!F:H,3,)</f>
        <v>190000</v>
      </c>
      <c r="C123" s="43">
        <f t="shared" si="2"/>
        <v>8000</v>
      </c>
      <c r="D123" s="43">
        <f>VLOOKUP(A123,Database!F:H,2,)</f>
        <v>1050000</v>
      </c>
      <c r="E123" s="43">
        <f t="shared" si="3"/>
        <v>-26000</v>
      </c>
    </row>
    <row r="124" spans="1:5" x14ac:dyDescent="0.2">
      <c r="A124" s="42">
        <v>25312</v>
      </c>
      <c r="B124" s="43">
        <f>VLOOKUP(A124,Database!F:H,3,)</f>
        <v>187000</v>
      </c>
      <c r="C124" s="43">
        <f t="shared" si="2"/>
        <v>-3000</v>
      </c>
      <c r="D124" s="43">
        <f>VLOOKUP(A124,Database!F:H,2,)</f>
        <v>1025000</v>
      </c>
      <c r="E124" s="43">
        <f t="shared" si="3"/>
        <v>-25000</v>
      </c>
    </row>
    <row r="125" spans="1:5" x14ac:dyDescent="0.2">
      <c r="A125" s="42">
        <v>25319</v>
      </c>
      <c r="B125" s="43">
        <f>VLOOKUP(A125,Database!F:H,3,)</f>
        <v>177000</v>
      </c>
      <c r="C125" s="43">
        <f t="shared" si="2"/>
        <v>-10000</v>
      </c>
      <c r="D125" s="43">
        <f>VLOOKUP(A125,Database!F:H,2,)</f>
        <v>992000</v>
      </c>
      <c r="E125" s="43">
        <f t="shared" si="3"/>
        <v>-33000</v>
      </c>
    </row>
    <row r="126" spans="1:5" x14ac:dyDescent="0.2">
      <c r="A126" s="42">
        <v>25326</v>
      </c>
      <c r="B126" s="43">
        <f>VLOOKUP(A126,Database!F:H,3,)</f>
        <v>177000</v>
      </c>
      <c r="C126" s="43">
        <f t="shared" si="2"/>
        <v>0</v>
      </c>
      <c r="D126" s="43">
        <f>VLOOKUP(A126,Database!F:H,2,)</f>
        <v>1003000</v>
      </c>
      <c r="E126" s="43">
        <f t="shared" si="3"/>
        <v>11000</v>
      </c>
    </row>
    <row r="127" spans="1:5" x14ac:dyDescent="0.2">
      <c r="A127" s="42">
        <v>25333</v>
      </c>
      <c r="B127" s="43">
        <f>VLOOKUP(A127,Database!F:H,3,)</f>
        <v>183000</v>
      </c>
      <c r="C127" s="43">
        <f t="shared" si="2"/>
        <v>6000</v>
      </c>
      <c r="D127" s="43">
        <f>VLOOKUP(A127,Database!F:H,2,)</f>
        <v>1018000</v>
      </c>
      <c r="E127" s="43">
        <f t="shared" si="3"/>
        <v>15000</v>
      </c>
    </row>
    <row r="128" spans="1:5" x14ac:dyDescent="0.2">
      <c r="A128" s="42">
        <v>25340</v>
      </c>
      <c r="B128" s="43">
        <f>VLOOKUP(A128,Database!F:H,3,)</f>
        <v>179000</v>
      </c>
      <c r="C128" s="43">
        <f t="shared" si="2"/>
        <v>-4000</v>
      </c>
      <c r="D128" s="43">
        <f>VLOOKUP(A128,Database!F:H,2,)</f>
        <v>1007000</v>
      </c>
      <c r="E128" s="43">
        <f t="shared" si="3"/>
        <v>-11000</v>
      </c>
    </row>
    <row r="129" spans="1:5" x14ac:dyDescent="0.2">
      <c r="A129" s="42">
        <v>25347</v>
      </c>
      <c r="B129" s="43">
        <f>VLOOKUP(A129,Database!F:H,3,)</f>
        <v>180000</v>
      </c>
      <c r="C129" s="43">
        <f t="shared" si="2"/>
        <v>1000</v>
      </c>
      <c r="D129" s="43">
        <f>VLOOKUP(A129,Database!F:H,2,)</f>
        <v>1006000</v>
      </c>
      <c r="E129" s="43">
        <f t="shared" si="3"/>
        <v>-1000</v>
      </c>
    </row>
    <row r="130" spans="1:5" x14ac:dyDescent="0.2">
      <c r="A130" s="42">
        <v>25354</v>
      </c>
      <c r="B130" s="43">
        <f>VLOOKUP(A130,Database!F:H,3,)</f>
        <v>187000</v>
      </c>
      <c r="C130" s="43">
        <f t="shared" si="2"/>
        <v>7000</v>
      </c>
      <c r="D130" s="43">
        <f>VLOOKUP(A130,Database!F:H,2,)</f>
        <v>988000</v>
      </c>
      <c r="E130" s="43">
        <f t="shared" si="3"/>
        <v>-18000</v>
      </c>
    </row>
    <row r="131" spans="1:5" x14ac:dyDescent="0.2">
      <c r="A131" s="42">
        <v>25361</v>
      </c>
      <c r="B131" s="43">
        <f>VLOOKUP(A131,Database!F:H,3,)</f>
        <v>192000</v>
      </c>
      <c r="C131" s="43">
        <f t="shared" si="2"/>
        <v>5000</v>
      </c>
      <c r="D131" s="43">
        <f>VLOOKUP(A131,Database!F:H,2,)</f>
        <v>992000</v>
      </c>
      <c r="E131" s="43">
        <f t="shared" si="3"/>
        <v>4000</v>
      </c>
    </row>
    <row r="132" spans="1:5" x14ac:dyDescent="0.2">
      <c r="A132" s="42">
        <v>25368</v>
      </c>
      <c r="B132" s="43">
        <f>VLOOKUP(A132,Database!F:H,3,)</f>
        <v>182000</v>
      </c>
      <c r="C132" s="43">
        <f t="shared" si="2"/>
        <v>-10000</v>
      </c>
      <c r="D132" s="43">
        <f>VLOOKUP(A132,Database!F:H,2,)</f>
        <v>1010000</v>
      </c>
      <c r="E132" s="43">
        <f t="shared" si="3"/>
        <v>18000</v>
      </c>
    </row>
    <row r="133" spans="1:5" x14ac:dyDescent="0.2">
      <c r="A133" s="42">
        <v>25375</v>
      </c>
      <c r="B133" s="43">
        <f>VLOOKUP(A133,Database!F:H,3,)</f>
        <v>191000</v>
      </c>
      <c r="C133" s="43">
        <f t="shared" si="2"/>
        <v>9000</v>
      </c>
      <c r="D133" s="43">
        <f>VLOOKUP(A133,Database!F:H,2,)</f>
        <v>1012000</v>
      </c>
      <c r="E133" s="43">
        <f t="shared" si="3"/>
        <v>2000</v>
      </c>
    </row>
    <row r="134" spans="1:5" x14ac:dyDescent="0.2">
      <c r="A134" s="42">
        <v>25382</v>
      </c>
      <c r="B134" s="43">
        <f>VLOOKUP(A134,Database!F:H,3,)</f>
        <v>203000</v>
      </c>
      <c r="C134" s="43">
        <f t="shared" si="2"/>
        <v>12000</v>
      </c>
      <c r="D134" s="43">
        <f>VLOOKUP(A134,Database!F:H,2,)</f>
        <v>1021000</v>
      </c>
      <c r="E134" s="43">
        <f t="shared" si="3"/>
        <v>9000</v>
      </c>
    </row>
    <row r="135" spans="1:5" x14ac:dyDescent="0.2">
      <c r="A135" s="42">
        <v>25389</v>
      </c>
      <c r="B135" s="43">
        <f>VLOOKUP(A135,Database!F:H,3,)</f>
        <v>227000</v>
      </c>
      <c r="C135" s="43">
        <f t="shared" si="2"/>
        <v>24000</v>
      </c>
      <c r="D135" s="43">
        <f>VLOOKUP(A135,Database!F:H,2,)</f>
        <v>1072000</v>
      </c>
      <c r="E135" s="43">
        <f t="shared" si="3"/>
        <v>51000</v>
      </c>
    </row>
    <row r="136" spans="1:5" x14ac:dyDescent="0.2">
      <c r="A136" s="42">
        <v>25396</v>
      </c>
      <c r="B136" s="43">
        <f>VLOOKUP(A136,Database!F:H,3,)</f>
        <v>210000</v>
      </c>
      <c r="C136" s="43">
        <f t="shared" ref="C136:C199" si="4">B136-B135</f>
        <v>-17000</v>
      </c>
      <c r="D136" s="43">
        <f>VLOOKUP(A136,Database!F:H,2,)</f>
        <v>1092000</v>
      </c>
      <c r="E136" s="43">
        <f t="shared" ref="E136:E199" si="5">D136-D135</f>
        <v>20000</v>
      </c>
    </row>
    <row r="137" spans="1:5" x14ac:dyDescent="0.2">
      <c r="A137" s="42">
        <v>25403</v>
      </c>
      <c r="B137" s="43">
        <f>VLOOKUP(A137,Database!F:H,3,)</f>
        <v>206000</v>
      </c>
      <c r="C137" s="43">
        <f t="shared" si="4"/>
        <v>-4000</v>
      </c>
      <c r="D137" s="43">
        <f>VLOOKUP(A137,Database!F:H,2,)</f>
        <v>1072000</v>
      </c>
      <c r="E137" s="43">
        <f t="shared" si="5"/>
        <v>-20000</v>
      </c>
    </row>
    <row r="138" spans="1:5" x14ac:dyDescent="0.2">
      <c r="A138" s="42">
        <v>25410</v>
      </c>
      <c r="B138" s="43">
        <f>VLOOKUP(A138,Database!F:H,3,)</f>
        <v>192000</v>
      </c>
      <c r="C138" s="43">
        <f t="shared" si="4"/>
        <v>-14000</v>
      </c>
      <c r="D138" s="43">
        <f>VLOOKUP(A138,Database!F:H,2,)</f>
        <v>1110000</v>
      </c>
      <c r="E138" s="43">
        <f t="shared" si="5"/>
        <v>38000</v>
      </c>
    </row>
    <row r="139" spans="1:5" x14ac:dyDescent="0.2">
      <c r="A139" s="42">
        <v>25417</v>
      </c>
      <c r="B139" s="43">
        <f>VLOOKUP(A139,Database!F:H,3,)</f>
        <v>196000</v>
      </c>
      <c r="C139" s="43">
        <f t="shared" si="4"/>
        <v>4000</v>
      </c>
      <c r="D139" s="43">
        <f>VLOOKUP(A139,Database!F:H,2,)</f>
        <v>1126000</v>
      </c>
      <c r="E139" s="43">
        <f t="shared" si="5"/>
        <v>16000</v>
      </c>
    </row>
    <row r="140" spans="1:5" x14ac:dyDescent="0.2">
      <c r="A140" s="42">
        <v>25424</v>
      </c>
      <c r="B140" s="43">
        <f>VLOOKUP(A140,Database!F:H,3,)</f>
        <v>203000</v>
      </c>
      <c r="C140" s="43">
        <f t="shared" si="4"/>
        <v>7000</v>
      </c>
      <c r="D140" s="43">
        <f>VLOOKUP(A140,Database!F:H,2,)</f>
        <v>1093000</v>
      </c>
      <c r="E140" s="43">
        <f t="shared" si="5"/>
        <v>-33000</v>
      </c>
    </row>
    <row r="141" spans="1:5" x14ac:dyDescent="0.2">
      <c r="A141" s="42">
        <v>25431</v>
      </c>
      <c r="B141" s="43">
        <f>VLOOKUP(A141,Database!F:H,3,)</f>
        <v>199000</v>
      </c>
      <c r="C141" s="43">
        <f t="shared" si="4"/>
        <v>-4000</v>
      </c>
      <c r="D141" s="43">
        <f>VLOOKUP(A141,Database!F:H,2,)</f>
        <v>1067000</v>
      </c>
      <c r="E141" s="43">
        <f t="shared" si="5"/>
        <v>-26000</v>
      </c>
    </row>
    <row r="142" spans="1:5" x14ac:dyDescent="0.2">
      <c r="A142" s="42">
        <v>25438</v>
      </c>
      <c r="B142" s="43">
        <f>VLOOKUP(A142,Database!F:H,3,)</f>
        <v>199000</v>
      </c>
      <c r="C142" s="43">
        <f t="shared" si="4"/>
        <v>0</v>
      </c>
      <c r="D142" s="43">
        <f>VLOOKUP(A142,Database!F:H,2,)</f>
        <v>1060000</v>
      </c>
      <c r="E142" s="43">
        <f t="shared" si="5"/>
        <v>-7000</v>
      </c>
    </row>
    <row r="143" spans="1:5" x14ac:dyDescent="0.2">
      <c r="A143" s="42">
        <v>25445</v>
      </c>
      <c r="B143" s="43">
        <f>VLOOKUP(A143,Database!F:H,3,)</f>
        <v>195000</v>
      </c>
      <c r="C143" s="43">
        <f t="shared" si="4"/>
        <v>-4000</v>
      </c>
      <c r="D143" s="43">
        <f>VLOOKUP(A143,Database!F:H,2,)</f>
        <v>1074000</v>
      </c>
      <c r="E143" s="43">
        <f t="shared" si="5"/>
        <v>14000</v>
      </c>
    </row>
    <row r="144" spans="1:5" x14ac:dyDescent="0.2">
      <c r="A144" s="42">
        <v>25452</v>
      </c>
      <c r="B144" s="43">
        <f>VLOOKUP(A144,Database!F:H,3,)</f>
        <v>182000</v>
      </c>
      <c r="C144" s="43">
        <f t="shared" si="4"/>
        <v>-13000</v>
      </c>
      <c r="D144" s="43">
        <f>VLOOKUP(A144,Database!F:H,2,)</f>
        <v>1111000</v>
      </c>
      <c r="E144" s="43">
        <f t="shared" si="5"/>
        <v>37000</v>
      </c>
    </row>
    <row r="145" spans="1:5" x14ac:dyDescent="0.2">
      <c r="A145" s="42">
        <v>25459</v>
      </c>
      <c r="B145" s="43">
        <f>VLOOKUP(A145,Database!F:H,3,)</f>
        <v>209000</v>
      </c>
      <c r="C145" s="43">
        <f t="shared" si="4"/>
        <v>27000</v>
      </c>
      <c r="D145" s="43">
        <f>VLOOKUP(A145,Database!F:H,2,)</f>
        <v>1082000</v>
      </c>
      <c r="E145" s="43">
        <f t="shared" si="5"/>
        <v>-29000</v>
      </c>
    </row>
    <row r="146" spans="1:5" x14ac:dyDescent="0.2">
      <c r="A146" s="42">
        <v>25466</v>
      </c>
      <c r="B146" s="43">
        <f>VLOOKUP(A146,Database!F:H,3,)</f>
        <v>195000</v>
      </c>
      <c r="C146" s="43">
        <f t="shared" si="4"/>
        <v>-14000</v>
      </c>
      <c r="D146" s="43">
        <f>VLOOKUP(A146,Database!F:H,2,)</f>
        <v>1083000</v>
      </c>
      <c r="E146" s="43">
        <f t="shared" si="5"/>
        <v>1000</v>
      </c>
    </row>
    <row r="147" spans="1:5" x14ac:dyDescent="0.2">
      <c r="A147" s="42">
        <v>25473</v>
      </c>
      <c r="B147" s="43">
        <f>VLOOKUP(A147,Database!F:H,3,)</f>
        <v>193000</v>
      </c>
      <c r="C147" s="43">
        <f t="shared" si="4"/>
        <v>-2000</v>
      </c>
      <c r="D147" s="43">
        <f>VLOOKUP(A147,Database!F:H,2,)</f>
        <v>1086000</v>
      </c>
      <c r="E147" s="43">
        <f t="shared" si="5"/>
        <v>3000</v>
      </c>
    </row>
    <row r="148" spans="1:5" x14ac:dyDescent="0.2">
      <c r="A148" s="42">
        <v>25480</v>
      </c>
      <c r="B148" s="43">
        <f>VLOOKUP(A148,Database!F:H,3,)</f>
        <v>193000</v>
      </c>
      <c r="C148" s="43">
        <f t="shared" si="4"/>
        <v>0</v>
      </c>
      <c r="D148" s="43">
        <f>VLOOKUP(A148,Database!F:H,2,)</f>
        <v>1103000</v>
      </c>
      <c r="E148" s="43">
        <f t="shared" si="5"/>
        <v>17000</v>
      </c>
    </row>
    <row r="149" spans="1:5" x14ac:dyDescent="0.2">
      <c r="A149" s="42">
        <v>25487</v>
      </c>
      <c r="B149" s="43">
        <f>VLOOKUP(A149,Database!F:H,3,)</f>
        <v>200000</v>
      </c>
      <c r="C149" s="43">
        <f t="shared" si="4"/>
        <v>7000</v>
      </c>
      <c r="D149" s="43">
        <f>VLOOKUP(A149,Database!F:H,2,)</f>
        <v>1100000</v>
      </c>
      <c r="E149" s="43">
        <f t="shared" si="5"/>
        <v>-3000</v>
      </c>
    </row>
    <row r="150" spans="1:5" x14ac:dyDescent="0.2">
      <c r="A150" s="42">
        <v>25494</v>
      </c>
      <c r="B150" s="43">
        <f>VLOOKUP(A150,Database!F:H,3,)</f>
        <v>199000</v>
      </c>
      <c r="C150" s="43">
        <f t="shared" si="4"/>
        <v>-1000</v>
      </c>
      <c r="D150" s="43">
        <f>VLOOKUP(A150,Database!F:H,2,)</f>
        <v>1118000</v>
      </c>
      <c r="E150" s="43">
        <f t="shared" si="5"/>
        <v>18000</v>
      </c>
    </row>
    <row r="151" spans="1:5" x14ac:dyDescent="0.2">
      <c r="A151" s="42">
        <v>25501</v>
      </c>
      <c r="B151" s="43">
        <f>VLOOKUP(A151,Database!F:H,3,)</f>
        <v>205000</v>
      </c>
      <c r="C151" s="43">
        <f t="shared" si="4"/>
        <v>6000</v>
      </c>
      <c r="D151" s="43">
        <f>VLOOKUP(A151,Database!F:H,2,)</f>
        <v>1136000</v>
      </c>
      <c r="E151" s="43">
        <f t="shared" si="5"/>
        <v>18000</v>
      </c>
    </row>
    <row r="152" spans="1:5" x14ac:dyDescent="0.2">
      <c r="A152" s="42">
        <v>25508</v>
      </c>
      <c r="B152" s="43">
        <f>VLOOKUP(A152,Database!F:H,3,)</f>
        <v>198000</v>
      </c>
      <c r="C152" s="43">
        <f t="shared" si="4"/>
        <v>-7000</v>
      </c>
      <c r="D152" s="43">
        <f>VLOOKUP(A152,Database!F:H,2,)</f>
        <v>1143000</v>
      </c>
      <c r="E152" s="43">
        <f t="shared" si="5"/>
        <v>7000</v>
      </c>
    </row>
    <row r="153" spans="1:5" x14ac:dyDescent="0.2">
      <c r="A153" s="42">
        <v>25515</v>
      </c>
      <c r="B153" s="43">
        <f>VLOOKUP(A153,Database!F:H,3,)</f>
        <v>211000</v>
      </c>
      <c r="C153" s="43">
        <f t="shared" si="4"/>
        <v>13000</v>
      </c>
      <c r="D153" s="43">
        <f>VLOOKUP(A153,Database!F:H,2,)</f>
        <v>1146000</v>
      </c>
      <c r="E153" s="43">
        <f t="shared" si="5"/>
        <v>3000</v>
      </c>
    </row>
    <row r="154" spans="1:5" x14ac:dyDescent="0.2">
      <c r="A154" s="42">
        <v>25522</v>
      </c>
      <c r="B154" s="43">
        <f>VLOOKUP(A154,Database!F:H,3,)</f>
        <v>197000</v>
      </c>
      <c r="C154" s="43">
        <f t="shared" si="4"/>
        <v>-14000</v>
      </c>
      <c r="D154" s="43">
        <f>VLOOKUP(A154,Database!F:H,2,)</f>
        <v>1181000</v>
      </c>
      <c r="E154" s="43">
        <f t="shared" si="5"/>
        <v>35000</v>
      </c>
    </row>
    <row r="155" spans="1:5" x14ac:dyDescent="0.2">
      <c r="A155" s="42">
        <v>25529</v>
      </c>
      <c r="B155" s="43">
        <f>VLOOKUP(A155,Database!F:H,3,)</f>
        <v>217000</v>
      </c>
      <c r="C155" s="43">
        <f t="shared" si="4"/>
        <v>20000</v>
      </c>
      <c r="D155" s="43">
        <f>VLOOKUP(A155,Database!F:H,2,)</f>
        <v>1158000</v>
      </c>
      <c r="E155" s="43">
        <f t="shared" si="5"/>
        <v>-23000</v>
      </c>
    </row>
    <row r="156" spans="1:5" x14ac:dyDescent="0.2">
      <c r="A156" s="42">
        <v>25536</v>
      </c>
      <c r="B156" s="43">
        <f>VLOOKUP(A156,Database!F:H,3,)</f>
        <v>202000</v>
      </c>
      <c r="C156" s="43">
        <f t="shared" si="4"/>
        <v>-15000</v>
      </c>
      <c r="D156" s="43">
        <f>VLOOKUP(A156,Database!F:H,2,)</f>
        <v>1211000</v>
      </c>
      <c r="E156" s="43">
        <f t="shared" si="5"/>
        <v>53000</v>
      </c>
    </row>
    <row r="157" spans="1:5" x14ac:dyDescent="0.2">
      <c r="A157" s="42">
        <v>25543</v>
      </c>
      <c r="B157" s="43">
        <f>VLOOKUP(A157,Database!F:H,3,)</f>
        <v>202000</v>
      </c>
      <c r="C157" s="43">
        <f t="shared" si="4"/>
        <v>0</v>
      </c>
      <c r="D157" s="43">
        <f>VLOOKUP(A157,Database!F:H,2,)</f>
        <v>1226000</v>
      </c>
      <c r="E157" s="43">
        <f t="shared" si="5"/>
        <v>15000</v>
      </c>
    </row>
    <row r="158" spans="1:5" x14ac:dyDescent="0.2">
      <c r="A158" s="42">
        <v>25550</v>
      </c>
      <c r="B158" s="43">
        <f>VLOOKUP(A158,Database!F:H,3,)</f>
        <v>222000</v>
      </c>
      <c r="C158" s="43">
        <f t="shared" si="4"/>
        <v>20000</v>
      </c>
      <c r="D158" s="43">
        <f>VLOOKUP(A158,Database!F:H,2,)</f>
        <v>1233000</v>
      </c>
      <c r="E158" s="43">
        <f t="shared" si="5"/>
        <v>7000</v>
      </c>
    </row>
    <row r="159" spans="1:5" x14ac:dyDescent="0.2">
      <c r="A159" s="42">
        <v>25557</v>
      </c>
      <c r="B159" s="43">
        <f>VLOOKUP(A159,Database!F:H,3,)</f>
        <v>232000</v>
      </c>
      <c r="C159" s="43">
        <f t="shared" si="4"/>
        <v>10000</v>
      </c>
      <c r="D159" s="43">
        <f>VLOOKUP(A159,Database!F:H,2,)</f>
        <v>1252000</v>
      </c>
      <c r="E159" s="43">
        <f t="shared" si="5"/>
        <v>19000</v>
      </c>
    </row>
    <row r="160" spans="1:5" x14ac:dyDescent="0.2">
      <c r="A160" s="42">
        <v>25564</v>
      </c>
      <c r="B160" s="43">
        <f>VLOOKUP(A160,Database!F:H,3,)</f>
        <v>223000</v>
      </c>
      <c r="C160" s="43">
        <f t="shared" si="4"/>
        <v>-9000</v>
      </c>
      <c r="D160" s="43">
        <f>VLOOKUP(A160,Database!F:H,2,)</f>
        <v>1304000</v>
      </c>
      <c r="E160" s="43">
        <f t="shared" si="5"/>
        <v>52000</v>
      </c>
    </row>
    <row r="161" spans="1:5" x14ac:dyDescent="0.2">
      <c r="A161" s="42">
        <v>25571</v>
      </c>
      <c r="B161" s="43">
        <f>VLOOKUP(A161,Database!F:H,3,)</f>
        <v>230000</v>
      </c>
      <c r="C161" s="43">
        <f t="shared" si="4"/>
        <v>7000</v>
      </c>
      <c r="D161" s="43">
        <f>VLOOKUP(A161,Database!F:H,2,)</f>
        <v>1332000</v>
      </c>
      <c r="E161" s="43">
        <f t="shared" si="5"/>
        <v>28000</v>
      </c>
    </row>
    <row r="162" spans="1:5" x14ac:dyDescent="0.2">
      <c r="A162" s="42">
        <v>25578</v>
      </c>
      <c r="B162" s="43">
        <f>VLOOKUP(A162,Database!F:H,3,)</f>
        <v>242000</v>
      </c>
      <c r="C162" s="43">
        <f t="shared" si="4"/>
        <v>12000</v>
      </c>
      <c r="D162" s="43">
        <f>VLOOKUP(A162,Database!F:H,2,)</f>
        <v>1353000</v>
      </c>
      <c r="E162" s="43">
        <f t="shared" si="5"/>
        <v>21000</v>
      </c>
    </row>
    <row r="163" spans="1:5" x14ac:dyDescent="0.2">
      <c r="A163" s="42">
        <v>25585</v>
      </c>
      <c r="B163" s="43">
        <f>VLOOKUP(A163,Database!F:H,3,)</f>
        <v>268000</v>
      </c>
      <c r="C163" s="43">
        <f t="shared" si="4"/>
        <v>26000</v>
      </c>
      <c r="D163" s="43">
        <f>VLOOKUP(A163,Database!F:H,2,)</f>
        <v>1371000</v>
      </c>
      <c r="E163" s="43">
        <f t="shared" si="5"/>
        <v>18000</v>
      </c>
    </row>
    <row r="164" spans="1:5" x14ac:dyDescent="0.2">
      <c r="A164" s="42">
        <v>25592</v>
      </c>
      <c r="B164" s="43">
        <f>VLOOKUP(A164,Database!F:H,3,)</f>
        <v>256000</v>
      </c>
      <c r="C164" s="43">
        <f t="shared" si="4"/>
        <v>-12000</v>
      </c>
      <c r="D164" s="43">
        <f>VLOOKUP(A164,Database!F:H,2,)</f>
        <v>1388000</v>
      </c>
      <c r="E164" s="43">
        <f t="shared" si="5"/>
        <v>17000</v>
      </c>
    </row>
    <row r="165" spans="1:5" x14ac:dyDescent="0.2">
      <c r="A165" s="42">
        <v>25599</v>
      </c>
      <c r="B165" s="43">
        <f>VLOOKUP(A165,Database!F:H,3,)</f>
        <v>239000</v>
      </c>
      <c r="C165" s="43">
        <f t="shared" si="4"/>
        <v>-17000</v>
      </c>
      <c r="D165" s="43">
        <f>VLOOKUP(A165,Database!F:H,2,)</f>
        <v>1385000</v>
      </c>
      <c r="E165" s="43">
        <f t="shared" si="5"/>
        <v>-3000</v>
      </c>
    </row>
    <row r="166" spans="1:5" x14ac:dyDescent="0.2">
      <c r="A166" s="42">
        <v>25606</v>
      </c>
      <c r="B166" s="43">
        <f>VLOOKUP(A166,Database!F:H,3,)</f>
        <v>256000</v>
      </c>
      <c r="C166" s="43">
        <f t="shared" si="4"/>
        <v>17000</v>
      </c>
      <c r="D166" s="43">
        <f>VLOOKUP(A166,Database!F:H,2,)</f>
        <v>1397000</v>
      </c>
      <c r="E166" s="43">
        <f t="shared" si="5"/>
        <v>12000</v>
      </c>
    </row>
    <row r="167" spans="1:5" x14ac:dyDescent="0.2">
      <c r="A167" s="42">
        <v>25613</v>
      </c>
      <c r="B167" s="43">
        <f>VLOOKUP(A167,Database!F:H,3,)</f>
        <v>265000</v>
      </c>
      <c r="C167" s="43">
        <f t="shared" si="4"/>
        <v>9000</v>
      </c>
      <c r="D167" s="43">
        <f>VLOOKUP(A167,Database!F:H,2,)</f>
        <v>1445000</v>
      </c>
      <c r="E167" s="43">
        <f t="shared" si="5"/>
        <v>48000</v>
      </c>
    </row>
    <row r="168" spans="1:5" x14ac:dyDescent="0.2">
      <c r="A168" s="42">
        <v>25620</v>
      </c>
      <c r="B168" s="43">
        <f>VLOOKUP(A168,Database!F:H,3,)</f>
        <v>271000</v>
      </c>
      <c r="C168" s="43">
        <f t="shared" si="4"/>
        <v>6000</v>
      </c>
      <c r="D168" s="43">
        <f>VLOOKUP(A168,Database!F:H,2,)</f>
        <v>1412000</v>
      </c>
      <c r="E168" s="43">
        <f t="shared" si="5"/>
        <v>-33000</v>
      </c>
    </row>
    <row r="169" spans="1:5" x14ac:dyDescent="0.2">
      <c r="A169" s="42">
        <v>25627</v>
      </c>
      <c r="B169" s="43">
        <f>VLOOKUP(A169,Database!F:H,3,)</f>
        <v>242000</v>
      </c>
      <c r="C169" s="43">
        <f t="shared" si="4"/>
        <v>-29000</v>
      </c>
      <c r="D169" s="43">
        <f>VLOOKUP(A169,Database!F:H,2,)</f>
        <v>1430000</v>
      </c>
      <c r="E169" s="43">
        <f t="shared" si="5"/>
        <v>18000</v>
      </c>
    </row>
    <row r="170" spans="1:5" x14ac:dyDescent="0.2">
      <c r="A170" s="42">
        <v>25634</v>
      </c>
      <c r="B170" s="43">
        <f>VLOOKUP(A170,Database!F:H,3,)</f>
        <v>262000</v>
      </c>
      <c r="C170" s="43">
        <f t="shared" si="4"/>
        <v>20000</v>
      </c>
      <c r="D170" s="43">
        <f>VLOOKUP(A170,Database!F:H,2,)</f>
        <v>1443000</v>
      </c>
      <c r="E170" s="43">
        <f t="shared" si="5"/>
        <v>13000</v>
      </c>
    </row>
    <row r="171" spans="1:5" x14ac:dyDescent="0.2">
      <c r="A171" s="42">
        <v>25641</v>
      </c>
      <c r="B171" s="43">
        <f>VLOOKUP(A171,Database!F:H,3,)</f>
        <v>271000</v>
      </c>
      <c r="C171" s="43">
        <f t="shared" si="4"/>
        <v>9000</v>
      </c>
      <c r="D171" s="43">
        <f>VLOOKUP(A171,Database!F:H,2,)</f>
        <v>1456000</v>
      </c>
      <c r="E171" s="43">
        <f t="shared" si="5"/>
        <v>13000</v>
      </c>
    </row>
    <row r="172" spans="1:5" x14ac:dyDescent="0.2">
      <c r="A172" s="42">
        <v>25648</v>
      </c>
      <c r="B172" s="43">
        <f>VLOOKUP(A172,Database!F:H,3,)</f>
        <v>264000</v>
      </c>
      <c r="C172" s="43">
        <f t="shared" si="4"/>
        <v>-7000</v>
      </c>
      <c r="D172" s="43">
        <f>VLOOKUP(A172,Database!F:H,2,)</f>
        <v>1498000</v>
      </c>
      <c r="E172" s="43">
        <f t="shared" si="5"/>
        <v>42000</v>
      </c>
    </row>
    <row r="173" spans="1:5" x14ac:dyDescent="0.2">
      <c r="A173" s="42">
        <v>25655</v>
      </c>
      <c r="B173" s="43">
        <f>VLOOKUP(A173,Database!F:H,3,)</f>
        <v>276000</v>
      </c>
      <c r="C173" s="43">
        <f t="shared" si="4"/>
        <v>12000</v>
      </c>
      <c r="D173" s="43">
        <f>VLOOKUP(A173,Database!F:H,2,)</f>
        <v>1537000</v>
      </c>
      <c r="E173" s="43">
        <f t="shared" si="5"/>
        <v>39000</v>
      </c>
    </row>
    <row r="174" spans="1:5" x14ac:dyDescent="0.2">
      <c r="A174" s="42">
        <v>25662</v>
      </c>
      <c r="B174" s="43">
        <f>VLOOKUP(A174,Database!F:H,3,)</f>
        <v>273000</v>
      </c>
      <c r="C174" s="43">
        <f t="shared" si="4"/>
        <v>-3000</v>
      </c>
      <c r="D174" s="43">
        <f>VLOOKUP(A174,Database!F:H,2,)</f>
        <v>1573000</v>
      </c>
      <c r="E174" s="43">
        <f t="shared" si="5"/>
        <v>36000</v>
      </c>
    </row>
    <row r="175" spans="1:5" x14ac:dyDescent="0.2">
      <c r="A175" s="42">
        <v>25669</v>
      </c>
      <c r="B175" s="43">
        <f>VLOOKUP(A175,Database!F:H,3,)</f>
        <v>305000</v>
      </c>
      <c r="C175" s="43">
        <f t="shared" si="4"/>
        <v>32000</v>
      </c>
      <c r="D175" s="43">
        <f>VLOOKUP(A175,Database!F:H,2,)</f>
        <v>1586000</v>
      </c>
      <c r="E175" s="43">
        <f t="shared" si="5"/>
        <v>13000</v>
      </c>
    </row>
    <row r="176" spans="1:5" x14ac:dyDescent="0.2">
      <c r="A176" s="42">
        <v>25676</v>
      </c>
      <c r="B176" s="43">
        <f>VLOOKUP(A176,Database!F:H,3,)</f>
        <v>374000</v>
      </c>
      <c r="C176" s="43">
        <f t="shared" si="4"/>
        <v>69000</v>
      </c>
      <c r="D176" s="43">
        <f>VLOOKUP(A176,Database!F:H,2,)</f>
        <v>1653000</v>
      </c>
      <c r="E176" s="43">
        <f t="shared" si="5"/>
        <v>67000</v>
      </c>
    </row>
    <row r="177" spans="1:5" x14ac:dyDescent="0.2">
      <c r="A177" s="42">
        <v>25683</v>
      </c>
      <c r="B177" s="43">
        <f>VLOOKUP(A177,Database!F:H,3,)</f>
        <v>349000</v>
      </c>
      <c r="C177" s="43">
        <f t="shared" si="4"/>
        <v>-25000</v>
      </c>
      <c r="D177" s="43">
        <f>VLOOKUP(A177,Database!F:H,2,)</f>
        <v>1748000</v>
      </c>
      <c r="E177" s="43">
        <f t="shared" si="5"/>
        <v>95000</v>
      </c>
    </row>
    <row r="178" spans="1:5" x14ac:dyDescent="0.2">
      <c r="A178" s="42">
        <v>25690</v>
      </c>
      <c r="B178" s="43">
        <f>VLOOKUP(A178,Database!F:H,3,)</f>
        <v>334000</v>
      </c>
      <c r="C178" s="43">
        <f t="shared" si="4"/>
        <v>-15000</v>
      </c>
      <c r="D178" s="43">
        <f>VLOOKUP(A178,Database!F:H,2,)</f>
        <v>1811000</v>
      </c>
      <c r="E178" s="43">
        <f t="shared" si="5"/>
        <v>63000</v>
      </c>
    </row>
    <row r="179" spans="1:5" x14ac:dyDescent="0.2">
      <c r="A179" s="42">
        <v>25697</v>
      </c>
      <c r="B179" s="43">
        <f>VLOOKUP(A179,Database!F:H,3,)</f>
        <v>318000</v>
      </c>
      <c r="C179" s="43">
        <f t="shared" si="4"/>
        <v>-16000</v>
      </c>
      <c r="D179" s="43">
        <f>VLOOKUP(A179,Database!F:H,2,)</f>
        <v>1847000</v>
      </c>
      <c r="E179" s="43">
        <f t="shared" si="5"/>
        <v>36000</v>
      </c>
    </row>
    <row r="180" spans="1:5" x14ac:dyDescent="0.2">
      <c r="A180" s="42">
        <v>25704</v>
      </c>
      <c r="B180" s="43">
        <f>VLOOKUP(A180,Database!F:H,3,)</f>
        <v>303000</v>
      </c>
      <c r="C180" s="43">
        <f t="shared" si="4"/>
        <v>-15000</v>
      </c>
      <c r="D180" s="43">
        <f>VLOOKUP(A180,Database!F:H,2,)</f>
        <v>1840000</v>
      </c>
      <c r="E180" s="43">
        <f t="shared" si="5"/>
        <v>-7000</v>
      </c>
    </row>
    <row r="181" spans="1:5" x14ac:dyDescent="0.2">
      <c r="A181" s="42">
        <v>25711</v>
      </c>
      <c r="B181" s="43">
        <f>VLOOKUP(A181,Database!F:H,3,)</f>
        <v>296000</v>
      </c>
      <c r="C181" s="43">
        <f t="shared" si="4"/>
        <v>-7000</v>
      </c>
      <c r="D181" s="43">
        <f>VLOOKUP(A181,Database!F:H,2,)</f>
        <v>1827000</v>
      </c>
      <c r="E181" s="43">
        <f t="shared" si="5"/>
        <v>-13000</v>
      </c>
    </row>
    <row r="182" spans="1:5" x14ac:dyDescent="0.2">
      <c r="A182" s="42">
        <v>25718</v>
      </c>
      <c r="B182" s="43">
        <f>VLOOKUP(A182,Database!F:H,3,)</f>
        <v>301000</v>
      </c>
      <c r="C182" s="43">
        <f t="shared" si="4"/>
        <v>5000</v>
      </c>
      <c r="D182" s="43">
        <f>VLOOKUP(A182,Database!F:H,2,)</f>
        <v>1807000</v>
      </c>
      <c r="E182" s="43">
        <f t="shared" si="5"/>
        <v>-20000</v>
      </c>
    </row>
    <row r="183" spans="1:5" x14ac:dyDescent="0.2">
      <c r="A183" s="42">
        <v>25725</v>
      </c>
      <c r="B183" s="43">
        <f>VLOOKUP(A183,Database!F:H,3,)</f>
        <v>301000</v>
      </c>
      <c r="C183" s="43">
        <f t="shared" si="4"/>
        <v>0</v>
      </c>
      <c r="D183" s="43">
        <f>VLOOKUP(A183,Database!F:H,2,)</f>
        <v>1817000</v>
      </c>
      <c r="E183" s="43">
        <f t="shared" si="5"/>
        <v>10000</v>
      </c>
    </row>
    <row r="184" spans="1:5" x14ac:dyDescent="0.2">
      <c r="A184" s="42">
        <v>25732</v>
      </c>
      <c r="B184" s="43">
        <f>VLOOKUP(A184,Database!F:H,3,)</f>
        <v>298000</v>
      </c>
      <c r="C184" s="43">
        <f t="shared" si="4"/>
        <v>-3000</v>
      </c>
      <c r="D184" s="43">
        <f>VLOOKUP(A184,Database!F:H,2,)</f>
        <v>1852000</v>
      </c>
      <c r="E184" s="43">
        <f t="shared" si="5"/>
        <v>35000</v>
      </c>
    </row>
    <row r="185" spans="1:5" x14ac:dyDescent="0.2">
      <c r="A185" s="42">
        <v>25739</v>
      </c>
      <c r="B185" s="43">
        <f>VLOOKUP(A185,Database!F:H,3,)</f>
        <v>296000</v>
      </c>
      <c r="C185" s="43">
        <f t="shared" si="4"/>
        <v>-2000</v>
      </c>
      <c r="D185" s="43">
        <f>VLOOKUP(A185,Database!F:H,2,)</f>
        <v>1864000</v>
      </c>
      <c r="E185" s="43">
        <f t="shared" si="5"/>
        <v>12000</v>
      </c>
    </row>
    <row r="186" spans="1:5" x14ac:dyDescent="0.2">
      <c r="A186" s="42">
        <v>25746</v>
      </c>
      <c r="B186" s="43">
        <f>VLOOKUP(A186,Database!F:H,3,)</f>
        <v>291000</v>
      </c>
      <c r="C186" s="43">
        <f t="shared" si="4"/>
        <v>-5000</v>
      </c>
      <c r="D186" s="43">
        <f>VLOOKUP(A186,Database!F:H,2,)</f>
        <v>1866000</v>
      </c>
      <c r="E186" s="43">
        <f t="shared" si="5"/>
        <v>2000</v>
      </c>
    </row>
    <row r="187" spans="1:5" x14ac:dyDescent="0.2">
      <c r="A187" s="42">
        <v>25753</v>
      </c>
      <c r="B187" s="43">
        <f>VLOOKUP(A187,Database!F:H,3,)</f>
        <v>277000</v>
      </c>
      <c r="C187" s="43">
        <f t="shared" si="4"/>
        <v>-14000</v>
      </c>
      <c r="D187" s="43">
        <f>VLOOKUP(A187,Database!F:H,2,)</f>
        <v>1853000</v>
      </c>
      <c r="E187" s="43">
        <f t="shared" si="5"/>
        <v>-13000</v>
      </c>
    </row>
    <row r="188" spans="1:5" x14ac:dyDescent="0.2">
      <c r="A188" s="42">
        <v>25760</v>
      </c>
      <c r="B188" s="43">
        <f>VLOOKUP(A188,Database!F:H,3,)</f>
        <v>288000</v>
      </c>
      <c r="C188" s="43">
        <f t="shared" si="4"/>
        <v>11000</v>
      </c>
      <c r="D188" s="43">
        <f>VLOOKUP(A188,Database!F:H,2,)</f>
        <v>1868000</v>
      </c>
      <c r="E188" s="43">
        <f t="shared" si="5"/>
        <v>15000</v>
      </c>
    </row>
    <row r="189" spans="1:5" x14ac:dyDescent="0.2">
      <c r="A189" s="42">
        <v>25767</v>
      </c>
      <c r="B189" s="43">
        <f>VLOOKUP(A189,Database!F:H,3,)</f>
        <v>294000</v>
      </c>
      <c r="C189" s="43">
        <f t="shared" si="4"/>
        <v>6000</v>
      </c>
      <c r="D189" s="43">
        <f>VLOOKUP(A189,Database!F:H,2,)</f>
        <v>1877000</v>
      </c>
      <c r="E189" s="43">
        <f t="shared" si="5"/>
        <v>9000</v>
      </c>
    </row>
    <row r="190" spans="1:5" x14ac:dyDescent="0.2">
      <c r="A190" s="42">
        <v>25774</v>
      </c>
      <c r="B190" s="43">
        <f>VLOOKUP(A190,Database!F:H,3,)</f>
        <v>287000</v>
      </c>
      <c r="C190" s="43">
        <f t="shared" si="4"/>
        <v>-7000</v>
      </c>
      <c r="D190" s="43">
        <f>VLOOKUP(A190,Database!F:H,2,)</f>
        <v>1918000</v>
      </c>
      <c r="E190" s="43">
        <f t="shared" si="5"/>
        <v>41000</v>
      </c>
    </row>
    <row r="191" spans="1:5" x14ac:dyDescent="0.2">
      <c r="A191" s="42">
        <v>25781</v>
      </c>
      <c r="B191" s="43">
        <f>VLOOKUP(A191,Database!F:H,3,)</f>
        <v>261000</v>
      </c>
      <c r="C191" s="43">
        <f t="shared" si="4"/>
        <v>-26000</v>
      </c>
      <c r="D191" s="43">
        <f>VLOOKUP(A191,Database!F:H,2,)</f>
        <v>1900000</v>
      </c>
      <c r="E191" s="43">
        <f t="shared" si="5"/>
        <v>-18000</v>
      </c>
    </row>
    <row r="192" spans="1:5" x14ac:dyDescent="0.2">
      <c r="A192" s="42">
        <v>25788</v>
      </c>
      <c r="B192" s="43">
        <f>VLOOKUP(A192,Database!F:H,3,)</f>
        <v>266000</v>
      </c>
      <c r="C192" s="43">
        <f t="shared" si="4"/>
        <v>5000</v>
      </c>
      <c r="D192" s="43">
        <f>VLOOKUP(A192,Database!F:H,2,)</f>
        <v>1890000</v>
      </c>
      <c r="E192" s="43">
        <f t="shared" si="5"/>
        <v>-10000</v>
      </c>
    </row>
    <row r="193" spans="1:5" x14ac:dyDescent="0.2">
      <c r="A193" s="42">
        <v>25795</v>
      </c>
      <c r="B193" s="43">
        <f>VLOOKUP(A193,Database!F:H,3,)</f>
        <v>300000</v>
      </c>
      <c r="C193" s="43">
        <f t="shared" si="4"/>
        <v>34000</v>
      </c>
      <c r="D193" s="43">
        <f>VLOOKUP(A193,Database!F:H,2,)</f>
        <v>1933000</v>
      </c>
      <c r="E193" s="43">
        <f t="shared" si="5"/>
        <v>43000</v>
      </c>
    </row>
    <row r="194" spans="1:5" x14ac:dyDescent="0.2">
      <c r="A194" s="42">
        <v>25802</v>
      </c>
      <c r="B194" s="43">
        <f>VLOOKUP(A194,Database!F:H,3,)</f>
        <v>303000</v>
      </c>
      <c r="C194" s="43">
        <f t="shared" si="4"/>
        <v>3000</v>
      </c>
      <c r="D194" s="43">
        <f>VLOOKUP(A194,Database!F:H,2,)</f>
        <v>1970000</v>
      </c>
      <c r="E194" s="43">
        <f t="shared" si="5"/>
        <v>37000</v>
      </c>
    </row>
    <row r="195" spans="1:5" x14ac:dyDescent="0.2">
      <c r="A195" s="42">
        <v>25809</v>
      </c>
      <c r="B195" s="43">
        <f>VLOOKUP(A195,Database!F:H,3,)</f>
        <v>297000</v>
      </c>
      <c r="C195" s="43">
        <f t="shared" si="4"/>
        <v>-6000</v>
      </c>
      <c r="D195" s="43">
        <f>VLOOKUP(A195,Database!F:H,2,)</f>
        <v>2005000</v>
      </c>
      <c r="E195" s="43">
        <f t="shared" si="5"/>
        <v>35000</v>
      </c>
    </row>
    <row r="196" spans="1:5" x14ac:dyDescent="0.2">
      <c r="A196" s="42">
        <v>25816</v>
      </c>
      <c r="B196" s="43">
        <f>VLOOKUP(A196,Database!F:H,3,)</f>
        <v>324000</v>
      </c>
      <c r="C196" s="43">
        <f t="shared" si="4"/>
        <v>27000</v>
      </c>
      <c r="D196" s="43">
        <f>VLOOKUP(A196,Database!F:H,2,)</f>
        <v>1996000</v>
      </c>
      <c r="E196" s="43">
        <f t="shared" si="5"/>
        <v>-9000</v>
      </c>
    </row>
    <row r="197" spans="1:5" x14ac:dyDescent="0.2">
      <c r="A197" s="42">
        <v>25823</v>
      </c>
      <c r="B197" s="43">
        <f>VLOOKUP(A197,Database!F:H,3,)</f>
        <v>292000</v>
      </c>
      <c r="C197" s="43">
        <f t="shared" si="4"/>
        <v>-32000</v>
      </c>
      <c r="D197" s="43">
        <f>VLOOKUP(A197,Database!F:H,2,)</f>
        <v>2068000</v>
      </c>
      <c r="E197" s="43">
        <f t="shared" si="5"/>
        <v>72000</v>
      </c>
    </row>
    <row r="198" spans="1:5" x14ac:dyDescent="0.2">
      <c r="A198" s="42">
        <v>25830</v>
      </c>
      <c r="B198" s="43">
        <f>VLOOKUP(A198,Database!F:H,3,)</f>
        <v>325000</v>
      </c>
      <c r="C198" s="43">
        <f t="shared" si="4"/>
        <v>33000</v>
      </c>
      <c r="D198" s="43">
        <f>VLOOKUP(A198,Database!F:H,2,)</f>
        <v>2069000</v>
      </c>
      <c r="E198" s="43">
        <f t="shared" si="5"/>
        <v>1000</v>
      </c>
    </row>
    <row r="199" spans="1:5" x14ac:dyDescent="0.2">
      <c r="A199" s="42">
        <v>25837</v>
      </c>
      <c r="B199" s="43">
        <f>VLOOKUP(A199,Database!F:H,3,)</f>
        <v>333000</v>
      </c>
      <c r="C199" s="43">
        <f t="shared" si="4"/>
        <v>8000</v>
      </c>
      <c r="D199" s="43">
        <f>VLOOKUP(A199,Database!F:H,2,)</f>
        <v>2092000</v>
      </c>
      <c r="E199" s="43">
        <f t="shared" si="5"/>
        <v>23000</v>
      </c>
    </row>
    <row r="200" spans="1:5" x14ac:dyDescent="0.2">
      <c r="A200" s="42">
        <v>25844</v>
      </c>
      <c r="B200" s="43">
        <f>VLOOKUP(A200,Database!F:H,3,)</f>
        <v>350000</v>
      </c>
      <c r="C200" s="43">
        <f t="shared" ref="C200:C263" si="6">B200-B199</f>
        <v>17000</v>
      </c>
      <c r="D200" s="43">
        <f>VLOOKUP(A200,Database!F:H,2,)</f>
        <v>2164000</v>
      </c>
      <c r="E200" s="43">
        <f t="shared" ref="E200:E263" si="7">D200-D199</f>
        <v>72000</v>
      </c>
    </row>
    <row r="201" spans="1:5" x14ac:dyDescent="0.2">
      <c r="A201" s="42">
        <v>25851</v>
      </c>
      <c r="B201" s="43">
        <f>VLOOKUP(A201,Database!F:H,3,)</f>
        <v>327000</v>
      </c>
      <c r="C201" s="43">
        <f t="shared" si="6"/>
        <v>-23000</v>
      </c>
      <c r="D201" s="43">
        <f>VLOOKUP(A201,Database!F:H,2,)</f>
        <v>2207000</v>
      </c>
      <c r="E201" s="43">
        <f t="shared" si="7"/>
        <v>43000</v>
      </c>
    </row>
    <row r="202" spans="1:5" x14ac:dyDescent="0.2">
      <c r="A202" s="42">
        <v>25858</v>
      </c>
      <c r="B202" s="43">
        <f>VLOOKUP(A202,Database!F:H,3,)</f>
        <v>334000</v>
      </c>
      <c r="C202" s="43">
        <f t="shared" si="6"/>
        <v>7000</v>
      </c>
      <c r="D202" s="43">
        <f>VLOOKUP(A202,Database!F:H,2,)</f>
        <v>2210000</v>
      </c>
      <c r="E202" s="43">
        <f t="shared" si="7"/>
        <v>3000</v>
      </c>
    </row>
    <row r="203" spans="1:5" x14ac:dyDescent="0.2">
      <c r="A203" s="42">
        <v>25865</v>
      </c>
      <c r="B203" s="43">
        <f>VLOOKUP(A203,Database!F:H,3,)</f>
        <v>330000</v>
      </c>
      <c r="C203" s="43">
        <f t="shared" si="6"/>
        <v>-4000</v>
      </c>
      <c r="D203" s="43">
        <f>VLOOKUP(A203,Database!F:H,2,)</f>
        <v>2257000</v>
      </c>
      <c r="E203" s="43">
        <f t="shared" si="7"/>
        <v>47000</v>
      </c>
    </row>
    <row r="204" spans="1:5" x14ac:dyDescent="0.2">
      <c r="A204" s="42">
        <v>25872</v>
      </c>
      <c r="B204" s="43">
        <f>VLOOKUP(A204,Database!F:H,3,)</f>
        <v>327000</v>
      </c>
      <c r="C204" s="43">
        <f t="shared" si="6"/>
        <v>-3000</v>
      </c>
      <c r="D204" s="43">
        <f>VLOOKUP(A204,Database!F:H,2,)</f>
        <v>2233000</v>
      </c>
      <c r="E204" s="43">
        <f t="shared" si="7"/>
        <v>-24000</v>
      </c>
    </row>
    <row r="205" spans="1:5" x14ac:dyDescent="0.2">
      <c r="A205" s="42">
        <v>25879</v>
      </c>
      <c r="B205" s="43">
        <f>VLOOKUP(A205,Database!F:H,3,)</f>
        <v>336000</v>
      </c>
      <c r="C205" s="43">
        <f t="shared" si="6"/>
        <v>9000</v>
      </c>
      <c r="D205" s="43">
        <f>VLOOKUP(A205,Database!F:H,2,)</f>
        <v>2279000</v>
      </c>
      <c r="E205" s="43">
        <f t="shared" si="7"/>
        <v>46000</v>
      </c>
    </row>
    <row r="206" spans="1:5" x14ac:dyDescent="0.2">
      <c r="A206" s="42">
        <v>25886</v>
      </c>
      <c r="B206" s="43">
        <f>VLOOKUP(A206,Database!F:H,3,)</f>
        <v>314000</v>
      </c>
      <c r="C206" s="43">
        <f t="shared" si="6"/>
        <v>-22000</v>
      </c>
      <c r="D206" s="43">
        <f>VLOOKUP(A206,Database!F:H,2,)</f>
        <v>2343000</v>
      </c>
      <c r="E206" s="43">
        <f t="shared" si="7"/>
        <v>64000</v>
      </c>
    </row>
    <row r="207" spans="1:5" x14ac:dyDescent="0.2">
      <c r="A207" s="42">
        <v>25893</v>
      </c>
      <c r="B207" s="43">
        <f>VLOOKUP(A207,Database!F:H,3,)</f>
        <v>314000</v>
      </c>
      <c r="C207" s="43">
        <f t="shared" si="6"/>
        <v>0</v>
      </c>
      <c r="D207" s="43">
        <f>VLOOKUP(A207,Database!F:H,2,)</f>
        <v>2285000</v>
      </c>
      <c r="E207" s="43">
        <f t="shared" si="7"/>
        <v>-58000</v>
      </c>
    </row>
    <row r="208" spans="1:5" x14ac:dyDescent="0.2">
      <c r="A208" s="42">
        <v>25900</v>
      </c>
      <c r="B208" s="43">
        <f>VLOOKUP(A208,Database!F:H,3,)</f>
        <v>337000</v>
      </c>
      <c r="C208" s="43">
        <f t="shared" si="6"/>
        <v>23000</v>
      </c>
      <c r="D208" s="43">
        <f>VLOOKUP(A208,Database!F:H,2,)</f>
        <v>2292000</v>
      </c>
      <c r="E208" s="43">
        <f t="shared" si="7"/>
        <v>7000</v>
      </c>
    </row>
    <row r="209" spans="1:5" x14ac:dyDescent="0.2">
      <c r="A209" s="42">
        <v>25907</v>
      </c>
      <c r="B209" s="43">
        <f>VLOOKUP(A209,Database!F:H,3,)</f>
        <v>308000</v>
      </c>
      <c r="C209" s="43">
        <f t="shared" si="6"/>
        <v>-29000</v>
      </c>
      <c r="D209" s="43">
        <f>VLOOKUP(A209,Database!F:H,2,)</f>
        <v>2276000</v>
      </c>
      <c r="E209" s="43">
        <f t="shared" si="7"/>
        <v>-16000</v>
      </c>
    </row>
    <row r="210" spans="1:5" x14ac:dyDescent="0.2">
      <c r="A210" s="42">
        <v>25914</v>
      </c>
      <c r="B210" s="43">
        <f>VLOOKUP(A210,Database!F:H,3,)</f>
        <v>306000</v>
      </c>
      <c r="C210" s="43">
        <f t="shared" si="6"/>
        <v>-2000</v>
      </c>
      <c r="D210" s="43">
        <f>VLOOKUP(A210,Database!F:H,2,)</f>
        <v>2193000</v>
      </c>
      <c r="E210" s="43">
        <f t="shared" si="7"/>
        <v>-83000</v>
      </c>
    </row>
    <row r="211" spans="1:5" x14ac:dyDescent="0.2">
      <c r="A211" s="42">
        <v>25921</v>
      </c>
      <c r="B211" s="43">
        <f>VLOOKUP(A211,Database!F:H,3,)</f>
        <v>289000</v>
      </c>
      <c r="C211" s="43">
        <f t="shared" si="6"/>
        <v>-17000</v>
      </c>
      <c r="D211" s="43">
        <f>VLOOKUP(A211,Database!F:H,2,)</f>
        <v>2224000</v>
      </c>
      <c r="E211" s="43">
        <f t="shared" si="7"/>
        <v>31000</v>
      </c>
    </row>
    <row r="212" spans="1:5" x14ac:dyDescent="0.2">
      <c r="A212" s="42">
        <v>25928</v>
      </c>
      <c r="B212" s="43">
        <f>VLOOKUP(A212,Database!F:H,3,)</f>
        <v>321000</v>
      </c>
      <c r="C212" s="43">
        <f t="shared" si="6"/>
        <v>32000</v>
      </c>
      <c r="D212" s="43">
        <f>VLOOKUP(A212,Database!F:H,2,)</f>
        <v>2147000</v>
      </c>
      <c r="E212" s="43">
        <f t="shared" si="7"/>
        <v>-77000</v>
      </c>
    </row>
    <row r="213" spans="1:5" x14ac:dyDescent="0.2">
      <c r="A213" s="42">
        <v>25935</v>
      </c>
      <c r="B213" s="43">
        <f>VLOOKUP(A213,Database!F:H,3,)</f>
        <v>303000</v>
      </c>
      <c r="C213" s="43">
        <f t="shared" si="6"/>
        <v>-18000</v>
      </c>
      <c r="D213" s="43">
        <f>VLOOKUP(A213,Database!F:H,2,)</f>
        <v>2102000</v>
      </c>
      <c r="E213" s="43">
        <f t="shared" si="7"/>
        <v>-45000</v>
      </c>
    </row>
    <row r="214" spans="1:5" x14ac:dyDescent="0.2">
      <c r="A214" s="42">
        <v>25942</v>
      </c>
      <c r="B214" s="43">
        <f>VLOOKUP(A214,Database!F:H,3,)</f>
        <v>288000</v>
      </c>
      <c r="C214" s="43">
        <f t="shared" si="6"/>
        <v>-15000</v>
      </c>
      <c r="D214" s="43">
        <f>VLOOKUP(A214,Database!F:H,2,)</f>
        <v>2124000</v>
      </c>
      <c r="E214" s="43">
        <f t="shared" si="7"/>
        <v>22000</v>
      </c>
    </row>
    <row r="215" spans="1:5" x14ac:dyDescent="0.2">
      <c r="A215" s="42">
        <v>25949</v>
      </c>
      <c r="B215" s="43">
        <f>VLOOKUP(A215,Database!F:H,3,)</f>
        <v>299000</v>
      </c>
      <c r="C215" s="43">
        <f t="shared" si="6"/>
        <v>11000</v>
      </c>
      <c r="D215" s="43">
        <f>VLOOKUP(A215,Database!F:H,2,)</f>
        <v>2100000</v>
      </c>
      <c r="E215" s="43">
        <f t="shared" si="7"/>
        <v>-24000</v>
      </c>
    </row>
    <row r="216" spans="1:5" x14ac:dyDescent="0.2">
      <c r="A216" s="42">
        <v>25956</v>
      </c>
      <c r="B216" s="43">
        <f>VLOOKUP(A216,Database!F:H,3,)</f>
        <v>312000</v>
      </c>
      <c r="C216" s="43">
        <f t="shared" si="6"/>
        <v>13000</v>
      </c>
      <c r="D216" s="43">
        <f>VLOOKUP(A216,Database!F:H,2,)</f>
        <v>2091000</v>
      </c>
      <c r="E216" s="43">
        <f t="shared" si="7"/>
        <v>-9000</v>
      </c>
    </row>
    <row r="217" spans="1:5" x14ac:dyDescent="0.2">
      <c r="A217" s="42">
        <v>25963</v>
      </c>
      <c r="B217" s="43">
        <f>VLOOKUP(A217,Database!F:H,3,)</f>
        <v>292000</v>
      </c>
      <c r="C217" s="43">
        <f t="shared" si="6"/>
        <v>-20000</v>
      </c>
      <c r="D217" s="43">
        <f>VLOOKUP(A217,Database!F:H,2,)</f>
        <v>2086000</v>
      </c>
      <c r="E217" s="43">
        <f t="shared" si="7"/>
        <v>-5000</v>
      </c>
    </row>
    <row r="218" spans="1:5" x14ac:dyDescent="0.2">
      <c r="A218" s="42">
        <v>25970</v>
      </c>
      <c r="B218" s="43">
        <f>VLOOKUP(A218,Database!F:H,3,)</f>
        <v>296000</v>
      </c>
      <c r="C218" s="43">
        <f t="shared" si="6"/>
        <v>4000</v>
      </c>
      <c r="D218" s="43">
        <f>VLOOKUP(A218,Database!F:H,2,)</f>
        <v>2120000</v>
      </c>
      <c r="E218" s="43">
        <f t="shared" si="7"/>
        <v>34000</v>
      </c>
    </row>
    <row r="219" spans="1:5" x14ac:dyDescent="0.2">
      <c r="A219" s="42">
        <v>25977</v>
      </c>
      <c r="B219" s="43">
        <f>VLOOKUP(A219,Database!F:H,3,)</f>
        <v>282000</v>
      </c>
      <c r="C219" s="43">
        <f t="shared" si="6"/>
        <v>-14000</v>
      </c>
      <c r="D219" s="43">
        <f>VLOOKUP(A219,Database!F:H,2,)</f>
        <v>2079000</v>
      </c>
      <c r="E219" s="43">
        <f t="shared" si="7"/>
        <v>-41000</v>
      </c>
    </row>
    <row r="220" spans="1:5" x14ac:dyDescent="0.2">
      <c r="A220" s="42">
        <v>25984</v>
      </c>
      <c r="B220" s="43">
        <f>VLOOKUP(A220,Database!F:H,3,)</f>
        <v>268000</v>
      </c>
      <c r="C220" s="43">
        <f t="shared" si="6"/>
        <v>-14000</v>
      </c>
      <c r="D220" s="43">
        <f>VLOOKUP(A220,Database!F:H,2,)</f>
        <v>2120000</v>
      </c>
      <c r="E220" s="43">
        <f t="shared" si="7"/>
        <v>41000</v>
      </c>
    </row>
    <row r="221" spans="1:5" x14ac:dyDescent="0.2">
      <c r="A221" s="42">
        <v>25991</v>
      </c>
      <c r="B221" s="43">
        <f>VLOOKUP(A221,Database!F:H,3,)</f>
        <v>290000</v>
      </c>
      <c r="C221" s="43">
        <f t="shared" si="6"/>
        <v>22000</v>
      </c>
      <c r="D221" s="43">
        <f>VLOOKUP(A221,Database!F:H,2,)</f>
        <v>2081000</v>
      </c>
      <c r="E221" s="43">
        <f t="shared" si="7"/>
        <v>-39000</v>
      </c>
    </row>
    <row r="222" spans="1:5" x14ac:dyDescent="0.2">
      <c r="A222" s="42">
        <v>25998</v>
      </c>
      <c r="B222" s="43">
        <f>VLOOKUP(A222,Database!F:H,3,)</f>
        <v>297000</v>
      </c>
      <c r="C222" s="43">
        <f t="shared" si="6"/>
        <v>7000</v>
      </c>
      <c r="D222" s="43">
        <f>VLOOKUP(A222,Database!F:H,2,)</f>
        <v>2132000</v>
      </c>
      <c r="E222" s="43">
        <f t="shared" si="7"/>
        <v>51000</v>
      </c>
    </row>
    <row r="223" spans="1:5" x14ac:dyDescent="0.2">
      <c r="A223" s="42">
        <v>26005</v>
      </c>
      <c r="B223" s="43">
        <f>VLOOKUP(A223,Database!F:H,3,)</f>
        <v>287000</v>
      </c>
      <c r="C223" s="43">
        <f t="shared" si="6"/>
        <v>-10000</v>
      </c>
      <c r="D223" s="43">
        <f>VLOOKUP(A223,Database!F:H,2,)</f>
        <v>2126000</v>
      </c>
      <c r="E223" s="43">
        <f t="shared" si="7"/>
        <v>-6000</v>
      </c>
    </row>
    <row r="224" spans="1:5" x14ac:dyDescent="0.2">
      <c r="A224" s="42">
        <v>26012</v>
      </c>
      <c r="B224" s="43">
        <f>VLOOKUP(A224,Database!F:H,3,)</f>
        <v>291000</v>
      </c>
      <c r="C224" s="43">
        <f t="shared" si="6"/>
        <v>4000</v>
      </c>
      <c r="D224" s="43">
        <f>VLOOKUP(A224,Database!F:H,2,)</f>
        <v>2140000</v>
      </c>
      <c r="E224" s="43">
        <f t="shared" si="7"/>
        <v>14000</v>
      </c>
    </row>
    <row r="225" spans="1:5" x14ac:dyDescent="0.2">
      <c r="A225" s="42">
        <v>26019</v>
      </c>
      <c r="B225" s="43">
        <f>VLOOKUP(A225,Database!F:H,3,)</f>
        <v>300000</v>
      </c>
      <c r="C225" s="43">
        <f t="shared" si="6"/>
        <v>9000</v>
      </c>
      <c r="D225" s="43">
        <f>VLOOKUP(A225,Database!F:H,2,)</f>
        <v>2157000</v>
      </c>
      <c r="E225" s="43">
        <f t="shared" si="7"/>
        <v>17000</v>
      </c>
    </row>
    <row r="226" spans="1:5" x14ac:dyDescent="0.2">
      <c r="A226" s="42">
        <v>26026</v>
      </c>
      <c r="B226" s="43">
        <f>VLOOKUP(A226,Database!F:H,3,)</f>
        <v>299000</v>
      </c>
      <c r="C226" s="43">
        <f t="shared" si="6"/>
        <v>-1000</v>
      </c>
      <c r="D226" s="43">
        <f>VLOOKUP(A226,Database!F:H,2,)</f>
        <v>2135000</v>
      </c>
      <c r="E226" s="43">
        <f t="shared" si="7"/>
        <v>-22000</v>
      </c>
    </row>
    <row r="227" spans="1:5" x14ac:dyDescent="0.2">
      <c r="A227" s="42">
        <v>26033</v>
      </c>
      <c r="B227" s="43">
        <f>VLOOKUP(A227,Database!F:H,3,)</f>
        <v>279000</v>
      </c>
      <c r="C227" s="43">
        <f t="shared" si="6"/>
        <v>-20000</v>
      </c>
      <c r="D227" s="43">
        <f>VLOOKUP(A227,Database!F:H,2,)</f>
        <v>2156000</v>
      </c>
      <c r="E227" s="43">
        <f t="shared" si="7"/>
        <v>21000</v>
      </c>
    </row>
    <row r="228" spans="1:5" x14ac:dyDescent="0.2">
      <c r="A228" s="42">
        <v>26040</v>
      </c>
      <c r="B228" s="43">
        <f>VLOOKUP(A228,Database!F:H,3,)</f>
        <v>284000</v>
      </c>
      <c r="C228" s="43">
        <f t="shared" si="6"/>
        <v>5000</v>
      </c>
      <c r="D228" s="43">
        <f>VLOOKUP(A228,Database!F:H,2,)</f>
        <v>2163000</v>
      </c>
      <c r="E228" s="43">
        <f t="shared" si="7"/>
        <v>7000</v>
      </c>
    </row>
    <row r="229" spans="1:5" x14ac:dyDescent="0.2">
      <c r="A229" s="42">
        <v>26047</v>
      </c>
      <c r="B229" s="43">
        <f>VLOOKUP(A229,Database!F:H,3,)</f>
        <v>288000</v>
      </c>
      <c r="C229" s="43">
        <f t="shared" si="6"/>
        <v>4000</v>
      </c>
      <c r="D229" s="43">
        <f>VLOOKUP(A229,Database!F:H,2,)</f>
        <v>2127000</v>
      </c>
      <c r="E229" s="43">
        <f t="shared" si="7"/>
        <v>-36000</v>
      </c>
    </row>
    <row r="230" spans="1:5" x14ac:dyDescent="0.2">
      <c r="A230" s="42">
        <v>26054</v>
      </c>
      <c r="B230" s="43">
        <f>VLOOKUP(A230,Database!F:H,3,)</f>
        <v>290000</v>
      </c>
      <c r="C230" s="43">
        <f t="shared" si="6"/>
        <v>2000</v>
      </c>
      <c r="D230" s="43">
        <f>VLOOKUP(A230,Database!F:H,2,)</f>
        <v>2157000</v>
      </c>
      <c r="E230" s="43">
        <f t="shared" si="7"/>
        <v>30000</v>
      </c>
    </row>
    <row r="231" spans="1:5" x14ac:dyDescent="0.2">
      <c r="A231" s="42">
        <v>26061</v>
      </c>
      <c r="B231" s="43">
        <f>VLOOKUP(A231,Database!F:H,3,)</f>
        <v>293000</v>
      </c>
      <c r="C231" s="43">
        <f t="shared" si="6"/>
        <v>3000</v>
      </c>
      <c r="D231" s="43">
        <f>VLOOKUP(A231,Database!F:H,2,)</f>
        <v>2179000</v>
      </c>
      <c r="E231" s="43">
        <f t="shared" si="7"/>
        <v>22000</v>
      </c>
    </row>
    <row r="232" spans="1:5" x14ac:dyDescent="0.2">
      <c r="A232" s="42">
        <v>26068</v>
      </c>
      <c r="B232" s="43">
        <f>VLOOKUP(A232,Database!F:H,3,)</f>
        <v>284000</v>
      </c>
      <c r="C232" s="43">
        <f t="shared" si="6"/>
        <v>-9000</v>
      </c>
      <c r="D232" s="43">
        <f>VLOOKUP(A232,Database!F:H,2,)</f>
        <v>2179000</v>
      </c>
      <c r="E232" s="43">
        <f t="shared" si="7"/>
        <v>0</v>
      </c>
    </row>
    <row r="233" spans="1:5" x14ac:dyDescent="0.2">
      <c r="A233" s="42">
        <v>26075</v>
      </c>
      <c r="B233" s="43">
        <f>VLOOKUP(A233,Database!F:H,3,)</f>
        <v>295000</v>
      </c>
      <c r="C233" s="43">
        <f t="shared" si="6"/>
        <v>11000</v>
      </c>
      <c r="D233" s="43">
        <f>VLOOKUP(A233,Database!F:H,2,)</f>
        <v>2167000</v>
      </c>
      <c r="E233" s="43">
        <f t="shared" si="7"/>
        <v>-12000</v>
      </c>
    </row>
    <row r="234" spans="1:5" x14ac:dyDescent="0.2">
      <c r="A234" s="42">
        <v>26082</v>
      </c>
      <c r="B234" s="43">
        <f>VLOOKUP(A234,Database!F:H,3,)</f>
        <v>299000</v>
      </c>
      <c r="C234" s="43">
        <f t="shared" si="6"/>
        <v>4000</v>
      </c>
      <c r="D234" s="43">
        <f>VLOOKUP(A234,Database!F:H,2,)</f>
        <v>2171000</v>
      </c>
      <c r="E234" s="43">
        <f t="shared" si="7"/>
        <v>4000</v>
      </c>
    </row>
    <row r="235" spans="1:5" x14ac:dyDescent="0.2">
      <c r="A235" s="42">
        <v>26089</v>
      </c>
      <c r="B235" s="43">
        <f>VLOOKUP(A235,Database!F:H,3,)</f>
        <v>301000</v>
      </c>
      <c r="C235" s="43">
        <f t="shared" si="6"/>
        <v>2000</v>
      </c>
      <c r="D235" s="43">
        <f>VLOOKUP(A235,Database!F:H,2,)</f>
        <v>2194000</v>
      </c>
      <c r="E235" s="43">
        <f t="shared" si="7"/>
        <v>23000</v>
      </c>
    </row>
    <row r="236" spans="1:5" x14ac:dyDescent="0.2">
      <c r="A236" s="42">
        <v>26096</v>
      </c>
      <c r="B236" s="43">
        <f>VLOOKUP(A236,Database!F:H,3,)</f>
        <v>295000</v>
      </c>
      <c r="C236" s="43">
        <f t="shared" si="6"/>
        <v>-6000</v>
      </c>
      <c r="D236" s="43">
        <f>VLOOKUP(A236,Database!F:H,2,)</f>
        <v>2199000</v>
      </c>
      <c r="E236" s="43">
        <f t="shared" si="7"/>
        <v>5000</v>
      </c>
    </row>
    <row r="237" spans="1:5" x14ac:dyDescent="0.2">
      <c r="A237" s="42">
        <v>26103</v>
      </c>
      <c r="B237" s="43">
        <f>VLOOKUP(A237,Database!F:H,3,)</f>
        <v>299000</v>
      </c>
      <c r="C237" s="43">
        <f t="shared" si="6"/>
        <v>4000</v>
      </c>
      <c r="D237" s="43">
        <f>VLOOKUP(A237,Database!F:H,2,)</f>
        <v>2182000</v>
      </c>
      <c r="E237" s="43">
        <f t="shared" si="7"/>
        <v>-17000</v>
      </c>
    </row>
    <row r="238" spans="1:5" x14ac:dyDescent="0.2">
      <c r="A238" s="42">
        <v>26110</v>
      </c>
      <c r="B238" s="43">
        <f>VLOOKUP(A238,Database!F:H,3,)</f>
        <v>291000</v>
      </c>
      <c r="C238" s="43">
        <f t="shared" si="6"/>
        <v>-8000</v>
      </c>
      <c r="D238" s="43">
        <f>VLOOKUP(A238,Database!F:H,2,)</f>
        <v>2172000</v>
      </c>
      <c r="E238" s="43">
        <f t="shared" si="7"/>
        <v>-10000</v>
      </c>
    </row>
    <row r="239" spans="1:5" x14ac:dyDescent="0.2">
      <c r="A239" s="42">
        <v>26117</v>
      </c>
      <c r="B239" s="43">
        <f>VLOOKUP(A239,Database!F:H,3,)</f>
        <v>277000</v>
      </c>
      <c r="C239" s="43">
        <f t="shared" si="6"/>
        <v>-14000</v>
      </c>
      <c r="D239" s="43">
        <f>VLOOKUP(A239,Database!F:H,2,)</f>
        <v>2116000</v>
      </c>
      <c r="E239" s="43">
        <f t="shared" si="7"/>
        <v>-56000</v>
      </c>
    </row>
    <row r="240" spans="1:5" x14ac:dyDescent="0.2">
      <c r="A240" s="42">
        <v>26124</v>
      </c>
      <c r="B240" s="43">
        <f>VLOOKUP(A240,Database!F:H,3,)</f>
        <v>264000</v>
      </c>
      <c r="C240" s="43">
        <f t="shared" si="6"/>
        <v>-13000</v>
      </c>
      <c r="D240" s="43">
        <f>VLOOKUP(A240,Database!F:H,2,)</f>
        <v>2130000</v>
      </c>
      <c r="E240" s="43">
        <f t="shared" si="7"/>
        <v>14000</v>
      </c>
    </row>
    <row r="241" spans="1:5" x14ac:dyDescent="0.2">
      <c r="A241" s="42">
        <v>26131</v>
      </c>
      <c r="B241" s="43">
        <f>VLOOKUP(A241,Database!F:H,3,)</f>
        <v>313000</v>
      </c>
      <c r="C241" s="43">
        <f t="shared" si="6"/>
        <v>49000</v>
      </c>
      <c r="D241" s="43">
        <f>VLOOKUP(A241,Database!F:H,2,)</f>
        <v>2087000</v>
      </c>
      <c r="E241" s="43">
        <f t="shared" si="7"/>
        <v>-43000</v>
      </c>
    </row>
    <row r="242" spans="1:5" x14ac:dyDescent="0.2">
      <c r="A242" s="42">
        <v>26138</v>
      </c>
      <c r="B242" s="43">
        <f>VLOOKUP(A242,Database!F:H,3,)</f>
        <v>304000</v>
      </c>
      <c r="C242" s="43">
        <f t="shared" si="6"/>
        <v>-9000</v>
      </c>
      <c r="D242" s="43">
        <f>VLOOKUP(A242,Database!F:H,2,)</f>
        <v>2129000</v>
      </c>
      <c r="E242" s="43">
        <f t="shared" si="7"/>
        <v>42000</v>
      </c>
    </row>
    <row r="243" spans="1:5" x14ac:dyDescent="0.2">
      <c r="A243" s="42">
        <v>26145</v>
      </c>
      <c r="B243" s="43">
        <f>VLOOKUP(A243,Database!F:H,3,)</f>
        <v>308000</v>
      </c>
      <c r="C243" s="43">
        <f t="shared" si="6"/>
        <v>4000</v>
      </c>
      <c r="D243" s="43">
        <f>VLOOKUP(A243,Database!F:H,2,)</f>
        <v>2150000</v>
      </c>
      <c r="E243" s="43">
        <f t="shared" si="7"/>
        <v>21000</v>
      </c>
    </row>
    <row r="244" spans="1:5" x14ac:dyDescent="0.2">
      <c r="A244" s="42">
        <v>26152</v>
      </c>
      <c r="B244" s="43">
        <f>VLOOKUP(A244,Database!F:H,3,)</f>
        <v>349000</v>
      </c>
      <c r="C244" s="43">
        <f t="shared" si="6"/>
        <v>41000</v>
      </c>
      <c r="D244" s="43">
        <f>VLOOKUP(A244,Database!F:H,2,)</f>
        <v>2174000</v>
      </c>
      <c r="E244" s="43">
        <f t="shared" si="7"/>
        <v>24000</v>
      </c>
    </row>
    <row r="245" spans="1:5" x14ac:dyDescent="0.2">
      <c r="A245" s="42">
        <v>26159</v>
      </c>
      <c r="B245" s="43">
        <f>VLOOKUP(A245,Database!F:H,3,)</f>
        <v>325000</v>
      </c>
      <c r="C245" s="43">
        <f t="shared" si="6"/>
        <v>-24000</v>
      </c>
      <c r="D245" s="43">
        <f>VLOOKUP(A245,Database!F:H,2,)</f>
        <v>2202000</v>
      </c>
      <c r="E245" s="43">
        <f t="shared" si="7"/>
        <v>28000</v>
      </c>
    </row>
    <row r="246" spans="1:5" x14ac:dyDescent="0.2">
      <c r="A246" s="42">
        <v>26166</v>
      </c>
      <c r="B246" s="43">
        <f>VLOOKUP(A246,Database!F:H,3,)</f>
        <v>320000</v>
      </c>
      <c r="C246" s="43">
        <f t="shared" si="6"/>
        <v>-5000</v>
      </c>
      <c r="D246" s="43">
        <f>VLOOKUP(A246,Database!F:H,2,)</f>
        <v>2186000</v>
      </c>
      <c r="E246" s="43">
        <f t="shared" si="7"/>
        <v>-16000</v>
      </c>
    </row>
    <row r="247" spans="1:5" x14ac:dyDescent="0.2">
      <c r="A247" s="42">
        <v>26173</v>
      </c>
      <c r="B247" s="43">
        <f>VLOOKUP(A247,Database!F:H,3,)</f>
        <v>307000</v>
      </c>
      <c r="C247" s="43">
        <f t="shared" si="6"/>
        <v>-13000</v>
      </c>
      <c r="D247" s="43">
        <f>VLOOKUP(A247,Database!F:H,2,)</f>
        <v>2188000</v>
      </c>
      <c r="E247" s="43">
        <f t="shared" si="7"/>
        <v>2000</v>
      </c>
    </row>
    <row r="248" spans="1:5" x14ac:dyDescent="0.2">
      <c r="A248" s="42">
        <v>26180</v>
      </c>
      <c r="B248" s="43">
        <f>VLOOKUP(A248,Database!F:H,3,)</f>
        <v>359000</v>
      </c>
      <c r="C248" s="43">
        <f t="shared" si="6"/>
        <v>52000</v>
      </c>
      <c r="D248" s="43">
        <f>VLOOKUP(A248,Database!F:H,2,)</f>
        <v>2228000</v>
      </c>
      <c r="E248" s="43">
        <f t="shared" si="7"/>
        <v>40000</v>
      </c>
    </row>
    <row r="249" spans="1:5" x14ac:dyDescent="0.2">
      <c r="A249" s="42">
        <v>26187</v>
      </c>
      <c r="B249" s="43">
        <f>VLOOKUP(A249,Database!F:H,3,)</f>
        <v>312000</v>
      </c>
      <c r="C249" s="43">
        <f t="shared" si="6"/>
        <v>-47000</v>
      </c>
      <c r="D249" s="43">
        <f>VLOOKUP(A249,Database!F:H,2,)</f>
        <v>2250000</v>
      </c>
      <c r="E249" s="43">
        <f t="shared" si="7"/>
        <v>22000</v>
      </c>
    </row>
    <row r="250" spans="1:5" x14ac:dyDescent="0.2">
      <c r="A250" s="42">
        <v>26194</v>
      </c>
      <c r="B250" s="43">
        <f>VLOOKUP(A250,Database!F:H,3,)</f>
        <v>302000</v>
      </c>
      <c r="C250" s="43">
        <f t="shared" si="6"/>
        <v>-10000</v>
      </c>
      <c r="D250" s="43">
        <f>VLOOKUP(A250,Database!F:H,2,)</f>
        <v>2246000</v>
      </c>
      <c r="E250" s="43">
        <f t="shared" si="7"/>
        <v>-4000</v>
      </c>
    </row>
    <row r="251" spans="1:5" x14ac:dyDescent="0.2">
      <c r="A251" s="42">
        <v>26201</v>
      </c>
      <c r="B251" s="43">
        <f>VLOOKUP(A251,Database!F:H,3,)</f>
        <v>308000</v>
      </c>
      <c r="C251" s="43">
        <f t="shared" si="6"/>
        <v>6000</v>
      </c>
      <c r="D251" s="43">
        <f>VLOOKUP(A251,Database!F:H,2,)</f>
        <v>2233000</v>
      </c>
      <c r="E251" s="43">
        <f t="shared" si="7"/>
        <v>-13000</v>
      </c>
    </row>
    <row r="252" spans="1:5" x14ac:dyDescent="0.2">
      <c r="A252" s="42">
        <v>26208</v>
      </c>
      <c r="B252" s="43">
        <f>VLOOKUP(A252,Database!F:H,3,)</f>
        <v>299000</v>
      </c>
      <c r="C252" s="43">
        <f t="shared" si="6"/>
        <v>-9000</v>
      </c>
      <c r="D252" s="43">
        <f>VLOOKUP(A252,Database!F:H,2,)</f>
        <v>2216000</v>
      </c>
      <c r="E252" s="43">
        <f t="shared" si="7"/>
        <v>-17000</v>
      </c>
    </row>
    <row r="253" spans="1:5" x14ac:dyDescent="0.2">
      <c r="A253" s="42">
        <v>26215</v>
      </c>
      <c r="B253" s="43">
        <f>VLOOKUP(A253,Database!F:H,3,)</f>
        <v>313000</v>
      </c>
      <c r="C253" s="43">
        <f t="shared" si="6"/>
        <v>14000</v>
      </c>
      <c r="D253" s="43">
        <f>VLOOKUP(A253,Database!F:H,2,)</f>
        <v>2247000</v>
      </c>
      <c r="E253" s="43">
        <f t="shared" si="7"/>
        <v>31000</v>
      </c>
    </row>
    <row r="254" spans="1:5" x14ac:dyDescent="0.2">
      <c r="A254" s="42">
        <v>26222</v>
      </c>
      <c r="B254" s="43">
        <f>VLOOKUP(A254,Database!F:H,3,)</f>
        <v>299000</v>
      </c>
      <c r="C254" s="43">
        <f t="shared" si="6"/>
        <v>-14000</v>
      </c>
      <c r="D254" s="43">
        <f>VLOOKUP(A254,Database!F:H,2,)</f>
        <v>2190000</v>
      </c>
      <c r="E254" s="43">
        <f t="shared" si="7"/>
        <v>-57000</v>
      </c>
    </row>
    <row r="255" spans="1:5" x14ac:dyDescent="0.2">
      <c r="A255" s="42">
        <v>26229</v>
      </c>
      <c r="B255" s="43">
        <f>VLOOKUP(A255,Database!F:H,3,)</f>
        <v>294000</v>
      </c>
      <c r="C255" s="43">
        <f t="shared" si="6"/>
        <v>-5000</v>
      </c>
      <c r="D255" s="43">
        <f>VLOOKUP(A255,Database!F:H,2,)</f>
        <v>2176000</v>
      </c>
      <c r="E255" s="43">
        <f t="shared" si="7"/>
        <v>-14000</v>
      </c>
    </row>
    <row r="256" spans="1:5" x14ac:dyDescent="0.2">
      <c r="A256" s="42">
        <v>26236</v>
      </c>
      <c r="B256" s="43">
        <f>VLOOKUP(A256,Database!F:H,3,)</f>
        <v>283000</v>
      </c>
      <c r="C256" s="43">
        <f t="shared" si="6"/>
        <v>-11000</v>
      </c>
      <c r="D256" s="43">
        <f>VLOOKUP(A256,Database!F:H,2,)</f>
        <v>2194000</v>
      </c>
      <c r="E256" s="43">
        <f t="shared" si="7"/>
        <v>18000</v>
      </c>
    </row>
    <row r="257" spans="1:5" x14ac:dyDescent="0.2">
      <c r="A257" s="42">
        <v>26243</v>
      </c>
      <c r="B257" s="43">
        <f>VLOOKUP(A257,Database!F:H,3,)</f>
        <v>301000</v>
      </c>
      <c r="C257" s="43">
        <f t="shared" si="6"/>
        <v>18000</v>
      </c>
      <c r="D257" s="43">
        <f>VLOOKUP(A257,Database!F:H,2,)</f>
        <v>2204000</v>
      </c>
      <c r="E257" s="43">
        <f t="shared" si="7"/>
        <v>10000</v>
      </c>
    </row>
    <row r="258" spans="1:5" x14ac:dyDescent="0.2">
      <c r="A258" s="42">
        <v>26250</v>
      </c>
      <c r="B258" s="43">
        <f>VLOOKUP(A258,Database!F:H,3,)</f>
        <v>295000</v>
      </c>
      <c r="C258" s="43">
        <f t="shared" si="6"/>
        <v>-6000</v>
      </c>
      <c r="D258" s="43">
        <f>VLOOKUP(A258,Database!F:H,2,)</f>
        <v>2134000</v>
      </c>
      <c r="E258" s="43">
        <f t="shared" si="7"/>
        <v>-70000</v>
      </c>
    </row>
    <row r="259" spans="1:5" x14ac:dyDescent="0.2">
      <c r="A259" s="42">
        <v>26257</v>
      </c>
      <c r="B259" s="43">
        <f>VLOOKUP(A259,Database!F:H,3,)</f>
        <v>274000</v>
      </c>
      <c r="C259" s="43">
        <f t="shared" si="6"/>
        <v>-21000</v>
      </c>
      <c r="D259" s="43">
        <f>VLOOKUP(A259,Database!F:H,2,)</f>
        <v>2134000</v>
      </c>
      <c r="E259" s="43">
        <f t="shared" si="7"/>
        <v>0</v>
      </c>
    </row>
    <row r="260" spans="1:5" x14ac:dyDescent="0.2">
      <c r="A260" s="42">
        <v>26264</v>
      </c>
      <c r="B260" s="43">
        <f>VLOOKUP(A260,Database!F:H,3,)</f>
        <v>278000</v>
      </c>
      <c r="C260" s="43">
        <f t="shared" si="6"/>
        <v>4000</v>
      </c>
      <c r="D260" s="43">
        <f>VLOOKUP(A260,Database!F:H,2,)</f>
        <v>2111000</v>
      </c>
      <c r="E260" s="43">
        <f t="shared" si="7"/>
        <v>-23000</v>
      </c>
    </row>
    <row r="261" spans="1:5" x14ac:dyDescent="0.2">
      <c r="A261" s="42">
        <v>26271</v>
      </c>
      <c r="B261" s="43">
        <f>VLOOKUP(A261,Database!F:H,3,)</f>
        <v>299000</v>
      </c>
      <c r="C261" s="43">
        <f t="shared" si="6"/>
        <v>21000</v>
      </c>
      <c r="D261" s="43">
        <f>VLOOKUP(A261,Database!F:H,2,)</f>
        <v>2117000</v>
      </c>
      <c r="E261" s="43">
        <f t="shared" si="7"/>
        <v>6000</v>
      </c>
    </row>
    <row r="262" spans="1:5" x14ac:dyDescent="0.2">
      <c r="A262" s="42">
        <v>26278</v>
      </c>
      <c r="B262" s="43">
        <f>VLOOKUP(A262,Database!F:H,3,)</f>
        <v>280000</v>
      </c>
      <c r="C262" s="43">
        <f t="shared" si="6"/>
        <v>-19000</v>
      </c>
      <c r="D262" s="43">
        <f>VLOOKUP(A262,Database!F:H,2,)</f>
        <v>2085000</v>
      </c>
      <c r="E262" s="43">
        <f t="shared" si="7"/>
        <v>-32000</v>
      </c>
    </row>
    <row r="263" spans="1:5" x14ac:dyDescent="0.2">
      <c r="A263" s="42">
        <v>26285</v>
      </c>
      <c r="B263" s="43">
        <f>VLOOKUP(A263,Database!F:H,3,)</f>
        <v>269000</v>
      </c>
      <c r="C263" s="43">
        <f t="shared" si="6"/>
        <v>-11000</v>
      </c>
      <c r="D263" s="43">
        <f>VLOOKUP(A263,Database!F:H,2,)</f>
        <v>2109000</v>
      </c>
      <c r="E263" s="43">
        <f t="shared" si="7"/>
        <v>24000</v>
      </c>
    </row>
    <row r="264" spans="1:5" x14ac:dyDescent="0.2">
      <c r="A264" s="42">
        <v>26292</v>
      </c>
      <c r="B264" s="43">
        <f>VLOOKUP(A264,Database!F:H,3,)</f>
        <v>244000</v>
      </c>
      <c r="C264" s="43">
        <f t="shared" ref="C264:C327" si="8">B264-B263</f>
        <v>-25000</v>
      </c>
      <c r="D264" s="43">
        <f>VLOOKUP(A264,Database!F:H,2,)</f>
        <v>2037000</v>
      </c>
      <c r="E264" s="43">
        <f t="shared" ref="E264:E327" si="9">D264-D263</f>
        <v>-72000</v>
      </c>
    </row>
    <row r="265" spans="1:5" x14ac:dyDescent="0.2">
      <c r="A265" s="42">
        <v>26299</v>
      </c>
      <c r="B265" s="43">
        <f>VLOOKUP(A265,Database!F:H,3,)</f>
        <v>279000</v>
      </c>
      <c r="C265" s="43">
        <f t="shared" si="8"/>
        <v>35000</v>
      </c>
      <c r="D265" s="43">
        <f>VLOOKUP(A265,Database!F:H,2,)</f>
        <v>1934000</v>
      </c>
      <c r="E265" s="43">
        <f t="shared" si="9"/>
        <v>-103000</v>
      </c>
    </row>
    <row r="266" spans="1:5" x14ac:dyDescent="0.2">
      <c r="A266" s="42">
        <v>26306</v>
      </c>
      <c r="B266" s="43">
        <f>VLOOKUP(A266,Database!F:H,3,)</f>
        <v>295000</v>
      </c>
      <c r="C266" s="43">
        <f t="shared" si="8"/>
        <v>16000</v>
      </c>
      <c r="D266" s="43">
        <f>VLOOKUP(A266,Database!F:H,2,)</f>
        <v>1931000</v>
      </c>
      <c r="E266" s="43">
        <f t="shared" si="9"/>
        <v>-3000</v>
      </c>
    </row>
    <row r="267" spans="1:5" x14ac:dyDescent="0.2">
      <c r="A267" s="42">
        <v>26313</v>
      </c>
      <c r="B267" s="43">
        <f>VLOOKUP(A267,Database!F:H,3,)</f>
        <v>250000</v>
      </c>
      <c r="C267" s="43">
        <f t="shared" si="8"/>
        <v>-45000</v>
      </c>
      <c r="D267" s="43">
        <f>VLOOKUP(A267,Database!F:H,2,)</f>
        <v>1923000</v>
      </c>
      <c r="E267" s="43">
        <f t="shared" si="9"/>
        <v>-8000</v>
      </c>
    </row>
    <row r="268" spans="1:5" x14ac:dyDescent="0.2">
      <c r="A268" s="42">
        <v>26320</v>
      </c>
      <c r="B268" s="43">
        <f>VLOOKUP(A268,Database!F:H,3,)</f>
        <v>263000</v>
      </c>
      <c r="C268" s="43">
        <f t="shared" si="8"/>
        <v>13000</v>
      </c>
      <c r="D268" s="43">
        <f>VLOOKUP(A268,Database!F:H,2,)</f>
        <v>1907000</v>
      </c>
      <c r="E268" s="43">
        <f t="shared" si="9"/>
        <v>-16000</v>
      </c>
    </row>
    <row r="269" spans="1:5" x14ac:dyDescent="0.2">
      <c r="A269" s="42">
        <v>26327</v>
      </c>
      <c r="B269" s="43">
        <f>VLOOKUP(A269,Database!F:H,3,)</f>
        <v>269000</v>
      </c>
      <c r="C269" s="43">
        <f t="shared" si="8"/>
        <v>6000</v>
      </c>
      <c r="D269" s="43">
        <f>VLOOKUP(A269,Database!F:H,2,)</f>
        <v>1921000</v>
      </c>
      <c r="E269" s="43">
        <f t="shared" si="9"/>
        <v>14000</v>
      </c>
    </row>
    <row r="270" spans="1:5" x14ac:dyDescent="0.2">
      <c r="A270" s="42">
        <v>26334</v>
      </c>
      <c r="B270" s="43">
        <f>VLOOKUP(A270,Database!F:H,3,)</f>
        <v>276000</v>
      </c>
      <c r="C270" s="43">
        <f t="shared" si="8"/>
        <v>7000</v>
      </c>
      <c r="D270" s="43">
        <f>VLOOKUP(A270,Database!F:H,2,)</f>
        <v>1941000</v>
      </c>
      <c r="E270" s="43">
        <f t="shared" si="9"/>
        <v>20000</v>
      </c>
    </row>
    <row r="271" spans="1:5" x14ac:dyDescent="0.2">
      <c r="A271" s="42">
        <v>26341</v>
      </c>
      <c r="B271" s="43">
        <f>VLOOKUP(A271,Database!F:H,3,)</f>
        <v>266000</v>
      </c>
      <c r="C271" s="43">
        <f t="shared" si="8"/>
        <v>-10000</v>
      </c>
      <c r="D271" s="43">
        <f>VLOOKUP(A271,Database!F:H,2,)</f>
        <v>1960000</v>
      </c>
      <c r="E271" s="43">
        <f t="shared" si="9"/>
        <v>19000</v>
      </c>
    </row>
    <row r="272" spans="1:5" x14ac:dyDescent="0.2">
      <c r="A272" s="42">
        <v>26348</v>
      </c>
      <c r="B272" s="43">
        <f>VLOOKUP(A272,Database!F:H,3,)</f>
        <v>258000</v>
      </c>
      <c r="C272" s="43">
        <f t="shared" si="8"/>
        <v>-8000</v>
      </c>
      <c r="D272" s="43">
        <f>VLOOKUP(A272,Database!F:H,2,)</f>
        <v>1902000</v>
      </c>
      <c r="E272" s="43">
        <f t="shared" si="9"/>
        <v>-58000</v>
      </c>
    </row>
    <row r="273" spans="1:5" x14ac:dyDescent="0.2">
      <c r="A273" s="42">
        <v>26355</v>
      </c>
      <c r="B273" s="43">
        <f>VLOOKUP(A273,Database!F:H,3,)</f>
        <v>254000</v>
      </c>
      <c r="C273" s="43">
        <f t="shared" si="8"/>
        <v>-4000</v>
      </c>
      <c r="D273" s="43">
        <f>VLOOKUP(A273,Database!F:H,2,)</f>
        <v>1903000</v>
      </c>
      <c r="E273" s="43">
        <f t="shared" si="9"/>
        <v>1000</v>
      </c>
    </row>
    <row r="274" spans="1:5" x14ac:dyDescent="0.2">
      <c r="A274" s="42">
        <v>26362</v>
      </c>
      <c r="B274" s="43">
        <f>VLOOKUP(A274,Database!F:H,3,)</f>
        <v>257000</v>
      </c>
      <c r="C274" s="43">
        <f t="shared" si="8"/>
        <v>3000</v>
      </c>
      <c r="D274" s="43">
        <f>VLOOKUP(A274,Database!F:H,2,)</f>
        <v>1905000</v>
      </c>
      <c r="E274" s="43">
        <f t="shared" si="9"/>
        <v>2000</v>
      </c>
    </row>
    <row r="275" spans="1:5" x14ac:dyDescent="0.2">
      <c r="A275" s="42">
        <v>26369</v>
      </c>
      <c r="B275" s="43">
        <f>VLOOKUP(A275,Database!F:H,3,)</f>
        <v>264000</v>
      </c>
      <c r="C275" s="43">
        <f t="shared" si="8"/>
        <v>7000</v>
      </c>
      <c r="D275" s="43">
        <f>VLOOKUP(A275,Database!F:H,2,)</f>
        <v>1906000</v>
      </c>
      <c r="E275" s="43">
        <f t="shared" si="9"/>
        <v>1000</v>
      </c>
    </row>
    <row r="276" spans="1:5" x14ac:dyDescent="0.2">
      <c r="A276" s="42">
        <v>26376</v>
      </c>
      <c r="B276" s="43">
        <f>VLOOKUP(A276,Database!F:H,3,)</f>
        <v>266000</v>
      </c>
      <c r="C276" s="43">
        <f t="shared" si="8"/>
        <v>2000</v>
      </c>
      <c r="D276" s="43">
        <f>VLOOKUP(A276,Database!F:H,2,)</f>
        <v>1907000</v>
      </c>
      <c r="E276" s="43">
        <f t="shared" si="9"/>
        <v>1000</v>
      </c>
    </row>
    <row r="277" spans="1:5" x14ac:dyDescent="0.2">
      <c r="A277" s="42">
        <v>26383</v>
      </c>
      <c r="B277" s="43">
        <f>VLOOKUP(A277,Database!F:H,3,)</f>
        <v>264000</v>
      </c>
      <c r="C277" s="43">
        <f t="shared" si="8"/>
        <v>-2000</v>
      </c>
      <c r="D277" s="43">
        <f>VLOOKUP(A277,Database!F:H,2,)</f>
        <v>1877000</v>
      </c>
      <c r="E277" s="43">
        <f t="shared" si="9"/>
        <v>-30000</v>
      </c>
    </row>
    <row r="278" spans="1:5" x14ac:dyDescent="0.2">
      <c r="A278" s="42">
        <v>26390</v>
      </c>
      <c r="B278" s="43">
        <f>VLOOKUP(A278,Database!F:H,3,)</f>
        <v>258000</v>
      </c>
      <c r="C278" s="43">
        <f t="shared" si="8"/>
        <v>-6000</v>
      </c>
      <c r="D278" s="43">
        <f>VLOOKUP(A278,Database!F:H,2,)</f>
        <v>1913000</v>
      </c>
      <c r="E278" s="43">
        <f t="shared" si="9"/>
        <v>36000</v>
      </c>
    </row>
    <row r="279" spans="1:5" x14ac:dyDescent="0.2">
      <c r="A279" s="42">
        <v>26397</v>
      </c>
      <c r="B279" s="43">
        <f>VLOOKUP(A279,Database!F:H,3,)</f>
        <v>274000</v>
      </c>
      <c r="C279" s="43">
        <f t="shared" si="8"/>
        <v>16000</v>
      </c>
      <c r="D279" s="43">
        <f>VLOOKUP(A279,Database!F:H,2,)</f>
        <v>1910000</v>
      </c>
      <c r="E279" s="43">
        <f t="shared" si="9"/>
        <v>-3000</v>
      </c>
    </row>
    <row r="280" spans="1:5" x14ac:dyDescent="0.2">
      <c r="A280" s="42">
        <v>26404</v>
      </c>
      <c r="B280" s="43">
        <f>VLOOKUP(A280,Database!F:H,3,)</f>
        <v>259000</v>
      </c>
      <c r="C280" s="43">
        <f t="shared" si="8"/>
        <v>-15000</v>
      </c>
      <c r="D280" s="43">
        <f>VLOOKUP(A280,Database!F:H,2,)</f>
        <v>1891000</v>
      </c>
      <c r="E280" s="43">
        <f t="shared" si="9"/>
        <v>-19000</v>
      </c>
    </row>
    <row r="281" spans="1:5" x14ac:dyDescent="0.2">
      <c r="A281" s="42">
        <v>26411</v>
      </c>
      <c r="B281" s="43">
        <f>VLOOKUP(A281,Database!F:H,3,)</f>
        <v>259000</v>
      </c>
      <c r="C281" s="43">
        <f t="shared" si="8"/>
        <v>0</v>
      </c>
      <c r="D281" s="43">
        <f>VLOOKUP(A281,Database!F:H,2,)</f>
        <v>1855000</v>
      </c>
      <c r="E281" s="43">
        <f t="shared" si="9"/>
        <v>-36000</v>
      </c>
    </row>
    <row r="282" spans="1:5" x14ac:dyDescent="0.2">
      <c r="A282" s="42">
        <v>26418</v>
      </c>
      <c r="B282" s="43">
        <f>VLOOKUP(A282,Database!F:H,3,)</f>
        <v>265000</v>
      </c>
      <c r="C282" s="43">
        <f t="shared" si="8"/>
        <v>6000</v>
      </c>
      <c r="D282" s="43">
        <f>VLOOKUP(A282,Database!F:H,2,)</f>
        <v>1870000</v>
      </c>
      <c r="E282" s="43">
        <f t="shared" si="9"/>
        <v>15000</v>
      </c>
    </row>
    <row r="283" spans="1:5" x14ac:dyDescent="0.2">
      <c r="A283" s="42">
        <v>26425</v>
      </c>
      <c r="B283" s="43">
        <f>VLOOKUP(A283,Database!F:H,3,)</f>
        <v>271000</v>
      </c>
      <c r="C283" s="43">
        <f t="shared" si="8"/>
        <v>6000</v>
      </c>
      <c r="D283" s="43">
        <f>VLOOKUP(A283,Database!F:H,2,)</f>
        <v>1893000</v>
      </c>
      <c r="E283" s="43">
        <f t="shared" si="9"/>
        <v>23000</v>
      </c>
    </row>
    <row r="284" spans="1:5" x14ac:dyDescent="0.2">
      <c r="A284" s="42">
        <v>26432</v>
      </c>
      <c r="B284" s="43">
        <f>VLOOKUP(A284,Database!F:H,3,)</f>
        <v>266000</v>
      </c>
      <c r="C284" s="43">
        <f t="shared" si="8"/>
        <v>-5000</v>
      </c>
      <c r="D284" s="43">
        <f>VLOOKUP(A284,Database!F:H,2,)</f>
        <v>1874000</v>
      </c>
      <c r="E284" s="43">
        <f t="shared" si="9"/>
        <v>-19000</v>
      </c>
    </row>
    <row r="285" spans="1:5" x14ac:dyDescent="0.2">
      <c r="A285" s="42">
        <v>26439</v>
      </c>
      <c r="B285" s="43">
        <f>VLOOKUP(A285,Database!F:H,3,)</f>
        <v>267000</v>
      </c>
      <c r="C285" s="43">
        <f t="shared" si="8"/>
        <v>1000</v>
      </c>
      <c r="D285" s="43">
        <f>VLOOKUP(A285,Database!F:H,2,)</f>
        <v>1863000</v>
      </c>
      <c r="E285" s="43">
        <f t="shared" si="9"/>
        <v>-11000</v>
      </c>
    </row>
    <row r="286" spans="1:5" x14ac:dyDescent="0.2">
      <c r="A286" s="42">
        <v>26446</v>
      </c>
      <c r="B286" s="43">
        <f>VLOOKUP(A286,Database!F:H,3,)</f>
        <v>267000</v>
      </c>
      <c r="C286" s="43">
        <f t="shared" si="8"/>
        <v>0</v>
      </c>
      <c r="D286" s="43">
        <f>VLOOKUP(A286,Database!F:H,2,)</f>
        <v>1871000</v>
      </c>
      <c r="E286" s="43">
        <f t="shared" si="9"/>
        <v>8000</v>
      </c>
    </row>
    <row r="287" spans="1:5" x14ac:dyDescent="0.2">
      <c r="A287" s="42">
        <v>26453</v>
      </c>
      <c r="B287" s="43">
        <f>VLOOKUP(A287,Database!F:H,3,)</f>
        <v>264000</v>
      </c>
      <c r="C287" s="43">
        <f t="shared" si="8"/>
        <v>-3000</v>
      </c>
      <c r="D287" s="43">
        <f>VLOOKUP(A287,Database!F:H,2,)</f>
        <v>1857000</v>
      </c>
      <c r="E287" s="43">
        <f t="shared" si="9"/>
        <v>-14000</v>
      </c>
    </row>
    <row r="288" spans="1:5" x14ac:dyDescent="0.2">
      <c r="A288" s="42">
        <v>26460</v>
      </c>
      <c r="B288" s="43">
        <f>VLOOKUP(A288,Database!F:H,3,)</f>
        <v>268000</v>
      </c>
      <c r="C288" s="43">
        <f t="shared" si="8"/>
        <v>4000</v>
      </c>
      <c r="D288" s="43">
        <f>VLOOKUP(A288,Database!F:H,2,)</f>
        <v>1870000</v>
      </c>
      <c r="E288" s="43">
        <f t="shared" si="9"/>
        <v>13000</v>
      </c>
    </row>
    <row r="289" spans="1:5" x14ac:dyDescent="0.2">
      <c r="A289" s="42">
        <v>26467</v>
      </c>
      <c r="B289" s="43">
        <f>VLOOKUP(A289,Database!F:H,3,)</f>
        <v>275000</v>
      </c>
      <c r="C289" s="43">
        <f t="shared" si="8"/>
        <v>7000</v>
      </c>
      <c r="D289" s="43">
        <f>VLOOKUP(A289,Database!F:H,2,)</f>
        <v>1855000</v>
      </c>
      <c r="E289" s="43">
        <f t="shared" si="9"/>
        <v>-15000</v>
      </c>
    </row>
    <row r="290" spans="1:5" x14ac:dyDescent="0.2">
      <c r="A290" s="42">
        <v>26474</v>
      </c>
      <c r="B290" s="43">
        <f>VLOOKUP(A290,Database!F:H,3,)</f>
        <v>286000</v>
      </c>
      <c r="C290" s="43">
        <f t="shared" si="8"/>
        <v>11000</v>
      </c>
      <c r="D290" s="43">
        <f>VLOOKUP(A290,Database!F:H,2,)</f>
        <v>1871000</v>
      </c>
      <c r="E290" s="43">
        <f t="shared" si="9"/>
        <v>16000</v>
      </c>
    </row>
    <row r="291" spans="1:5" x14ac:dyDescent="0.2">
      <c r="A291" s="42">
        <v>26481</v>
      </c>
      <c r="B291" s="43">
        <f>VLOOKUP(A291,Database!F:H,3,)</f>
        <v>350000</v>
      </c>
      <c r="C291" s="43">
        <f t="shared" si="8"/>
        <v>64000</v>
      </c>
      <c r="D291" s="43">
        <f>VLOOKUP(A291,Database!F:H,2,)</f>
        <v>1935000</v>
      </c>
      <c r="E291" s="43">
        <f t="shared" si="9"/>
        <v>64000</v>
      </c>
    </row>
    <row r="292" spans="1:5" x14ac:dyDescent="0.2">
      <c r="A292" s="42">
        <v>26488</v>
      </c>
      <c r="B292" s="43">
        <f>VLOOKUP(A292,Database!F:H,3,)</f>
        <v>297000</v>
      </c>
      <c r="C292" s="43">
        <f t="shared" si="8"/>
        <v>-53000</v>
      </c>
      <c r="D292" s="43">
        <f>VLOOKUP(A292,Database!F:H,2,)</f>
        <v>1977000</v>
      </c>
      <c r="E292" s="43">
        <f t="shared" si="9"/>
        <v>42000</v>
      </c>
    </row>
    <row r="293" spans="1:5" x14ac:dyDescent="0.2">
      <c r="A293" s="42">
        <v>26495</v>
      </c>
      <c r="B293" s="43">
        <f>VLOOKUP(A293,Database!F:H,3,)</f>
        <v>318000</v>
      </c>
      <c r="C293" s="43">
        <f t="shared" si="8"/>
        <v>21000</v>
      </c>
      <c r="D293" s="43">
        <f>VLOOKUP(A293,Database!F:H,2,)</f>
        <v>1947000</v>
      </c>
      <c r="E293" s="43">
        <f t="shared" si="9"/>
        <v>-30000</v>
      </c>
    </row>
    <row r="294" spans="1:5" x14ac:dyDescent="0.2">
      <c r="A294" s="42">
        <v>26502</v>
      </c>
      <c r="B294" s="43">
        <f>VLOOKUP(A294,Database!F:H,3,)</f>
        <v>276000</v>
      </c>
      <c r="C294" s="43">
        <f t="shared" si="8"/>
        <v>-42000</v>
      </c>
      <c r="D294" s="43">
        <f>VLOOKUP(A294,Database!F:H,2,)</f>
        <v>1962000</v>
      </c>
      <c r="E294" s="43">
        <f t="shared" si="9"/>
        <v>15000</v>
      </c>
    </row>
    <row r="295" spans="1:5" x14ac:dyDescent="0.2">
      <c r="A295" s="42">
        <v>26509</v>
      </c>
      <c r="B295" s="43">
        <f>VLOOKUP(A295,Database!F:H,3,)</f>
        <v>247000</v>
      </c>
      <c r="C295" s="43">
        <f t="shared" si="8"/>
        <v>-29000</v>
      </c>
      <c r="D295" s="43">
        <f>VLOOKUP(A295,Database!F:H,2,)</f>
        <v>1928000</v>
      </c>
      <c r="E295" s="43">
        <f t="shared" si="9"/>
        <v>-34000</v>
      </c>
    </row>
    <row r="296" spans="1:5" x14ac:dyDescent="0.2">
      <c r="A296" s="42">
        <v>26516</v>
      </c>
      <c r="B296" s="43">
        <f>VLOOKUP(A296,Database!F:H,3,)</f>
        <v>250000</v>
      </c>
      <c r="C296" s="43">
        <f t="shared" si="8"/>
        <v>3000</v>
      </c>
      <c r="D296" s="43">
        <f>VLOOKUP(A296,Database!F:H,2,)</f>
        <v>1855000</v>
      </c>
      <c r="E296" s="43">
        <f t="shared" si="9"/>
        <v>-73000</v>
      </c>
    </row>
    <row r="297" spans="1:5" x14ac:dyDescent="0.2">
      <c r="A297" s="42">
        <v>26523</v>
      </c>
      <c r="B297" s="43">
        <f>VLOOKUP(A297,Database!F:H,3,)</f>
        <v>246000</v>
      </c>
      <c r="C297" s="43">
        <f t="shared" si="8"/>
        <v>-4000</v>
      </c>
      <c r="D297" s="43">
        <f>VLOOKUP(A297,Database!F:H,2,)</f>
        <v>1812000</v>
      </c>
      <c r="E297" s="43">
        <f t="shared" si="9"/>
        <v>-43000</v>
      </c>
    </row>
    <row r="298" spans="1:5" x14ac:dyDescent="0.2">
      <c r="A298" s="42">
        <v>26530</v>
      </c>
      <c r="B298" s="43">
        <f>VLOOKUP(A298,Database!F:H,3,)</f>
        <v>256000</v>
      </c>
      <c r="C298" s="43">
        <f t="shared" si="8"/>
        <v>10000</v>
      </c>
      <c r="D298" s="43">
        <f>VLOOKUP(A298,Database!F:H,2,)</f>
        <v>1794000</v>
      </c>
      <c r="E298" s="43">
        <f t="shared" si="9"/>
        <v>-18000</v>
      </c>
    </row>
    <row r="299" spans="1:5" x14ac:dyDescent="0.2">
      <c r="A299" s="42">
        <v>26537</v>
      </c>
      <c r="B299" s="43">
        <f>VLOOKUP(A299,Database!F:H,3,)</f>
        <v>262000</v>
      </c>
      <c r="C299" s="43">
        <f t="shared" si="8"/>
        <v>6000</v>
      </c>
      <c r="D299" s="43">
        <f>VLOOKUP(A299,Database!F:H,2,)</f>
        <v>1792000</v>
      </c>
      <c r="E299" s="43">
        <f t="shared" si="9"/>
        <v>-2000</v>
      </c>
    </row>
    <row r="300" spans="1:5" x14ac:dyDescent="0.2">
      <c r="A300" s="42">
        <v>26544</v>
      </c>
      <c r="B300" s="43">
        <f>VLOOKUP(A300,Database!F:H,3,)</f>
        <v>258000</v>
      </c>
      <c r="C300" s="43">
        <f t="shared" si="8"/>
        <v>-4000</v>
      </c>
      <c r="D300" s="43">
        <f>VLOOKUP(A300,Database!F:H,2,)</f>
        <v>1838000</v>
      </c>
      <c r="E300" s="43">
        <f t="shared" si="9"/>
        <v>46000</v>
      </c>
    </row>
    <row r="301" spans="1:5" x14ac:dyDescent="0.2">
      <c r="A301" s="42">
        <v>26551</v>
      </c>
      <c r="B301" s="43">
        <f>VLOOKUP(A301,Database!F:H,3,)</f>
        <v>259000</v>
      </c>
      <c r="C301" s="43">
        <f t="shared" si="8"/>
        <v>1000</v>
      </c>
      <c r="D301" s="43">
        <f>VLOOKUP(A301,Database!F:H,2,)</f>
        <v>1802000</v>
      </c>
      <c r="E301" s="43">
        <f t="shared" si="9"/>
        <v>-36000</v>
      </c>
    </row>
    <row r="302" spans="1:5" x14ac:dyDescent="0.2">
      <c r="A302" s="42">
        <v>26558</v>
      </c>
      <c r="B302" s="43">
        <f>VLOOKUP(A302,Database!F:H,3,)</f>
        <v>258000</v>
      </c>
      <c r="C302" s="43">
        <f t="shared" si="8"/>
        <v>-1000</v>
      </c>
      <c r="D302" s="43">
        <f>VLOOKUP(A302,Database!F:H,2,)</f>
        <v>1799000</v>
      </c>
      <c r="E302" s="43">
        <f t="shared" si="9"/>
        <v>-3000</v>
      </c>
    </row>
    <row r="303" spans="1:5" x14ac:dyDescent="0.2">
      <c r="A303" s="42">
        <v>26565</v>
      </c>
      <c r="B303" s="43">
        <f>VLOOKUP(A303,Database!F:H,3,)</f>
        <v>255000</v>
      </c>
      <c r="C303" s="43">
        <f t="shared" si="8"/>
        <v>-3000</v>
      </c>
      <c r="D303" s="43">
        <f>VLOOKUP(A303,Database!F:H,2,)</f>
        <v>1791000</v>
      </c>
      <c r="E303" s="43">
        <f t="shared" si="9"/>
        <v>-8000</v>
      </c>
    </row>
    <row r="304" spans="1:5" x14ac:dyDescent="0.2">
      <c r="A304" s="42">
        <v>26572</v>
      </c>
      <c r="B304" s="43">
        <f>VLOOKUP(A304,Database!F:H,3,)</f>
        <v>251000</v>
      </c>
      <c r="C304" s="43">
        <f t="shared" si="8"/>
        <v>-4000</v>
      </c>
      <c r="D304" s="43">
        <f>VLOOKUP(A304,Database!F:H,2,)</f>
        <v>1763000</v>
      </c>
      <c r="E304" s="43">
        <f t="shared" si="9"/>
        <v>-28000</v>
      </c>
    </row>
    <row r="305" spans="1:5" x14ac:dyDescent="0.2">
      <c r="A305" s="42">
        <v>26579</v>
      </c>
      <c r="B305" s="43">
        <f>VLOOKUP(A305,Database!F:H,3,)</f>
        <v>263000</v>
      </c>
      <c r="C305" s="43">
        <f t="shared" si="8"/>
        <v>12000</v>
      </c>
      <c r="D305" s="43">
        <f>VLOOKUP(A305,Database!F:H,2,)</f>
        <v>1771000</v>
      </c>
      <c r="E305" s="43">
        <f t="shared" si="9"/>
        <v>8000</v>
      </c>
    </row>
    <row r="306" spans="1:5" x14ac:dyDescent="0.2">
      <c r="A306" s="42">
        <v>26586</v>
      </c>
      <c r="B306" s="43">
        <f>VLOOKUP(A306,Database!F:H,3,)</f>
        <v>250000</v>
      </c>
      <c r="C306" s="43">
        <f t="shared" si="8"/>
        <v>-13000</v>
      </c>
      <c r="D306" s="43">
        <f>VLOOKUP(A306,Database!F:H,2,)</f>
        <v>1760000</v>
      </c>
      <c r="E306" s="43">
        <f t="shared" si="9"/>
        <v>-11000</v>
      </c>
    </row>
    <row r="307" spans="1:5" x14ac:dyDescent="0.2">
      <c r="A307" s="42">
        <v>26593</v>
      </c>
      <c r="B307" s="43">
        <f>VLOOKUP(A307,Database!F:H,3,)</f>
        <v>257000</v>
      </c>
      <c r="C307" s="43">
        <f t="shared" si="8"/>
        <v>7000</v>
      </c>
      <c r="D307" s="43">
        <f>VLOOKUP(A307,Database!F:H,2,)</f>
        <v>1733000</v>
      </c>
      <c r="E307" s="43">
        <f t="shared" si="9"/>
        <v>-27000</v>
      </c>
    </row>
    <row r="308" spans="1:5" x14ac:dyDescent="0.2">
      <c r="A308" s="42">
        <v>26600</v>
      </c>
      <c r="B308" s="43">
        <f>VLOOKUP(A308,Database!F:H,3,)</f>
        <v>234000</v>
      </c>
      <c r="C308" s="43">
        <f t="shared" si="8"/>
        <v>-23000</v>
      </c>
      <c r="D308" s="43">
        <f>VLOOKUP(A308,Database!F:H,2,)</f>
        <v>1750000</v>
      </c>
      <c r="E308" s="43">
        <f t="shared" si="9"/>
        <v>17000</v>
      </c>
    </row>
    <row r="309" spans="1:5" x14ac:dyDescent="0.2">
      <c r="A309" s="42">
        <v>26607</v>
      </c>
      <c r="B309" s="43">
        <f>VLOOKUP(A309,Database!F:H,3,)</f>
        <v>255000</v>
      </c>
      <c r="C309" s="43">
        <f t="shared" si="8"/>
        <v>21000</v>
      </c>
      <c r="D309" s="43">
        <f>VLOOKUP(A309,Database!F:H,2,)</f>
        <v>1722000</v>
      </c>
      <c r="E309" s="43">
        <f t="shared" si="9"/>
        <v>-28000</v>
      </c>
    </row>
    <row r="310" spans="1:5" x14ac:dyDescent="0.2">
      <c r="A310" s="42">
        <v>26614</v>
      </c>
      <c r="B310" s="43">
        <f>VLOOKUP(A310,Database!F:H,3,)</f>
        <v>242000</v>
      </c>
      <c r="C310" s="43">
        <f t="shared" si="8"/>
        <v>-13000</v>
      </c>
      <c r="D310" s="43">
        <f>VLOOKUP(A310,Database!F:H,2,)</f>
        <v>1736000</v>
      </c>
      <c r="E310" s="43">
        <f t="shared" si="9"/>
        <v>14000</v>
      </c>
    </row>
    <row r="311" spans="1:5" x14ac:dyDescent="0.2">
      <c r="A311" s="42">
        <v>26621</v>
      </c>
      <c r="B311" s="43">
        <f>VLOOKUP(A311,Database!F:H,3,)</f>
        <v>271000</v>
      </c>
      <c r="C311" s="43">
        <f t="shared" si="8"/>
        <v>29000</v>
      </c>
      <c r="D311" s="43">
        <f>VLOOKUP(A311,Database!F:H,2,)</f>
        <v>1727000</v>
      </c>
      <c r="E311" s="43">
        <f t="shared" si="9"/>
        <v>-9000</v>
      </c>
    </row>
    <row r="312" spans="1:5" x14ac:dyDescent="0.2">
      <c r="A312" s="42">
        <v>26628</v>
      </c>
      <c r="B312" s="43">
        <f>VLOOKUP(A312,Database!F:H,3,)</f>
        <v>235000</v>
      </c>
      <c r="C312" s="43">
        <f t="shared" si="8"/>
        <v>-36000</v>
      </c>
      <c r="D312" s="43">
        <f>VLOOKUP(A312,Database!F:H,2,)</f>
        <v>1743000</v>
      </c>
      <c r="E312" s="43">
        <f t="shared" si="9"/>
        <v>16000</v>
      </c>
    </row>
    <row r="313" spans="1:5" x14ac:dyDescent="0.2">
      <c r="A313" s="42">
        <v>26635</v>
      </c>
      <c r="B313" s="43">
        <f>VLOOKUP(A313,Database!F:H,3,)</f>
        <v>226000</v>
      </c>
      <c r="C313" s="43">
        <f t="shared" si="8"/>
        <v>-9000</v>
      </c>
      <c r="D313" s="43">
        <f>VLOOKUP(A313,Database!F:H,2,)</f>
        <v>1676000</v>
      </c>
      <c r="E313" s="43">
        <f t="shared" si="9"/>
        <v>-67000</v>
      </c>
    </row>
    <row r="314" spans="1:5" x14ac:dyDescent="0.2">
      <c r="A314" s="42">
        <v>26642</v>
      </c>
      <c r="B314" s="43">
        <f>VLOOKUP(A314,Database!F:H,3,)</f>
        <v>252000</v>
      </c>
      <c r="C314" s="43">
        <f t="shared" si="8"/>
        <v>26000</v>
      </c>
      <c r="D314" s="43">
        <f>VLOOKUP(A314,Database!F:H,2,)</f>
        <v>1681000</v>
      </c>
      <c r="E314" s="43">
        <f t="shared" si="9"/>
        <v>5000</v>
      </c>
    </row>
    <row r="315" spans="1:5" x14ac:dyDescent="0.2">
      <c r="A315" s="42">
        <v>26649</v>
      </c>
      <c r="B315" s="43">
        <f>VLOOKUP(A315,Database!F:H,3,)</f>
        <v>263000</v>
      </c>
      <c r="C315" s="43">
        <f t="shared" si="8"/>
        <v>11000</v>
      </c>
      <c r="D315" s="43">
        <f>VLOOKUP(A315,Database!F:H,2,)</f>
        <v>1756000</v>
      </c>
      <c r="E315" s="43">
        <f t="shared" si="9"/>
        <v>75000</v>
      </c>
    </row>
    <row r="316" spans="1:5" x14ac:dyDescent="0.2">
      <c r="A316" s="42">
        <v>26656</v>
      </c>
      <c r="B316" s="43">
        <f>VLOOKUP(A316,Database!F:H,3,)</f>
        <v>246000</v>
      </c>
      <c r="C316" s="43">
        <f t="shared" si="8"/>
        <v>-17000</v>
      </c>
      <c r="D316" s="43">
        <f>VLOOKUP(A316,Database!F:H,2,)</f>
        <v>1697000</v>
      </c>
      <c r="E316" s="43">
        <f t="shared" si="9"/>
        <v>-59000</v>
      </c>
    </row>
    <row r="317" spans="1:5" x14ac:dyDescent="0.2">
      <c r="A317" s="42">
        <v>26663</v>
      </c>
      <c r="B317" s="43">
        <f>VLOOKUP(A317,Database!F:H,3,)</f>
        <v>225000</v>
      </c>
      <c r="C317" s="43">
        <f t="shared" si="8"/>
        <v>-21000</v>
      </c>
      <c r="D317" s="43">
        <f>VLOOKUP(A317,Database!F:H,2,)</f>
        <v>1663000</v>
      </c>
      <c r="E317" s="43">
        <f t="shared" si="9"/>
        <v>-34000</v>
      </c>
    </row>
    <row r="318" spans="1:5" x14ac:dyDescent="0.2">
      <c r="A318" s="42">
        <v>26670</v>
      </c>
      <c r="B318" s="43">
        <f>VLOOKUP(A318,Database!F:H,3,)</f>
        <v>226000</v>
      </c>
      <c r="C318" s="43">
        <f t="shared" si="8"/>
        <v>1000</v>
      </c>
      <c r="D318" s="43">
        <f>VLOOKUP(A318,Database!F:H,2,)</f>
        <v>1617000</v>
      </c>
      <c r="E318" s="43">
        <f t="shared" si="9"/>
        <v>-46000</v>
      </c>
    </row>
    <row r="319" spans="1:5" x14ac:dyDescent="0.2">
      <c r="A319" s="42">
        <v>26677</v>
      </c>
      <c r="B319" s="43">
        <f>VLOOKUP(A319,Database!F:H,3,)</f>
        <v>245000</v>
      </c>
      <c r="C319" s="43">
        <f t="shared" si="8"/>
        <v>19000</v>
      </c>
      <c r="D319" s="43">
        <f>VLOOKUP(A319,Database!F:H,2,)</f>
        <v>1660000</v>
      </c>
      <c r="E319" s="43">
        <f t="shared" si="9"/>
        <v>43000</v>
      </c>
    </row>
    <row r="320" spans="1:5" x14ac:dyDescent="0.2">
      <c r="A320" s="42">
        <v>26684</v>
      </c>
      <c r="B320" s="43">
        <f>VLOOKUP(A320,Database!F:H,3,)</f>
        <v>229000</v>
      </c>
      <c r="C320" s="43">
        <f t="shared" si="8"/>
        <v>-16000</v>
      </c>
      <c r="D320" s="43">
        <f>VLOOKUP(A320,Database!F:H,2,)</f>
        <v>1607000</v>
      </c>
      <c r="E320" s="43">
        <f t="shared" si="9"/>
        <v>-53000</v>
      </c>
    </row>
    <row r="321" spans="1:5" x14ac:dyDescent="0.2">
      <c r="A321" s="42">
        <v>26691</v>
      </c>
      <c r="B321" s="43">
        <f>VLOOKUP(A321,Database!F:H,3,)</f>
        <v>214000</v>
      </c>
      <c r="C321" s="43">
        <f t="shared" si="8"/>
        <v>-15000</v>
      </c>
      <c r="D321" s="43">
        <f>VLOOKUP(A321,Database!F:H,2,)</f>
        <v>1601000</v>
      </c>
      <c r="E321" s="43">
        <f t="shared" si="9"/>
        <v>-6000</v>
      </c>
    </row>
    <row r="322" spans="1:5" x14ac:dyDescent="0.2">
      <c r="A322" s="42">
        <v>26698</v>
      </c>
      <c r="B322" s="43">
        <f>VLOOKUP(A322,Database!F:H,3,)</f>
        <v>228000</v>
      </c>
      <c r="C322" s="43">
        <f t="shared" si="8"/>
        <v>14000</v>
      </c>
      <c r="D322" s="43">
        <f>VLOOKUP(A322,Database!F:H,2,)</f>
        <v>1596000</v>
      </c>
      <c r="E322" s="43">
        <f t="shared" si="9"/>
        <v>-5000</v>
      </c>
    </row>
    <row r="323" spans="1:5" x14ac:dyDescent="0.2">
      <c r="A323" s="42">
        <v>26705</v>
      </c>
      <c r="B323" s="43">
        <f>VLOOKUP(A323,Database!F:H,3,)</f>
        <v>226000</v>
      </c>
      <c r="C323" s="43">
        <f t="shared" si="8"/>
        <v>-2000</v>
      </c>
      <c r="D323" s="43">
        <f>VLOOKUP(A323,Database!F:H,2,)</f>
        <v>1594000</v>
      </c>
      <c r="E323" s="43">
        <f t="shared" si="9"/>
        <v>-2000</v>
      </c>
    </row>
    <row r="324" spans="1:5" x14ac:dyDescent="0.2">
      <c r="A324" s="42">
        <v>26712</v>
      </c>
      <c r="B324" s="43">
        <f>VLOOKUP(A324,Database!F:H,3,)</f>
        <v>216000</v>
      </c>
      <c r="C324" s="43">
        <f t="shared" si="8"/>
        <v>-10000</v>
      </c>
      <c r="D324" s="43">
        <f>VLOOKUP(A324,Database!F:H,2,)</f>
        <v>1582000</v>
      </c>
      <c r="E324" s="43">
        <f t="shared" si="9"/>
        <v>-12000</v>
      </c>
    </row>
    <row r="325" spans="1:5" x14ac:dyDescent="0.2">
      <c r="A325" s="42">
        <v>26719</v>
      </c>
      <c r="B325" s="43">
        <f>VLOOKUP(A325,Database!F:H,3,)</f>
        <v>218000</v>
      </c>
      <c r="C325" s="43">
        <f t="shared" si="8"/>
        <v>2000</v>
      </c>
      <c r="D325" s="43">
        <f>VLOOKUP(A325,Database!F:H,2,)</f>
        <v>1582000</v>
      </c>
      <c r="E325" s="43">
        <f t="shared" si="9"/>
        <v>0</v>
      </c>
    </row>
    <row r="326" spans="1:5" x14ac:dyDescent="0.2">
      <c r="A326" s="42">
        <v>26726</v>
      </c>
      <c r="B326" s="43">
        <f>VLOOKUP(A326,Database!F:H,3,)</f>
        <v>225000</v>
      </c>
      <c r="C326" s="43">
        <f t="shared" si="8"/>
        <v>7000</v>
      </c>
      <c r="D326" s="43">
        <f>VLOOKUP(A326,Database!F:H,2,)</f>
        <v>1579000</v>
      </c>
      <c r="E326" s="43">
        <f t="shared" si="9"/>
        <v>-3000</v>
      </c>
    </row>
    <row r="327" spans="1:5" x14ac:dyDescent="0.2">
      <c r="A327" s="42">
        <v>26733</v>
      </c>
      <c r="B327" s="43">
        <f>VLOOKUP(A327,Database!F:H,3,)</f>
        <v>229000</v>
      </c>
      <c r="C327" s="43">
        <f t="shared" si="8"/>
        <v>4000</v>
      </c>
      <c r="D327" s="43">
        <f>VLOOKUP(A327,Database!F:H,2,)</f>
        <v>1584000</v>
      </c>
      <c r="E327" s="43">
        <f t="shared" si="9"/>
        <v>5000</v>
      </c>
    </row>
    <row r="328" spans="1:5" x14ac:dyDescent="0.2">
      <c r="A328" s="42">
        <v>26740</v>
      </c>
      <c r="B328" s="43">
        <f>VLOOKUP(A328,Database!F:H,3,)</f>
        <v>228000</v>
      </c>
      <c r="C328" s="43">
        <f t="shared" ref="C328:C391" si="10">B328-B327</f>
        <v>-1000</v>
      </c>
      <c r="D328" s="43">
        <f>VLOOKUP(A328,Database!F:H,2,)</f>
        <v>1578000</v>
      </c>
      <c r="E328" s="43">
        <f t="shared" ref="E328:E391" si="11">D328-D327</f>
        <v>-6000</v>
      </c>
    </row>
    <row r="329" spans="1:5" x14ac:dyDescent="0.2">
      <c r="A329" s="42">
        <v>26747</v>
      </c>
      <c r="B329" s="43">
        <f>VLOOKUP(A329,Database!F:H,3,)</f>
        <v>232000</v>
      </c>
      <c r="C329" s="43">
        <f t="shared" si="10"/>
        <v>4000</v>
      </c>
      <c r="D329" s="43">
        <f>VLOOKUP(A329,Database!F:H,2,)</f>
        <v>1562000</v>
      </c>
      <c r="E329" s="43">
        <f t="shared" si="11"/>
        <v>-16000</v>
      </c>
    </row>
    <row r="330" spans="1:5" x14ac:dyDescent="0.2">
      <c r="A330" s="42">
        <v>26754</v>
      </c>
      <c r="B330" s="43">
        <f>VLOOKUP(A330,Database!F:H,3,)</f>
        <v>222000</v>
      </c>
      <c r="C330" s="43">
        <f t="shared" si="10"/>
        <v>-10000</v>
      </c>
      <c r="D330" s="43">
        <f>VLOOKUP(A330,Database!F:H,2,)</f>
        <v>1547000</v>
      </c>
      <c r="E330" s="43">
        <f t="shared" si="11"/>
        <v>-15000</v>
      </c>
    </row>
    <row r="331" spans="1:5" x14ac:dyDescent="0.2">
      <c r="A331" s="42">
        <v>26761</v>
      </c>
      <c r="B331" s="43">
        <f>VLOOKUP(A331,Database!F:H,3,)</f>
        <v>247000</v>
      </c>
      <c r="C331" s="43">
        <f t="shared" si="10"/>
        <v>25000</v>
      </c>
      <c r="D331" s="43">
        <f>VLOOKUP(A331,Database!F:H,2,)</f>
        <v>1552000</v>
      </c>
      <c r="E331" s="43">
        <f t="shared" si="11"/>
        <v>5000</v>
      </c>
    </row>
    <row r="332" spans="1:5" x14ac:dyDescent="0.2">
      <c r="A332" s="42">
        <v>26768</v>
      </c>
      <c r="B332" s="43">
        <f>VLOOKUP(A332,Database!F:H,3,)</f>
        <v>230000</v>
      </c>
      <c r="C332" s="43">
        <f t="shared" si="10"/>
        <v>-17000</v>
      </c>
      <c r="D332" s="43">
        <f>VLOOKUP(A332,Database!F:H,2,)</f>
        <v>1539000</v>
      </c>
      <c r="E332" s="43">
        <f t="shared" si="11"/>
        <v>-13000</v>
      </c>
    </row>
    <row r="333" spans="1:5" x14ac:dyDescent="0.2">
      <c r="A333" s="42">
        <v>26775</v>
      </c>
      <c r="B333" s="43">
        <f>VLOOKUP(A333,Database!F:H,3,)</f>
        <v>243000</v>
      </c>
      <c r="C333" s="43">
        <f t="shared" si="10"/>
        <v>13000</v>
      </c>
      <c r="D333" s="43">
        <f>VLOOKUP(A333,Database!F:H,2,)</f>
        <v>1573000</v>
      </c>
      <c r="E333" s="43">
        <f t="shared" si="11"/>
        <v>34000</v>
      </c>
    </row>
    <row r="334" spans="1:5" x14ac:dyDescent="0.2">
      <c r="A334" s="42">
        <v>26782</v>
      </c>
      <c r="B334" s="43">
        <f>VLOOKUP(A334,Database!F:H,3,)</f>
        <v>236000</v>
      </c>
      <c r="C334" s="43">
        <f t="shared" si="10"/>
        <v>-7000</v>
      </c>
      <c r="D334" s="43">
        <f>VLOOKUP(A334,Database!F:H,2,)</f>
        <v>1551000</v>
      </c>
      <c r="E334" s="43">
        <f t="shared" si="11"/>
        <v>-22000</v>
      </c>
    </row>
    <row r="335" spans="1:5" x14ac:dyDescent="0.2">
      <c r="A335" s="42">
        <v>26789</v>
      </c>
      <c r="B335" s="43">
        <f>VLOOKUP(A335,Database!F:H,3,)</f>
        <v>248000</v>
      </c>
      <c r="C335" s="43">
        <f t="shared" si="10"/>
        <v>12000</v>
      </c>
      <c r="D335" s="43">
        <f>VLOOKUP(A335,Database!F:H,2,)</f>
        <v>1560000</v>
      </c>
      <c r="E335" s="43">
        <f t="shared" si="11"/>
        <v>9000</v>
      </c>
    </row>
    <row r="336" spans="1:5" x14ac:dyDescent="0.2">
      <c r="A336" s="42">
        <v>26796</v>
      </c>
      <c r="B336" s="43">
        <f>VLOOKUP(A336,Database!F:H,3,)</f>
        <v>238000</v>
      </c>
      <c r="C336" s="43">
        <f t="shared" si="10"/>
        <v>-10000</v>
      </c>
      <c r="D336" s="43">
        <f>VLOOKUP(A336,Database!F:H,2,)</f>
        <v>1557000</v>
      </c>
      <c r="E336" s="43">
        <f t="shared" si="11"/>
        <v>-3000</v>
      </c>
    </row>
    <row r="337" spans="1:5" x14ac:dyDescent="0.2">
      <c r="A337" s="42">
        <v>26803</v>
      </c>
      <c r="B337" s="43">
        <f>VLOOKUP(A337,Database!F:H,3,)</f>
        <v>237000</v>
      </c>
      <c r="C337" s="43">
        <f t="shared" si="10"/>
        <v>-1000</v>
      </c>
      <c r="D337" s="43">
        <f>VLOOKUP(A337,Database!F:H,2,)</f>
        <v>1553000</v>
      </c>
      <c r="E337" s="43">
        <f t="shared" si="11"/>
        <v>-4000</v>
      </c>
    </row>
    <row r="338" spans="1:5" x14ac:dyDescent="0.2">
      <c r="A338" s="42">
        <v>26810</v>
      </c>
      <c r="B338" s="43">
        <f>VLOOKUP(A338,Database!F:H,3,)</f>
        <v>238000</v>
      </c>
      <c r="C338" s="43">
        <f t="shared" si="10"/>
        <v>1000</v>
      </c>
      <c r="D338" s="43">
        <f>VLOOKUP(A338,Database!F:H,2,)</f>
        <v>1567000</v>
      </c>
      <c r="E338" s="43">
        <f t="shared" si="11"/>
        <v>14000</v>
      </c>
    </row>
    <row r="339" spans="1:5" x14ac:dyDescent="0.2">
      <c r="A339" s="42">
        <v>26817</v>
      </c>
      <c r="B339" s="43">
        <f>VLOOKUP(A339,Database!F:H,3,)</f>
        <v>232000</v>
      </c>
      <c r="C339" s="43">
        <f t="shared" si="10"/>
        <v>-6000</v>
      </c>
      <c r="D339" s="43">
        <f>VLOOKUP(A339,Database!F:H,2,)</f>
        <v>1556000</v>
      </c>
      <c r="E339" s="43">
        <f t="shared" si="11"/>
        <v>-11000</v>
      </c>
    </row>
    <row r="340" spans="1:5" x14ac:dyDescent="0.2">
      <c r="A340" s="42">
        <v>26824</v>
      </c>
      <c r="B340" s="43">
        <f>VLOOKUP(A340,Database!F:H,3,)</f>
        <v>246000</v>
      </c>
      <c r="C340" s="43">
        <f t="shared" si="10"/>
        <v>14000</v>
      </c>
      <c r="D340" s="43">
        <f>VLOOKUP(A340,Database!F:H,2,)</f>
        <v>1563000</v>
      </c>
      <c r="E340" s="43">
        <f t="shared" si="11"/>
        <v>7000</v>
      </c>
    </row>
    <row r="341" spans="1:5" x14ac:dyDescent="0.2">
      <c r="A341" s="42">
        <v>26831</v>
      </c>
      <c r="B341" s="43">
        <f>VLOOKUP(A341,Database!F:H,3,)</f>
        <v>237000</v>
      </c>
      <c r="C341" s="43">
        <f t="shared" si="10"/>
        <v>-9000</v>
      </c>
      <c r="D341" s="43">
        <f>VLOOKUP(A341,Database!F:H,2,)</f>
        <v>1576000</v>
      </c>
      <c r="E341" s="43">
        <f t="shared" si="11"/>
        <v>13000</v>
      </c>
    </row>
    <row r="342" spans="1:5" x14ac:dyDescent="0.2">
      <c r="A342" s="42">
        <v>26838</v>
      </c>
      <c r="B342" s="43">
        <f>VLOOKUP(A342,Database!F:H,3,)</f>
        <v>242000</v>
      </c>
      <c r="C342" s="43">
        <f t="shared" si="10"/>
        <v>5000</v>
      </c>
      <c r="D342" s="43">
        <f>VLOOKUP(A342,Database!F:H,2,)</f>
        <v>1570000</v>
      </c>
      <c r="E342" s="43">
        <f t="shared" si="11"/>
        <v>-6000</v>
      </c>
    </row>
    <row r="343" spans="1:5" x14ac:dyDescent="0.2">
      <c r="A343" s="42">
        <v>26845</v>
      </c>
      <c r="B343" s="43">
        <f>VLOOKUP(A343,Database!F:H,3,)</f>
        <v>237000</v>
      </c>
      <c r="C343" s="43">
        <f t="shared" si="10"/>
        <v>-5000</v>
      </c>
      <c r="D343" s="43">
        <f>VLOOKUP(A343,Database!F:H,2,)</f>
        <v>1571000</v>
      </c>
      <c r="E343" s="43">
        <f t="shared" si="11"/>
        <v>1000</v>
      </c>
    </row>
    <row r="344" spans="1:5" x14ac:dyDescent="0.2">
      <c r="A344" s="42">
        <v>26852</v>
      </c>
      <c r="B344" s="43">
        <f>VLOOKUP(A344,Database!F:H,3,)</f>
        <v>248000</v>
      </c>
      <c r="C344" s="43">
        <f t="shared" si="10"/>
        <v>11000</v>
      </c>
      <c r="D344" s="43">
        <f>VLOOKUP(A344,Database!F:H,2,)</f>
        <v>1605000</v>
      </c>
      <c r="E344" s="43">
        <f t="shared" si="11"/>
        <v>34000</v>
      </c>
    </row>
    <row r="345" spans="1:5" x14ac:dyDescent="0.2">
      <c r="A345" s="42">
        <v>26859</v>
      </c>
      <c r="B345" s="43">
        <f>VLOOKUP(A345,Database!F:H,3,)</f>
        <v>232000</v>
      </c>
      <c r="C345" s="43">
        <f t="shared" si="10"/>
        <v>-16000</v>
      </c>
      <c r="D345" s="43">
        <f>VLOOKUP(A345,Database!F:H,2,)</f>
        <v>1605000</v>
      </c>
      <c r="E345" s="43">
        <f t="shared" si="11"/>
        <v>0</v>
      </c>
    </row>
    <row r="346" spans="1:5" x14ac:dyDescent="0.2">
      <c r="A346" s="42">
        <v>26866</v>
      </c>
      <c r="B346" s="43">
        <f>VLOOKUP(A346,Database!F:H,3,)</f>
        <v>241000</v>
      </c>
      <c r="C346" s="43">
        <f t="shared" si="10"/>
        <v>9000</v>
      </c>
      <c r="D346" s="43">
        <f>VLOOKUP(A346,Database!F:H,2,)</f>
        <v>1594000</v>
      </c>
      <c r="E346" s="43">
        <f t="shared" si="11"/>
        <v>-11000</v>
      </c>
    </row>
    <row r="347" spans="1:5" x14ac:dyDescent="0.2">
      <c r="A347" s="42">
        <v>26873</v>
      </c>
      <c r="B347" s="43">
        <f>VLOOKUP(A347,Database!F:H,3,)</f>
        <v>250000</v>
      </c>
      <c r="C347" s="43">
        <f t="shared" si="10"/>
        <v>9000</v>
      </c>
      <c r="D347" s="43">
        <f>VLOOKUP(A347,Database!F:H,2,)</f>
        <v>1603000</v>
      </c>
      <c r="E347" s="43">
        <f t="shared" si="11"/>
        <v>9000</v>
      </c>
    </row>
    <row r="348" spans="1:5" x14ac:dyDescent="0.2">
      <c r="A348" s="42">
        <v>26880</v>
      </c>
      <c r="B348" s="43">
        <f>VLOOKUP(A348,Database!F:H,3,)</f>
        <v>256000</v>
      </c>
      <c r="C348" s="43">
        <f t="shared" si="10"/>
        <v>6000</v>
      </c>
      <c r="D348" s="43">
        <f>VLOOKUP(A348,Database!F:H,2,)</f>
        <v>1633000</v>
      </c>
      <c r="E348" s="43">
        <f t="shared" si="11"/>
        <v>30000</v>
      </c>
    </row>
    <row r="349" spans="1:5" x14ac:dyDescent="0.2">
      <c r="A349" s="42">
        <v>26887</v>
      </c>
      <c r="B349" s="43">
        <f>VLOOKUP(A349,Database!F:H,3,)</f>
        <v>265000</v>
      </c>
      <c r="C349" s="43">
        <f t="shared" si="10"/>
        <v>9000</v>
      </c>
      <c r="D349" s="43">
        <f>VLOOKUP(A349,Database!F:H,2,)</f>
        <v>1679000</v>
      </c>
      <c r="E349" s="43">
        <f t="shared" si="11"/>
        <v>46000</v>
      </c>
    </row>
    <row r="350" spans="1:5" x14ac:dyDescent="0.2">
      <c r="A350" s="42">
        <v>26894</v>
      </c>
      <c r="B350" s="43">
        <f>VLOOKUP(A350,Database!F:H,3,)</f>
        <v>258000</v>
      </c>
      <c r="C350" s="43">
        <f t="shared" si="10"/>
        <v>-7000</v>
      </c>
      <c r="D350" s="43">
        <f>VLOOKUP(A350,Database!F:H,2,)</f>
        <v>1672000</v>
      </c>
      <c r="E350" s="43">
        <f t="shared" si="11"/>
        <v>-7000</v>
      </c>
    </row>
    <row r="351" spans="1:5" x14ac:dyDescent="0.2">
      <c r="A351" s="42">
        <v>26901</v>
      </c>
      <c r="B351" s="43">
        <f>VLOOKUP(A351,Database!F:H,3,)</f>
        <v>254000</v>
      </c>
      <c r="C351" s="43">
        <f t="shared" si="10"/>
        <v>-4000</v>
      </c>
      <c r="D351" s="43">
        <f>VLOOKUP(A351,Database!F:H,2,)</f>
        <v>1675000</v>
      </c>
      <c r="E351" s="43">
        <f t="shared" si="11"/>
        <v>3000</v>
      </c>
    </row>
    <row r="352" spans="1:5" x14ac:dyDescent="0.2">
      <c r="A352" s="42">
        <v>26908</v>
      </c>
      <c r="B352" s="43">
        <f>VLOOKUP(A352,Database!F:H,3,)</f>
        <v>242000</v>
      </c>
      <c r="C352" s="43">
        <f t="shared" si="10"/>
        <v>-12000</v>
      </c>
      <c r="D352" s="43">
        <f>VLOOKUP(A352,Database!F:H,2,)</f>
        <v>1681000</v>
      </c>
      <c r="E352" s="43">
        <f t="shared" si="11"/>
        <v>6000</v>
      </c>
    </row>
    <row r="353" spans="1:5" x14ac:dyDescent="0.2">
      <c r="A353" s="42">
        <v>26915</v>
      </c>
      <c r="B353" s="43">
        <f>VLOOKUP(A353,Database!F:H,3,)</f>
        <v>252000</v>
      </c>
      <c r="C353" s="43">
        <f t="shared" si="10"/>
        <v>10000</v>
      </c>
      <c r="D353" s="43">
        <f>VLOOKUP(A353,Database!F:H,2,)</f>
        <v>1688000</v>
      </c>
      <c r="E353" s="43">
        <f t="shared" si="11"/>
        <v>7000</v>
      </c>
    </row>
    <row r="354" spans="1:5" x14ac:dyDescent="0.2">
      <c r="A354" s="42">
        <v>26922</v>
      </c>
      <c r="B354" s="43">
        <f>VLOOKUP(A354,Database!F:H,3,)</f>
        <v>245000</v>
      </c>
      <c r="C354" s="43">
        <f t="shared" si="10"/>
        <v>-7000</v>
      </c>
      <c r="D354" s="43">
        <f>VLOOKUP(A354,Database!F:H,2,)</f>
        <v>1666000</v>
      </c>
      <c r="E354" s="43">
        <f t="shared" si="11"/>
        <v>-22000</v>
      </c>
    </row>
    <row r="355" spans="1:5" x14ac:dyDescent="0.2">
      <c r="A355" s="42">
        <v>26929</v>
      </c>
      <c r="B355" s="43">
        <f>VLOOKUP(A355,Database!F:H,3,)</f>
        <v>246000</v>
      </c>
      <c r="C355" s="43">
        <f t="shared" si="10"/>
        <v>1000</v>
      </c>
      <c r="D355" s="43">
        <f>VLOOKUP(A355,Database!F:H,2,)</f>
        <v>1658000</v>
      </c>
      <c r="E355" s="43">
        <f t="shared" si="11"/>
        <v>-8000</v>
      </c>
    </row>
    <row r="356" spans="1:5" x14ac:dyDescent="0.2">
      <c r="A356" s="42">
        <v>26936</v>
      </c>
      <c r="B356" s="43">
        <f>VLOOKUP(A356,Database!F:H,3,)</f>
        <v>249000</v>
      </c>
      <c r="C356" s="43">
        <f t="shared" si="10"/>
        <v>3000</v>
      </c>
      <c r="D356" s="43">
        <f>VLOOKUP(A356,Database!F:H,2,)</f>
        <v>1658000</v>
      </c>
      <c r="E356" s="43">
        <f t="shared" si="11"/>
        <v>0</v>
      </c>
    </row>
    <row r="357" spans="1:5" x14ac:dyDescent="0.2">
      <c r="A357" s="42">
        <v>26943</v>
      </c>
      <c r="B357" s="43">
        <f>VLOOKUP(A357,Database!F:H,3,)</f>
        <v>236000</v>
      </c>
      <c r="C357" s="43">
        <f t="shared" si="10"/>
        <v>-13000</v>
      </c>
      <c r="D357" s="43">
        <f>VLOOKUP(A357,Database!F:H,2,)</f>
        <v>1657000</v>
      </c>
      <c r="E357" s="43">
        <f t="shared" si="11"/>
        <v>-1000</v>
      </c>
    </row>
    <row r="358" spans="1:5" x14ac:dyDescent="0.2">
      <c r="A358" s="42">
        <v>26950</v>
      </c>
      <c r="B358" s="43">
        <f>VLOOKUP(A358,Database!F:H,3,)</f>
        <v>246000</v>
      </c>
      <c r="C358" s="43">
        <f t="shared" si="10"/>
        <v>10000</v>
      </c>
      <c r="D358" s="43">
        <f>VLOOKUP(A358,Database!F:H,2,)</f>
        <v>1679000</v>
      </c>
      <c r="E358" s="43">
        <f t="shared" si="11"/>
        <v>22000</v>
      </c>
    </row>
    <row r="359" spans="1:5" x14ac:dyDescent="0.2">
      <c r="A359" s="42">
        <v>26957</v>
      </c>
      <c r="B359" s="43">
        <f>VLOOKUP(A359,Database!F:H,3,)</f>
        <v>249000</v>
      </c>
      <c r="C359" s="43">
        <f t="shared" si="10"/>
        <v>3000</v>
      </c>
      <c r="D359" s="43">
        <f>VLOOKUP(A359,Database!F:H,2,)</f>
        <v>1646000</v>
      </c>
      <c r="E359" s="43">
        <f t="shared" si="11"/>
        <v>-33000</v>
      </c>
    </row>
    <row r="360" spans="1:5" x14ac:dyDescent="0.2">
      <c r="A360" s="42">
        <v>26964</v>
      </c>
      <c r="B360" s="43">
        <f>VLOOKUP(A360,Database!F:H,3,)</f>
        <v>235000</v>
      </c>
      <c r="C360" s="43">
        <f t="shared" si="10"/>
        <v>-14000</v>
      </c>
      <c r="D360" s="43">
        <f>VLOOKUP(A360,Database!F:H,2,)</f>
        <v>1675000</v>
      </c>
      <c r="E360" s="43">
        <f t="shared" si="11"/>
        <v>29000</v>
      </c>
    </row>
    <row r="361" spans="1:5" x14ac:dyDescent="0.2">
      <c r="A361" s="42">
        <v>26971</v>
      </c>
      <c r="B361" s="43">
        <f>VLOOKUP(A361,Database!F:H,3,)</f>
        <v>246000</v>
      </c>
      <c r="C361" s="43">
        <f t="shared" si="10"/>
        <v>11000</v>
      </c>
      <c r="D361" s="43">
        <f>VLOOKUP(A361,Database!F:H,2,)</f>
        <v>1669000</v>
      </c>
      <c r="E361" s="43">
        <f t="shared" si="11"/>
        <v>-6000</v>
      </c>
    </row>
    <row r="362" spans="1:5" x14ac:dyDescent="0.2">
      <c r="A362" s="42">
        <v>26978</v>
      </c>
      <c r="B362" s="43">
        <f>VLOOKUP(A362,Database!F:H,3,)</f>
        <v>282000</v>
      </c>
      <c r="C362" s="43">
        <f t="shared" si="10"/>
        <v>36000</v>
      </c>
      <c r="D362" s="43">
        <f>VLOOKUP(A362,Database!F:H,2,)</f>
        <v>1702000</v>
      </c>
      <c r="E362" s="43">
        <f t="shared" si="11"/>
        <v>33000</v>
      </c>
    </row>
    <row r="363" spans="1:5" x14ac:dyDescent="0.2">
      <c r="A363" s="42">
        <v>26985</v>
      </c>
      <c r="B363" s="43">
        <f>VLOOKUP(A363,Database!F:H,3,)</f>
        <v>254000</v>
      </c>
      <c r="C363" s="43">
        <f t="shared" si="10"/>
        <v>-28000</v>
      </c>
      <c r="D363" s="43">
        <f>VLOOKUP(A363,Database!F:H,2,)</f>
        <v>1698000</v>
      </c>
      <c r="E363" s="43">
        <f t="shared" si="11"/>
        <v>-4000</v>
      </c>
    </row>
    <row r="364" spans="1:5" x14ac:dyDescent="0.2">
      <c r="A364" s="42">
        <v>26992</v>
      </c>
      <c r="B364" s="43">
        <f>VLOOKUP(A364,Database!F:H,3,)</f>
        <v>233000</v>
      </c>
      <c r="C364" s="43">
        <f t="shared" si="10"/>
        <v>-21000</v>
      </c>
      <c r="D364" s="43">
        <f>VLOOKUP(A364,Database!F:H,2,)</f>
        <v>1755000</v>
      </c>
      <c r="E364" s="43">
        <f t="shared" si="11"/>
        <v>57000</v>
      </c>
    </row>
    <row r="365" spans="1:5" x14ac:dyDescent="0.2">
      <c r="A365" s="42">
        <v>26999</v>
      </c>
      <c r="B365" s="43">
        <f>VLOOKUP(A365,Database!F:H,3,)</f>
        <v>256000</v>
      </c>
      <c r="C365" s="43">
        <f t="shared" si="10"/>
        <v>23000</v>
      </c>
      <c r="D365" s="43">
        <f>VLOOKUP(A365,Database!F:H,2,)</f>
        <v>1692000</v>
      </c>
      <c r="E365" s="43">
        <f t="shared" si="11"/>
        <v>-63000</v>
      </c>
    </row>
    <row r="366" spans="1:5" x14ac:dyDescent="0.2">
      <c r="A366" s="42">
        <v>27006</v>
      </c>
      <c r="B366" s="43">
        <f>VLOOKUP(A366,Database!F:H,3,)</f>
        <v>266000</v>
      </c>
      <c r="C366" s="43">
        <f t="shared" si="10"/>
        <v>10000</v>
      </c>
      <c r="D366" s="43">
        <f>VLOOKUP(A366,Database!F:H,2,)</f>
        <v>1717000</v>
      </c>
      <c r="E366" s="43">
        <f t="shared" si="11"/>
        <v>25000</v>
      </c>
    </row>
    <row r="367" spans="1:5" x14ac:dyDescent="0.2">
      <c r="A367" s="42">
        <v>27013</v>
      </c>
      <c r="B367" s="43">
        <f>VLOOKUP(A367,Database!F:H,3,)</f>
        <v>272000</v>
      </c>
      <c r="C367" s="43">
        <f t="shared" si="10"/>
        <v>6000</v>
      </c>
      <c r="D367" s="43">
        <f>VLOOKUP(A367,Database!F:H,2,)</f>
        <v>1779000</v>
      </c>
      <c r="E367" s="43">
        <f t="shared" si="11"/>
        <v>62000</v>
      </c>
    </row>
    <row r="368" spans="1:5" x14ac:dyDescent="0.2">
      <c r="A368" s="42">
        <v>27020</v>
      </c>
      <c r="B368" s="43">
        <f>VLOOKUP(A368,Database!F:H,3,)</f>
        <v>326000</v>
      </c>
      <c r="C368" s="43">
        <f t="shared" si="10"/>
        <v>54000</v>
      </c>
      <c r="D368" s="43">
        <f>VLOOKUP(A368,Database!F:H,2,)</f>
        <v>1836000</v>
      </c>
      <c r="E368" s="43">
        <f t="shared" si="11"/>
        <v>57000</v>
      </c>
    </row>
    <row r="369" spans="1:5" x14ac:dyDescent="0.2">
      <c r="A369" s="42">
        <v>27027</v>
      </c>
      <c r="B369" s="43">
        <f>VLOOKUP(A369,Database!F:H,3,)</f>
        <v>300000</v>
      </c>
      <c r="C369" s="43">
        <f t="shared" si="10"/>
        <v>-26000</v>
      </c>
      <c r="D369" s="43">
        <f>VLOOKUP(A369,Database!F:H,2,)</f>
        <v>1805000</v>
      </c>
      <c r="E369" s="43">
        <f t="shared" si="11"/>
        <v>-31000</v>
      </c>
    </row>
    <row r="370" spans="1:5" x14ac:dyDescent="0.2">
      <c r="A370" s="42">
        <v>27034</v>
      </c>
      <c r="B370" s="43">
        <f>VLOOKUP(A370,Database!F:H,3,)</f>
        <v>269000</v>
      </c>
      <c r="C370" s="43">
        <f t="shared" si="10"/>
        <v>-31000</v>
      </c>
      <c r="D370" s="43">
        <f>VLOOKUP(A370,Database!F:H,2,)</f>
        <v>1934000</v>
      </c>
      <c r="E370" s="43">
        <f t="shared" si="11"/>
        <v>129000</v>
      </c>
    </row>
    <row r="371" spans="1:5" x14ac:dyDescent="0.2">
      <c r="A371" s="42">
        <v>27041</v>
      </c>
      <c r="B371" s="43">
        <f>VLOOKUP(A371,Database!F:H,3,)</f>
        <v>340000</v>
      </c>
      <c r="C371" s="43">
        <f t="shared" si="10"/>
        <v>71000</v>
      </c>
      <c r="D371" s="43">
        <f>VLOOKUP(A371,Database!F:H,2,)</f>
        <v>1949000</v>
      </c>
      <c r="E371" s="43">
        <f t="shared" si="11"/>
        <v>15000</v>
      </c>
    </row>
    <row r="372" spans="1:5" x14ac:dyDescent="0.2">
      <c r="A372" s="42">
        <v>27048</v>
      </c>
      <c r="B372" s="43">
        <f>VLOOKUP(A372,Database!F:H,3,)</f>
        <v>321000</v>
      </c>
      <c r="C372" s="43">
        <f t="shared" si="10"/>
        <v>-19000</v>
      </c>
      <c r="D372" s="43">
        <f>VLOOKUP(A372,Database!F:H,2,)</f>
        <v>1995000</v>
      </c>
      <c r="E372" s="43">
        <f t="shared" si="11"/>
        <v>46000</v>
      </c>
    </row>
    <row r="373" spans="1:5" x14ac:dyDescent="0.2">
      <c r="A373" s="42">
        <v>27055</v>
      </c>
      <c r="B373" s="43">
        <f>VLOOKUP(A373,Database!F:H,3,)</f>
        <v>291000</v>
      </c>
      <c r="C373" s="43">
        <f t="shared" si="10"/>
        <v>-30000</v>
      </c>
      <c r="D373" s="43">
        <f>VLOOKUP(A373,Database!F:H,2,)</f>
        <v>1950000</v>
      </c>
      <c r="E373" s="43">
        <f t="shared" si="11"/>
        <v>-45000</v>
      </c>
    </row>
    <row r="374" spans="1:5" x14ac:dyDescent="0.2">
      <c r="A374" s="42">
        <v>27062</v>
      </c>
      <c r="B374" s="43">
        <f>VLOOKUP(A374,Database!F:H,3,)</f>
        <v>302000</v>
      </c>
      <c r="C374" s="43">
        <f t="shared" si="10"/>
        <v>11000</v>
      </c>
      <c r="D374" s="43">
        <f>VLOOKUP(A374,Database!F:H,2,)</f>
        <v>1963000</v>
      </c>
      <c r="E374" s="43">
        <f t="shared" si="11"/>
        <v>13000</v>
      </c>
    </row>
    <row r="375" spans="1:5" x14ac:dyDescent="0.2">
      <c r="A375" s="42">
        <v>27069</v>
      </c>
      <c r="B375" s="43">
        <f>VLOOKUP(A375,Database!F:H,3,)</f>
        <v>369000</v>
      </c>
      <c r="C375" s="43">
        <f t="shared" si="10"/>
        <v>67000</v>
      </c>
      <c r="D375" s="43">
        <f>VLOOKUP(A375,Database!F:H,2,)</f>
        <v>2010000</v>
      </c>
      <c r="E375" s="43">
        <f t="shared" si="11"/>
        <v>47000</v>
      </c>
    </row>
    <row r="376" spans="1:5" x14ac:dyDescent="0.2">
      <c r="A376" s="42">
        <v>27076</v>
      </c>
      <c r="B376" s="43">
        <f>VLOOKUP(A376,Database!F:H,3,)</f>
        <v>311000</v>
      </c>
      <c r="C376" s="43">
        <f t="shared" si="10"/>
        <v>-58000</v>
      </c>
      <c r="D376" s="43">
        <f>VLOOKUP(A376,Database!F:H,2,)</f>
        <v>2049000</v>
      </c>
      <c r="E376" s="43">
        <f t="shared" si="11"/>
        <v>39000</v>
      </c>
    </row>
    <row r="377" spans="1:5" x14ac:dyDescent="0.2">
      <c r="A377" s="42">
        <v>27083</v>
      </c>
      <c r="B377" s="43">
        <f>VLOOKUP(A377,Database!F:H,3,)</f>
        <v>292000</v>
      </c>
      <c r="C377" s="43">
        <f t="shared" si="10"/>
        <v>-19000</v>
      </c>
      <c r="D377" s="43">
        <f>VLOOKUP(A377,Database!F:H,2,)</f>
        <v>2027000</v>
      </c>
      <c r="E377" s="43">
        <f t="shared" si="11"/>
        <v>-22000</v>
      </c>
    </row>
    <row r="378" spans="1:5" x14ac:dyDescent="0.2">
      <c r="A378" s="42">
        <v>27090</v>
      </c>
      <c r="B378" s="43">
        <f>VLOOKUP(A378,Database!F:H,3,)</f>
        <v>301000</v>
      </c>
      <c r="C378" s="43">
        <f t="shared" si="10"/>
        <v>9000</v>
      </c>
      <c r="D378" s="43">
        <f>VLOOKUP(A378,Database!F:H,2,)</f>
        <v>2020000</v>
      </c>
      <c r="E378" s="43">
        <f t="shared" si="11"/>
        <v>-7000</v>
      </c>
    </row>
    <row r="379" spans="1:5" x14ac:dyDescent="0.2">
      <c r="A379" s="42">
        <v>27097</v>
      </c>
      <c r="B379" s="43">
        <f>VLOOKUP(A379,Database!F:H,3,)</f>
        <v>305000</v>
      </c>
      <c r="C379" s="43">
        <f t="shared" si="10"/>
        <v>4000</v>
      </c>
      <c r="D379" s="43">
        <f>VLOOKUP(A379,Database!F:H,2,)</f>
        <v>2054000</v>
      </c>
      <c r="E379" s="43">
        <f t="shared" si="11"/>
        <v>34000</v>
      </c>
    </row>
    <row r="380" spans="1:5" x14ac:dyDescent="0.2">
      <c r="A380" s="42">
        <v>27104</v>
      </c>
      <c r="B380" s="43">
        <f>VLOOKUP(A380,Database!F:H,3,)</f>
        <v>315000</v>
      </c>
      <c r="C380" s="43">
        <f t="shared" si="10"/>
        <v>10000</v>
      </c>
      <c r="D380" s="43">
        <f>VLOOKUP(A380,Database!F:H,2,)</f>
        <v>2068000</v>
      </c>
      <c r="E380" s="43">
        <f t="shared" si="11"/>
        <v>14000</v>
      </c>
    </row>
    <row r="381" spans="1:5" x14ac:dyDescent="0.2">
      <c r="A381" s="42">
        <v>27111</v>
      </c>
      <c r="B381" s="43">
        <f>VLOOKUP(A381,Database!F:H,3,)</f>
        <v>314000</v>
      </c>
      <c r="C381" s="43">
        <f t="shared" si="10"/>
        <v>-1000</v>
      </c>
      <c r="D381" s="43">
        <f>VLOOKUP(A381,Database!F:H,2,)</f>
        <v>2074000</v>
      </c>
      <c r="E381" s="43">
        <f t="shared" si="11"/>
        <v>6000</v>
      </c>
    </row>
    <row r="382" spans="1:5" x14ac:dyDescent="0.2">
      <c r="A382" s="42">
        <v>27118</v>
      </c>
      <c r="B382" s="43">
        <f>VLOOKUP(A382,Database!F:H,3,)</f>
        <v>323000</v>
      </c>
      <c r="C382" s="43">
        <f t="shared" si="10"/>
        <v>9000</v>
      </c>
      <c r="D382" s="43">
        <f>VLOOKUP(A382,Database!F:H,2,)</f>
        <v>2062000</v>
      </c>
      <c r="E382" s="43">
        <f t="shared" si="11"/>
        <v>-12000</v>
      </c>
    </row>
    <row r="383" spans="1:5" x14ac:dyDescent="0.2">
      <c r="A383" s="42">
        <v>27125</v>
      </c>
      <c r="B383" s="43">
        <f>VLOOKUP(A383,Database!F:H,3,)</f>
        <v>296000</v>
      </c>
      <c r="C383" s="43">
        <f t="shared" si="10"/>
        <v>-27000</v>
      </c>
      <c r="D383" s="43">
        <f>VLOOKUP(A383,Database!F:H,2,)</f>
        <v>2066000</v>
      </c>
      <c r="E383" s="43">
        <f t="shared" si="11"/>
        <v>4000</v>
      </c>
    </row>
    <row r="384" spans="1:5" x14ac:dyDescent="0.2">
      <c r="A384" s="42">
        <v>27132</v>
      </c>
      <c r="B384" s="43">
        <f>VLOOKUP(A384,Database!F:H,3,)</f>
        <v>297000</v>
      </c>
      <c r="C384" s="43">
        <f t="shared" si="10"/>
        <v>1000</v>
      </c>
      <c r="D384" s="43">
        <f>VLOOKUP(A384,Database!F:H,2,)</f>
        <v>2072000</v>
      </c>
      <c r="E384" s="43">
        <f t="shared" si="11"/>
        <v>6000</v>
      </c>
    </row>
    <row r="385" spans="1:5" x14ac:dyDescent="0.2">
      <c r="A385" s="42">
        <v>27139</v>
      </c>
      <c r="B385" s="43">
        <f>VLOOKUP(A385,Database!F:H,3,)</f>
        <v>296000</v>
      </c>
      <c r="C385" s="43">
        <f t="shared" si="10"/>
        <v>-1000</v>
      </c>
      <c r="D385" s="43">
        <f>VLOOKUP(A385,Database!F:H,2,)</f>
        <v>2081000</v>
      </c>
      <c r="E385" s="43">
        <f t="shared" si="11"/>
        <v>9000</v>
      </c>
    </row>
    <row r="386" spans="1:5" x14ac:dyDescent="0.2">
      <c r="A386" s="42">
        <v>27146</v>
      </c>
      <c r="B386" s="43">
        <f>VLOOKUP(A386,Database!F:H,3,)</f>
        <v>283000</v>
      </c>
      <c r="C386" s="43">
        <f t="shared" si="10"/>
        <v>-13000</v>
      </c>
      <c r="D386" s="43">
        <f>VLOOKUP(A386,Database!F:H,2,)</f>
        <v>2045000</v>
      </c>
      <c r="E386" s="43">
        <f t="shared" si="11"/>
        <v>-36000</v>
      </c>
    </row>
    <row r="387" spans="1:5" x14ac:dyDescent="0.2">
      <c r="A387" s="42">
        <v>27153</v>
      </c>
      <c r="B387" s="43">
        <f>VLOOKUP(A387,Database!F:H,3,)</f>
        <v>287000</v>
      </c>
      <c r="C387" s="43">
        <f t="shared" si="10"/>
        <v>4000</v>
      </c>
      <c r="D387" s="43">
        <f>VLOOKUP(A387,Database!F:H,2,)</f>
        <v>2056000</v>
      </c>
      <c r="E387" s="43">
        <f t="shared" si="11"/>
        <v>11000</v>
      </c>
    </row>
    <row r="388" spans="1:5" x14ac:dyDescent="0.2">
      <c r="A388" s="42">
        <v>27160</v>
      </c>
      <c r="B388" s="43">
        <f>VLOOKUP(A388,Database!F:H,3,)</f>
        <v>296000</v>
      </c>
      <c r="C388" s="43">
        <f t="shared" si="10"/>
        <v>9000</v>
      </c>
      <c r="D388" s="43">
        <f>VLOOKUP(A388,Database!F:H,2,)</f>
        <v>2041000</v>
      </c>
      <c r="E388" s="43">
        <f t="shared" si="11"/>
        <v>-15000</v>
      </c>
    </row>
    <row r="389" spans="1:5" x14ac:dyDescent="0.2">
      <c r="A389" s="42">
        <v>27167</v>
      </c>
      <c r="B389" s="43">
        <f>VLOOKUP(A389,Database!F:H,3,)</f>
        <v>298000</v>
      </c>
      <c r="C389" s="43">
        <f t="shared" si="10"/>
        <v>2000</v>
      </c>
      <c r="D389" s="43">
        <f>VLOOKUP(A389,Database!F:H,2,)</f>
        <v>2053000</v>
      </c>
      <c r="E389" s="43">
        <f t="shared" si="11"/>
        <v>12000</v>
      </c>
    </row>
    <row r="390" spans="1:5" x14ac:dyDescent="0.2">
      <c r="A390" s="42">
        <v>27174</v>
      </c>
      <c r="B390" s="43">
        <f>VLOOKUP(A390,Database!F:H,3,)</f>
        <v>309000</v>
      </c>
      <c r="C390" s="43">
        <f t="shared" si="10"/>
        <v>11000</v>
      </c>
      <c r="D390" s="43">
        <f>VLOOKUP(A390,Database!F:H,2,)</f>
        <v>2057000</v>
      </c>
      <c r="E390" s="43">
        <f t="shared" si="11"/>
        <v>4000</v>
      </c>
    </row>
    <row r="391" spans="1:5" x14ac:dyDescent="0.2">
      <c r="A391" s="42">
        <v>27181</v>
      </c>
      <c r="B391" s="43">
        <f>VLOOKUP(A391,Database!F:H,3,)</f>
        <v>278000</v>
      </c>
      <c r="C391" s="43">
        <f t="shared" si="10"/>
        <v>-31000</v>
      </c>
      <c r="D391" s="43">
        <f>VLOOKUP(A391,Database!F:H,2,)</f>
        <v>2079000</v>
      </c>
      <c r="E391" s="43">
        <f t="shared" si="11"/>
        <v>22000</v>
      </c>
    </row>
    <row r="392" spans="1:5" x14ac:dyDescent="0.2">
      <c r="A392" s="42">
        <v>27188</v>
      </c>
      <c r="B392" s="43">
        <f>VLOOKUP(A392,Database!F:H,3,)</f>
        <v>314000</v>
      </c>
      <c r="C392" s="43">
        <f t="shared" ref="C392:C455" si="12">B392-B391</f>
        <v>36000</v>
      </c>
      <c r="D392" s="43">
        <f>VLOOKUP(A392,Database!F:H,2,)</f>
        <v>2067000</v>
      </c>
      <c r="E392" s="43">
        <f t="shared" ref="E392:E455" si="13">D392-D391</f>
        <v>-12000</v>
      </c>
    </row>
    <row r="393" spans="1:5" x14ac:dyDescent="0.2">
      <c r="A393" s="42">
        <v>27195</v>
      </c>
      <c r="B393" s="43">
        <f>VLOOKUP(A393,Database!F:H,3,)</f>
        <v>303000</v>
      </c>
      <c r="C393" s="43">
        <f t="shared" si="12"/>
        <v>-11000</v>
      </c>
      <c r="D393" s="43">
        <f>VLOOKUP(A393,Database!F:H,2,)</f>
        <v>2095000</v>
      </c>
      <c r="E393" s="43">
        <f t="shared" si="13"/>
        <v>28000</v>
      </c>
    </row>
    <row r="394" spans="1:5" x14ac:dyDescent="0.2">
      <c r="A394" s="42">
        <v>27202</v>
      </c>
      <c r="B394" s="43">
        <f>VLOOKUP(A394,Database!F:H,3,)</f>
        <v>308000</v>
      </c>
      <c r="C394" s="43">
        <f t="shared" si="12"/>
        <v>5000</v>
      </c>
      <c r="D394" s="43">
        <f>VLOOKUP(A394,Database!F:H,2,)</f>
        <v>2066000</v>
      </c>
      <c r="E394" s="43">
        <f t="shared" si="13"/>
        <v>-29000</v>
      </c>
    </row>
    <row r="395" spans="1:5" x14ac:dyDescent="0.2">
      <c r="A395" s="42">
        <v>27209</v>
      </c>
      <c r="B395" s="43">
        <f>VLOOKUP(A395,Database!F:H,3,)</f>
        <v>325000</v>
      </c>
      <c r="C395" s="43">
        <f t="shared" si="12"/>
        <v>17000</v>
      </c>
      <c r="D395" s="43">
        <f>VLOOKUP(A395,Database!F:H,2,)</f>
        <v>2074000</v>
      </c>
      <c r="E395" s="43">
        <f t="shared" si="13"/>
        <v>8000</v>
      </c>
    </row>
    <row r="396" spans="1:5" x14ac:dyDescent="0.2">
      <c r="A396" s="42">
        <v>27216</v>
      </c>
      <c r="B396" s="43">
        <f>VLOOKUP(A396,Database!F:H,3,)</f>
        <v>311000</v>
      </c>
      <c r="C396" s="43">
        <f t="shared" si="12"/>
        <v>-14000</v>
      </c>
      <c r="D396" s="43">
        <f>VLOOKUP(A396,Database!F:H,2,)</f>
        <v>2160000</v>
      </c>
      <c r="E396" s="43">
        <f t="shared" si="13"/>
        <v>86000</v>
      </c>
    </row>
    <row r="397" spans="1:5" x14ac:dyDescent="0.2">
      <c r="A397" s="42">
        <v>27223</v>
      </c>
      <c r="B397" s="43">
        <f>VLOOKUP(A397,Database!F:H,3,)</f>
        <v>304000</v>
      </c>
      <c r="C397" s="43">
        <f t="shared" si="12"/>
        <v>-7000</v>
      </c>
      <c r="D397" s="43">
        <f>VLOOKUP(A397,Database!F:H,2,)</f>
        <v>2125000</v>
      </c>
      <c r="E397" s="43">
        <f t="shared" si="13"/>
        <v>-35000</v>
      </c>
    </row>
    <row r="398" spans="1:5" x14ac:dyDescent="0.2">
      <c r="A398" s="42">
        <v>27230</v>
      </c>
      <c r="B398" s="43">
        <f>VLOOKUP(A398,Database!F:H,3,)</f>
        <v>303000</v>
      </c>
      <c r="C398" s="43">
        <f t="shared" si="12"/>
        <v>-1000</v>
      </c>
      <c r="D398" s="43">
        <f>VLOOKUP(A398,Database!F:H,2,)</f>
        <v>2109000</v>
      </c>
      <c r="E398" s="43">
        <f t="shared" si="13"/>
        <v>-16000</v>
      </c>
    </row>
    <row r="399" spans="1:5" x14ac:dyDescent="0.2">
      <c r="A399" s="42">
        <v>27237</v>
      </c>
      <c r="B399" s="43">
        <f>VLOOKUP(A399,Database!F:H,3,)</f>
        <v>320000</v>
      </c>
      <c r="C399" s="43">
        <f t="shared" si="12"/>
        <v>17000</v>
      </c>
      <c r="D399" s="43">
        <f>VLOOKUP(A399,Database!F:H,2,)</f>
        <v>2097000</v>
      </c>
      <c r="E399" s="43">
        <f t="shared" si="13"/>
        <v>-12000</v>
      </c>
    </row>
    <row r="400" spans="1:5" x14ac:dyDescent="0.2">
      <c r="A400" s="42">
        <v>27244</v>
      </c>
      <c r="B400" s="43">
        <f>VLOOKUP(A400,Database!F:H,3,)</f>
        <v>335000</v>
      </c>
      <c r="C400" s="43">
        <f t="shared" si="12"/>
        <v>15000</v>
      </c>
      <c r="D400" s="43">
        <f>VLOOKUP(A400,Database!F:H,2,)</f>
        <v>2147000</v>
      </c>
      <c r="E400" s="43">
        <f t="shared" si="13"/>
        <v>50000</v>
      </c>
    </row>
    <row r="401" spans="1:5" x14ac:dyDescent="0.2">
      <c r="A401" s="42">
        <v>27251</v>
      </c>
      <c r="B401" s="43">
        <f>VLOOKUP(A401,Database!F:H,3,)</f>
        <v>347000</v>
      </c>
      <c r="C401" s="43">
        <f t="shared" si="12"/>
        <v>12000</v>
      </c>
      <c r="D401" s="43">
        <f>VLOOKUP(A401,Database!F:H,2,)</f>
        <v>2171000</v>
      </c>
      <c r="E401" s="43">
        <f t="shared" si="13"/>
        <v>24000</v>
      </c>
    </row>
    <row r="402" spans="1:5" x14ac:dyDescent="0.2">
      <c r="A402" s="42">
        <v>27258</v>
      </c>
      <c r="B402" s="43">
        <f>VLOOKUP(A402,Database!F:H,3,)</f>
        <v>332000</v>
      </c>
      <c r="C402" s="43">
        <f t="shared" si="12"/>
        <v>-15000</v>
      </c>
      <c r="D402" s="43">
        <f>VLOOKUP(A402,Database!F:H,2,)</f>
        <v>2168000</v>
      </c>
      <c r="E402" s="43">
        <f t="shared" si="13"/>
        <v>-3000</v>
      </c>
    </row>
    <row r="403" spans="1:5" x14ac:dyDescent="0.2">
      <c r="A403" s="42">
        <v>27265</v>
      </c>
      <c r="B403" s="43">
        <f>VLOOKUP(A403,Database!F:H,3,)</f>
        <v>343000</v>
      </c>
      <c r="C403" s="43">
        <f t="shared" si="12"/>
        <v>11000</v>
      </c>
      <c r="D403" s="43">
        <f>VLOOKUP(A403,Database!F:H,2,)</f>
        <v>2172000</v>
      </c>
      <c r="E403" s="43">
        <f t="shared" si="13"/>
        <v>4000</v>
      </c>
    </row>
    <row r="404" spans="1:5" x14ac:dyDescent="0.2">
      <c r="A404" s="42">
        <v>27272</v>
      </c>
      <c r="B404" s="43">
        <f>VLOOKUP(A404,Database!F:H,3,)</f>
        <v>350000</v>
      </c>
      <c r="C404" s="43">
        <f t="shared" si="12"/>
        <v>7000</v>
      </c>
      <c r="D404" s="43">
        <f>VLOOKUP(A404,Database!F:H,2,)</f>
        <v>2211000</v>
      </c>
      <c r="E404" s="43">
        <f t="shared" si="13"/>
        <v>39000</v>
      </c>
    </row>
    <row r="405" spans="1:5" x14ac:dyDescent="0.2">
      <c r="A405" s="42">
        <v>27279</v>
      </c>
      <c r="B405" s="43">
        <f>VLOOKUP(A405,Database!F:H,3,)</f>
        <v>350000</v>
      </c>
      <c r="C405" s="43">
        <f t="shared" si="12"/>
        <v>0</v>
      </c>
      <c r="D405" s="43">
        <f>VLOOKUP(A405,Database!F:H,2,)</f>
        <v>2265000</v>
      </c>
      <c r="E405" s="43">
        <f t="shared" si="13"/>
        <v>54000</v>
      </c>
    </row>
    <row r="406" spans="1:5" x14ac:dyDescent="0.2">
      <c r="A406" s="42">
        <v>27286</v>
      </c>
      <c r="B406" s="43">
        <f>VLOOKUP(A406,Database!F:H,3,)</f>
        <v>357000</v>
      </c>
      <c r="C406" s="43">
        <f t="shared" si="12"/>
        <v>7000</v>
      </c>
      <c r="D406" s="43">
        <f>VLOOKUP(A406,Database!F:H,2,)</f>
        <v>2274000</v>
      </c>
      <c r="E406" s="43">
        <f t="shared" si="13"/>
        <v>9000</v>
      </c>
    </row>
    <row r="407" spans="1:5" x14ac:dyDescent="0.2">
      <c r="A407" s="42">
        <v>27293</v>
      </c>
      <c r="B407" s="43">
        <f>VLOOKUP(A407,Database!F:H,3,)</f>
        <v>370000</v>
      </c>
      <c r="C407" s="43">
        <f t="shared" si="12"/>
        <v>13000</v>
      </c>
      <c r="D407" s="43">
        <f>VLOOKUP(A407,Database!F:H,2,)</f>
        <v>2273000</v>
      </c>
      <c r="E407" s="43">
        <f t="shared" si="13"/>
        <v>-1000</v>
      </c>
    </row>
    <row r="408" spans="1:5" x14ac:dyDescent="0.2">
      <c r="A408" s="42">
        <v>27300</v>
      </c>
      <c r="B408" s="43">
        <f>VLOOKUP(A408,Database!F:H,3,)</f>
        <v>366000</v>
      </c>
      <c r="C408" s="43">
        <f t="shared" si="12"/>
        <v>-4000</v>
      </c>
      <c r="D408" s="43">
        <f>VLOOKUP(A408,Database!F:H,2,)</f>
        <v>2306000</v>
      </c>
      <c r="E408" s="43">
        <f t="shared" si="13"/>
        <v>33000</v>
      </c>
    </row>
    <row r="409" spans="1:5" x14ac:dyDescent="0.2">
      <c r="A409" s="42">
        <v>27307</v>
      </c>
      <c r="B409" s="43">
        <f>VLOOKUP(A409,Database!F:H,3,)</f>
        <v>371000</v>
      </c>
      <c r="C409" s="43">
        <f t="shared" si="12"/>
        <v>5000</v>
      </c>
      <c r="D409" s="43">
        <f>VLOOKUP(A409,Database!F:H,2,)</f>
        <v>2360000</v>
      </c>
      <c r="E409" s="43">
        <f t="shared" si="13"/>
        <v>54000</v>
      </c>
    </row>
    <row r="410" spans="1:5" x14ac:dyDescent="0.2">
      <c r="A410" s="42">
        <v>27314</v>
      </c>
      <c r="B410" s="43">
        <f>VLOOKUP(A410,Database!F:H,3,)</f>
        <v>413000</v>
      </c>
      <c r="C410" s="43">
        <f t="shared" si="12"/>
        <v>42000</v>
      </c>
      <c r="D410" s="43">
        <f>VLOOKUP(A410,Database!F:H,2,)</f>
        <v>2396000</v>
      </c>
      <c r="E410" s="43">
        <f t="shared" si="13"/>
        <v>36000</v>
      </c>
    </row>
    <row r="411" spans="1:5" x14ac:dyDescent="0.2">
      <c r="A411" s="42">
        <v>27321</v>
      </c>
      <c r="B411" s="43">
        <f>VLOOKUP(A411,Database!F:H,3,)</f>
        <v>389000</v>
      </c>
      <c r="C411" s="43">
        <f t="shared" si="12"/>
        <v>-24000</v>
      </c>
      <c r="D411" s="43">
        <f>VLOOKUP(A411,Database!F:H,2,)</f>
        <v>2519000</v>
      </c>
      <c r="E411" s="43">
        <f t="shared" si="13"/>
        <v>123000</v>
      </c>
    </row>
    <row r="412" spans="1:5" x14ac:dyDescent="0.2">
      <c r="A412" s="42">
        <v>27328</v>
      </c>
      <c r="B412" s="43">
        <f>VLOOKUP(A412,Database!F:H,3,)</f>
        <v>414000</v>
      </c>
      <c r="C412" s="43">
        <f t="shared" si="12"/>
        <v>25000</v>
      </c>
      <c r="D412" s="43">
        <f>VLOOKUP(A412,Database!F:H,2,)</f>
        <v>2520000</v>
      </c>
      <c r="E412" s="43">
        <f t="shared" si="13"/>
        <v>1000</v>
      </c>
    </row>
    <row r="413" spans="1:5" x14ac:dyDescent="0.2">
      <c r="A413" s="42">
        <v>27335</v>
      </c>
      <c r="B413" s="43">
        <f>VLOOKUP(A413,Database!F:H,3,)</f>
        <v>406000</v>
      </c>
      <c r="C413" s="43">
        <f t="shared" si="12"/>
        <v>-8000</v>
      </c>
      <c r="D413" s="43">
        <f>VLOOKUP(A413,Database!F:H,2,)</f>
        <v>2623000</v>
      </c>
      <c r="E413" s="43">
        <f t="shared" si="13"/>
        <v>103000</v>
      </c>
    </row>
    <row r="414" spans="1:5" x14ac:dyDescent="0.2">
      <c r="A414" s="42">
        <v>27342</v>
      </c>
      <c r="B414" s="43">
        <f>VLOOKUP(A414,Database!F:H,3,)</f>
        <v>441000</v>
      </c>
      <c r="C414" s="43">
        <f t="shared" si="12"/>
        <v>35000</v>
      </c>
      <c r="D414" s="43">
        <f>VLOOKUP(A414,Database!F:H,2,)</f>
        <v>2699000</v>
      </c>
      <c r="E414" s="43">
        <f t="shared" si="13"/>
        <v>76000</v>
      </c>
    </row>
    <row r="415" spans="1:5" x14ac:dyDescent="0.2">
      <c r="A415" s="42">
        <v>27349</v>
      </c>
      <c r="B415" s="43">
        <f>VLOOKUP(A415,Database!F:H,3,)</f>
        <v>449000</v>
      </c>
      <c r="C415" s="43">
        <f t="shared" si="12"/>
        <v>8000</v>
      </c>
      <c r="D415" s="43">
        <f>VLOOKUP(A415,Database!F:H,2,)</f>
        <v>2862000</v>
      </c>
      <c r="E415" s="43">
        <f t="shared" si="13"/>
        <v>163000</v>
      </c>
    </row>
    <row r="416" spans="1:5" x14ac:dyDescent="0.2">
      <c r="A416" s="42">
        <v>27356</v>
      </c>
      <c r="B416" s="43">
        <f>VLOOKUP(A416,Database!F:H,3,)</f>
        <v>518000</v>
      </c>
      <c r="C416" s="43">
        <f t="shared" si="12"/>
        <v>69000</v>
      </c>
      <c r="D416" s="43">
        <f>VLOOKUP(A416,Database!F:H,2,)</f>
        <v>2748000</v>
      </c>
      <c r="E416" s="43">
        <f t="shared" si="13"/>
        <v>-114000</v>
      </c>
    </row>
    <row r="417" spans="1:5" x14ac:dyDescent="0.2">
      <c r="A417" s="42">
        <v>27363</v>
      </c>
      <c r="B417" s="43">
        <f>VLOOKUP(A417,Database!F:H,3,)</f>
        <v>474000</v>
      </c>
      <c r="C417" s="43">
        <f t="shared" si="12"/>
        <v>-44000</v>
      </c>
      <c r="D417" s="43">
        <f>VLOOKUP(A417,Database!F:H,2,)</f>
        <v>3086000</v>
      </c>
      <c r="E417" s="43">
        <f t="shared" si="13"/>
        <v>338000</v>
      </c>
    </row>
    <row r="418" spans="1:5" x14ac:dyDescent="0.2">
      <c r="A418" s="42">
        <v>27370</v>
      </c>
      <c r="B418" s="43">
        <f>VLOOKUP(A418,Database!F:H,3,)</f>
        <v>528000</v>
      </c>
      <c r="C418" s="43">
        <f t="shared" si="12"/>
        <v>54000</v>
      </c>
      <c r="D418" s="43">
        <f>VLOOKUP(A418,Database!F:H,2,)</f>
        <v>3178000</v>
      </c>
      <c r="E418" s="43">
        <f t="shared" si="13"/>
        <v>92000</v>
      </c>
    </row>
    <row r="419" spans="1:5" x14ac:dyDescent="0.2">
      <c r="A419" s="42">
        <v>27377</v>
      </c>
      <c r="B419" s="43">
        <f>VLOOKUP(A419,Database!F:H,3,)</f>
        <v>510000</v>
      </c>
      <c r="C419" s="43">
        <f t="shared" si="12"/>
        <v>-18000</v>
      </c>
      <c r="D419" s="43">
        <f>VLOOKUP(A419,Database!F:H,2,)</f>
        <v>3291000</v>
      </c>
      <c r="E419" s="43">
        <f t="shared" si="13"/>
        <v>113000</v>
      </c>
    </row>
    <row r="420" spans="1:5" x14ac:dyDescent="0.2">
      <c r="A420" s="42">
        <v>27384</v>
      </c>
      <c r="B420" s="43">
        <f>VLOOKUP(A420,Database!F:H,3,)</f>
        <v>521000</v>
      </c>
      <c r="C420" s="43">
        <f t="shared" si="12"/>
        <v>11000</v>
      </c>
      <c r="D420" s="43">
        <f>VLOOKUP(A420,Database!F:H,2,)</f>
        <v>3300000</v>
      </c>
      <c r="E420" s="43">
        <f t="shared" si="13"/>
        <v>9000</v>
      </c>
    </row>
    <row r="421" spans="1:5" x14ac:dyDescent="0.2">
      <c r="A421" s="42">
        <v>27391</v>
      </c>
      <c r="B421" s="43">
        <f>VLOOKUP(A421,Database!F:H,3,)</f>
        <v>537000</v>
      </c>
      <c r="C421" s="43">
        <f t="shared" si="12"/>
        <v>16000</v>
      </c>
      <c r="D421" s="43">
        <f>VLOOKUP(A421,Database!F:H,2,)</f>
        <v>3396000</v>
      </c>
      <c r="E421" s="43">
        <f t="shared" si="13"/>
        <v>96000</v>
      </c>
    </row>
    <row r="422" spans="1:5" x14ac:dyDescent="0.2">
      <c r="A422" s="42">
        <v>27398</v>
      </c>
      <c r="B422" s="43">
        <f>VLOOKUP(A422,Database!F:H,3,)</f>
        <v>456000</v>
      </c>
      <c r="C422" s="43">
        <f t="shared" si="12"/>
        <v>-81000</v>
      </c>
      <c r="D422" s="43">
        <f>VLOOKUP(A422,Database!F:H,2,)</f>
        <v>3554000</v>
      </c>
      <c r="E422" s="43">
        <f t="shared" si="13"/>
        <v>158000</v>
      </c>
    </row>
    <row r="423" spans="1:5" x14ac:dyDescent="0.2">
      <c r="A423" s="42">
        <v>27405</v>
      </c>
      <c r="B423" s="43">
        <f>VLOOKUP(A423,Database!F:H,3,)</f>
        <v>554000</v>
      </c>
      <c r="C423" s="43">
        <f t="shared" si="12"/>
        <v>98000</v>
      </c>
      <c r="D423" s="43">
        <f>VLOOKUP(A423,Database!F:H,2,)</f>
        <v>3557000</v>
      </c>
      <c r="E423" s="43">
        <f t="shared" si="13"/>
        <v>3000</v>
      </c>
    </row>
    <row r="424" spans="1:5" x14ac:dyDescent="0.2">
      <c r="A424" s="42">
        <v>27412</v>
      </c>
      <c r="B424" s="43">
        <f>VLOOKUP(A424,Database!F:H,3,)</f>
        <v>575000</v>
      </c>
      <c r="C424" s="43">
        <f t="shared" si="12"/>
        <v>21000</v>
      </c>
      <c r="D424" s="43">
        <f>VLOOKUP(A424,Database!F:H,2,)</f>
        <v>3658000</v>
      </c>
      <c r="E424" s="43">
        <f t="shared" si="13"/>
        <v>101000</v>
      </c>
    </row>
    <row r="425" spans="1:5" x14ac:dyDescent="0.2">
      <c r="A425" s="42">
        <v>27419</v>
      </c>
      <c r="B425" s="43">
        <f>VLOOKUP(A425,Database!F:H,3,)</f>
        <v>555000</v>
      </c>
      <c r="C425" s="43">
        <f t="shared" si="12"/>
        <v>-20000</v>
      </c>
      <c r="D425" s="43">
        <f>VLOOKUP(A425,Database!F:H,2,)</f>
        <v>3708000</v>
      </c>
      <c r="E425" s="43">
        <f t="shared" si="13"/>
        <v>50000</v>
      </c>
    </row>
    <row r="426" spans="1:5" x14ac:dyDescent="0.2">
      <c r="A426" s="42">
        <v>27426</v>
      </c>
      <c r="B426" s="43">
        <f>VLOOKUP(A426,Database!F:H,3,)</f>
        <v>559000</v>
      </c>
      <c r="C426" s="43">
        <f t="shared" si="12"/>
        <v>4000</v>
      </c>
      <c r="D426" s="43">
        <f>VLOOKUP(A426,Database!F:H,2,)</f>
        <v>3738000</v>
      </c>
      <c r="E426" s="43">
        <f t="shared" si="13"/>
        <v>30000</v>
      </c>
    </row>
    <row r="427" spans="1:5" x14ac:dyDescent="0.2">
      <c r="A427" s="42">
        <v>27433</v>
      </c>
      <c r="B427" s="43">
        <f>VLOOKUP(A427,Database!F:H,3,)</f>
        <v>545000</v>
      </c>
      <c r="C427" s="43">
        <f t="shared" si="12"/>
        <v>-14000</v>
      </c>
      <c r="D427" s="43">
        <f>VLOOKUP(A427,Database!F:H,2,)</f>
        <v>3856000</v>
      </c>
      <c r="E427" s="43">
        <f t="shared" si="13"/>
        <v>118000</v>
      </c>
    </row>
    <row r="428" spans="1:5" x14ac:dyDescent="0.2">
      <c r="A428" s="42">
        <v>27440</v>
      </c>
      <c r="B428" s="43">
        <f>VLOOKUP(A428,Database!F:H,3,)</f>
        <v>530000</v>
      </c>
      <c r="C428" s="43">
        <f t="shared" si="12"/>
        <v>-15000</v>
      </c>
      <c r="D428" s="43">
        <f>VLOOKUP(A428,Database!F:H,2,)</f>
        <v>3863000</v>
      </c>
      <c r="E428" s="43">
        <f t="shared" si="13"/>
        <v>7000</v>
      </c>
    </row>
    <row r="429" spans="1:5" x14ac:dyDescent="0.2">
      <c r="A429" s="42">
        <v>27447</v>
      </c>
      <c r="B429" s="43">
        <f>VLOOKUP(A429,Database!F:H,3,)</f>
        <v>544000</v>
      </c>
      <c r="C429" s="43">
        <f t="shared" si="12"/>
        <v>14000</v>
      </c>
      <c r="D429" s="43">
        <f>VLOOKUP(A429,Database!F:H,2,)</f>
        <v>3969000</v>
      </c>
      <c r="E429" s="43">
        <f t="shared" si="13"/>
        <v>106000</v>
      </c>
    </row>
    <row r="430" spans="1:5" x14ac:dyDescent="0.2">
      <c r="A430" s="42">
        <v>27454</v>
      </c>
      <c r="B430" s="43">
        <f>VLOOKUP(A430,Database!F:H,3,)</f>
        <v>546000</v>
      </c>
      <c r="C430" s="43">
        <f t="shared" si="12"/>
        <v>2000</v>
      </c>
      <c r="D430" s="43">
        <f>VLOOKUP(A430,Database!F:H,2,)</f>
        <v>4023000</v>
      </c>
      <c r="E430" s="43">
        <f t="shared" si="13"/>
        <v>54000</v>
      </c>
    </row>
    <row r="431" spans="1:5" x14ac:dyDescent="0.2">
      <c r="A431" s="42">
        <v>27461</v>
      </c>
      <c r="B431" s="43">
        <f>VLOOKUP(A431,Database!F:H,3,)</f>
        <v>551000</v>
      </c>
      <c r="C431" s="43">
        <f t="shared" si="12"/>
        <v>5000</v>
      </c>
      <c r="D431" s="43">
        <f>VLOOKUP(A431,Database!F:H,2,)</f>
        <v>4147000</v>
      </c>
      <c r="E431" s="43">
        <f t="shared" si="13"/>
        <v>124000</v>
      </c>
    </row>
    <row r="432" spans="1:5" x14ac:dyDescent="0.2">
      <c r="A432" s="42">
        <v>27468</v>
      </c>
      <c r="B432" s="43">
        <f>VLOOKUP(A432,Database!F:H,3,)</f>
        <v>531000</v>
      </c>
      <c r="C432" s="43">
        <f t="shared" si="12"/>
        <v>-20000</v>
      </c>
      <c r="D432" s="43">
        <f>VLOOKUP(A432,Database!F:H,2,)</f>
        <v>4195000</v>
      </c>
      <c r="E432" s="43">
        <f t="shared" si="13"/>
        <v>48000</v>
      </c>
    </row>
    <row r="433" spans="1:5" x14ac:dyDescent="0.2">
      <c r="A433" s="42">
        <v>27475</v>
      </c>
      <c r="B433" s="43">
        <f>VLOOKUP(A433,Database!F:H,3,)</f>
        <v>550000</v>
      </c>
      <c r="C433" s="43">
        <f t="shared" si="12"/>
        <v>19000</v>
      </c>
      <c r="D433" s="43">
        <f>VLOOKUP(A433,Database!F:H,2,)</f>
        <v>4201000</v>
      </c>
      <c r="E433" s="43">
        <f t="shared" si="13"/>
        <v>6000</v>
      </c>
    </row>
    <row r="434" spans="1:5" x14ac:dyDescent="0.2">
      <c r="A434" s="42">
        <v>27482</v>
      </c>
      <c r="B434" s="43">
        <f>VLOOKUP(A434,Database!F:H,3,)</f>
        <v>555000</v>
      </c>
      <c r="C434" s="43">
        <f t="shared" si="12"/>
        <v>5000</v>
      </c>
      <c r="D434" s="43">
        <f>VLOOKUP(A434,Database!F:H,2,)</f>
        <v>4310000</v>
      </c>
      <c r="E434" s="43">
        <f t="shared" si="13"/>
        <v>109000</v>
      </c>
    </row>
    <row r="435" spans="1:5" x14ac:dyDescent="0.2">
      <c r="A435" s="42">
        <v>27489</v>
      </c>
      <c r="B435" s="43">
        <f>VLOOKUP(A435,Database!F:H,3,)</f>
        <v>537000</v>
      </c>
      <c r="C435" s="43">
        <f t="shared" si="12"/>
        <v>-18000</v>
      </c>
      <c r="D435" s="43">
        <f>VLOOKUP(A435,Database!F:H,2,)</f>
        <v>4428000</v>
      </c>
      <c r="E435" s="43">
        <f t="shared" si="13"/>
        <v>118000</v>
      </c>
    </row>
    <row r="436" spans="1:5" x14ac:dyDescent="0.2">
      <c r="A436" s="42">
        <v>27496</v>
      </c>
      <c r="B436" s="43">
        <f>VLOOKUP(A436,Database!F:H,3,)</f>
        <v>520000</v>
      </c>
      <c r="C436" s="43">
        <f t="shared" si="12"/>
        <v>-17000</v>
      </c>
      <c r="D436" s="43">
        <f>VLOOKUP(A436,Database!F:H,2,)</f>
        <v>4449000</v>
      </c>
      <c r="E436" s="43">
        <f t="shared" si="13"/>
        <v>21000</v>
      </c>
    </row>
    <row r="437" spans="1:5" x14ac:dyDescent="0.2">
      <c r="A437" s="42">
        <v>27503</v>
      </c>
      <c r="B437" s="43">
        <f>VLOOKUP(A437,Database!F:H,3,)</f>
        <v>531000</v>
      </c>
      <c r="C437" s="43">
        <f t="shared" si="12"/>
        <v>11000</v>
      </c>
      <c r="D437" s="43">
        <f>VLOOKUP(A437,Database!F:H,2,)</f>
        <v>4497000</v>
      </c>
      <c r="E437" s="43">
        <f t="shared" si="13"/>
        <v>48000</v>
      </c>
    </row>
    <row r="438" spans="1:5" x14ac:dyDescent="0.2">
      <c r="A438" s="42">
        <v>27510</v>
      </c>
      <c r="B438" s="43">
        <f>VLOOKUP(A438,Database!F:H,3,)</f>
        <v>513000</v>
      </c>
      <c r="C438" s="43">
        <f t="shared" si="12"/>
        <v>-18000</v>
      </c>
      <c r="D438" s="43">
        <f>VLOOKUP(A438,Database!F:H,2,)</f>
        <v>4520000</v>
      </c>
      <c r="E438" s="43">
        <f t="shared" si="13"/>
        <v>23000</v>
      </c>
    </row>
    <row r="439" spans="1:5" x14ac:dyDescent="0.2">
      <c r="A439" s="42">
        <v>27517</v>
      </c>
      <c r="B439" s="43">
        <f>VLOOKUP(A439,Database!F:H,3,)</f>
        <v>505000</v>
      </c>
      <c r="C439" s="43">
        <f t="shared" si="12"/>
        <v>-8000</v>
      </c>
      <c r="D439" s="43">
        <f>VLOOKUP(A439,Database!F:H,2,)</f>
        <v>4604000</v>
      </c>
      <c r="E439" s="43">
        <f t="shared" si="13"/>
        <v>84000</v>
      </c>
    </row>
    <row r="440" spans="1:5" x14ac:dyDescent="0.2">
      <c r="A440" s="42">
        <v>27524</v>
      </c>
      <c r="B440" s="43">
        <f>VLOOKUP(A440,Database!F:H,3,)</f>
        <v>507000</v>
      </c>
      <c r="C440" s="43">
        <f t="shared" si="12"/>
        <v>2000</v>
      </c>
      <c r="D440" s="43">
        <f>VLOOKUP(A440,Database!F:H,2,)</f>
        <v>4597000</v>
      </c>
      <c r="E440" s="43">
        <f t="shared" si="13"/>
        <v>-7000</v>
      </c>
    </row>
    <row r="441" spans="1:5" x14ac:dyDescent="0.2">
      <c r="A441" s="42">
        <v>27531</v>
      </c>
      <c r="B441" s="43">
        <f>VLOOKUP(A441,Database!F:H,3,)</f>
        <v>514000</v>
      </c>
      <c r="C441" s="43">
        <f t="shared" si="12"/>
        <v>7000</v>
      </c>
      <c r="D441" s="43">
        <f>VLOOKUP(A441,Database!F:H,2,)</f>
        <v>4592000</v>
      </c>
      <c r="E441" s="43">
        <f t="shared" si="13"/>
        <v>-5000</v>
      </c>
    </row>
    <row r="442" spans="1:5" x14ac:dyDescent="0.2">
      <c r="A442" s="42">
        <v>27538</v>
      </c>
      <c r="B442" s="43">
        <f>VLOOKUP(A442,Database!F:H,3,)</f>
        <v>493000</v>
      </c>
      <c r="C442" s="43">
        <f t="shared" si="12"/>
        <v>-21000</v>
      </c>
      <c r="D442" s="43">
        <f>VLOOKUP(A442,Database!F:H,2,)</f>
        <v>4461000</v>
      </c>
      <c r="E442" s="43">
        <f t="shared" si="13"/>
        <v>-131000</v>
      </c>
    </row>
    <row r="443" spans="1:5" x14ac:dyDescent="0.2">
      <c r="A443" s="42">
        <v>27545</v>
      </c>
      <c r="B443" s="43">
        <f>VLOOKUP(A443,Database!F:H,3,)</f>
        <v>475000</v>
      </c>
      <c r="C443" s="43">
        <f t="shared" si="12"/>
        <v>-18000</v>
      </c>
      <c r="D443" s="43">
        <f>VLOOKUP(A443,Database!F:H,2,)</f>
        <v>4637000</v>
      </c>
      <c r="E443" s="43">
        <f t="shared" si="13"/>
        <v>176000</v>
      </c>
    </row>
    <row r="444" spans="1:5" x14ac:dyDescent="0.2">
      <c r="A444" s="42">
        <v>27552</v>
      </c>
      <c r="B444" s="43">
        <f>VLOOKUP(A444,Database!F:H,3,)</f>
        <v>529000</v>
      </c>
      <c r="C444" s="43">
        <f t="shared" si="12"/>
        <v>54000</v>
      </c>
      <c r="D444" s="43">
        <f>VLOOKUP(A444,Database!F:H,2,)</f>
        <v>4484000</v>
      </c>
      <c r="E444" s="43">
        <f t="shared" si="13"/>
        <v>-153000</v>
      </c>
    </row>
    <row r="445" spans="1:5" x14ac:dyDescent="0.2">
      <c r="A445" s="42">
        <v>27559</v>
      </c>
      <c r="B445" s="43">
        <f>VLOOKUP(A445,Database!F:H,3,)</f>
        <v>497000</v>
      </c>
      <c r="C445" s="43">
        <f t="shared" si="12"/>
        <v>-32000</v>
      </c>
      <c r="D445" s="43">
        <f>VLOOKUP(A445,Database!F:H,2,)</f>
        <v>4529000</v>
      </c>
      <c r="E445" s="43">
        <f t="shared" si="13"/>
        <v>45000</v>
      </c>
    </row>
    <row r="446" spans="1:5" x14ac:dyDescent="0.2">
      <c r="A446" s="42">
        <v>27566</v>
      </c>
      <c r="B446" s="43">
        <f>VLOOKUP(A446,Database!F:H,3,)</f>
        <v>497000</v>
      </c>
      <c r="C446" s="43">
        <f t="shared" si="12"/>
        <v>0</v>
      </c>
      <c r="D446" s="43">
        <f>VLOOKUP(A446,Database!F:H,2,)</f>
        <v>4406000</v>
      </c>
      <c r="E446" s="43">
        <f t="shared" si="13"/>
        <v>-123000</v>
      </c>
    </row>
    <row r="447" spans="1:5" x14ac:dyDescent="0.2">
      <c r="A447" s="42">
        <v>27573</v>
      </c>
      <c r="B447" s="43">
        <f>VLOOKUP(A447,Database!F:H,3,)</f>
        <v>459000</v>
      </c>
      <c r="C447" s="43">
        <f t="shared" si="12"/>
        <v>-38000</v>
      </c>
      <c r="D447" s="43">
        <f>VLOOKUP(A447,Database!F:H,2,)</f>
        <v>4090000</v>
      </c>
      <c r="E447" s="43">
        <f t="shared" si="13"/>
        <v>-316000</v>
      </c>
    </row>
    <row r="448" spans="1:5" x14ac:dyDescent="0.2">
      <c r="A448" s="42">
        <v>27580</v>
      </c>
      <c r="B448" s="43">
        <f>VLOOKUP(A448,Database!F:H,3,)</f>
        <v>423000</v>
      </c>
      <c r="C448" s="43">
        <f t="shared" si="12"/>
        <v>-36000</v>
      </c>
      <c r="D448" s="43">
        <f>VLOOKUP(A448,Database!F:H,2,)</f>
        <v>4239000</v>
      </c>
      <c r="E448" s="43">
        <f t="shared" si="13"/>
        <v>149000</v>
      </c>
    </row>
    <row r="449" spans="1:5" x14ac:dyDescent="0.2">
      <c r="A449" s="42">
        <v>27587</v>
      </c>
      <c r="B449" s="43">
        <f>VLOOKUP(A449,Database!F:H,3,)</f>
        <v>446000</v>
      </c>
      <c r="C449" s="43">
        <f t="shared" si="12"/>
        <v>23000</v>
      </c>
      <c r="D449" s="43">
        <f>VLOOKUP(A449,Database!F:H,2,)</f>
        <v>4057000</v>
      </c>
      <c r="E449" s="43">
        <f t="shared" si="13"/>
        <v>-182000</v>
      </c>
    </row>
    <row r="450" spans="1:5" x14ac:dyDescent="0.2">
      <c r="A450" s="42">
        <v>27594</v>
      </c>
      <c r="B450" s="43">
        <f>VLOOKUP(A450,Database!F:H,3,)</f>
        <v>445000</v>
      </c>
      <c r="C450" s="43">
        <f t="shared" si="12"/>
        <v>-1000</v>
      </c>
      <c r="D450" s="43">
        <f>VLOOKUP(A450,Database!F:H,2,)</f>
        <v>4208000</v>
      </c>
      <c r="E450" s="43">
        <f t="shared" si="13"/>
        <v>151000</v>
      </c>
    </row>
    <row r="451" spans="1:5" x14ac:dyDescent="0.2">
      <c r="A451" s="42">
        <v>27601</v>
      </c>
      <c r="B451" s="43">
        <f>VLOOKUP(A451,Database!F:H,3,)</f>
        <v>454000</v>
      </c>
      <c r="C451" s="43">
        <f t="shared" si="12"/>
        <v>9000</v>
      </c>
      <c r="D451" s="43">
        <f>VLOOKUP(A451,Database!F:H,2,)</f>
        <v>4075000</v>
      </c>
      <c r="E451" s="43">
        <f t="shared" si="13"/>
        <v>-133000</v>
      </c>
    </row>
    <row r="452" spans="1:5" x14ac:dyDescent="0.2">
      <c r="A452" s="42">
        <v>27608</v>
      </c>
      <c r="B452" s="43">
        <f>VLOOKUP(A452,Database!F:H,3,)</f>
        <v>454000</v>
      </c>
      <c r="C452" s="43">
        <f t="shared" si="12"/>
        <v>0</v>
      </c>
      <c r="D452" s="43">
        <f>VLOOKUP(A452,Database!F:H,2,)</f>
        <v>4015000</v>
      </c>
      <c r="E452" s="43">
        <f t="shared" si="13"/>
        <v>-60000</v>
      </c>
    </row>
    <row r="453" spans="1:5" x14ac:dyDescent="0.2">
      <c r="A453" s="42">
        <v>27615</v>
      </c>
      <c r="B453" s="43">
        <f>VLOOKUP(A453,Database!F:H,3,)</f>
        <v>459000</v>
      </c>
      <c r="C453" s="43">
        <f t="shared" si="12"/>
        <v>5000</v>
      </c>
      <c r="D453" s="43">
        <f>VLOOKUP(A453,Database!F:H,2,)</f>
        <v>4028000</v>
      </c>
      <c r="E453" s="43">
        <f t="shared" si="13"/>
        <v>13000</v>
      </c>
    </row>
    <row r="454" spans="1:5" x14ac:dyDescent="0.2">
      <c r="A454" s="42">
        <v>27622</v>
      </c>
      <c r="B454" s="43">
        <f>VLOOKUP(A454,Database!F:H,3,)</f>
        <v>444000</v>
      </c>
      <c r="C454" s="43">
        <f t="shared" si="12"/>
        <v>-15000</v>
      </c>
      <c r="D454" s="43">
        <f>VLOOKUP(A454,Database!F:H,2,)</f>
        <v>3934000</v>
      </c>
      <c r="E454" s="43">
        <f t="shared" si="13"/>
        <v>-94000</v>
      </c>
    </row>
    <row r="455" spans="1:5" x14ac:dyDescent="0.2">
      <c r="A455" s="42">
        <v>27629</v>
      </c>
      <c r="B455" s="43">
        <f>VLOOKUP(A455,Database!F:H,3,)</f>
        <v>457000</v>
      </c>
      <c r="C455" s="43">
        <f t="shared" si="12"/>
        <v>13000</v>
      </c>
      <c r="D455" s="43">
        <f>VLOOKUP(A455,Database!F:H,2,)</f>
        <v>3940000</v>
      </c>
      <c r="E455" s="43">
        <f t="shared" si="13"/>
        <v>6000</v>
      </c>
    </row>
    <row r="456" spans="1:5" x14ac:dyDescent="0.2">
      <c r="A456" s="42">
        <v>27636</v>
      </c>
      <c r="B456" s="43">
        <f>VLOOKUP(A456,Database!F:H,3,)</f>
        <v>446000</v>
      </c>
      <c r="C456" s="43">
        <f t="shared" ref="C456:C519" si="14">B456-B455</f>
        <v>-11000</v>
      </c>
      <c r="D456" s="43">
        <f>VLOOKUP(A456,Database!F:H,2,)</f>
        <v>3854000</v>
      </c>
      <c r="E456" s="43">
        <f t="shared" ref="E456:E519" si="15">D456-D455</f>
        <v>-86000</v>
      </c>
    </row>
    <row r="457" spans="1:5" x14ac:dyDescent="0.2">
      <c r="A457" s="42">
        <v>27643</v>
      </c>
      <c r="B457" s="43">
        <f>VLOOKUP(A457,Database!F:H,3,)</f>
        <v>447000</v>
      </c>
      <c r="C457" s="43">
        <f t="shared" si="14"/>
        <v>1000</v>
      </c>
      <c r="D457" s="43">
        <f>VLOOKUP(A457,Database!F:H,2,)</f>
        <v>3969000</v>
      </c>
      <c r="E457" s="43">
        <f t="shared" si="15"/>
        <v>115000</v>
      </c>
    </row>
    <row r="458" spans="1:5" x14ac:dyDescent="0.2">
      <c r="A458" s="42">
        <v>27650</v>
      </c>
      <c r="B458" s="43">
        <f>VLOOKUP(A458,Database!F:H,3,)</f>
        <v>456000</v>
      </c>
      <c r="C458" s="43">
        <f t="shared" si="14"/>
        <v>9000</v>
      </c>
      <c r="D458" s="43">
        <f>VLOOKUP(A458,Database!F:H,2,)</f>
        <v>3880000</v>
      </c>
      <c r="E458" s="43">
        <f t="shared" si="15"/>
        <v>-89000</v>
      </c>
    </row>
    <row r="459" spans="1:5" x14ac:dyDescent="0.2">
      <c r="A459" s="42">
        <v>27657</v>
      </c>
      <c r="B459" s="43">
        <f>VLOOKUP(A459,Database!F:H,3,)</f>
        <v>433000</v>
      </c>
      <c r="C459" s="43">
        <f t="shared" si="14"/>
        <v>-23000</v>
      </c>
      <c r="D459" s="43">
        <f>VLOOKUP(A459,Database!F:H,2,)</f>
        <v>3880000</v>
      </c>
      <c r="E459" s="43">
        <f t="shared" si="15"/>
        <v>0</v>
      </c>
    </row>
    <row r="460" spans="1:5" x14ac:dyDescent="0.2">
      <c r="A460" s="42">
        <v>27664</v>
      </c>
      <c r="B460" s="43">
        <f>VLOOKUP(A460,Database!F:H,3,)</f>
        <v>445000</v>
      </c>
      <c r="C460" s="43">
        <f t="shared" si="14"/>
        <v>12000</v>
      </c>
      <c r="D460" s="43">
        <f>VLOOKUP(A460,Database!F:H,2,)</f>
        <v>3851000</v>
      </c>
      <c r="E460" s="43">
        <f t="shared" si="15"/>
        <v>-29000</v>
      </c>
    </row>
    <row r="461" spans="1:5" x14ac:dyDescent="0.2">
      <c r="A461" s="42">
        <v>27671</v>
      </c>
      <c r="B461" s="43">
        <f>VLOOKUP(A461,Database!F:H,3,)</f>
        <v>426000</v>
      </c>
      <c r="C461" s="43">
        <f t="shared" si="14"/>
        <v>-19000</v>
      </c>
      <c r="D461" s="43">
        <f>VLOOKUP(A461,Database!F:H,2,)</f>
        <v>3868000</v>
      </c>
      <c r="E461" s="43">
        <f t="shared" si="15"/>
        <v>17000</v>
      </c>
    </row>
    <row r="462" spans="1:5" x14ac:dyDescent="0.2">
      <c r="A462" s="42">
        <v>27678</v>
      </c>
      <c r="B462" s="43">
        <f>VLOOKUP(A462,Database!F:H,3,)</f>
        <v>429000</v>
      </c>
      <c r="C462" s="43">
        <f t="shared" si="14"/>
        <v>3000</v>
      </c>
      <c r="D462" s="43">
        <f>VLOOKUP(A462,Database!F:H,2,)</f>
        <v>3675000</v>
      </c>
      <c r="E462" s="43">
        <f t="shared" si="15"/>
        <v>-193000</v>
      </c>
    </row>
    <row r="463" spans="1:5" x14ac:dyDescent="0.2">
      <c r="A463" s="42">
        <v>27685</v>
      </c>
      <c r="B463" s="43">
        <f>VLOOKUP(A463,Database!F:H,3,)</f>
        <v>404000</v>
      </c>
      <c r="C463" s="43">
        <f t="shared" si="14"/>
        <v>-25000</v>
      </c>
      <c r="D463" s="43">
        <f>VLOOKUP(A463,Database!F:H,2,)</f>
        <v>3720000</v>
      </c>
      <c r="E463" s="43">
        <f t="shared" si="15"/>
        <v>45000</v>
      </c>
    </row>
    <row r="464" spans="1:5" x14ac:dyDescent="0.2">
      <c r="A464" s="42">
        <v>27692</v>
      </c>
      <c r="B464" s="43">
        <f>VLOOKUP(A464,Database!F:H,3,)</f>
        <v>426000</v>
      </c>
      <c r="C464" s="43">
        <f t="shared" si="14"/>
        <v>22000</v>
      </c>
      <c r="D464" s="43">
        <f>VLOOKUP(A464,Database!F:H,2,)</f>
        <v>3662000</v>
      </c>
      <c r="E464" s="43">
        <f t="shared" si="15"/>
        <v>-58000</v>
      </c>
    </row>
    <row r="465" spans="1:5" x14ac:dyDescent="0.2">
      <c r="A465" s="42">
        <v>27699</v>
      </c>
      <c r="B465" s="43">
        <f>VLOOKUP(A465,Database!F:H,3,)</f>
        <v>414000</v>
      </c>
      <c r="C465" s="43">
        <f t="shared" si="14"/>
        <v>-12000</v>
      </c>
      <c r="D465" s="43">
        <f>VLOOKUP(A465,Database!F:H,2,)</f>
        <v>3607000</v>
      </c>
      <c r="E465" s="43">
        <f t="shared" si="15"/>
        <v>-55000</v>
      </c>
    </row>
    <row r="466" spans="1:5" x14ac:dyDescent="0.2">
      <c r="A466" s="42">
        <v>27706</v>
      </c>
      <c r="B466" s="43">
        <f>VLOOKUP(A466,Database!F:H,3,)</f>
        <v>415000</v>
      </c>
      <c r="C466" s="43">
        <f t="shared" si="14"/>
        <v>1000</v>
      </c>
      <c r="D466" s="43">
        <f>VLOOKUP(A466,Database!F:H,2,)</f>
        <v>3546000</v>
      </c>
      <c r="E466" s="43">
        <f t="shared" si="15"/>
        <v>-61000</v>
      </c>
    </row>
    <row r="467" spans="1:5" x14ac:dyDescent="0.2">
      <c r="A467" s="42">
        <v>27713</v>
      </c>
      <c r="B467" s="43">
        <f>VLOOKUP(A467,Database!F:H,3,)</f>
        <v>386000</v>
      </c>
      <c r="C467" s="43">
        <f t="shared" si="14"/>
        <v>-29000</v>
      </c>
      <c r="D467" s="43">
        <f>VLOOKUP(A467,Database!F:H,2,)</f>
        <v>3551000</v>
      </c>
      <c r="E467" s="43">
        <f t="shared" si="15"/>
        <v>5000</v>
      </c>
    </row>
    <row r="468" spans="1:5" x14ac:dyDescent="0.2">
      <c r="A468" s="42">
        <v>27720</v>
      </c>
      <c r="B468" s="43">
        <f>VLOOKUP(A468,Database!F:H,3,)</f>
        <v>401000</v>
      </c>
      <c r="C468" s="43">
        <f t="shared" si="14"/>
        <v>15000</v>
      </c>
      <c r="D468" s="43">
        <f>VLOOKUP(A468,Database!F:H,2,)</f>
        <v>3377000</v>
      </c>
      <c r="E468" s="43">
        <f t="shared" si="15"/>
        <v>-174000</v>
      </c>
    </row>
    <row r="469" spans="1:5" x14ac:dyDescent="0.2">
      <c r="A469" s="42">
        <v>27727</v>
      </c>
      <c r="B469" s="43">
        <f>VLOOKUP(A469,Database!F:H,3,)</f>
        <v>387000</v>
      </c>
      <c r="C469" s="43">
        <f t="shared" si="14"/>
        <v>-14000</v>
      </c>
      <c r="D469" s="43">
        <f>VLOOKUP(A469,Database!F:H,2,)</f>
        <v>3391000</v>
      </c>
      <c r="E469" s="43">
        <f t="shared" si="15"/>
        <v>14000</v>
      </c>
    </row>
    <row r="470" spans="1:5" x14ac:dyDescent="0.2">
      <c r="A470" s="42">
        <v>27734</v>
      </c>
      <c r="B470" s="43">
        <f>VLOOKUP(A470,Database!F:H,3,)</f>
        <v>373000</v>
      </c>
      <c r="C470" s="43">
        <f t="shared" si="14"/>
        <v>-14000</v>
      </c>
      <c r="D470" s="43">
        <f>VLOOKUP(A470,Database!F:H,2,)</f>
        <v>3331000</v>
      </c>
      <c r="E470" s="43">
        <f t="shared" si="15"/>
        <v>-60000</v>
      </c>
    </row>
    <row r="471" spans="1:5" x14ac:dyDescent="0.2">
      <c r="A471" s="42">
        <v>27741</v>
      </c>
      <c r="B471" s="43">
        <f>VLOOKUP(A471,Database!F:H,3,)</f>
        <v>368000</v>
      </c>
      <c r="C471" s="43">
        <f t="shared" si="14"/>
        <v>-5000</v>
      </c>
      <c r="D471" s="43">
        <f>VLOOKUP(A471,Database!F:H,2,)</f>
        <v>3266000</v>
      </c>
      <c r="E471" s="43">
        <f t="shared" si="15"/>
        <v>-65000</v>
      </c>
    </row>
    <row r="472" spans="1:5" x14ac:dyDescent="0.2">
      <c r="A472" s="42">
        <v>27748</v>
      </c>
      <c r="B472" s="43">
        <f>VLOOKUP(A472,Database!F:H,3,)</f>
        <v>365000</v>
      </c>
      <c r="C472" s="43">
        <f t="shared" si="14"/>
        <v>-3000</v>
      </c>
      <c r="D472" s="43">
        <f>VLOOKUP(A472,Database!F:H,2,)</f>
        <v>3124000</v>
      </c>
      <c r="E472" s="43">
        <f t="shared" si="15"/>
        <v>-142000</v>
      </c>
    </row>
    <row r="473" spans="1:5" x14ac:dyDescent="0.2">
      <c r="A473" s="42">
        <v>27755</v>
      </c>
      <c r="B473" s="43">
        <f>VLOOKUP(A473,Database!F:H,3,)</f>
        <v>391000</v>
      </c>
      <c r="C473" s="43">
        <f t="shared" si="14"/>
        <v>26000</v>
      </c>
      <c r="D473" s="43">
        <f>VLOOKUP(A473,Database!F:H,2,)</f>
        <v>3072000</v>
      </c>
      <c r="E473" s="43">
        <f t="shared" si="15"/>
        <v>-52000</v>
      </c>
    </row>
    <row r="474" spans="1:5" x14ac:dyDescent="0.2">
      <c r="A474" s="42">
        <v>27762</v>
      </c>
      <c r="B474" s="43">
        <f>VLOOKUP(A474,Database!F:H,3,)</f>
        <v>362000</v>
      </c>
      <c r="C474" s="43">
        <f t="shared" si="14"/>
        <v>-29000</v>
      </c>
      <c r="D474" s="43">
        <f>VLOOKUP(A474,Database!F:H,2,)</f>
        <v>3214000</v>
      </c>
      <c r="E474" s="43">
        <f t="shared" si="15"/>
        <v>142000</v>
      </c>
    </row>
    <row r="475" spans="1:5" x14ac:dyDescent="0.2">
      <c r="A475" s="42">
        <v>27769</v>
      </c>
      <c r="B475" s="43">
        <f>VLOOKUP(A475,Database!F:H,3,)</f>
        <v>402000</v>
      </c>
      <c r="C475" s="43">
        <f t="shared" si="14"/>
        <v>40000</v>
      </c>
      <c r="D475" s="43">
        <f>VLOOKUP(A475,Database!F:H,2,)</f>
        <v>3084000</v>
      </c>
      <c r="E475" s="43">
        <f t="shared" si="15"/>
        <v>-130000</v>
      </c>
    </row>
    <row r="476" spans="1:5" x14ac:dyDescent="0.2">
      <c r="A476" s="42">
        <v>27776</v>
      </c>
      <c r="B476" s="43">
        <f>VLOOKUP(A476,Database!F:H,3,)</f>
        <v>370000</v>
      </c>
      <c r="C476" s="43">
        <f t="shared" si="14"/>
        <v>-32000</v>
      </c>
      <c r="D476" s="43">
        <f>VLOOKUP(A476,Database!F:H,2,)</f>
        <v>3026000</v>
      </c>
      <c r="E476" s="43">
        <f t="shared" si="15"/>
        <v>-58000</v>
      </c>
    </row>
    <row r="477" spans="1:5" x14ac:dyDescent="0.2">
      <c r="A477" s="42">
        <v>27783</v>
      </c>
      <c r="B477" s="43">
        <f>VLOOKUP(A477,Database!F:H,3,)</f>
        <v>363000</v>
      </c>
      <c r="C477" s="43">
        <f t="shared" si="14"/>
        <v>-7000</v>
      </c>
      <c r="D477" s="43">
        <f>VLOOKUP(A477,Database!F:H,2,)</f>
        <v>2957000</v>
      </c>
      <c r="E477" s="43">
        <f t="shared" si="15"/>
        <v>-69000</v>
      </c>
    </row>
    <row r="478" spans="1:5" x14ac:dyDescent="0.2">
      <c r="A478" s="42">
        <v>27790</v>
      </c>
      <c r="B478" s="43">
        <f>VLOOKUP(A478,Database!F:H,3,)</f>
        <v>359000</v>
      </c>
      <c r="C478" s="43">
        <f t="shared" si="14"/>
        <v>-4000</v>
      </c>
      <c r="D478" s="43">
        <f>VLOOKUP(A478,Database!F:H,2,)</f>
        <v>2895000</v>
      </c>
      <c r="E478" s="43">
        <f t="shared" si="15"/>
        <v>-62000</v>
      </c>
    </row>
    <row r="479" spans="1:5" x14ac:dyDescent="0.2">
      <c r="A479" s="42">
        <v>27797</v>
      </c>
      <c r="B479" s="43">
        <f>VLOOKUP(A479,Database!F:H,3,)</f>
        <v>353000</v>
      </c>
      <c r="C479" s="43">
        <f t="shared" si="14"/>
        <v>-6000</v>
      </c>
      <c r="D479" s="43">
        <f>VLOOKUP(A479,Database!F:H,2,)</f>
        <v>2912000</v>
      </c>
      <c r="E479" s="43">
        <f t="shared" si="15"/>
        <v>17000</v>
      </c>
    </row>
    <row r="480" spans="1:5" x14ac:dyDescent="0.2">
      <c r="A480" s="42">
        <v>27804</v>
      </c>
      <c r="B480" s="43">
        <f>VLOOKUP(A480,Database!F:H,3,)</f>
        <v>344000</v>
      </c>
      <c r="C480" s="43">
        <f t="shared" si="14"/>
        <v>-9000</v>
      </c>
      <c r="D480" s="43">
        <f>VLOOKUP(A480,Database!F:H,2,)</f>
        <v>2867000</v>
      </c>
      <c r="E480" s="43">
        <f t="shared" si="15"/>
        <v>-45000</v>
      </c>
    </row>
    <row r="481" spans="1:5" x14ac:dyDescent="0.2">
      <c r="A481" s="42">
        <v>27811</v>
      </c>
      <c r="B481" s="43">
        <f>VLOOKUP(A481,Database!F:H,3,)</f>
        <v>347000</v>
      </c>
      <c r="C481" s="43">
        <f t="shared" si="14"/>
        <v>3000</v>
      </c>
      <c r="D481" s="43">
        <f>VLOOKUP(A481,Database!F:H,2,)</f>
        <v>2862000</v>
      </c>
      <c r="E481" s="43">
        <f t="shared" si="15"/>
        <v>-5000</v>
      </c>
    </row>
    <row r="482" spans="1:5" x14ac:dyDescent="0.2">
      <c r="A482" s="42">
        <v>27818</v>
      </c>
      <c r="B482" s="43">
        <f>VLOOKUP(A482,Database!F:H,3,)</f>
        <v>349000</v>
      </c>
      <c r="C482" s="43">
        <f t="shared" si="14"/>
        <v>2000</v>
      </c>
      <c r="D482" s="43">
        <f>VLOOKUP(A482,Database!F:H,2,)</f>
        <v>2822000</v>
      </c>
      <c r="E482" s="43">
        <f t="shared" si="15"/>
        <v>-40000</v>
      </c>
    </row>
    <row r="483" spans="1:5" x14ac:dyDescent="0.2">
      <c r="A483" s="42">
        <v>27825</v>
      </c>
      <c r="B483" s="43">
        <f>VLOOKUP(A483,Database!F:H,3,)</f>
        <v>348000</v>
      </c>
      <c r="C483" s="43">
        <f t="shared" si="14"/>
        <v>-1000</v>
      </c>
      <c r="D483" s="43">
        <f>VLOOKUP(A483,Database!F:H,2,)</f>
        <v>2853000</v>
      </c>
      <c r="E483" s="43">
        <f t="shared" si="15"/>
        <v>31000</v>
      </c>
    </row>
    <row r="484" spans="1:5" x14ac:dyDescent="0.2">
      <c r="A484" s="42">
        <v>27832</v>
      </c>
      <c r="B484" s="43">
        <f>VLOOKUP(A484,Database!F:H,3,)</f>
        <v>360000</v>
      </c>
      <c r="C484" s="43">
        <f t="shared" si="14"/>
        <v>12000</v>
      </c>
      <c r="D484" s="43">
        <f>VLOOKUP(A484,Database!F:H,2,)</f>
        <v>2837000</v>
      </c>
      <c r="E484" s="43">
        <f t="shared" si="15"/>
        <v>-16000</v>
      </c>
    </row>
    <row r="485" spans="1:5" x14ac:dyDescent="0.2">
      <c r="A485" s="42">
        <v>27839</v>
      </c>
      <c r="B485" s="43">
        <f>VLOOKUP(A485,Database!F:H,3,)</f>
        <v>368000</v>
      </c>
      <c r="C485" s="43">
        <f t="shared" si="14"/>
        <v>8000</v>
      </c>
      <c r="D485" s="43">
        <f>VLOOKUP(A485,Database!F:H,2,)</f>
        <v>2852000</v>
      </c>
      <c r="E485" s="43">
        <f t="shared" si="15"/>
        <v>15000</v>
      </c>
    </row>
    <row r="486" spans="1:5" x14ac:dyDescent="0.2">
      <c r="A486" s="42">
        <v>27846</v>
      </c>
      <c r="B486" s="43">
        <f>VLOOKUP(A486,Database!F:H,3,)</f>
        <v>366000</v>
      </c>
      <c r="C486" s="43">
        <f t="shared" si="14"/>
        <v>-2000</v>
      </c>
      <c r="D486" s="43">
        <f>VLOOKUP(A486,Database!F:H,2,)</f>
        <v>2830000</v>
      </c>
      <c r="E486" s="43">
        <f t="shared" si="15"/>
        <v>-22000</v>
      </c>
    </row>
    <row r="487" spans="1:5" x14ac:dyDescent="0.2">
      <c r="A487" s="42">
        <v>27853</v>
      </c>
      <c r="B487" s="43">
        <f>VLOOKUP(A487,Database!F:H,3,)</f>
        <v>380000</v>
      </c>
      <c r="C487" s="43">
        <f t="shared" si="14"/>
        <v>14000</v>
      </c>
      <c r="D487" s="43">
        <f>VLOOKUP(A487,Database!F:H,2,)</f>
        <v>2859000</v>
      </c>
      <c r="E487" s="43">
        <f t="shared" si="15"/>
        <v>29000</v>
      </c>
    </row>
    <row r="488" spans="1:5" x14ac:dyDescent="0.2">
      <c r="A488" s="42">
        <v>27860</v>
      </c>
      <c r="B488" s="43">
        <f>VLOOKUP(A488,Database!F:H,3,)</f>
        <v>373000</v>
      </c>
      <c r="C488" s="43">
        <f t="shared" si="14"/>
        <v>-7000</v>
      </c>
      <c r="D488" s="43">
        <f>VLOOKUP(A488,Database!F:H,2,)</f>
        <v>2840000</v>
      </c>
      <c r="E488" s="43">
        <f t="shared" si="15"/>
        <v>-19000</v>
      </c>
    </row>
    <row r="489" spans="1:5" x14ac:dyDescent="0.2">
      <c r="A489" s="42">
        <v>27867</v>
      </c>
      <c r="B489" s="43">
        <f>VLOOKUP(A489,Database!F:H,3,)</f>
        <v>361000</v>
      </c>
      <c r="C489" s="43">
        <f t="shared" si="14"/>
        <v>-12000</v>
      </c>
      <c r="D489" s="43">
        <f>VLOOKUP(A489,Database!F:H,2,)</f>
        <v>2890000</v>
      </c>
      <c r="E489" s="43">
        <f t="shared" si="15"/>
        <v>50000</v>
      </c>
    </row>
    <row r="490" spans="1:5" x14ac:dyDescent="0.2">
      <c r="A490" s="42">
        <v>27874</v>
      </c>
      <c r="B490" s="43">
        <f>VLOOKUP(A490,Database!F:H,3,)</f>
        <v>367000</v>
      </c>
      <c r="C490" s="43">
        <f t="shared" si="14"/>
        <v>6000</v>
      </c>
      <c r="D490" s="43">
        <f>VLOOKUP(A490,Database!F:H,2,)</f>
        <v>2900000</v>
      </c>
      <c r="E490" s="43">
        <f t="shared" si="15"/>
        <v>10000</v>
      </c>
    </row>
    <row r="491" spans="1:5" x14ac:dyDescent="0.2">
      <c r="A491" s="42">
        <v>27881</v>
      </c>
      <c r="B491" s="43">
        <f>VLOOKUP(A491,Database!F:H,3,)</f>
        <v>385000</v>
      </c>
      <c r="C491" s="43">
        <f t="shared" si="14"/>
        <v>18000</v>
      </c>
      <c r="D491" s="43">
        <f>VLOOKUP(A491,Database!F:H,2,)</f>
        <v>2940000</v>
      </c>
      <c r="E491" s="43">
        <f t="shared" si="15"/>
        <v>40000</v>
      </c>
    </row>
    <row r="492" spans="1:5" x14ac:dyDescent="0.2">
      <c r="A492" s="42">
        <v>27888</v>
      </c>
      <c r="B492" s="43">
        <f>VLOOKUP(A492,Database!F:H,3,)</f>
        <v>395000</v>
      </c>
      <c r="C492" s="43">
        <f t="shared" si="14"/>
        <v>10000</v>
      </c>
      <c r="D492" s="43">
        <f>VLOOKUP(A492,Database!F:H,2,)</f>
        <v>2941000</v>
      </c>
      <c r="E492" s="43">
        <f t="shared" si="15"/>
        <v>1000</v>
      </c>
    </row>
    <row r="493" spans="1:5" x14ac:dyDescent="0.2">
      <c r="A493" s="42">
        <v>27895</v>
      </c>
      <c r="B493" s="43">
        <f>VLOOKUP(A493,Database!F:H,3,)</f>
        <v>382000</v>
      </c>
      <c r="C493" s="43">
        <f t="shared" si="14"/>
        <v>-13000</v>
      </c>
      <c r="D493" s="43">
        <f>VLOOKUP(A493,Database!F:H,2,)</f>
        <v>2947000</v>
      </c>
      <c r="E493" s="43">
        <f t="shared" si="15"/>
        <v>6000</v>
      </c>
    </row>
    <row r="494" spans="1:5" x14ac:dyDescent="0.2">
      <c r="A494" s="42">
        <v>27902</v>
      </c>
      <c r="B494" s="43">
        <f>VLOOKUP(A494,Database!F:H,3,)</f>
        <v>394000</v>
      </c>
      <c r="C494" s="43">
        <f t="shared" si="14"/>
        <v>12000</v>
      </c>
      <c r="D494" s="43">
        <f>VLOOKUP(A494,Database!F:H,2,)</f>
        <v>2961000</v>
      </c>
      <c r="E494" s="43">
        <f t="shared" si="15"/>
        <v>14000</v>
      </c>
    </row>
    <row r="495" spans="1:5" x14ac:dyDescent="0.2">
      <c r="A495" s="42">
        <v>27909</v>
      </c>
      <c r="B495" s="43">
        <f>VLOOKUP(A495,Database!F:H,3,)</f>
        <v>402000</v>
      </c>
      <c r="C495" s="43">
        <f t="shared" si="14"/>
        <v>8000</v>
      </c>
      <c r="D495" s="43">
        <f>VLOOKUP(A495,Database!F:H,2,)</f>
        <v>2916000</v>
      </c>
      <c r="E495" s="43">
        <f t="shared" si="15"/>
        <v>-45000</v>
      </c>
    </row>
    <row r="496" spans="1:5" x14ac:dyDescent="0.2">
      <c r="A496" s="42">
        <v>27916</v>
      </c>
      <c r="B496" s="43">
        <f>VLOOKUP(A496,Database!F:H,3,)</f>
        <v>382000</v>
      </c>
      <c r="C496" s="43">
        <f t="shared" si="14"/>
        <v>-20000</v>
      </c>
      <c r="D496" s="43">
        <f>VLOOKUP(A496,Database!F:H,2,)</f>
        <v>2970000</v>
      </c>
      <c r="E496" s="43">
        <f t="shared" si="15"/>
        <v>54000</v>
      </c>
    </row>
    <row r="497" spans="1:5" x14ac:dyDescent="0.2">
      <c r="A497" s="42">
        <v>27923</v>
      </c>
      <c r="B497" s="43">
        <f>VLOOKUP(A497,Database!F:H,3,)</f>
        <v>407000</v>
      </c>
      <c r="C497" s="43">
        <f t="shared" si="14"/>
        <v>25000</v>
      </c>
      <c r="D497" s="43">
        <f>VLOOKUP(A497,Database!F:H,2,)</f>
        <v>2950000</v>
      </c>
      <c r="E497" s="43">
        <f t="shared" si="15"/>
        <v>-20000</v>
      </c>
    </row>
    <row r="498" spans="1:5" x14ac:dyDescent="0.2">
      <c r="A498" s="42">
        <v>27930</v>
      </c>
      <c r="B498" s="43">
        <f>VLOOKUP(A498,Database!F:H,3,)</f>
        <v>399000</v>
      </c>
      <c r="C498" s="43">
        <f t="shared" si="14"/>
        <v>-8000</v>
      </c>
      <c r="D498" s="43">
        <f>VLOOKUP(A498,Database!F:H,2,)</f>
        <v>3003000</v>
      </c>
      <c r="E498" s="43">
        <f t="shared" si="15"/>
        <v>53000</v>
      </c>
    </row>
    <row r="499" spans="1:5" x14ac:dyDescent="0.2">
      <c r="A499" s="42">
        <v>27937</v>
      </c>
      <c r="B499" s="43">
        <f>VLOOKUP(A499,Database!F:H,3,)</f>
        <v>387000</v>
      </c>
      <c r="C499" s="43">
        <f t="shared" si="14"/>
        <v>-12000</v>
      </c>
      <c r="D499" s="43">
        <f>VLOOKUP(A499,Database!F:H,2,)</f>
        <v>3035000</v>
      </c>
      <c r="E499" s="43">
        <f t="shared" si="15"/>
        <v>32000</v>
      </c>
    </row>
    <row r="500" spans="1:5" x14ac:dyDescent="0.2">
      <c r="A500" s="42">
        <v>27944</v>
      </c>
      <c r="B500" s="43">
        <f>VLOOKUP(A500,Database!F:H,3,)</f>
        <v>394000</v>
      </c>
      <c r="C500" s="43">
        <f t="shared" si="14"/>
        <v>7000</v>
      </c>
      <c r="D500" s="43">
        <f>VLOOKUP(A500,Database!F:H,2,)</f>
        <v>2958000</v>
      </c>
      <c r="E500" s="43">
        <f t="shared" si="15"/>
        <v>-77000</v>
      </c>
    </row>
    <row r="501" spans="1:5" x14ac:dyDescent="0.2">
      <c r="A501" s="42">
        <v>27951</v>
      </c>
      <c r="B501" s="43">
        <f>VLOOKUP(A501,Database!F:H,3,)</f>
        <v>372000</v>
      </c>
      <c r="C501" s="43">
        <f t="shared" si="14"/>
        <v>-22000</v>
      </c>
      <c r="D501" s="43">
        <f>VLOOKUP(A501,Database!F:H,2,)</f>
        <v>2995000</v>
      </c>
      <c r="E501" s="43">
        <f t="shared" si="15"/>
        <v>37000</v>
      </c>
    </row>
    <row r="502" spans="1:5" x14ac:dyDescent="0.2">
      <c r="A502" s="42">
        <v>27958</v>
      </c>
      <c r="B502" s="43">
        <f>VLOOKUP(A502,Database!F:H,3,)</f>
        <v>406000</v>
      </c>
      <c r="C502" s="43">
        <f t="shared" si="14"/>
        <v>34000</v>
      </c>
      <c r="D502" s="43">
        <f>VLOOKUP(A502,Database!F:H,2,)</f>
        <v>3011000</v>
      </c>
      <c r="E502" s="43">
        <f t="shared" si="15"/>
        <v>16000</v>
      </c>
    </row>
    <row r="503" spans="1:5" x14ac:dyDescent="0.2">
      <c r="A503" s="42">
        <v>27965</v>
      </c>
      <c r="B503" s="43">
        <f>VLOOKUP(A503,Database!F:H,3,)</f>
        <v>394000</v>
      </c>
      <c r="C503" s="43">
        <f t="shared" si="14"/>
        <v>-12000</v>
      </c>
      <c r="D503" s="43">
        <f>VLOOKUP(A503,Database!F:H,2,)</f>
        <v>3019000</v>
      </c>
      <c r="E503" s="43">
        <f t="shared" si="15"/>
        <v>8000</v>
      </c>
    </row>
    <row r="504" spans="1:5" x14ac:dyDescent="0.2">
      <c r="A504" s="42">
        <v>27972</v>
      </c>
      <c r="B504" s="43">
        <f>VLOOKUP(A504,Database!F:H,3,)</f>
        <v>388000</v>
      </c>
      <c r="C504" s="43">
        <f t="shared" si="14"/>
        <v>-6000</v>
      </c>
      <c r="D504" s="43">
        <f>VLOOKUP(A504,Database!F:H,2,)</f>
        <v>2996000</v>
      </c>
      <c r="E504" s="43">
        <f t="shared" si="15"/>
        <v>-23000</v>
      </c>
    </row>
    <row r="505" spans="1:5" x14ac:dyDescent="0.2">
      <c r="A505" s="42">
        <v>27979</v>
      </c>
      <c r="B505" s="43">
        <f>VLOOKUP(A505,Database!F:H,3,)</f>
        <v>378000</v>
      </c>
      <c r="C505" s="43">
        <f t="shared" si="14"/>
        <v>-10000</v>
      </c>
      <c r="D505" s="43">
        <f>VLOOKUP(A505,Database!F:H,2,)</f>
        <v>3007000</v>
      </c>
      <c r="E505" s="43">
        <f t="shared" si="15"/>
        <v>11000</v>
      </c>
    </row>
    <row r="506" spans="1:5" x14ac:dyDescent="0.2">
      <c r="A506" s="42">
        <v>27986</v>
      </c>
      <c r="B506" s="43">
        <f>VLOOKUP(A506,Database!F:H,3,)</f>
        <v>382000</v>
      </c>
      <c r="C506" s="43">
        <f t="shared" si="14"/>
        <v>4000</v>
      </c>
      <c r="D506" s="43">
        <f>VLOOKUP(A506,Database!F:H,2,)</f>
        <v>2990000</v>
      </c>
      <c r="E506" s="43">
        <f t="shared" si="15"/>
        <v>-17000</v>
      </c>
    </row>
    <row r="507" spans="1:5" x14ac:dyDescent="0.2">
      <c r="A507" s="42">
        <v>27993</v>
      </c>
      <c r="B507" s="43">
        <f>VLOOKUP(A507,Database!F:H,3,)</f>
        <v>400000</v>
      </c>
      <c r="C507" s="43">
        <f t="shared" si="14"/>
        <v>18000</v>
      </c>
      <c r="D507" s="43">
        <f>VLOOKUP(A507,Database!F:H,2,)</f>
        <v>2983000</v>
      </c>
      <c r="E507" s="43">
        <f t="shared" si="15"/>
        <v>-7000</v>
      </c>
    </row>
    <row r="508" spans="1:5" x14ac:dyDescent="0.2">
      <c r="A508" s="42">
        <v>28000</v>
      </c>
      <c r="B508" s="43">
        <f>VLOOKUP(A508,Database!F:H,3,)</f>
        <v>394000</v>
      </c>
      <c r="C508" s="43">
        <f t="shared" si="14"/>
        <v>-6000</v>
      </c>
      <c r="D508" s="43">
        <f>VLOOKUP(A508,Database!F:H,2,)</f>
        <v>3081000</v>
      </c>
      <c r="E508" s="43">
        <f t="shared" si="15"/>
        <v>98000</v>
      </c>
    </row>
    <row r="509" spans="1:5" x14ac:dyDescent="0.2">
      <c r="A509" s="42">
        <v>28007</v>
      </c>
      <c r="B509" s="43">
        <f>VLOOKUP(A509,Database!F:H,3,)</f>
        <v>421000</v>
      </c>
      <c r="C509" s="43">
        <f t="shared" si="14"/>
        <v>27000</v>
      </c>
      <c r="D509" s="43">
        <f>VLOOKUP(A509,Database!F:H,2,)</f>
        <v>2988000</v>
      </c>
      <c r="E509" s="43">
        <f t="shared" si="15"/>
        <v>-93000</v>
      </c>
    </row>
    <row r="510" spans="1:5" x14ac:dyDescent="0.2">
      <c r="A510" s="42">
        <v>28014</v>
      </c>
      <c r="B510" s="43">
        <f>VLOOKUP(A510,Database!F:H,3,)</f>
        <v>383000</v>
      </c>
      <c r="C510" s="43">
        <f t="shared" si="14"/>
        <v>-38000</v>
      </c>
      <c r="D510" s="43">
        <f>VLOOKUP(A510,Database!F:H,2,)</f>
        <v>3092000</v>
      </c>
      <c r="E510" s="43">
        <f t="shared" si="15"/>
        <v>104000</v>
      </c>
    </row>
    <row r="511" spans="1:5" x14ac:dyDescent="0.2">
      <c r="A511" s="42">
        <v>28021</v>
      </c>
      <c r="B511" s="43">
        <f>VLOOKUP(A511,Database!F:H,3,)</f>
        <v>403000</v>
      </c>
      <c r="C511" s="43">
        <f t="shared" si="14"/>
        <v>20000</v>
      </c>
      <c r="D511" s="43">
        <f>VLOOKUP(A511,Database!F:H,2,)</f>
        <v>3097000</v>
      </c>
      <c r="E511" s="43">
        <f t="shared" si="15"/>
        <v>5000</v>
      </c>
    </row>
    <row r="512" spans="1:5" x14ac:dyDescent="0.2">
      <c r="A512" s="42">
        <v>28028</v>
      </c>
      <c r="B512" s="43">
        <f>VLOOKUP(A512,Database!F:H,3,)</f>
        <v>423000</v>
      </c>
      <c r="C512" s="43">
        <f t="shared" si="14"/>
        <v>20000</v>
      </c>
      <c r="D512" s="43">
        <f>VLOOKUP(A512,Database!F:H,2,)</f>
        <v>3103000</v>
      </c>
      <c r="E512" s="43">
        <f t="shared" si="15"/>
        <v>6000</v>
      </c>
    </row>
    <row r="513" spans="1:5" x14ac:dyDescent="0.2">
      <c r="A513" s="42">
        <v>28035</v>
      </c>
      <c r="B513" s="43">
        <f>VLOOKUP(A513,Database!F:H,3,)</f>
        <v>408000</v>
      </c>
      <c r="C513" s="43">
        <f t="shared" si="14"/>
        <v>-15000</v>
      </c>
      <c r="D513" s="43">
        <f>VLOOKUP(A513,Database!F:H,2,)</f>
        <v>3104000</v>
      </c>
      <c r="E513" s="43">
        <f t="shared" si="15"/>
        <v>1000</v>
      </c>
    </row>
    <row r="514" spans="1:5" x14ac:dyDescent="0.2">
      <c r="A514" s="42">
        <v>28042</v>
      </c>
      <c r="B514" s="43">
        <f>VLOOKUP(A514,Database!F:H,3,)</f>
        <v>411000</v>
      </c>
      <c r="C514" s="43">
        <f t="shared" si="14"/>
        <v>3000</v>
      </c>
      <c r="D514" s="43">
        <f>VLOOKUP(A514,Database!F:H,2,)</f>
        <v>3119000</v>
      </c>
      <c r="E514" s="43">
        <f t="shared" si="15"/>
        <v>15000</v>
      </c>
    </row>
    <row r="515" spans="1:5" x14ac:dyDescent="0.2">
      <c r="A515" s="42">
        <v>28049</v>
      </c>
      <c r="B515" s="43">
        <f>VLOOKUP(A515,Database!F:H,3,)</f>
        <v>403000</v>
      </c>
      <c r="C515" s="43">
        <f t="shared" si="14"/>
        <v>-8000</v>
      </c>
      <c r="D515" s="43">
        <f>VLOOKUP(A515,Database!F:H,2,)</f>
        <v>3074000</v>
      </c>
      <c r="E515" s="43">
        <f t="shared" si="15"/>
        <v>-45000</v>
      </c>
    </row>
    <row r="516" spans="1:5" x14ac:dyDescent="0.2">
      <c r="A516" s="42">
        <v>28056</v>
      </c>
      <c r="B516" s="43">
        <f>VLOOKUP(A516,Database!F:H,3,)</f>
        <v>409000</v>
      </c>
      <c r="C516" s="43">
        <f t="shared" si="14"/>
        <v>6000</v>
      </c>
      <c r="D516" s="43">
        <f>VLOOKUP(A516,Database!F:H,2,)</f>
        <v>3088000</v>
      </c>
      <c r="E516" s="43">
        <f t="shared" si="15"/>
        <v>14000</v>
      </c>
    </row>
    <row r="517" spans="1:5" x14ac:dyDescent="0.2">
      <c r="A517" s="42">
        <v>28063</v>
      </c>
      <c r="B517" s="43">
        <f>VLOOKUP(A517,Database!F:H,3,)</f>
        <v>414000</v>
      </c>
      <c r="C517" s="43">
        <f t="shared" si="14"/>
        <v>5000</v>
      </c>
      <c r="D517" s="43">
        <f>VLOOKUP(A517,Database!F:H,2,)</f>
        <v>3080000</v>
      </c>
      <c r="E517" s="43">
        <f t="shared" si="15"/>
        <v>-8000</v>
      </c>
    </row>
    <row r="518" spans="1:5" x14ac:dyDescent="0.2">
      <c r="A518" s="42">
        <v>28070</v>
      </c>
      <c r="B518" s="43">
        <f>VLOOKUP(A518,Database!F:H,3,)</f>
        <v>390000</v>
      </c>
      <c r="C518" s="43">
        <f t="shared" si="14"/>
        <v>-24000</v>
      </c>
      <c r="D518" s="43">
        <f>VLOOKUP(A518,Database!F:H,2,)</f>
        <v>3079000</v>
      </c>
      <c r="E518" s="43">
        <f t="shared" si="15"/>
        <v>-1000</v>
      </c>
    </row>
    <row r="519" spans="1:5" x14ac:dyDescent="0.2">
      <c r="A519" s="42">
        <v>28077</v>
      </c>
      <c r="B519" s="43">
        <f>VLOOKUP(A519,Database!F:H,3,)</f>
        <v>383000</v>
      </c>
      <c r="C519" s="43">
        <f t="shared" si="14"/>
        <v>-7000</v>
      </c>
      <c r="D519" s="43">
        <f>VLOOKUP(A519,Database!F:H,2,)</f>
        <v>3064000</v>
      </c>
      <c r="E519" s="43">
        <f t="shared" si="15"/>
        <v>-15000</v>
      </c>
    </row>
    <row r="520" spans="1:5" x14ac:dyDescent="0.2">
      <c r="A520" s="42">
        <v>28084</v>
      </c>
      <c r="B520" s="43">
        <f>VLOOKUP(A520,Database!F:H,3,)</f>
        <v>408000</v>
      </c>
      <c r="C520" s="43">
        <f t="shared" ref="C520:C583" si="16">B520-B519</f>
        <v>25000</v>
      </c>
      <c r="D520" s="43">
        <f>VLOOKUP(A520,Database!F:H,2,)</f>
        <v>3061000</v>
      </c>
      <c r="E520" s="43">
        <f t="shared" ref="E520:E583" si="17">D520-D519</f>
        <v>-3000</v>
      </c>
    </row>
    <row r="521" spans="1:5" x14ac:dyDescent="0.2">
      <c r="A521" s="42">
        <v>28091</v>
      </c>
      <c r="B521" s="43">
        <f>VLOOKUP(A521,Database!F:H,3,)</f>
        <v>377000</v>
      </c>
      <c r="C521" s="43">
        <f t="shared" si="16"/>
        <v>-31000</v>
      </c>
      <c r="D521" s="43">
        <f>VLOOKUP(A521,Database!F:H,2,)</f>
        <v>3019000</v>
      </c>
      <c r="E521" s="43">
        <f t="shared" si="17"/>
        <v>-42000</v>
      </c>
    </row>
    <row r="522" spans="1:5" x14ac:dyDescent="0.2">
      <c r="A522" s="42">
        <v>28098</v>
      </c>
      <c r="B522" s="43">
        <f>VLOOKUP(A522,Database!F:H,3,)</f>
        <v>402000</v>
      </c>
      <c r="C522" s="43">
        <f t="shared" si="16"/>
        <v>25000</v>
      </c>
      <c r="D522" s="43">
        <f>VLOOKUP(A522,Database!F:H,2,)</f>
        <v>2994000</v>
      </c>
      <c r="E522" s="43">
        <f t="shared" si="17"/>
        <v>-25000</v>
      </c>
    </row>
    <row r="523" spans="1:5" x14ac:dyDescent="0.2">
      <c r="A523" s="42">
        <v>28105</v>
      </c>
      <c r="B523" s="43">
        <f>VLOOKUP(A523,Database!F:H,3,)</f>
        <v>395000</v>
      </c>
      <c r="C523" s="43">
        <f t="shared" si="16"/>
        <v>-7000</v>
      </c>
      <c r="D523" s="43">
        <f>VLOOKUP(A523,Database!F:H,2,)</f>
        <v>2978000</v>
      </c>
      <c r="E523" s="43">
        <f t="shared" si="17"/>
        <v>-16000</v>
      </c>
    </row>
    <row r="524" spans="1:5" x14ac:dyDescent="0.2">
      <c r="A524" s="42">
        <v>28112</v>
      </c>
      <c r="B524" s="43">
        <f>VLOOKUP(A524,Database!F:H,3,)</f>
        <v>365000</v>
      </c>
      <c r="C524" s="43">
        <f t="shared" si="16"/>
        <v>-30000</v>
      </c>
      <c r="D524" s="43">
        <f>VLOOKUP(A524,Database!F:H,2,)</f>
        <v>2900000</v>
      </c>
      <c r="E524" s="43">
        <f t="shared" si="17"/>
        <v>-78000</v>
      </c>
    </row>
    <row r="525" spans="1:5" x14ac:dyDescent="0.2">
      <c r="A525" s="42">
        <v>28119</v>
      </c>
      <c r="B525" s="43">
        <f>VLOOKUP(A525,Database!F:H,3,)</f>
        <v>333000</v>
      </c>
      <c r="C525" s="43">
        <f t="shared" si="16"/>
        <v>-32000</v>
      </c>
      <c r="D525" s="43">
        <f>VLOOKUP(A525,Database!F:H,2,)</f>
        <v>2822000</v>
      </c>
      <c r="E525" s="43">
        <f t="shared" si="17"/>
        <v>-78000</v>
      </c>
    </row>
    <row r="526" spans="1:5" x14ac:dyDescent="0.2">
      <c r="A526" s="42">
        <v>28126</v>
      </c>
      <c r="B526" s="43">
        <f>VLOOKUP(A526,Database!F:H,3,)</f>
        <v>380000</v>
      </c>
      <c r="C526" s="43">
        <f t="shared" si="16"/>
        <v>47000</v>
      </c>
      <c r="D526" s="43">
        <f>VLOOKUP(A526,Database!F:H,2,)</f>
        <v>2818000</v>
      </c>
      <c r="E526" s="43">
        <f t="shared" si="17"/>
        <v>-4000</v>
      </c>
    </row>
    <row r="527" spans="1:5" x14ac:dyDescent="0.2">
      <c r="A527" s="42">
        <v>28133</v>
      </c>
      <c r="B527" s="43">
        <f>VLOOKUP(A527,Database!F:H,3,)</f>
        <v>416000</v>
      </c>
      <c r="C527" s="43">
        <f t="shared" si="16"/>
        <v>36000</v>
      </c>
      <c r="D527" s="43">
        <f>VLOOKUP(A527,Database!F:H,2,)</f>
        <v>2764000</v>
      </c>
      <c r="E527" s="43">
        <f t="shared" si="17"/>
        <v>-54000</v>
      </c>
    </row>
    <row r="528" spans="1:5" x14ac:dyDescent="0.2">
      <c r="A528" s="42">
        <v>28140</v>
      </c>
      <c r="B528" s="43">
        <f>VLOOKUP(A528,Database!F:H,3,)</f>
        <v>368000</v>
      </c>
      <c r="C528" s="43">
        <f t="shared" si="16"/>
        <v>-48000</v>
      </c>
      <c r="D528" s="43">
        <f>VLOOKUP(A528,Database!F:H,2,)</f>
        <v>2841000</v>
      </c>
      <c r="E528" s="43">
        <f t="shared" si="17"/>
        <v>77000</v>
      </c>
    </row>
    <row r="529" spans="1:5" x14ac:dyDescent="0.2">
      <c r="A529" s="42">
        <v>28147</v>
      </c>
      <c r="B529" s="43">
        <f>VLOOKUP(A529,Database!F:H,3,)</f>
        <v>423000</v>
      </c>
      <c r="C529" s="43">
        <f t="shared" si="16"/>
        <v>55000</v>
      </c>
      <c r="D529" s="43">
        <f>VLOOKUP(A529,Database!F:H,2,)</f>
        <v>2834000</v>
      </c>
      <c r="E529" s="43">
        <f t="shared" si="17"/>
        <v>-7000</v>
      </c>
    </row>
    <row r="530" spans="1:5" x14ac:dyDescent="0.2">
      <c r="A530" s="42">
        <v>28154</v>
      </c>
      <c r="B530" s="43">
        <f>VLOOKUP(A530,Database!F:H,3,)</f>
        <v>422000</v>
      </c>
      <c r="C530" s="43">
        <f t="shared" si="16"/>
        <v>-1000</v>
      </c>
      <c r="D530" s="43">
        <f>VLOOKUP(A530,Database!F:H,2,)</f>
        <v>2879000</v>
      </c>
      <c r="E530" s="43">
        <f t="shared" si="17"/>
        <v>45000</v>
      </c>
    </row>
    <row r="531" spans="1:5" x14ac:dyDescent="0.2">
      <c r="A531" s="42">
        <v>28161</v>
      </c>
      <c r="B531" s="43">
        <f>VLOOKUP(A531,Database!F:H,3,)</f>
        <v>565000</v>
      </c>
      <c r="C531" s="43">
        <f t="shared" si="16"/>
        <v>143000</v>
      </c>
      <c r="D531" s="43">
        <f>VLOOKUP(A531,Database!F:H,2,)</f>
        <v>2956000</v>
      </c>
      <c r="E531" s="43">
        <f t="shared" si="17"/>
        <v>77000</v>
      </c>
    </row>
    <row r="532" spans="1:5" x14ac:dyDescent="0.2">
      <c r="A532" s="42">
        <v>28168</v>
      </c>
      <c r="B532" s="43">
        <f>VLOOKUP(A532,Database!F:H,3,)</f>
        <v>477000</v>
      </c>
      <c r="C532" s="43">
        <f t="shared" si="16"/>
        <v>-88000</v>
      </c>
      <c r="D532" s="43">
        <f>VLOOKUP(A532,Database!F:H,2,)</f>
        <v>2904000</v>
      </c>
      <c r="E532" s="43">
        <f t="shared" si="17"/>
        <v>-52000</v>
      </c>
    </row>
    <row r="533" spans="1:5" x14ac:dyDescent="0.2">
      <c r="A533" s="42">
        <v>28175</v>
      </c>
      <c r="B533" s="43">
        <f>VLOOKUP(A533,Database!F:H,3,)</f>
        <v>399000</v>
      </c>
      <c r="C533" s="43">
        <f t="shared" si="16"/>
        <v>-78000</v>
      </c>
      <c r="D533" s="43">
        <f>VLOOKUP(A533,Database!F:H,2,)</f>
        <v>2772000</v>
      </c>
      <c r="E533" s="43">
        <f t="shared" si="17"/>
        <v>-132000</v>
      </c>
    </row>
    <row r="534" spans="1:5" x14ac:dyDescent="0.2">
      <c r="A534" s="42">
        <v>28182</v>
      </c>
      <c r="B534" s="43">
        <f>VLOOKUP(A534,Database!F:H,3,)</f>
        <v>362000</v>
      </c>
      <c r="C534" s="43">
        <f t="shared" si="16"/>
        <v>-37000</v>
      </c>
      <c r="D534" s="43">
        <f>VLOOKUP(A534,Database!F:H,2,)</f>
        <v>2764000</v>
      </c>
      <c r="E534" s="43">
        <f t="shared" si="17"/>
        <v>-8000</v>
      </c>
    </row>
    <row r="535" spans="1:5" x14ac:dyDescent="0.2">
      <c r="A535" s="42">
        <v>28189</v>
      </c>
      <c r="B535" s="43">
        <f>VLOOKUP(A535,Database!F:H,3,)</f>
        <v>361000</v>
      </c>
      <c r="C535" s="43">
        <f t="shared" si="16"/>
        <v>-1000</v>
      </c>
      <c r="D535" s="43">
        <f>VLOOKUP(A535,Database!F:H,2,)</f>
        <v>2717000</v>
      </c>
      <c r="E535" s="43">
        <f t="shared" si="17"/>
        <v>-47000</v>
      </c>
    </row>
    <row r="536" spans="1:5" x14ac:dyDescent="0.2">
      <c r="A536" s="42">
        <v>28196</v>
      </c>
      <c r="B536" s="43">
        <f>VLOOKUP(A536,Database!F:H,3,)</f>
        <v>355000</v>
      </c>
      <c r="C536" s="43">
        <f t="shared" si="16"/>
        <v>-6000</v>
      </c>
      <c r="D536" s="43">
        <f>VLOOKUP(A536,Database!F:H,2,)</f>
        <v>2728000</v>
      </c>
      <c r="E536" s="43">
        <f t="shared" si="17"/>
        <v>11000</v>
      </c>
    </row>
    <row r="537" spans="1:5" x14ac:dyDescent="0.2">
      <c r="A537" s="42">
        <v>28203</v>
      </c>
      <c r="B537" s="43">
        <f>VLOOKUP(A537,Database!F:H,3,)</f>
        <v>369000</v>
      </c>
      <c r="C537" s="43">
        <f t="shared" si="16"/>
        <v>14000</v>
      </c>
      <c r="D537" s="43">
        <f>VLOOKUP(A537,Database!F:H,2,)</f>
        <v>2695000</v>
      </c>
      <c r="E537" s="43">
        <f t="shared" si="17"/>
        <v>-33000</v>
      </c>
    </row>
    <row r="538" spans="1:5" x14ac:dyDescent="0.2">
      <c r="A538" s="42">
        <v>28210</v>
      </c>
      <c r="B538" s="43">
        <f>VLOOKUP(A538,Database!F:H,3,)</f>
        <v>356000</v>
      </c>
      <c r="C538" s="43">
        <f t="shared" si="16"/>
        <v>-13000</v>
      </c>
      <c r="D538" s="43">
        <f>VLOOKUP(A538,Database!F:H,2,)</f>
        <v>2671000</v>
      </c>
      <c r="E538" s="43">
        <f t="shared" si="17"/>
        <v>-24000</v>
      </c>
    </row>
    <row r="539" spans="1:5" x14ac:dyDescent="0.2">
      <c r="A539" s="42">
        <v>28217</v>
      </c>
      <c r="B539" s="43">
        <f>VLOOKUP(A539,Database!F:H,3,)</f>
        <v>350000</v>
      </c>
      <c r="C539" s="43">
        <f t="shared" si="16"/>
        <v>-6000</v>
      </c>
      <c r="D539" s="43">
        <f>VLOOKUP(A539,Database!F:H,2,)</f>
        <v>2655000</v>
      </c>
      <c r="E539" s="43">
        <f t="shared" si="17"/>
        <v>-16000</v>
      </c>
    </row>
    <row r="540" spans="1:5" x14ac:dyDescent="0.2">
      <c r="A540" s="42">
        <v>28224</v>
      </c>
      <c r="B540" s="43">
        <f>VLOOKUP(A540,Database!F:H,3,)</f>
        <v>376000</v>
      </c>
      <c r="C540" s="43">
        <f t="shared" si="16"/>
        <v>26000</v>
      </c>
      <c r="D540" s="43">
        <f>VLOOKUP(A540,Database!F:H,2,)</f>
        <v>2717000</v>
      </c>
      <c r="E540" s="43">
        <f t="shared" si="17"/>
        <v>62000</v>
      </c>
    </row>
    <row r="541" spans="1:5" x14ac:dyDescent="0.2">
      <c r="A541" s="42">
        <v>28231</v>
      </c>
      <c r="B541" s="43">
        <f>VLOOKUP(A541,Database!F:H,3,)</f>
        <v>361000</v>
      </c>
      <c r="C541" s="43">
        <f t="shared" si="16"/>
        <v>-15000</v>
      </c>
      <c r="D541" s="43">
        <f>VLOOKUP(A541,Database!F:H,2,)</f>
        <v>2680000</v>
      </c>
      <c r="E541" s="43">
        <f t="shared" si="17"/>
        <v>-37000</v>
      </c>
    </row>
    <row r="542" spans="1:5" x14ac:dyDescent="0.2">
      <c r="A542" s="42">
        <v>28238</v>
      </c>
      <c r="B542" s="43">
        <f>VLOOKUP(A542,Database!F:H,3,)</f>
        <v>375000</v>
      </c>
      <c r="C542" s="43">
        <f t="shared" si="16"/>
        <v>14000</v>
      </c>
      <c r="D542" s="43">
        <f>VLOOKUP(A542,Database!F:H,2,)</f>
        <v>2660000</v>
      </c>
      <c r="E542" s="43">
        <f t="shared" si="17"/>
        <v>-20000</v>
      </c>
    </row>
    <row r="543" spans="1:5" x14ac:dyDescent="0.2">
      <c r="A543" s="42">
        <v>28245</v>
      </c>
      <c r="B543" s="43">
        <f>VLOOKUP(A543,Database!F:H,3,)</f>
        <v>375000</v>
      </c>
      <c r="C543" s="43">
        <f t="shared" si="16"/>
        <v>0</v>
      </c>
      <c r="D543" s="43">
        <f>VLOOKUP(A543,Database!F:H,2,)</f>
        <v>2644000</v>
      </c>
      <c r="E543" s="43">
        <f t="shared" si="17"/>
        <v>-16000</v>
      </c>
    </row>
    <row r="544" spans="1:5" x14ac:dyDescent="0.2">
      <c r="A544" s="42">
        <v>28252</v>
      </c>
      <c r="B544" s="43">
        <f>VLOOKUP(A544,Database!F:H,3,)</f>
        <v>384000</v>
      </c>
      <c r="C544" s="43">
        <f t="shared" si="16"/>
        <v>9000</v>
      </c>
      <c r="D544" s="43">
        <f>VLOOKUP(A544,Database!F:H,2,)</f>
        <v>2618000</v>
      </c>
      <c r="E544" s="43">
        <f t="shared" si="17"/>
        <v>-26000</v>
      </c>
    </row>
    <row r="545" spans="1:5" x14ac:dyDescent="0.2">
      <c r="A545" s="42">
        <v>28259</v>
      </c>
      <c r="B545" s="43">
        <f>VLOOKUP(A545,Database!F:H,3,)</f>
        <v>381000</v>
      </c>
      <c r="C545" s="43">
        <f t="shared" si="16"/>
        <v>-3000</v>
      </c>
      <c r="D545" s="43">
        <f>VLOOKUP(A545,Database!F:H,2,)</f>
        <v>2635000</v>
      </c>
      <c r="E545" s="43">
        <f t="shared" si="17"/>
        <v>17000</v>
      </c>
    </row>
    <row r="546" spans="1:5" x14ac:dyDescent="0.2">
      <c r="A546" s="42">
        <v>28266</v>
      </c>
      <c r="B546" s="43">
        <f>VLOOKUP(A546,Database!F:H,3,)</f>
        <v>375000</v>
      </c>
      <c r="C546" s="43">
        <f t="shared" si="16"/>
        <v>-6000</v>
      </c>
      <c r="D546" s="43">
        <f>VLOOKUP(A546,Database!F:H,2,)</f>
        <v>2647000</v>
      </c>
      <c r="E546" s="43">
        <f t="shared" si="17"/>
        <v>12000</v>
      </c>
    </row>
    <row r="547" spans="1:5" x14ac:dyDescent="0.2">
      <c r="A547" s="42">
        <v>28273</v>
      </c>
      <c r="B547" s="43">
        <f>VLOOKUP(A547,Database!F:H,3,)</f>
        <v>381000</v>
      </c>
      <c r="C547" s="43">
        <f t="shared" si="16"/>
        <v>6000</v>
      </c>
      <c r="D547" s="43">
        <f>VLOOKUP(A547,Database!F:H,2,)</f>
        <v>2625000</v>
      </c>
      <c r="E547" s="43">
        <f t="shared" si="17"/>
        <v>-22000</v>
      </c>
    </row>
    <row r="548" spans="1:5" x14ac:dyDescent="0.2">
      <c r="A548" s="42">
        <v>28280</v>
      </c>
      <c r="B548" s="43">
        <f>VLOOKUP(A548,Database!F:H,3,)</f>
        <v>363000</v>
      </c>
      <c r="C548" s="43">
        <f t="shared" si="16"/>
        <v>-18000</v>
      </c>
      <c r="D548" s="43">
        <f>VLOOKUP(A548,Database!F:H,2,)</f>
        <v>2650000</v>
      </c>
      <c r="E548" s="43">
        <f t="shared" si="17"/>
        <v>25000</v>
      </c>
    </row>
    <row r="549" spans="1:5" x14ac:dyDescent="0.2">
      <c r="A549" s="42">
        <v>28287</v>
      </c>
      <c r="B549" s="43">
        <f>VLOOKUP(A549,Database!F:H,3,)</f>
        <v>358000</v>
      </c>
      <c r="C549" s="43">
        <f t="shared" si="16"/>
        <v>-5000</v>
      </c>
      <c r="D549" s="43">
        <f>VLOOKUP(A549,Database!F:H,2,)</f>
        <v>2589000</v>
      </c>
      <c r="E549" s="43">
        <f t="shared" si="17"/>
        <v>-61000</v>
      </c>
    </row>
    <row r="550" spans="1:5" x14ac:dyDescent="0.2">
      <c r="A550" s="42">
        <v>28294</v>
      </c>
      <c r="B550" s="43">
        <f>VLOOKUP(A550,Database!F:H,3,)</f>
        <v>359000</v>
      </c>
      <c r="C550" s="43">
        <f t="shared" si="16"/>
        <v>1000</v>
      </c>
      <c r="D550" s="43">
        <f>VLOOKUP(A550,Database!F:H,2,)</f>
        <v>2622000</v>
      </c>
      <c r="E550" s="43">
        <f t="shared" si="17"/>
        <v>33000</v>
      </c>
    </row>
    <row r="551" spans="1:5" x14ac:dyDescent="0.2">
      <c r="A551" s="42">
        <v>28301</v>
      </c>
      <c r="B551" s="43">
        <f>VLOOKUP(A551,Database!F:H,3,)</f>
        <v>365000</v>
      </c>
      <c r="C551" s="43">
        <f t="shared" si="16"/>
        <v>6000</v>
      </c>
      <c r="D551" s="43">
        <f>VLOOKUP(A551,Database!F:H,2,)</f>
        <v>2616000</v>
      </c>
      <c r="E551" s="43">
        <f t="shared" si="17"/>
        <v>-6000</v>
      </c>
    </row>
    <row r="552" spans="1:5" x14ac:dyDescent="0.2">
      <c r="A552" s="42">
        <v>28308</v>
      </c>
      <c r="B552" s="43">
        <f>VLOOKUP(A552,Database!F:H,3,)</f>
        <v>350000</v>
      </c>
      <c r="C552" s="43">
        <f t="shared" si="16"/>
        <v>-15000</v>
      </c>
      <c r="D552" s="43">
        <f>VLOOKUP(A552,Database!F:H,2,)</f>
        <v>2572000</v>
      </c>
      <c r="E552" s="43">
        <f t="shared" si="17"/>
        <v>-44000</v>
      </c>
    </row>
    <row r="553" spans="1:5" x14ac:dyDescent="0.2">
      <c r="A553" s="42">
        <v>28315</v>
      </c>
      <c r="B553" s="43">
        <f>VLOOKUP(A553,Database!F:H,3,)</f>
        <v>361000</v>
      </c>
      <c r="C553" s="43">
        <f t="shared" si="16"/>
        <v>11000</v>
      </c>
      <c r="D553" s="43">
        <f>VLOOKUP(A553,Database!F:H,2,)</f>
        <v>2563000</v>
      </c>
      <c r="E553" s="43">
        <f t="shared" si="17"/>
        <v>-9000</v>
      </c>
    </row>
    <row r="554" spans="1:5" x14ac:dyDescent="0.2">
      <c r="A554" s="42">
        <v>28322</v>
      </c>
      <c r="B554" s="43">
        <f>VLOOKUP(A554,Database!F:H,3,)</f>
        <v>366000</v>
      </c>
      <c r="C554" s="43">
        <f t="shared" si="16"/>
        <v>5000</v>
      </c>
      <c r="D554" s="43">
        <f>VLOOKUP(A554,Database!F:H,2,)</f>
        <v>2591000</v>
      </c>
      <c r="E554" s="43">
        <f t="shared" si="17"/>
        <v>28000</v>
      </c>
    </row>
    <row r="555" spans="1:5" x14ac:dyDescent="0.2">
      <c r="A555" s="42">
        <v>28329</v>
      </c>
      <c r="B555" s="43">
        <f>VLOOKUP(A555,Database!F:H,3,)</f>
        <v>365000</v>
      </c>
      <c r="C555" s="43">
        <f t="shared" si="16"/>
        <v>-1000</v>
      </c>
      <c r="D555" s="43">
        <f>VLOOKUP(A555,Database!F:H,2,)</f>
        <v>2584000</v>
      </c>
      <c r="E555" s="43">
        <f t="shared" si="17"/>
        <v>-7000</v>
      </c>
    </row>
    <row r="556" spans="1:5" x14ac:dyDescent="0.2">
      <c r="A556" s="42">
        <v>28336</v>
      </c>
      <c r="B556" s="43">
        <f>VLOOKUP(A556,Database!F:H,3,)</f>
        <v>365000</v>
      </c>
      <c r="C556" s="43">
        <f t="shared" si="16"/>
        <v>0</v>
      </c>
      <c r="D556" s="43">
        <f>VLOOKUP(A556,Database!F:H,2,)</f>
        <v>2605000</v>
      </c>
      <c r="E556" s="43">
        <f t="shared" si="17"/>
        <v>21000</v>
      </c>
    </row>
    <row r="557" spans="1:5" x14ac:dyDescent="0.2">
      <c r="A557" s="42">
        <v>28343</v>
      </c>
      <c r="B557" s="43">
        <f>VLOOKUP(A557,Database!F:H,3,)</f>
        <v>378000</v>
      </c>
      <c r="C557" s="43">
        <f t="shared" si="16"/>
        <v>13000</v>
      </c>
      <c r="D557" s="43">
        <f>VLOOKUP(A557,Database!F:H,2,)</f>
        <v>2605000</v>
      </c>
      <c r="E557" s="43">
        <f t="shared" si="17"/>
        <v>0</v>
      </c>
    </row>
    <row r="558" spans="1:5" x14ac:dyDescent="0.2">
      <c r="A558" s="42">
        <v>28350</v>
      </c>
      <c r="B558" s="43">
        <f>VLOOKUP(A558,Database!F:H,3,)</f>
        <v>359000</v>
      </c>
      <c r="C558" s="43">
        <f t="shared" si="16"/>
        <v>-19000</v>
      </c>
      <c r="D558" s="43">
        <f>VLOOKUP(A558,Database!F:H,2,)</f>
        <v>2618000</v>
      </c>
      <c r="E558" s="43">
        <f t="shared" si="17"/>
        <v>13000</v>
      </c>
    </row>
    <row r="559" spans="1:5" x14ac:dyDescent="0.2">
      <c r="A559" s="42">
        <v>28357</v>
      </c>
      <c r="B559" s="43">
        <f>VLOOKUP(A559,Database!F:H,3,)</f>
        <v>367000</v>
      </c>
      <c r="C559" s="43">
        <f t="shared" si="16"/>
        <v>8000</v>
      </c>
      <c r="D559" s="43">
        <f>VLOOKUP(A559,Database!F:H,2,)</f>
        <v>2612000</v>
      </c>
      <c r="E559" s="43">
        <f t="shared" si="17"/>
        <v>-6000</v>
      </c>
    </row>
    <row r="560" spans="1:5" x14ac:dyDescent="0.2">
      <c r="A560" s="42">
        <v>28364</v>
      </c>
      <c r="B560" s="43">
        <f>VLOOKUP(A560,Database!F:H,3,)</f>
        <v>365000</v>
      </c>
      <c r="C560" s="43">
        <f t="shared" si="16"/>
        <v>-2000</v>
      </c>
      <c r="D560" s="43">
        <f>VLOOKUP(A560,Database!F:H,2,)</f>
        <v>2607000</v>
      </c>
      <c r="E560" s="43">
        <f t="shared" si="17"/>
        <v>-5000</v>
      </c>
    </row>
    <row r="561" spans="1:5" x14ac:dyDescent="0.2">
      <c r="A561" s="42">
        <v>28371</v>
      </c>
      <c r="B561" s="43">
        <f>VLOOKUP(A561,Database!F:H,3,)</f>
        <v>374000</v>
      </c>
      <c r="C561" s="43">
        <f t="shared" si="16"/>
        <v>9000</v>
      </c>
      <c r="D561" s="43">
        <f>VLOOKUP(A561,Database!F:H,2,)</f>
        <v>2571000</v>
      </c>
      <c r="E561" s="43">
        <f t="shared" si="17"/>
        <v>-36000</v>
      </c>
    </row>
    <row r="562" spans="1:5" x14ac:dyDescent="0.2">
      <c r="A562" s="42">
        <v>28378</v>
      </c>
      <c r="B562" s="43">
        <f>VLOOKUP(A562,Database!F:H,3,)</f>
        <v>359000</v>
      </c>
      <c r="C562" s="43">
        <f t="shared" si="16"/>
        <v>-15000</v>
      </c>
      <c r="D562" s="43">
        <f>VLOOKUP(A562,Database!F:H,2,)</f>
        <v>2601000</v>
      </c>
      <c r="E562" s="43">
        <f t="shared" si="17"/>
        <v>30000</v>
      </c>
    </row>
    <row r="563" spans="1:5" x14ac:dyDescent="0.2">
      <c r="A563" s="42">
        <v>28385</v>
      </c>
      <c r="B563" s="43">
        <f>VLOOKUP(A563,Database!F:H,3,)</f>
        <v>362000</v>
      </c>
      <c r="C563" s="43">
        <f t="shared" si="16"/>
        <v>3000</v>
      </c>
      <c r="D563" s="43">
        <f>VLOOKUP(A563,Database!F:H,2,)</f>
        <v>2605000</v>
      </c>
      <c r="E563" s="43">
        <f t="shared" si="17"/>
        <v>4000</v>
      </c>
    </row>
    <row r="564" spans="1:5" x14ac:dyDescent="0.2">
      <c r="A564" s="42">
        <v>28392</v>
      </c>
      <c r="B564" s="43">
        <f>VLOOKUP(A564,Database!F:H,3,)</f>
        <v>380000</v>
      </c>
      <c r="C564" s="43">
        <f t="shared" si="16"/>
        <v>18000</v>
      </c>
      <c r="D564" s="43">
        <f>VLOOKUP(A564,Database!F:H,2,)</f>
        <v>2581000</v>
      </c>
      <c r="E564" s="43">
        <f t="shared" si="17"/>
        <v>-24000</v>
      </c>
    </row>
    <row r="565" spans="1:5" x14ac:dyDescent="0.2">
      <c r="A565" s="42">
        <v>28399</v>
      </c>
      <c r="B565" s="43">
        <f>VLOOKUP(A565,Database!F:H,3,)</f>
        <v>348000</v>
      </c>
      <c r="C565" s="43">
        <f t="shared" si="16"/>
        <v>-32000</v>
      </c>
      <c r="D565" s="43">
        <f>VLOOKUP(A565,Database!F:H,2,)</f>
        <v>2583000</v>
      </c>
      <c r="E565" s="43">
        <f t="shared" si="17"/>
        <v>2000</v>
      </c>
    </row>
    <row r="566" spans="1:5" x14ac:dyDescent="0.2">
      <c r="A566" s="42">
        <v>28406</v>
      </c>
      <c r="B566" s="43">
        <f>VLOOKUP(A566,Database!F:H,3,)</f>
        <v>365000</v>
      </c>
      <c r="C566" s="43">
        <f t="shared" si="16"/>
        <v>17000</v>
      </c>
      <c r="D566" s="43">
        <f>VLOOKUP(A566,Database!F:H,2,)</f>
        <v>2575000</v>
      </c>
      <c r="E566" s="43">
        <f t="shared" si="17"/>
        <v>-8000</v>
      </c>
    </row>
    <row r="567" spans="1:5" x14ac:dyDescent="0.2">
      <c r="A567" s="42">
        <v>28413</v>
      </c>
      <c r="B567" s="43">
        <f>VLOOKUP(A567,Database!F:H,3,)</f>
        <v>358000</v>
      </c>
      <c r="C567" s="43">
        <f t="shared" si="16"/>
        <v>-7000</v>
      </c>
      <c r="D567" s="43">
        <f>VLOOKUP(A567,Database!F:H,2,)</f>
        <v>2575000</v>
      </c>
      <c r="E567" s="43">
        <f t="shared" si="17"/>
        <v>0</v>
      </c>
    </row>
    <row r="568" spans="1:5" x14ac:dyDescent="0.2">
      <c r="A568" s="42">
        <v>28420</v>
      </c>
      <c r="B568" s="43">
        <f>VLOOKUP(A568,Database!F:H,3,)</f>
        <v>375000</v>
      </c>
      <c r="C568" s="43">
        <f t="shared" si="16"/>
        <v>17000</v>
      </c>
      <c r="D568" s="43">
        <f>VLOOKUP(A568,Database!F:H,2,)</f>
        <v>2561000</v>
      </c>
      <c r="E568" s="43">
        <f t="shared" si="17"/>
        <v>-14000</v>
      </c>
    </row>
    <row r="569" spans="1:5" x14ac:dyDescent="0.2">
      <c r="A569" s="42">
        <v>28427</v>
      </c>
      <c r="B569" s="43">
        <f>VLOOKUP(A569,Database!F:H,3,)</f>
        <v>349000</v>
      </c>
      <c r="C569" s="43">
        <f t="shared" si="16"/>
        <v>-26000</v>
      </c>
      <c r="D569" s="43">
        <f>VLOOKUP(A569,Database!F:H,2,)</f>
        <v>2587000</v>
      </c>
      <c r="E569" s="43">
        <f t="shared" si="17"/>
        <v>26000</v>
      </c>
    </row>
    <row r="570" spans="1:5" x14ac:dyDescent="0.2">
      <c r="A570" s="42">
        <v>28434</v>
      </c>
      <c r="B570" s="43">
        <f>VLOOKUP(A570,Database!F:H,3,)</f>
        <v>366000</v>
      </c>
      <c r="C570" s="43">
        <f t="shared" si="16"/>
        <v>17000</v>
      </c>
      <c r="D570" s="43">
        <f>VLOOKUP(A570,Database!F:H,2,)</f>
        <v>2535000</v>
      </c>
      <c r="E570" s="43">
        <f t="shared" si="17"/>
        <v>-52000</v>
      </c>
    </row>
    <row r="571" spans="1:5" x14ac:dyDescent="0.2">
      <c r="A571" s="42">
        <v>28441</v>
      </c>
      <c r="B571" s="43">
        <f>VLOOKUP(A571,Database!F:H,3,)</f>
        <v>334000</v>
      </c>
      <c r="C571" s="43">
        <f t="shared" si="16"/>
        <v>-32000</v>
      </c>
      <c r="D571" s="43">
        <f>VLOOKUP(A571,Database!F:H,2,)</f>
        <v>2592000</v>
      </c>
      <c r="E571" s="43">
        <f t="shared" si="17"/>
        <v>57000</v>
      </c>
    </row>
    <row r="572" spans="1:5" x14ac:dyDescent="0.2">
      <c r="A572" s="42">
        <v>28448</v>
      </c>
      <c r="B572" s="43">
        <f>VLOOKUP(A572,Database!F:H,3,)</f>
        <v>360000</v>
      </c>
      <c r="C572" s="43">
        <f t="shared" si="16"/>
        <v>26000</v>
      </c>
      <c r="D572" s="43">
        <f>VLOOKUP(A572,Database!F:H,2,)</f>
        <v>2527000</v>
      </c>
      <c r="E572" s="43">
        <f t="shared" si="17"/>
        <v>-65000</v>
      </c>
    </row>
    <row r="573" spans="1:5" x14ac:dyDescent="0.2">
      <c r="A573" s="42">
        <v>28455</v>
      </c>
      <c r="B573" s="43">
        <f>VLOOKUP(A573,Database!F:H,3,)</f>
        <v>354000</v>
      </c>
      <c r="C573" s="43">
        <f t="shared" si="16"/>
        <v>-6000</v>
      </c>
      <c r="D573" s="43">
        <f>VLOOKUP(A573,Database!F:H,2,)</f>
        <v>2620000</v>
      </c>
      <c r="E573" s="43">
        <f t="shared" si="17"/>
        <v>93000</v>
      </c>
    </row>
    <row r="574" spans="1:5" x14ac:dyDescent="0.2">
      <c r="A574" s="42">
        <v>28462</v>
      </c>
      <c r="B574" s="43">
        <f>VLOOKUP(A574,Database!F:H,3,)</f>
        <v>367000</v>
      </c>
      <c r="C574" s="43">
        <f t="shared" si="16"/>
        <v>13000</v>
      </c>
      <c r="D574" s="43">
        <f>VLOOKUP(A574,Database!F:H,2,)</f>
        <v>2505000</v>
      </c>
      <c r="E574" s="43">
        <f t="shared" si="17"/>
        <v>-115000</v>
      </c>
    </row>
    <row r="575" spans="1:5" x14ac:dyDescent="0.2">
      <c r="A575" s="42">
        <v>28469</v>
      </c>
      <c r="B575" s="43">
        <f>VLOOKUP(A575,Database!F:H,3,)</f>
        <v>364000</v>
      </c>
      <c r="C575" s="43">
        <f t="shared" si="16"/>
        <v>-3000</v>
      </c>
      <c r="D575" s="43">
        <f>VLOOKUP(A575,Database!F:H,2,)</f>
        <v>2529000</v>
      </c>
      <c r="E575" s="43">
        <f t="shared" si="17"/>
        <v>24000</v>
      </c>
    </row>
    <row r="576" spans="1:5" x14ac:dyDescent="0.2">
      <c r="A576" s="42">
        <v>28476</v>
      </c>
      <c r="B576" s="43">
        <f>VLOOKUP(A576,Database!F:H,3,)</f>
        <v>359000</v>
      </c>
      <c r="C576" s="43">
        <f t="shared" si="16"/>
        <v>-5000</v>
      </c>
      <c r="D576" s="43">
        <f>VLOOKUP(A576,Database!F:H,2,)</f>
        <v>2558000</v>
      </c>
      <c r="E576" s="43">
        <f t="shared" si="17"/>
        <v>29000</v>
      </c>
    </row>
    <row r="577" spans="1:5" x14ac:dyDescent="0.2">
      <c r="A577" s="42">
        <v>28483</v>
      </c>
      <c r="B577" s="43">
        <f>VLOOKUP(A577,Database!F:H,3,)</f>
        <v>344000</v>
      </c>
      <c r="C577" s="43">
        <f t="shared" si="16"/>
        <v>-15000</v>
      </c>
      <c r="D577" s="43">
        <f>VLOOKUP(A577,Database!F:H,2,)</f>
        <v>2482000</v>
      </c>
      <c r="E577" s="43">
        <f t="shared" si="17"/>
        <v>-76000</v>
      </c>
    </row>
    <row r="578" spans="1:5" x14ac:dyDescent="0.2">
      <c r="A578" s="42">
        <v>28490</v>
      </c>
      <c r="B578" s="43">
        <f>VLOOKUP(A578,Database!F:H,3,)</f>
        <v>364000</v>
      </c>
      <c r="C578" s="43">
        <f t="shared" si="16"/>
        <v>20000</v>
      </c>
      <c r="D578" s="43">
        <f>VLOOKUP(A578,Database!F:H,2,)</f>
        <v>2461000</v>
      </c>
      <c r="E578" s="43">
        <f t="shared" si="17"/>
        <v>-21000</v>
      </c>
    </row>
    <row r="579" spans="1:5" x14ac:dyDescent="0.2">
      <c r="A579" s="42">
        <v>28497</v>
      </c>
      <c r="B579" s="43">
        <f>VLOOKUP(A579,Database!F:H,3,)</f>
        <v>346000</v>
      </c>
      <c r="C579" s="43">
        <f t="shared" si="16"/>
        <v>-18000</v>
      </c>
      <c r="D579" s="43">
        <f>VLOOKUP(A579,Database!F:H,2,)</f>
        <v>2456000</v>
      </c>
      <c r="E579" s="43">
        <f t="shared" si="17"/>
        <v>-5000</v>
      </c>
    </row>
    <row r="580" spans="1:5" x14ac:dyDescent="0.2">
      <c r="A580" s="42">
        <v>28504</v>
      </c>
      <c r="B580" s="43">
        <f>VLOOKUP(A580,Database!F:H,3,)</f>
        <v>343000</v>
      </c>
      <c r="C580" s="43">
        <f t="shared" si="16"/>
        <v>-3000</v>
      </c>
      <c r="D580" s="43">
        <f>VLOOKUP(A580,Database!F:H,2,)</f>
        <v>2418000</v>
      </c>
      <c r="E580" s="43">
        <f t="shared" si="17"/>
        <v>-38000</v>
      </c>
    </row>
    <row r="581" spans="1:5" x14ac:dyDescent="0.2">
      <c r="A581" s="42">
        <v>28511</v>
      </c>
      <c r="B581" s="43">
        <f>VLOOKUP(A581,Database!F:H,3,)</f>
        <v>352000</v>
      </c>
      <c r="C581" s="43">
        <f t="shared" si="16"/>
        <v>9000</v>
      </c>
      <c r="D581" s="43">
        <f>VLOOKUP(A581,Database!F:H,2,)</f>
        <v>2522000</v>
      </c>
      <c r="E581" s="43">
        <f t="shared" si="17"/>
        <v>104000</v>
      </c>
    </row>
    <row r="582" spans="1:5" x14ac:dyDescent="0.2">
      <c r="A582" s="42">
        <v>28518</v>
      </c>
      <c r="B582" s="43">
        <f>VLOOKUP(A582,Database!F:H,3,)</f>
        <v>363000</v>
      </c>
      <c r="C582" s="43">
        <f t="shared" si="16"/>
        <v>11000</v>
      </c>
      <c r="D582" s="43">
        <f>VLOOKUP(A582,Database!F:H,2,)</f>
        <v>2578000</v>
      </c>
      <c r="E582" s="43">
        <f t="shared" si="17"/>
        <v>56000</v>
      </c>
    </row>
    <row r="583" spans="1:5" x14ac:dyDescent="0.2">
      <c r="A583" s="42">
        <v>28525</v>
      </c>
      <c r="B583" s="43">
        <f>VLOOKUP(A583,Database!F:H,3,)</f>
        <v>360000</v>
      </c>
      <c r="C583" s="43">
        <f t="shared" si="16"/>
        <v>-3000</v>
      </c>
      <c r="D583" s="43">
        <f>VLOOKUP(A583,Database!F:H,2,)</f>
        <v>2468000</v>
      </c>
      <c r="E583" s="43">
        <f t="shared" si="17"/>
        <v>-110000</v>
      </c>
    </row>
    <row r="584" spans="1:5" x14ac:dyDescent="0.2">
      <c r="A584" s="42">
        <v>28532</v>
      </c>
      <c r="B584" s="43">
        <f>VLOOKUP(A584,Database!F:H,3,)</f>
        <v>373000</v>
      </c>
      <c r="C584" s="43">
        <f t="shared" ref="C584:C647" si="18">B584-B583</f>
        <v>13000</v>
      </c>
      <c r="D584" s="43">
        <f>VLOOKUP(A584,Database!F:H,2,)</f>
        <v>2656000</v>
      </c>
      <c r="E584" s="43">
        <f t="shared" ref="E584:E647" si="19">D584-D583</f>
        <v>188000</v>
      </c>
    </row>
    <row r="585" spans="1:5" x14ac:dyDescent="0.2">
      <c r="A585" s="42">
        <v>28539</v>
      </c>
      <c r="B585" s="43">
        <f>VLOOKUP(A585,Database!F:H,3,)</f>
        <v>429000</v>
      </c>
      <c r="C585" s="43">
        <f t="shared" si="18"/>
        <v>56000</v>
      </c>
      <c r="D585" s="43">
        <f>VLOOKUP(A585,Database!F:H,2,)</f>
        <v>2545000</v>
      </c>
      <c r="E585" s="43">
        <f t="shared" si="19"/>
        <v>-111000</v>
      </c>
    </row>
    <row r="586" spans="1:5" x14ac:dyDescent="0.2">
      <c r="A586" s="42">
        <v>28546</v>
      </c>
      <c r="B586" s="43">
        <f>VLOOKUP(A586,Database!F:H,3,)</f>
        <v>371000</v>
      </c>
      <c r="C586" s="43">
        <f t="shared" si="18"/>
        <v>-58000</v>
      </c>
      <c r="D586" s="43">
        <f>VLOOKUP(A586,Database!F:H,2,)</f>
        <v>2553000</v>
      </c>
      <c r="E586" s="43">
        <f t="shared" si="19"/>
        <v>8000</v>
      </c>
    </row>
    <row r="587" spans="1:5" x14ac:dyDescent="0.2">
      <c r="A587" s="42">
        <v>28553</v>
      </c>
      <c r="B587" s="43">
        <f>VLOOKUP(A587,Database!F:H,3,)</f>
        <v>355000</v>
      </c>
      <c r="C587" s="43">
        <f t="shared" si="18"/>
        <v>-16000</v>
      </c>
      <c r="D587" s="43">
        <f>VLOOKUP(A587,Database!F:H,2,)</f>
        <v>2529000</v>
      </c>
      <c r="E587" s="43">
        <f t="shared" si="19"/>
        <v>-24000</v>
      </c>
    </row>
    <row r="588" spans="1:5" x14ac:dyDescent="0.2">
      <c r="A588" s="42">
        <v>28560</v>
      </c>
      <c r="B588" s="43">
        <f>VLOOKUP(A588,Database!F:H,3,)</f>
        <v>359000</v>
      </c>
      <c r="C588" s="43">
        <f t="shared" si="18"/>
        <v>4000</v>
      </c>
      <c r="D588" s="43">
        <f>VLOOKUP(A588,Database!F:H,2,)</f>
        <v>2526000</v>
      </c>
      <c r="E588" s="43">
        <f t="shared" si="19"/>
        <v>-3000</v>
      </c>
    </row>
    <row r="589" spans="1:5" x14ac:dyDescent="0.2">
      <c r="A589" s="42">
        <v>28567</v>
      </c>
      <c r="B589" s="43">
        <f>VLOOKUP(A589,Database!F:H,3,)</f>
        <v>347000</v>
      </c>
      <c r="C589" s="43">
        <f t="shared" si="18"/>
        <v>-12000</v>
      </c>
      <c r="D589" s="43">
        <f>VLOOKUP(A589,Database!F:H,2,)</f>
        <v>2471000</v>
      </c>
      <c r="E589" s="43">
        <f t="shared" si="19"/>
        <v>-55000</v>
      </c>
    </row>
    <row r="590" spans="1:5" x14ac:dyDescent="0.2">
      <c r="A590" s="42">
        <v>28574</v>
      </c>
      <c r="B590" s="43">
        <f>VLOOKUP(A590,Database!F:H,3,)</f>
        <v>335000</v>
      </c>
      <c r="C590" s="43">
        <f t="shared" si="18"/>
        <v>-12000</v>
      </c>
      <c r="D590" s="43">
        <f>VLOOKUP(A590,Database!F:H,2,)</f>
        <v>2473000</v>
      </c>
      <c r="E590" s="43">
        <f t="shared" si="19"/>
        <v>2000</v>
      </c>
    </row>
    <row r="591" spans="1:5" x14ac:dyDescent="0.2">
      <c r="A591" s="42">
        <v>28581</v>
      </c>
      <c r="B591" s="43">
        <f>VLOOKUP(A591,Database!F:H,3,)</f>
        <v>333000</v>
      </c>
      <c r="C591" s="43">
        <f t="shared" si="18"/>
        <v>-2000</v>
      </c>
      <c r="D591" s="43">
        <f>VLOOKUP(A591,Database!F:H,2,)</f>
        <v>2453000</v>
      </c>
      <c r="E591" s="43">
        <f t="shared" si="19"/>
        <v>-20000</v>
      </c>
    </row>
    <row r="592" spans="1:5" x14ac:dyDescent="0.2">
      <c r="A592" s="42">
        <v>28588</v>
      </c>
      <c r="B592" s="43">
        <f>VLOOKUP(A592,Database!F:H,3,)</f>
        <v>345000</v>
      </c>
      <c r="C592" s="43">
        <f t="shared" si="18"/>
        <v>12000</v>
      </c>
      <c r="D592" s="43">
        <f>VLOOKUP(A592,Database!F:H,2,)</f>
        <v>2397000</v>
      </c>
      <c r="E592" s="43">
        <f t="shared" si="19"/>
        <v>-56000</v>
      </c>
    </row>
    <row r="593" spans="1:5" x14ac:dyDescent="0.2">
      <c r="A593" s="42">
        <v>28595</v>
      </c>
      <c r="B593" s="43">
        <f>VLOOKUP(A593,Database!F:H,3,)</f>
        <v>309000</v>
      </c>
      <c r="C593" s="43">
        <f t="shared" si="18"/>
        <v>-36000</v>
      </c>
      <c r="D593" s="43">
        <f>VLOOKUP(A593,Database!F:H,2,)</f>
        <v>2339000</v>
      </c>
      <c r="E593" s="43">
        <f t="shared" si="19"/>
        <v>-58000</v>
      </c>
    </row>
    <row r="594" spans="1:5" x14ac:dyDescent="0.2">
      <c r="A594" s="42">
        <v>28602</v>
      </c>
      <c r="B594" s="43">
        <f>VLOOKUP(A594,Database!F:H,3,)</f>
        <v>319000</v>
      </c>
      <c r="C594" s="43">
        <f t="shared" si="18"/>
        <v>10000</v>
      </c>
      <c r="D594" s="43">
        <f>VLOOKUP(A594,Database!F:H,2,)</f>
        <v>2287000</v>
      </c>
      <c r="E594" s="43">
        <f t="shared" si="19"/>
        <v>-52000</v>
      </c>
    </row>
    <row r="595" spans="1:5" x14ac:dyDescent="0.2">
      <c r="A595" s="42">
        <v>28609</v>
      </c>
      <c r="B595" s="43">
        <f>VLOOKUP(A595,Database!F:H,3,)</f>
        <v>324000</v>
      </c>
      <c r="C595" s="43">
        <f t="shared" si="18"/>
        <v>5000</v>
      </c>
      <c r="D595" s="43">
        <f>VLOOKUP(A595,Database!F:H,2,)</f>
        <v>2272000</v>
      </c>
      <c r="E595" s="43">
        <f t="shared" si="19"/>
        <v>-15000</v>
      </c>
    </row>
    <row r="596" spans="1:5" x14ac:dyDescent="0.2">
      <c r="A596" s="42">
        <v>28616</v>
      </c>
      <c r="B596" s="43">
        <f>VLOOKUP(A596,Database!F:H,3,)</f>
        <v>334000</v>
      </c>
      <c r="C596" s="43">
        <f t="shared" si="18"/>
        <v>10000</v>
      </c>
      <c r="D596" s="43">
        <f>VLOOKUP(A596,Database!F:H,2,)</f>
        <v>2246000</v>
      </c>
      <c r="E596" s="43">
        <f t="shared" si="19"/>
        <v>-26000</v>
      </c>
    </row>
    <row r="597" spans="1:5" x14ac:dyDescent="0.2">
      <c r="A597" s="42">
        <v>28623</v>
      </c>
      <c r="B597" s="43">
        <f>VLOOKUP(A597,Database!F:H,3,)</f>
        <v>322000</v>
      </c>
      <c r="C597" s="43">
        <f t="shared" si="18"/>
        <v>-12000</v>
      </c>
      <c r="D597" s="43">
        <f>VLOOKUP(A597,Database!F:H,2,)</f>
        <v>2231000</v>
      </c>
      <c r="E597" s="43">
        <f t="shared" si="19"/>
        <v>-15000</v>
      </c>
    </row>
    <row r="598" spans="1:5" x14ac:dyDescent="0.2">
      <c r="A598" s="42">
        <v>28630</v>
      </c>
      <c r="B598" s="43">
        <f>VLOOKUP(A598,Database!F:H,3,)</f>
        <v>334000</v>
      </c>
      <c r="C598" s="43">
        <f t="shared" si="18"/>
        <v>12000</v>
      </c>
      <c r="D598" s="43">
        <f>VLOOKUP(A598,Database!F:H,2,)</f>
        <v>2238000</v>
      </c>
      <c r="E598" s="43">
        <f t="shared" si="19"/>
        <v>7000</v>
      </c>
    </row>
    <row r="599" spans="1:5" x14ac:dyDescent="0.2">
      <c r="A599" s="42">
        <v>28637</v>
      </c>
      <c r="B599" s="43">
        <f>VLOOKUP(A599,Database!F:H,3,)</f>
        <v>318000</v>
      </c>
      <c r="C599" s="43">
        <f t="shared" si="18"/>
        <v>-16000</v>
      </c>
      <c r="D599" s="43">
        <f>VLOOKUP(A599,Database!F:H,2,)</f>
        <v>2211000</v>
      </c>
      <c r="E599" s="43">
        <f t="shared" si="19"/>
        <v>-27000</v>
      </c>
    </row>
    <row r="600" spans="1:5" x14ac:dyDescent="0.2">
      <c r="A600" s="42">
        <v>28644</v>
      </c>
      <c r="B600" s="43">
        <f>VLOOKUP(A600,Database!F:H,3,)</f>
        <v>310000</v>
      </c>
      <c r="C600" s="43">
        <f t="shared" si="18"/>
        <v>-8000</v>
      </c>
      <c r="D600" s="43">
        <f>VLOOKUP(A600,Database!F:H,2,)</f>
        <v>2224000</v>
      </c>
      <c r="E600" s="43">
        <f t="shared" si="19"/>
        <v>13000</v>
      </c>
    </row>
    <row r="601" spans="1:5" x14ac:dyDescent="0.2">
      <c r="A601" s="42">
        <v>28651</v>
      </c>
      <c r="B601" s="43">
        <f>VLOOKUP(A601,Database!F:H,3,)</f>
        <v>331000</v>
      </c>
      <c r="C601" s="43">
        <f t="shared" si="18"/>
        <v>21000</v>
      </c>
      <c r="D601" s="43">
        <f>VLOOKUP(A601,Database!F:H,2,)</f>
        <v>2189000</v>
      </c>
      <c r="E601" s="43">
        <f t="shared" si="19"/>
        <v>-35000</v>
      </c>
    </row>
    <row r="602" spans="1:5" x14ac:dyDescent="0.2">
      <c r="A602" s="42">
        <v>28658</v>
      </c>
      <c r="B602" s="43">
        <f>VLOOKUP(A602,Database!F:H,3,)</f>
        <v>326000</v>
      </c>
      <c r="C602" s="43">
        <f t="shared" si="18"/>
        <v>-5000</v>
      </c>
      <c r="D602" s="43">
        <f>VLOOKUP(A602,Database!F:H,2,)</f>
        <v>2225000</v>
      </c>
      <c r="E602" s="43">
        <f t="shared" si="19"/>
        <v>36000</v>
      </c>
    </row>
    <row r="603" spans="1:5" x14ac:dyDescent="0.2">
      <c r="A603" s="42">
        <v>28665</v>
      </c>
      <c r="B603" s="43">
        <f>VLOOKUP(A603,Database!F:H,3,)</f>
        <v>330000</v>
      </c>
      <c r="C603" s="43">
        <f t="shared" si="18"/>
        <v>4000</v>
      </c>
      <c r="D603" s="43">
        <f>VLOOKUP(A603,Database!F:H,2,)</f>
        <v>2249000</v>
      </c>
      <c r="E603" s="43">
        <f t="shared" si="19"/>
        <v>24000</v>
      </c>
    </row>
    <row r="604" spans="1:5" x14ac:dyDescent="0.2">
      <c r="A604" s="42">
        <v>28672</v>
      </c>
      <c r="B604" s="43">
        <f>VLOOKUP(A604,Database!F:H,3,)</f>
        <v>348000</v>
      </c>
      <c r="C604" s="43">
        <f t="shared" si="18"/>
        <v>18000</v>
      </c>
      <c r="D604" s="43">
        <f>VLOOKUP(A604,Database!F:H,2,)</f>
        <v>2242000</v>
      </c>
      <c r="E604" s="43">
        <f t="shared" si="19"/>
        <v>-7000</v>
      </c>
    </row>
    <row r="605" spans="1:5" x14ac:dyDescent="0.2">
      <c r="A605" s="42">
        <v>28679</v>
      </c>
      <c r="B605" s="43">
        <f>VLOOKUP(A605,Database!F:H,3,)</f>
        <v>356000</v>
      </c>
      <c r="C605" s="43">
        <f t="shared" si="18"/>
        <v>8000</v>
      </c>
      <c r="D605" s="43">
        <f>VLOOKUP(A605,Database!F:H,2,)</f>
        <v>2331000</v>
      </c>
      <c r="E605" s="43">
        <f t="shared" si="19"/>
        <v>89000</v>
      </c>
    </row>
    <row r="606" spans="1:5" x14ac:dyDescent="0.2">
      <c r="A606" s="42">
        <v>28686</v>
      </c>
      <c r="B606" s="43">
        <f>VLOOKUP(A606,Database!F:H,3,)</f>
        <v>352000</v>
      </c>
      <c r="C606" s="43">
        <f t="shared" si="18"/>
        <v>-4000</v>
      </c>
      <c r="D606" s="43">
        <f>VLOOKUP(A606,Database!F:H,2,)</f>
        <v>2328000</v>
      </c>
      <c r="E606" s="43">
        <f t="shared" si="19"/>
        <v>-3000</v>
      </c>
    </row>
    <row r="607" spans="1:5" x14ac:dyDescent="0.2">
      <c r="A607" s="42">
        <v>28693</v>
      </c>
      <c r="B607" s="43">
        <f>VLOOKUP(A607,Database!F:H,3,)</f>
        <v>349000</v>
      </c>
      <c r="C607" s="43">
        <f t="shared" si="18"/>
        <v>-3000</v>
      </c>
      <c r="D607" s="43">
        <f>VLOOKUP(A607,Database!F:H,2,)</f>
        <v>2321000</v>
      </c>
      <c r="E607" s="43">
        <f t="shared" si="19"/>
        <v>-7000</v>
      </c>
    </row>
    <row r="608" spans="1:5" x14ac:dyDescent="0.2">
      <c r="A608" s="42">
        <v>28700</v>
      </c>
      <c r="B608" s="43">
        <f>VLOOKUP(A608,Database!F:H,3,)</f>
        <v>346000</v>
      </c>
      <c r="C608" s="43">
        <f t="shared" si="18"/>
        <v>-3000</v>
      </c>
      <c r="D608" s="43">
        <f>VLOOKUP(A608,Database!F:H,2,)</f>
        <v>2344000</v>
      </c>
      <c r="E608" s="43">
        <f t="shared" si="19"/>
        <v>23000</v>
      </c>
    </row>
    <row r="609" spans="1:5" x14ac:dyDescent="0.2">
      <c r="A609" s="42">
        <v>28707</v>
      </c>
      <c r="B609" s="43">
        <f>VLOOKUP(A609,Database!F:H,3,)</f>
        <v>365000</v>
      </c>
      <c r="C609" s="43">
        <f t="shared" si="18"/>
        <v>19000</v>
      </c>
      <c r="D609" s="43">
        <f>VLOOKUP(A609,Database!F:H,2,)</f>
        <v>2395000</v>
      </c>
      <c r="E609" s="43">
        <f t="shared" si="19"/>
        <v>51000</v>
      </c>
    </row>
    <row r="610" spans="1:5" x14ac:dyDescent="0.2">
      <c r="A610" s="42">
        <v>28714</v>
      </c>
      <c r="B610" s="43">
        <f>VLOOKUP(A610,Database!F:H,3,)</f>
        <v>354000</v>
      </c>
      <c r="C610" s="43">
        <f t="shared" si="18"/>
        <v>-11000</v>
      </c>
      <c r="D610" s="43">
        <f>VLOOKUP(A610,Database!F:H,2,)</f>
        <v>2422000</v>
      </c>
      <c r="E610" s="43">
        <f t="shared" si="19"/>
        <v>27000</v>
      </c>
    </row>
    <row r="611" spans="1:5" x14ac:dyDescent="0.2">
      <c r="A611" s="42">
        <v>28721</v>
      </c>
      <c r="B611" s="43">
        <f>VLOOKUP(A611,Database!F:H,3,)</f>
        <v>343000</v>
      </c>
      <c r="C611" s="43">
        <f t="shared" si="18"/>
        <v>-11000</v>
      </c>
      <c r="D611" s="43">
        <f>VLOOKUP(A611,Database!F:H,2,)</f>
        <v>2405000</v>
      </c>
      <c r="E611" s="43">
        <f t="shared" si="19"/>
        <v>-17000</v>
      </c>
    </row>
    <row r="612" spans="1:5" x14ac:dyDescent="0.2">
      <c r="A612" s="42">
        <v>28728</v>
      </c>
      <c r="B612" s="43">
        <f>VLOOKUP(A612,Database!F:H,3,)</f>
        <v>333000</v>
      </c>
      <c r="C612" s="43">
        <f t="shared" si="18"/>
        <v>-10000</v>
      </c>
      <c r="D612" s="43">
        <f>VLOOKUP(A612,Database!F:H,2,)</f>
        <v>2370000</v>
      </c>
      <c r="E612" s="43">
        <f t="shared" si="19"/>
        <v>-35000</v>
      </c>
    </row>
    <row r="613" spans="1:5" x14ac:dyDescent="0.2">
      <c r="A613" s="42">
        <v>28735</v>
      </c>
      <c r="B613" s="43">
        <f>VLOOKUP(A613,Database!F:H,3,)</f>
        <v>313000</v>
      </c>
      <c r="C613" s="43">
        <f t="shared" si="18"/>
        <v>-20000</v>
      </c>
      <c r="D613" s="43">
        <f>VLOOKUP(A613,Database!F:H,2,)</f>
        <v>2336000</v>
      </c>
      <c r="E613" s="43">
        <f t="shared" si="19"/>
        <v>-34000</v>
      </c>
    </row>
    <row r="614" spans="1:5" x14ac:dyDescent="0.2">
      <c r="A614" s="42">
        <v>28742</v>
      </c>
      <c r="B614" s="43">
        <f>VLOOKUP(A614,Database!F:H,3,)</f>
        <v>337000</v>
      </c>
      <c r="C614" s="43">
        <f t="shared" si="18"/>
        <v>24000</v>
      </c>
      <c r="D614" s="43">
        <f>VLOOKUP(A614,Database!F:H,2,)</f>
        <v>2278000</v>
      </c>
      <c r="E614" s="43">
        <f t="shared" si="19"/>
        <v>-58000</v>
      </c>
    </row>
    <row r="615" spans="1:5" x14ac:dyDescent="0.2">
      <c r="A615" s="42">
        <v>28749</v>
      </c>
      <c r="B615" s="43">
        <f>VLOOKUP(A615,Database!F:H,3,)</f>
        <v>322000</v>
      </c>
      <c r="C615" s="43">
        <f t="shared" si="18"/>
        <v>-15000</v>
      </c>
      <c r="D615" s="43">
        <f>VLOOKUP(A615,Database!F:H,2,)</f>
        <v>2271000</v>
      </c>
      <c r="E615" s="43">
        <f t="shared" si="19"/>
        <v>-7000</v>
      </c>
    </row>
    <row r="616" spans="1:5" x14ac:dyDescent="0.2">
      <c r="A616" s="42">
        <v>28756</v>
      </c>
      <c r="B616" s="43">
        <f>VLOOKUP(A616,Database!F:H,3,)</f>
        <v>323000</v>
      </c>
      <c r="C616" s="43">
        <f t="shared" si="18"/>
        <v>1000</v>
      </c>
      <c r="D616" s="43">
        <f>VLOOKUP(A616,Database!F:H,2,)</f>
        <v>2247000</v>
      </c>
      <c r="E616" s="43">
        <f t="shared" si="19"/>
        <v>-24000</v>
      </c>
    </row>
    <row r="617" spans="1:5" x14ac:dyDescent="0.2">
      <c r="A617" s="42">
        <v>28763</v>
      </c>
      <c r="B617" s="43">
        <f>VLOOKUP(A617,Database!F:H,3,)</f>
        <v>318000</v>
      </c>
      <c r="C617" s="43">
        <f t="shared" si="18"/>
        <v>-5000</v>
      </c>
      <c r="D617" s="43">
        <f>VLOOKUP(A617,Database!F:H,2,)</f>
        <v>2217000</v>
      </c>
      <c r="E617" s="43">
        <f t="shared" si="19"/>
        <v>-30000</v>
      </c>
    </row>
    <row r="618" spans="1:5" x14ac:dyDescent="0.2">
      <c r="A618" s="42">
        <v>28770</v>
      </c>
      <c r="B618" s="43">
        <f>VLOOKUP(A618,Database!F:H,3,)</f>
        <v>343000</v>
      </c>
      <c r="C618" s="43">
        <f t="shared" si="18"/>
        <v>25000</v>
      </c>
      <c r="D618" s="43">
        <f>VLOOKUP(A618,Database!F:H,2,)</f>
        <v>2219000</v>
      </c>
      <c r="E618" s="43">
        <f t="shared" si="19"/>
        <v>2000</v>
      </c>
    </row>
    <row r="619" spans="1:5" x14ac:dyDescent="0.2">
      <c r="A619" s="42">
        <v>28777</v>
      </c>
      <c r="B619" s="43">
        <f>VLOOKUP(A619,Database!F:H,3,)</f>
        <v>316000</v>
      </c>
      <c r="C619" s="43">
        <f t="shared" si="18"/>
        <v>-27000</v>
      </c>
      <c r="D619" s="43">
        <f>VLOOKUP(A619,Database!F:H,2,)</f>
        <v>2274000</v>
      </c>
      <c r="E619" s="43">
        <f t="shared" si="19"/>
        <v>55000</v>
      </c>
    </row>
    <row r="620" spans="1:5" x14ac:dyDescent="0.2">
      <c r="A620" s="42">
        <v>28784</v>
      </c>
      <c r="B620" s="43">
        <f>VLOOKUP(A620,Database!F:H,3,)</f>
        <v>338000</v>
      </c>
      <c r="C620" s="43">
        <f t="shared" si="18"/>
        <v>22000</v>
      </c>
      <c r="D620" s="43">
        <f>VLOOKUP(A620,Database!F:H,2,)</f>
        <v>2207000</v>
      </c>
      <c r="E620" s="43">
        <f t="shared" si="19"/>
        <v>-67000</v>
      </c>
    </row>
    <row r="621" spans="1:5" x14ac:dyDescent="0.2">
      <c r="A621" s="42">
        <v>28791</v>
      </c>
      <c r="B621" s="43">
        <f>VLOOKUP(A621,Database!F:H,3,)</f>
        <v>316000</v>
      </c>
      <c r="C621" s="43">
        <f t="shared" si="18"/>
        <v>-22000</v>
      </c>
      <c r="D621" s="43">
        <f>VLOOKUP(A621,Database!F:H,2,)</f>
        <v>2222000</v>
      </c>
      <c r="E621" s="43">
        <f t="shared" si="19"/>
        <v>15000</v>
      </c>
    </row>
    <row r="622" spans="1:5" x14ac:dyDescent="0.2">
      <c r="A622" s="42">
        <v>28798</v>
      </c>
      <c r="B622" s="43">
        <f>VLOOKUP(A622,Database!F:H,3,)</f>
        <v>317000</v>
      </c>
      <c r="C622" s="43">
        <f t="shared" si="18"/>
        <v>1000</v>
      </c>
      <c r="D622" s="43">
        <f>VLOOKUP(A622,Database!F:H,2,)</f>
        <v>2188000</v>
      </c>
      <c r="E622" s="43">
        <f t="shared" si="19"/>
        <v>-34000</v>
      </c>
    </row>
    <row r="623" spans="1:5" x14ac:dyDescent="0.2">
      <c r="A623" s="42">
        <v>28805</v>
      </c>
      <c r="B623" s="43">
        <f>VLOOKUP(A623,Database!F:H,3,)</f>
        <v>304000</v>
      </c>
      <c r="C623" s="43">
        <f t="shared" si="18"/>
        <v>-13000</v>
      </c>
      <c r="D623" s="43">
        <f>VLOOKUP(A623,Database!F:H,2,)</f>
        <v>2200000</v>
      </c>
      <c r="E623" s="43">
        <f t="shared" si="19"/>
        <v>12000</v>
      </c>
    </row>
    <row r="624" spans="1:5" x14ac:dyDescent="0.2">
      <c r="A624" s="42">
        <v>28812</v>
      </c>
      <c r="B624" s="43">
        <f>VLOOKUP(A624,Database!F:H,3,)</f>
        <v>342000</v>
      </c>
      <c r="C624" s="43">
        <f t="shared" si="18"/>
        <v>38000</v>
      </c>
      <c r="D624" s="43">
        <f>VLOOKUP(A624,Database!F:H,2,)</f>
        <v>2158000</v>
      </c>
      <c r="E624" s="43">
        <f t="shared" si="19"/>
        <v>-42000</v>
      </c>
    </row>
    <row r="625" spans="1:5" x14ac:dyDescent="0.2">
      <c r="A625" s="42">
        <v>28819</v>
      </c>
      <c r="B625" s="43">
        <f>VLOOKUP(A625,Database!F:H,3,)</f>
        <v>359000</v>
      </c>
      <c r="C625" s="43">
        <f t="shared" si="18"/>
        <v>17000</v>
      </c>
      <c r="D625" s="43">
        <f>VLOOKUP(A625,Database!F:H,2,)</f>
        <v>2349000</v>
      </c>
      <c r="E625" s="43">
        <f t="shared" si="19"/>
        <v>191000</v>
      </c>
    </row>
    <row r="626" spans="1:5" x14ac:dyDescent="0.2">
      <c r="A626" s="42">
        <v>28826</v>
      </c>
      <c r="B626" s="43">
        <f>VLOOKUP(A626,Database!F:H,3,)</f>
        <v>377000</v>
      </c>
      <c r="C626" s="43">
        <f t="shared" si="18"/>
        <v>18000</v>
      </c>
      <c r="D626" s="43">
        <f>VLOOKUP(A626,Database!F:H,2,)</f>
        <v>2248000</v>
      </c>
      <c r="E626" s="43">
        <f t="shared" si="19"/>
        <v>-101000</v>
      </c>
    </row>
    <row r="627" spans="1:5" x14ac:dyDescent="0.2">
      <c r="A627" s="42">
        <v>28833</v>
      </c>
      <c r="B627" s="43">
        <f>VLOOKUP(A627,Database!F:H,3,)</f>
        <v>344000</v>
      </c>
      <c r="C627" s="43">
        <f t="shared" si="18"/>
        <v>-33000</v>
      </c>
      <c r="D627" s="43">
        <f>VLOOKUP(A627,Database!F:H,2,)</f>
        <v>2292000</v>
      </c>
      <c r="E627" s="43">
        <f t="shared" si="19"/>
        <v>44000</v>
      </c>
    </row>
    <row r="628" spans="1:5" x14ac:dyDescent="0.2">
      <c r="A628" s="42">
        <v>28840</v>
      </c>
      <c r="B628" s="43">
        <f>VLOOKUP(A628,Database!F:H,3,)</f>
        <v>347000</v>
      </c>
      <c r="C628" s="43">
        <f t="shared" si="18"/>
        <v>3000</v>
      </c>
      <c r="D628" s="43">
        <f>VLOOKUP(A628,Database!F:H,2,)</f>
        <v>2328000</v>
      </c>
      <c r="E628" s="43">
        <f t="shared" si="19"/>
        <v>36000</v>
      </c>
    </row>
    <row r="629" spans="1:5" x14ac:dyDescent="0.2">
      <c r="A629" s="42">
        <v>28847</v>
      </c>
      <c r="B629" s="43">
        <f>VLOOKUP(A629,Database!F:H,3,)</f>
        <v>352000</v>
      </c>
      <c r="C629" s="43">
        <f t="shared" si="18"/>
        <v>5000</v>
      </c>
      <c r="D629" s="43">
        <f>VLOOKUP(A629,Database!F:H,2,)</f>
        <v>2276000</v>
      </c>
      <c r="E629" s="43">
        <f t="shared" si="19"/>
        <v>-52000</v>
      </c>
    </row>
    <row r="630" spans="1:5" x14ac:dyDescent="0.2">
      <c r="A630" s="42">
        <v>28854</v>
      </c>
      <c r="B630" s="43">
        <f>VLOOKUP(A630,Database!F:H,3,)</f>
        <v>358000</v>
      </c>
      <c r="C630" s="43">
        <f t="shared" si="18"/>
        <v>6000</v>
      </c>
      <c r="D630" s="43">
        <f>VLOOKUP(A630,Database!F:H,2,)</f>
        <v>2289000</v>
      </c>
      <c r="E630" s="43">
        <f t="shared" si="19"/>
        <v>13000</v>
      </c>
    </row>
    <row r="631" spans="1:5" x14ac:dyDescent="0.2">
      <c r="A631" s="42">
        <v>28861</v>
      </c>
      <c r="B631" s="43">
        <f>VLOOKUP(A631,Database!F:H,3,)</f>
        <v>359000</v>
      </c>
      <c r="C631" s="43">
        <f t="shared" si="18"/>
        <v>1000</v>
      </c>
      <c r="D631" s="43">
        <f>VLOOKUP(A631,Database!F:H,2,)</f>
        <v>2366000</v>
      </c>
      <c r="E631" s="43">
        <f t="shared" si="19"/>
        <v>77000</v>
      </c>
    </row>
    <row r="632" spans="1:5" x14ac:dyDescent="0.2">
      <c r="A632" s="42">
        <v>28868</v>
      </c>
      <c r="B632" s="43">
        <f>VLOOKUP(A632,Database!F:H,3,)</f>
        <v>392000</v>
      </c>
      <c r="C632" s="43">
        <f t="shared" si="18"/>
        <v>33000</v>
      </c>
      <c r="D632" s="43">
        <f>VLOOKUP(A632,Database!F:H,2,)</f>
        <v>2368000</v>
      </c>
      <c r="E632" s="43">
        <f t="shared" si="19"/>
        <v>2000</v>
      </c>
    </row>
    <row r="633" spans="1:5" x14ac:dyDescent="0.2">
      <c r="A633" s="42">
        <v>28875</v>
      </c>
      <c r="B633" s="43">
        <f>VLOOKUP(A633,Database!F:H,3,)</f>
        <v>337000</v>
      </c>
      <c r="C633" s="43">
        <f t="shared" si="18"/>
        <v>-55000</v>
      </c>
      <c r="D633" s="43">
        <f>VLOOKUP(A633,Database!F:H,2,)</f>
        <v>2403000</v>
      </c>
      <c r="E633" s="43">
        <f t="shared" si="19"/>
        <v>35000</v>
      </c>
    </row>
    <row r="634" spans="1:5" x14ac:dyDescent="0.2">
      <c r="A634" s="42">
        <v>28882</v>
      </c>
      <c r="B634" s="43">
        <f>VLOOKUP(A634,Database!F:H,3,)</f>
        <v>342000</v>
      </c>
      <c r="C634" s="43">
        <f t="shared" si="18"/>
        <v>5000</v>
      </c>
      <c r="D634" s="43">
        <f>VLOOKUP(A634,Database!F:H,2,)</f>
        <v>2393000</v>
      </c>
      <c r="E634" s="43">
        <f t="shared" si="19"/>
        <v>-10000</v>
      </c>
    </row>
    <row r="635" spans="1:5" x14ac:dyDescent="0.2">
      <c r="A635" s="42">
        <v>28889</v>
      </c>
      <c r="B635" s="43">
        <f>VLOOKUP(A635,Database!F:H,3,)</f>
        <v>348000</v>
      </c>
      <c r="C635" s="43">
        <f t="shared" si="18"/>
        <v>6000</v>
      </c>
      <c r="D635" s="43">
        <f>VLOOKUP(A635,Database!F:H,2,)</f>
        <v>2411000</v>
      </c>
      <c r="E635" s="43">
        <f t="shared" si="19"/>
        <v>18000</v>
      </c>
    </row>
    <row r="636" spans="1:5" x14ac:dyDescent="0.2">
      <c r="A636" s="42">
        <v>28896</v>
      </c>
      <c r="B636" s="43">
        <f>VLOOKUP(A636,Database!F:H,3,)</f>
        <v>359000</v>
      </c>
      <c r="C636" s="43">
        <f t="shared" si="18"/>
        <v>11000</v>
      </c>
      <c r="D636" s="43">
        <f>VLOOKUP(A636,Database!F:H,2,)</f>
        <v>2412000</v>
      </c>
      <c r="E636" s="43">
        <f t="shared" si="19"/>
        <v>1000</v>
      </c>
    </row>
    <row r="637" spans="1:5" x14ac:dyDescent="0.2">
      <c r="A637" s="42">
        <v>28903</v>
      </c>
      <c r="B637" s="43">
        <f>VLOOKUP(A637,Database!F:H,3,)</f>
        <v>367000</v>
      </c>
      <c r="C637" s="43">
        <f t="shared" si="18"/>
        <v>8000</v>
      </c>
      <c r="D637" s="43">
        <f>VLOOKUP(A637,Database!F:H,2,)</f>
        <v>2383000</v>
      </c>
      <c r="E637" s="43">
        <f t="shared" si="19"/>
        <v>-29000</v>
      </c>
    </row>
    <row r="638" spans="1:5" x14ac:dyDescent="0.2">
      <c r="A638" s="42">
        <v>28910</v>
      </c>
      <c r="B638" s="43">
        <f>VLOOKUP(A638,Database!F:H,3,)</f>
        <v>360000</v>
      </c>
      <c r="C638" s="43">
        <f t="shared" si="18"/>
        <v>-7000</v>
      </c>
      <c r="D638" s="43">
        <f>VLOOKUP(A638,Database!F:H,2,)</f>
        <v>2451000</v>
      </c>
      <c r="E638" s="43">
        <f t="shared" si="19"/>
        <v>68000</v>
      </c>
    </row>
    <row r="639" spans="1:5" x14ac:dyDescent="0.2">
      <c r="A639" s="42">
        <v>28917</v>
      </c>
      <c r="B639" s="43">
        <f>VLOOKUP(A639,Database!F:H,3,)</f>
        <v>355000</v>
      </c>
      <c r="C639" s="43">
        <f t="shared" si="18"/>
        <v>-5000</v>
      </c>
      <c r="D639" s="43">
        <f>VLOOKUP(A639,Database!F:H,2,)</f>
        <v>2451000</v>
      </c>
      <c r="E639" s="43">
        <f t="shared" si="19"/>
        <v>0</v>
      </c>
    </row>
    <row r="640" spans="1:5" x14ac:dyDescent="0.2">
      <c r="A640" s="42">
        <v>28924</v>
      </c>
      <c r="B640" s="43">
        <f>VLOOKUP(A640,Database!F:H,3,)</f>
        <v>363000</v>
      </c>
      <c r="C640" s="43">
        <f t="shared" si="18"/>
        <v>8000</v>
      </c>
      <c r="D640" s="43">
        <f>VLOOKUP(A640,Database!F:H,2,)</f>
        <v>2413000</v>
      </c>
      <c r="E640" s="43">
        <f t="shared" si="19"/>
        <v>-38000</v>
      </c>
    </row>
    <row r="641" spans="1:5" x14ac:dyDescent="0.2">
      <c r="A641" s="42">
        <v>28931</v>
      </c>
      <c r="B641" s="43">
        <f>VLOOKUP(A641,Database!F:H,3,)</f>
        <v>359000</v>
      </c>
      <c r="C641" s="43">
        <f t="shared" si="18"/>
        <v>-4000</v>
      </c>
      <c r="D641" s="43">
        <f>VLOOKUP(A641,Database!F:H,2,)</f>
        <v>2377000</v>
      </c>
      <c r="E641" s="43">
        <f t="shared" si="19"/>
        <v>-36000</v>
      </c>
    </row>
    <row r="642" spans="1:5" x14ac:dyDescent="0.2">
      <c r="A642" s="42">
        <v>28938</v>
      </c>
      <c r="B642" s="43">
        <f>VLOOKUP(A642,Database!F:H,3,)</f>
        <v>353000</v>
      </c>
      <c r="C642" s="43">
        <f t="shared" si="18"/>
        <v>-6000</v>
      </c>
      <c r="D642" s="43">
        <f>VLOOKUP(A642,Database!F:H,2,)</f>
        <v>2353000</v>
      </c>
      <c r="E642" s="43">
        <f t="shared" si="19"/>
        <v>-24000</v>
      </c>
    </row>
    <row r="643" spans="1:5" x14ac:dyDescent="0.2">
      <c r="A643" s="42">
        <v>28945</v>
      </c>
      <c r="B643" s="43">
        <f>VLOOKUP(A643,Database!F:H,3,)</f>
        <v>360000</v>
      </c>
      <c r="C643" s="43">
        <f t="shared" si="18"/>
        <v>7000</v>
      </c>
      <c r="D643" s="43">
        <f>VLOOKUP(A643,Database!F:H,2,)</f>
        <v>2335000</v>
      </c>
      <c r="E643" s="43">
        <f t="shared" si="19"/>
        <v>-18000</v>
      </c>
    </row>
    <row r="644" spans="1:5" x14ac:dyDescent="0.2">
      <c r="A644" s="42">
        <v>28952</v>
      </c>
      <c r="B644" s="43">
        <f>VLOOKUP(A644,Database!F:H,3,)</f>
        <v>465000</v>
      </c>
      <c r="C644" s="43">
        <f t="shared" si="18"/>
        <v>105000</v>
      </c>
      <c r="D644" s="43">
        <f>VLOOKUP(A644,Database!F:H,2,)</f>
        <v>2368000</v>
      </c>
      <c r="E644" s="43">
        <f t="shared" si="19"/>
        <v>33000</v>
      </c>
    </row>
    <row r="645" spans="1:5" x14ac:dyDescent="0.2">
      <c r="A645" s="42">
        <v>28959</v>
      </c>
      <c r="B645" s="43">
        <f>VLOOKUP(A645,Database!F:H,3,)</f>
        <v>457000</v>
      </c>
      <c r="C645" s="43">
        <f t="shared" si="18"/>
        <v>-8000</v>
      </c>
      <c r="D645" s="43">
        <f>VLOOKUP(A645,Database!F:H,2,)</f>
        <v>2467000</v>
      </c>
      <c r="E645" s="43">
        <f t="shared" si="19"/>
        <v>99000</v>
      </c>
    </row>
    <row r="646" spans="1:5" x14ac:dyDescent="0.2">
      <c r="A646" s="42">
        <v>28966</v>
      </c>
      <c r="B646" s="43">
        <f>VLOOKUP(A646,Database!F:H,3,)</f>
        <v>383000</v>
      </c>
      <c r="C646" s="43">
        <f t="shared" si="18"/>
        <v>-74000</v>
      </c>
      <c r="D646" s="43">
        <f>VLOOKUP(A646,Database!F:H,2,)</f>
        <v>2408000</v>
      </c>
      <c r="E646" s="43">
        <f t="shared" si="19"/>
        <v>-59000</v>
      </c>
    </row>
    <row r="647" spans="1:5" x14ac:dyDescent="0.2">
      <c r="A647" s="42">
        <v>28973</v>
      </c>
      <c r="B647" s="43">
        <f>VLOOKUP(A647,Database!F:H,3,)</f>
        <v>357000</v>
      </c>
      <c r="C647" s="43">
        <f t="shared" si="18"/>
        <v>-26000</v>
      </c>
      <c r="D647" s="43">
        <f>VLOOKUP(A647,Database!F:H,2,)</f>
        <v>2351000</v>
      </c>
      <c r="E647" s="43">
        <f t="shared" si="19"/>
        <v>-57000</v>
      </c>
    </row>
    <row r="648" spans="1:5" x14ac:dyDescent="0.2">
      <c r="A648" s="42">
        <v>28980</v>
      </c>
      <c r="B648" s="43">
        <f>VLOOKUP(A648,Database!F:H,3,)</f>
        <v>353000</v>
      </c>
      <c r="C648" s="43">
        <f t="shared" ref="C648:C711" si="20">B648-B647</f>
        <v>-4000</v>
      </c>
      <c r="D648" s="43">
        <f>VLOOKUP(A648,Database!F:H,2,)</f>
        <v>2292000</v>
      </c>
      <c r="E648" s="43">
        <f t="shared" ref="E648:E711" si="21">D648-D647</f>
        <v>-59000</v>
      </c>
    </row>
    <row r="649" spans="1:5" x14ac:dyDescent="0.2">
      <c r="A649" s="42">
        <v>28987</v>
      </c>
      <c r="B649" s="43">
        <f>VLOOKUP(A649,Database!F:H,3,)</f>
        <v>344000</v>
      </c>
      <c r="C649" s="43">
        <f t="shared" si="20"/>
        <v>-9000</v>
      </c>
      <c r="D649" s="43">
        <f>VLOOKUP(A649,Database!F:H,2,)</f>
        <v>2261000</v>
      </c>
      <c r="E649" s="43">
        <f t="shared" si="21"/>
        <v>-31000</v>
      </c>
    </row>
    <row r="650" spans="1:5" x14ac:dyDescent="0.2">
      <c r="A650" s="42">
        <v>28994</v>
      </c>
      <c r="B650" s="43">
        <f>VLOOKUP(A650,Database!F:H,3,)</f>
        <v>346000</v>
      </c>
      <c r="C650" s="43">
        <f t="shared" si="20"/>
        <v>2000</v>
      </c>
      <c r="D650" s="43">
        <f>VLOOKUP(A650,Database!F:H,2,)</f>
        <v>2238000</v>
      </c>
      <c r="E650" s="43">
        <f t="shared" si="21"/>
        <v>-23000</v>
      </c>
    </row>
    <row r="651" spans="1:5" x14ac:dyDescent="0.2">
      <c r="A651" s="42">
        <v>29001</v>
      </c>
      <c r="B651" s="43">
        <f>VLOOKUP(A651,Database!F:H,3,)</f>
        <v>349000</v>
      </c>
      <c r="C651" s="43">
        <f t="shared" si="20"/>
        <v>3000</v>
      </c>
      <c r="D651" s="43">
        <f>VLOOKUP(A651,Database!F:H,2,)</f>
        <v>2246000</v>
      </c>
      <c r="E651" s="43">
        <f t="shared" si="21"/>
        <v>8000</v>
      </c>
    </row>
    <row r="652" spans="1:5" x14ac:dyDescent="0.2">
      <c r="A652" s="42">
        <v>29008</v>
      </c>
      <c r="B652" s="43">
        <f>VLOOKUP(A652,Database!F:H,3,)</f>
        <v>336000</v>
      </c>
      <c r="C652" s="43">
        <f t="shared" si="20"/>
        <v>-13000</v>
      </c>
      <c r="D652" s="43">
        <f>VLOOKUP(A652,Database!F:H,2,)</f>
        <v>2260000</v>
      </c>
      <c r="E652" s="43">
        <f t="shared" si="21"/>
        <v>14000</v>
      </c>
    </row>
    <row r="653" spans="1:5" x14ac:dyDescent="0.2">
      <c r="A653" s="42">
        <v>29015</v>
      </c>
      <c r="B653" s="43">
        <f>VLOOKUP(A653,Database!F:H,3,)</f>
        <v>365000</v>
      </c>
      <c r="C653" s="43">
        <f t="shared" si="20"/>
        <v>29000</v>
      </c>
      <c r="D653" s="43">
        <f>VLOOKUP(A653,Database!F:H,2,)</f>
        <v>2207000</v>
      </c>
      <c r="E653" s="43">
        <f t="shared" si="21"/>
        <v>-53000</v>
      </c>
    </row>
    <row r="654" spans="1:5" x14ac:dyDescent="0.2">
      <c r="A654" s="42">
        <v>29022</v>
      </c>
      <c r="B654" s="43">
        <f>VLOOKUP(A654,Database!F:H,3,)</f>
        <v>351000</v>
      </c>
      <c r="C654" s="43">
        <f t="shared" si="20"/>
        <v>-14000</v>
      </c>
      <c r="D654" s="43">
        <f>VLOOKUP(A654,Database!F:H,2,)</f>
        <v>2234000</v>
      </c>
      <c r="E654" s="43">
        <f t="shared" si="21"/>
        <v>27000</v>
      </c>
    </row>
    <row r="655" spans="1:5" x14ac:dyDescent="0.2">
      <c r="A655" s="42">
        <v>29029</v>
      </c>
      <c r="B655" s="43">
        <f>VLOOKUP(A655,Database!F:H,3,)</f>
        <v>379000</v>
      </c>
      <c r="C655" s="43">
        <f t="shared" si="20"/>
        <v>28000</v>
      </c>
      <c r="D655" s="43">
        <f>VLOOKUP(A655,Database!F:H,2,)</f>
        <v>2275000</v>
      </c>
      <c r="E655" s="43">
        <f t="shared" si="21"/>
        <v>41000</v>
      </c>
    </row>
    <row r="656" spans="1:5" x14ac:dyDescent="0.2">
      <c r="A656" s="42">
        <v>29036</v>
      </c>
      <c r="B656" s="43">
        <f>VLOOKUP(A656,Database!F:H,3,)</f>
        <v>369000</v>
      </c>
      <c r="C656" s="43">
        <f t="shared" si="20"/>
        <v>-10000</v>
      </c>
      <c r="D656" s="43">
        <f>VLOOKUP(A656,Database!F:H,2,)</f>
        <v>2282000</v>
      </c>
      <c r="E656" s="43">
        <f t="shared" si="21"/>
        <v>7000</v>
      </c>
    </row>
    <row r="657" spans="1:5" x14ac:dyDescent="0.2">
      <c r="A657" s="42">
        <v>29043</v>
      </c>
      <c r="B657" s="43">
        <f>VLOOKUP(A657,Database!F:H,3,)</f>
        <v>368000</v>
      </c>
      <c r="C657" s="43">
        <f t="shared" si="20"/>
        <v>-1000</v>
      </c>
      <c r="D657" s="43">
        <f>VLOOKUP(A657,Database!F:H,2,)</f>
        <v>2368000</v>
      </c>
      <c r="E657" s="43">
        <f t="shared" si="21"/>
        <v>86000</v>
      </c>
    </row>
    <row r="658" spans="1:5" x14ac:dyDescent="0.2">
      <c r="A658" s="42">
        <v>29050</v>
      </c>
      <c r="B658" s="43">
        <f>VLOOKUP(A658,Database!F:H,3,)</f>
        <v>368000</v>
      </c>
      <c r="C658" s="43">
        <f t="shared" si="20"/>
        <v>0</v>
      </c>
      <c r="D658" s="43">
        <f>VLOOKUP(A658,Database!F:H,2,)</f>
        <v>2356000</v>
      </c>
      <c r="E658" s="43">
        <f t="shared" si="21"/>
        <v>-12000</v>
      </c>
    </row>
    <row r="659" spans="1:5" x14ac:dyDescent="0.2">
      <c r="A659" s="42">
        <v>29057</v>
      </c>
      <c r="B659" s="43">
        <f>VLOOKUP(A659,Database!F:H,3,)</f>
        <v>395000</v>
      </c>
      <c r="C659" s="43">
        <f t="shared" si="20"/>
        <v>27000</v>
      </c>
      <c r="D659" s="43">
        <f>VLOOKUP(A659,Database!F:H,2,)</f>
        <v>2335000</v>
      </c>
      <c r="E659" s="43">
        <f t="shared" si="21"/>
        <v>-21000</v>
      </c>
    </row>
    <row r="660" spans="1:5" x14ac:dyDescent="0.2">
      <c r="A660" s="42">
        <v>29064</v>
      </c>
      <c r="B660" s="43">
        <f>VLOOKUP(A660,Database!F:H,3,)</f>
        <v>386000</v>
      </c>
      <c r="C660" s="43">
        <f t="shared" si="20"/>
        <v>-9000</v>
      </c>
      <c r="D660" s="43">
        <f>VLOOKUP(A660,Database!F:H,2,)</f>
        <v>2375000</v>
      </c>
      <c r="E660" s="43">
        <f t="shared" si="21"/>
        <v>40000</v>
      </c>
    </row>
    <row r="661" spans="1:5" x14ac:dyDescent="0.2">
      <c r="A661" s="42">
        <v>29071</v>
      </c>
      <c r="B661" s="43">
        <f>VLOOKUP(A661,Database!F:H,3,)</f>
        <v>412000</v>
      </c>
      <c r="C661" s="43">
        <f t="shared" si="20"/>
        <v>26000</v>
      </c>
      <c r="D661" s="43">
        <f>VLOOKUP(A661,Database!F:H,2,)</f>
        <v>2422000</v>
      </c>
      <c r="E661" s="43">
        <f t="shared" si="21"/>
        <v>47000</v>
      </c>
    </row>
    <row r="662" spans="1:5" x14ac:dyDescent="0.2">
      <c r="A662" s="42">
        <v>29078</v>
      </c>
      <c r="B662" s="43">
        <f>VLOOKUP(A662,Database!F:H,3,)</f>
        <v>386000</v>
      </c>
      <c r="C662" s="43">
        <f t="shared" si="20"/>
        <v>-26000</v>
      </c>
      <c r="D662" s="43">
        <f>VLOOKUP(A662,Database!F:H,2,)</f>
        <v>2466000</v>
      </c>
      <c r="E662" s="43">
        <f t="shared" si="21"/>
        <v>44000</v>
      </c>
    </row>
    <row r="663" spans="1:5" x14ac:dyDescent="0.2">
      <c r="A663" s="42">
        <v>29085</v>
      </c>
      <c r="B663" s="43">
        <f>VLOOKUP(A663,Database!F:H,3,)</f>
        <v>387000</v>
      </c>
      <c r="C663" s="43">
        <f t="shared" si="20"/>
        <v>1000</v>
      </c>
      <c r="D663" s="43">
        <f>VLOOKUP(A663,Database!F:H,2,)</f>
        <v>2474000</v>
      </c>
      <c r="E663" s="43">
        <f t="shared" si="21"/>
        <v>8000</v>
      </c>
    </row>
    <row r="664" spans="1:5" x14ac:dyDescent="0.2">
      <c r="A664" s="42">
        <v>29092</v>
      </c>
      <c r="B664" s="43">
        <f>VLOOKUP(A664,Database!F:H,3,)</f>
        <v>390000</v>
      </c>
      <c r="C664" s="43">
        <f t="shared" si="20"/>
        <v>3000</v>
      </c>
      <c r="D664" s="43">
        <f>VLOOKUP(A664,Database!F:H,2,)</f>
        <v>2471000</v>
      </c>
      <c r="E664" s="43">
        <f t="shared" si="21"/>
        <v>-3000</v>
      </c>
    </row>
    <row r="665" spans="1:5" x14ac:dyDescent="0.2">
      <c r="A665" s="42">
        <v>29099</v>
      </c>
      <c r="B665" s="43">
        <f>VLOOKUP(A665,Database!F:H,3,)</f>
        <v>389000</v>
      </c>
      <c r="C665" s="43">
        <f t="shared" si="20"/>
        <v>-1000</v>
      </c>
      <c r="D665" s="43">
        <f>VLOOKUP(A665,Database!F:H,2,)</f>
        <v>2448000</v>
      </c>
      <c r="E665" s="43">
        <f t="shared" si="21"/>
        <v>-23000</v>
      </c>
    </row>
    <row r="666" spans="1:5" x14ac:dyDescent="0.2">
      <c r="A666" s="42">
        <v>29106</v>
      </c>
      <c r="B666" s="43">
        <f>VLOOKUP(A666,Database!F:H,3,)</f>
        <v>378000</v>
      </c>
      <c r="C666" s="43">
        <f t="shared" si="20"/>
        <v>-11000</v>
      </c>
      <c r="D666" s="43">
        <f>VLOOKUP(A666,Database!F:H,2,)</f>
        <v>2432000</v>
      </c>
      <c r="E666" s="43">
        <f t="shared" si="21"/>
        <v>-16000</v>
      </c>
    </row>
    <row r="667" spans="1:5" x14ac:dyDescent="0.2">
      <c r="A667" s="42">
        <v>29113</v>
      </c>
      <c r="B667" s="43">
        <f>VLOOKUP(A667,Database!F:H,3,)</f>
        <v>384000</v>
      </c>
      <c r="C667" s="43">
        <f t="shared" si="20"/>
        <v>6000</v>
      </c>
      <c r="D667" s="43">
        <f>VLOOKUP(A667,Database!F:H,2,)</f>
        <v>2431000</v>
      </c>
      <c r="E667" s="43">
        <f t="shared" si="21"/>
        <v>-1000</v>
      </c>
    </row>
    <row r="668" spans="1:5" x14ac:dyDescent="0.2">
      <c r="A668" s="42">
        <v>29120</v>
      </c>
      <c r="B668" s="43">
        <f>VLOOKUP(A668,Database!F:H,3,)</f>
        <v>388000</v>
      </c>
      <c r="C668" s="43">
        <f t="shared" si="20"/>
        <v>4000</v>
      </c>
      <c r="D668" s="43">
        <f>VLOOKUP(A668,Database!F:H,2,)</f>
        <v>2404000</v>
      </c>
      <c r="E668" s="43">
        <f t="shared" si="21"/>
        <v>-27000</v>
      </c>
    </row>
    <row r="669" spans="1:5" x14ac:dyDescent="0.2">
      <c r="A669" s="42">
        <v>29127</v>
      </c>
      <c r="B669" s="43">
        <f>VLOOKUP(A669,Database!F:H,3,)</f>
        <v>390000</v>
      </c>
      <c r="C669" s="43">
        <f t="shared" si="20"/>
        <v>2000</v>
      </c>
      <c r="D669" s="43">
        <f>VLOOKUP(A669,Database!F:H,2,)</f>
        <v>2426000</v>
      </c>
      <c r="E669" s="43">
        <f t="shared" si="21"/>
        <v>22000</v>
      </c>
    </row>
    <row r="670" spans="1:5" x14ac:dyDescent="0.2">
      <c r="A670" s="42">
        <v>29134</v>
      </c>
      <c r="B670" s="43">
        <f>VLOOKUP(A670,Database!F:H,3,)</f>
        <v>412000</v>
      </c>
      <c r="C670" s="43">
        <f t="shared" si="20"/>
        <v>22000</v>
      </c>
      <c r="D670" s="43">
        <f>VLOOKUP(A670,Database!F:H,2,)</f>
        <v>2428000</v>
      </c>
      <c r="E670" s="43">
        <f t="shared" si="21"/>
        <v>2000</v>
      </c>
    </row>
    <row r="671" spans="1:5" x14ac:dyDescent="0.2">
      <c r="A671" s="42">
        <v>29141</v>
      </c>
      <c r="B671" s="43">
        <f>VLOOKUP(A671,Database!F:H,3,)</f>
        <v>393000</v>
      </c>
      <c r="C671" s="43">
        <f t="shared" si="20"/>
        <v>-19000</v>
      </c>
      <c r="D671" s="43">
        <f>VLOOKUP(A671,Database!F:H,2,)</f>
        <v>2535000</v>
      </c>
      <c r="E671" s="43">
        <f t="shared" si="21"/>
        <v>107000</v>
      </c>
    </row>
    <row r="672" spans="1:5" x14ac:dyDescent="0.2">
      <c r="A672" s="42">
        <v>29148</v>
      </c>
      <c r="B672" s="43">
        <f>VLOOKUP(A672,Database!F:H,3,)</f>
        <v>406000</v>
      </c>
      <c r="C672" s="43">
        <f t="shared" si="20"/>
        <v>13000</v>
      </c>
      <c r="D672" s="43">
        <f>VLOOKUP(A672,Database!F:H,2,)</f>
        <v>2475000</v>
      </c>
      <c r="E672" s="43">
        <f t="shared" si="21"/>
        <v>-60000</v>
      </c>
    </row>
    <row r="673" spans="1:5" x14ac:dyDescent="0.2">
      <c r="A673" s="42">
        <v>29155</v>
      </c>
      <c r="B673" s="43">
        <f>VLOOKUP(A673,Database!F:H,3,)</f>
        <v>398000</v>
      </c>
      <c r="C673" s="43">
        <f t="shared" si="20"/>
        <v>-8000</v>
      </c>
      <c r="D673" s="43">
        <f>VLOOKUP(A673,Database!F:H,2,)</f>
        <v>2522000</v>
      </c>
      <c r="E673" s="43">
        <f t="shared" si="21"/>
        <v>47000</v>
      </c>
    </row>
    <row r="674" spans="1:5" x14ac:dyDescent="0.2">
      <c r="A674" s="42">
        <v>29162</v>
      </c>
      <c r="B674" s="43">
        <f>VLOOKUP(A674,Database!F:H,3,)</f>
        <v>395000</v>
      </c>
      <c r="C674" s="43">
        <f t="shared" si="20"/>
        <v>-3000</v>
      </c>
      <c r="D674" s="43">
        <f>VLOOKUP(A674,Database!F:H,2,)</f>
        <v>2569000</v>
      </c>
      <c r="E674" s="43">
        <f t="shared" si="21"/>
        <v>47000</v>
      </c>
    </row>
    <row r="675" spans="1:5" x14ac:dyDescent="0.2">
      <c r="A675" s="42">
        <v>29169</v>
      </c>
      <c r="B675" s="43">
        <f>VLOOKUP(A675,Database!F:H,3,)</f>
        <v>414000</v>
      </c>
      <c r="C675" s="43">
        <f t="shared" si="20"/>
        <v>19000</v>
      </c>
      <c r="D675" s="43">
        <f>VLOOKUP(A675,Database!F:H,2,)</f>
        <v>2537000</v>
      </c>
      <c r="E675" s="43">
        <f t="shared" si="21"/>
        <v>-32000</v>
      </c>
    </row>
    <row r="676" spans="1:5" x14ac:dyDescent="0.2">
      <c r="A676" s="42">
        <v>29176</v>
      </c>
      <c r="B676" s="43">
        <f>VLOOKUP(A676,Database!F:H,3,)</f>
        <v>430000</v>
      </c>
      <c r="C676" s="43">
        <f t="shared" si="20"/>
        <v>16000</v>
      </c>
      <c r="D676" s="43">
        <f>VLOOKUP(A676,Database!F:H,2,)</f>
        <v>2656000</v>
      </c>
      <c r="E676" s="43">
        <f t="shared" si="21"/>
        <v>119000</v>
      </c>
    </row>
    <row r="677" spans="1:5" x14ac:dyDescent="0.2">
      <c r="A677" s="42">
        <v>29183</v>
      </c>
      <c r="B677" s="43">
        <f>VLOOKUP(A677,Database!F:H,3,)</f>
        <v>414000</v>
      </c>
      <c r="C677" s="43">
        <f t="shared" si="20"/>
        <v>-16000</v>
      </c>
      <c r="D677" s="43">
        <f>VLOOKUP(A677,Database!F:H,2,)</f>
        <v>2648000</v>
      </c>
      <c r="E677" s="43">
        <f t="shared" si="21"/>
        <v>-8000</v>
      </c>
    </row>
    <row r="678" spans="1:5" x14ac:dyDescent="0.2">
      <c r="A678" s="42">
        <v>29190</v>
      </c>
      <c r="B678" s="43">
        <f>VLOOKUP(A678,Database!F:H,3,)</f>
        <v>416000</v>
      </c>
      <c r="C678" s="43">
        <f t="shared" si="20"/>
        <v>2000</v>
      </c>
      <c r="D678" s="43">
        <f>VLOOKUP(A678,Database!F:H,2,)</f>
        <v>2698000</v>
      </c>
      <c r="E678" s="43">
        <f t="shared" si="21"/>
        <v>50000</v>
      </c>
    </row>
    <row r="679" spans="1:5" x14ac:dyDescent="0.2">
      <c r="A679" s="42">
        <v>29197</v>
      </c>
      <c r="B679" s="43">
        <f>VLOOKUP(A679,Database!F:H,3,)</f>
        <v>415000</v>
      </c>
      <c r="C679" s="43">
        <f t="shared" si="20"/>
        <v>-1000</v>
      </c>
      <c r="D679" s="43">
        <f>VLOOKUP(A679,Database!F:H,2,)</f>
        <v>2685000</v>
      </c>
      <c r="E679" s="43">
        <f t="shared" si="21"/>
        <v>-13000</v>
      </c>
    </row>
    <row r="680" spans="1:5" x14ac:dyDescent="0.2">
      <c r="A680" s="42">
        <v>29204</v>
      </c>
      <c r="B680" s="43">
        <f>VLOOKUP(A680,Database!F:H,3,)</f>
        <v>411000</v>
      </c>
      <c r="C680" s="43">
        <f t="shared" si="20"/>
        <v>-4000</v>
      </c>
      <c r="D680" s="43">
        <f>VLOOKUP(A680,Database!F:H,2,)</f>
        <v>2712000</v>
      </c>
      <c r="E680" s="43">
        <f t="shared" si="21"/>
        <v>27000</v>
      </c>
    </row>
    <row r="681" spans="1:5" x14ac:dyDescent="0.2">
      <c r="A681" s="42">
        <v>29211</v>
      </c>
      <c r="B681" s="43">
        <f>VLOOKUP(A681,Database!F:H,3,)</f>
        <v>471000</v>
      </c>
      <c r="C681" s="43">
        <f t="shared" si="20"/>
        <v>60000</v>
      </c>
      <c r="D681" s="43">
        <f>VLOOKUP(A681,Database!F:H,2,)</f>
        <v>2674000</v>
      </c>
      <c r="E681" s="43">
        <f t="shared" si="21"/>
        <v>-38000</v>
      </c>
    </row>
    <row r="682" spans="1:5" x14ac:dyDescent="0.2">
      <c r="A682" s="42">
        <v>29218</v>
      </c>
      <c r="B682" s="43">
        <f>VLOOKUP(A682,Database!F:H,3,)</f>
        <v>428000</v>
      </c>
      <c r="C682" s="43">
        <f t="shared" si="20"/>
        <v>-43000</v>
      </c>
      <c r="D682" s="43">
        <f>VLOOKUP(A682,Database!F:H,2,)</f>
        <v>2725000</v>
      </c>
      <c r="E682" s="43">
        <f t="shared" si="21"/>
        <v>51000</v>
      </c>
    </row>
    <row r="683" spans="1:5" x14ac:dyDescent="0.2">
      <c r="A683" s="42">
        <v>29225</v>
      </c>
      <c r="B683" s="43">
        <f>VLOOKUP(A683,Database!F:H,3,)</f>
        <v>394000</v>
      </c>
      <c r="C683" s="43">
        <f t="shared" si="20"/>
        <v>-34000</v>
      </c>
      <c r="D683" s="43">
        <f>VLOOKUP(A683,Database!F:H,2,)</f>
        <v>2749000</v>
      </c>
      <c r="E683" s="43">
        <f t="shared" si="21"/>
        <v>24000</v>
      </c>
    </row>
    <row r="684" spans="1:5" x14ac:dyDescent="0.2">
      <c r="A684" s="42">
        <v>29232</v>
      </c>
      <c r="B684" s="43">
        <f>VLOOKUP(A684,Database!F:H,3,)</f>
        <v>405000</v>
      </c>
      <c r="C684" s="43">
        <f t="shared" si="20"/>
        <v>11000</v>
      </c>
      <c r="D684" s="43">
        <f>VLOOKUP(A684,Database!F:H,2,)</f>
        <v>2778000</v>
      </c>
      <c r="E684" s="43">
        <f t="shared" si="21"/>
        <v>29000</v>
      </c>
    </row>
    <row r="685" spans="1:5" x14ac:dyDescent="0.2">
      <c r="A685" s="42">
        <v>29239</v>
      </c>
      <c r="B685" s="43">
        <f>VLOOKUP(A685,Database!F:H,3,)</f>
        <v>446000</v>
      </c>
      <c r="C685" s="43">
        <f t="shared" si="20"/>
        <v>41000</v>
      </c>
      <c r="D685" s="43">
        <f>VLOOKUP(A685,Database!F:H,2,)</f>
        <v>2783000</v>
      </c>
      <c r="E685" s="43">
        <f t="shared" si="21"/>
        <v>5000</v>
      </c>
    </row>
    <row r="686" spans="1:5" x14ac:dyDescent="0.2">
      <c r="A686" s="42">
        <v>29246</v>
      </c>
      <c r="B686" s="43">
        <f>VLOOKUP(A686,Database!F:H,3,)</f>
        <v>412000</v>
      </c>
      <c r="C686" s="43">
        <f t="shared" si="20"/>
        <v>-34000</v>
      </c>
      <c r="D686" s="43">
        <f>VLOOKUP(A686,Database!F:H,2,)</f>
        <v>2817000</v>
      </c>
      <c r="E686" s="43">
        <f t="shared" si="21"/>
        <v>34000</v>
      </c>
    </row>
    <row r="687" spans="1:5" x14ac:dyDescent="0.2">
      <c r="A687" s="42">
        <v>29253</v>
      </c>
      <c r="B687" s="43">
        <f>VLOOKUP(A687,Database!F:H,3,)</f>
        <v>404000</v>
      </c>
      <c r="C687" s="43">
        <f t="shared" si="20"/>
        <v>-8000</v>
      </c>
      <c r="D687" s="43">
        <f>VLOOKUP(A687,Database!F:H,2,)</f>
        <v>2864000</v>
      </c>
      <c r="E687" s="43">
        <f t="shared" si="21"/>
        <v>47000</v>
      </c>
    </row>
    <row r="688" spans="1:5" x14ac:dyDescent="0.2">
      <c r="A688" s="42">
        <v>29260</v>
      </c>
      <c r="B688" s="43">
        <f>VLOOKUP(A688,Database!F:H,3,)</f>
        <v>425000</v>
      </c>
      <c r="C688" s="43">
        <f t="shared" si="20"/>
        <v>21000</v>
      </c>
      <c r="D688" s="43">
        <f>VLOOKUP(A688,Database!F:H,2,)</f>
        <v>2867000</v>
      </c>
      <c r="E688" s="43">
        <f t="shared" si="21"/>
        <v>3000</v>
      </c>
    </row>
    <row r="689" spans="1:5" x14ac:dyDescent="0.2">
      <c r="A689" s="42">
        <v>29267</v>
      </c>
      <c r="B689" s="43">
        <f>VLOOKUP(A689,Database!F:H,3,)</f>
        <v>415000</v>
      </c>
      <c r="C689" s="43">
        <f t="shared" si="20"/>
        <v>-10000</v>
      </c>
      <c r="D689" s="43">
        <f>VLOOKUP(A689,Database!F:H,2,)</f>
        <v>2877000</v>
      </c>
      <c r="E689" s="43">
        <f t="shared" si="21"/>
        <v>10000</v>
      </c>
    </row>
    <row r="690" spans="1:5" x14ac:dyDescent="0.2">
      <c r="A690" s="42">
        <v>29274</v>
      </c>
      <c r="B690" s="43">
        <f>VLOOKUP(A690,Database!F:H,3,)</f>
        <v>428000</v>
      </c>
      <c r="C690" s="43">
        <f t="shared" si="20"/>
        <v>13000</v>
      </c>
      <c r="D690" s="43">
        <f>VLOOKUP(A690,Database!F:H,2,)</f>
        <v>2866000</v>
      </c>
      <c r="E690" s="43">
        <f t="shared" si="21"/>
        <v>-11000</v>
      </c>
    </row>
    <row r="691" spans="1:5" x14ac:dyDescent="0.2">
      <c r="A691" s="42">
        <v>29281</v>
      </c>
      <c r="B691" s="43">
        <f>VLOOKUP(A691,Database!F:H,3,)</f>
        <v>409000</v>
      </c>
      <c r="C691" s="43">
        <f t="shared" si="20"/>
        <v>-19000</v>
      </c>
      <c r="D691" s="43">
        <f>VLOOKUP(A691,Database!F:H,2,)</f>
        <v>2848000</v>
      </c>
      <c r="E691" s="43">
        <f t="shared" si="21"/>
        <v>-18000</v>
      </c>
    </row>
    <row r="692" spans="1:5" x14ac:dyDescent="0.2">
      <c r="A692" s="42">
        <v>29288</v>
      </c>
      <c r="B692" s="43">
        <f>VLOOKUP(A692,Database!F:H,3,)</f>
        <v>418000</v>
      </c>
      <c r="C692" s="43">
        <f t="shared" si="20"/>
        <v>9000</v>
      </c>
      <c r="D692" s="43">
        <f>VLOOKUP(A692,Database!F:H,2,)</f>
        <v>2883000</v>
      </c>
      <c r="E692" s="43">
        <f t="shared" si="21"/>
        <v>35000</v>
      </c>
    </row>
    <row r="693" spans="1:5" x14ac:dyDescent="0.2">
      <c r="A693" s="42">
        <v>29295</v>
      </c>
      <c r="B693" s="43">
        <f>VLOOKUP(A693,Database!F:H,3,)</f>
        <v>432000</v>
      </c>
      <c r="C693" s="43">
        <f t="shared" si="20"/>
        <v>14000</v>
      </c>
      <c r="D693" s="43">
        <f>VLOOKUP(A693,Database!F:H,2,)</f>
        <v>2888000</v>
      </c>
      <c r="E693" s="43">
        <f t="shared" si="21"/>
        <v>5000</v>
      </c>
    </row>
    <row r="694" spans="1:5" x14ac:dyDescent="0.2">
      <c r="A694" s="42">
        <v>29302</v>
      </c>
      <c r="B694" s="43">
        <f>VLOOKUP(A694,Database!F:H,3,)</f>
        <v>435000</v>
      </c>
      <c r="C694" s="43">
        <f t="shared" si="20"/>
        <v>3000</v>
      </c>
      <c r="D694" s="43">
        <f>VLOOKUP(A694,Database!F:H,2,)</f>
        <v>2921000</v>
      </c>
      <c r="E694" s="43">
        <f t="shared" si="21"/>
        <v>33000</v>
      </c>
    </row>
    <row r="695" spans="1:5" x14ac:dyDescent="0.2">
      <c r="A695" s="42">
        <v>29309</v>
      </c>
      <c r="B695" s="43">
        <f>VLOOKUP(A695,Database!F:H,3,)</f>
        <v>475000</v>
      </c>
      <c r="C695" s="43">
        <f t="shared" si="20"/>
        <v>40000</v>
      </c>
      <c r="D695" s="43">
        <f>VLOOKUP(A695,Database!F:H,2,)</f>
        <v>2866000</v>
      </c>
      <c r="E695" s="43">
        <f t="shared" si="21"/>
        <v>-55000</v>
      </c>
    </row>
    <row r="696" spans="1:5" x14ac:dyDescent="0.2">
      <c r="A696" s="42">
        <v>29316</v>
      </c>
      <c r="B696" s="43">
        <f>VLOOKUP(A696,Database!F:H,3,)</f>
        <v>464000</v>
      </c>
      <c r="C696" s="43">
        <f t="shared" si="20"/>
        <v>-11000</v>
      </c>
      <c r="D696" s="43">
        <f>VLOOKUP(A696,Database!F:H,2,)</f>
        <v>3007000</v>
      </c>
      <c r="E696" s="43">
        <f t="shared" si="21"/>
        <v>141000</v>
      </c>
    </row>
    <row r="697" spans="1:5" x14ac:dyDescent="0.2">
      <c r="A697" s="42">
        <v>29323</v>
      </c>
      <c r="B697" s="43">
        <f>VLOOKUP(A697,Database!F:H,3,)</f>
        <v>544000</v>
      </c>
      <c r="C697" s="43">
        <f t="shared" si="20"/>
        <v>80000</v>
      </c>
      <c r="D697" s="43">
        <f>VLOOKUP(A697,Database!F:H,2,)</f>
        <v>3085000</v>
      </c>
      <c r="E697" s="43">
        <f t="shared" si="21"/>
        <v>78000</v>
      </c>
    </row>
    <row r="698" spans="1:5" x14ac:dyDescent="0.2">
      <c r="A698" s="42">
        <v>29330</v>
      </c>
      <c r="B698" s="43">
        <f>VLOOKUP(A698,Database!F:H,3,)</f>
        <v>548000</v>
      </c>
      <c r="C698" s="43">
        <f t="shared" si="20"/>
        <v>4000</v>
      </c>
      <c r="D698" s="43">
        <f>VLOOKUP(A698,Database!F:H,2,)</f>
        <v>3188000</v>
      </c>
      <c r="E698" s="43">
        <f t="shared" si="21"/>
        <v>103000</v>
      </c>
    </row>
    <row r="699" spans="1:5" x14ac:dyDescent="0.2">
      <c r="A699" s="42">
        <v>29337</v>
      </c>
      <c r="B699" s="43">
        <f>VLOOKUP(A699,Database!F:H,3,)</f>
        <v>563000</v>
      </c>
      <c r="C699" s="43">
        <f t="shared" si="20"/>
        <v>15000</v>
      </c>
      <c r="D699" s="43">
        <f>VLOOKUP(A699,Database!F:H,2,)</f>
        <v>3226000</v>
      </c>
      <c r="E699" s="43">
        <f t="shared" si="21"/>
        <v>38000</v>
      </c>
    </row>
    <row r="700" spans="1:5" x14ac:dyDescent="0.2">
      <c r="A700" s="42">
        <v>29344</v>
      </c>
      <c r="B700" s="43">
        <f>VLOOKUP(A700,Database!F:H,3,)</f>
        <v>572000</v>
      </c>
      <c r="C700" s="43">
        <f t="shared" si="20"/>
        <v>9000</v>
      </c>
      <c r="D700" s="43">
        <f>VLOOKUP(A700,Database!F:H,2,)</f>
        <v>3334000</v>
      </c>
      <c r="E700" s="43">
        <f t="shared" si="21"/>
        <v>108000</v>
      </c>
    </row>
    <row r="701" spans="1:5" x14ac:dyDescent="0.2">
      <c r="A701" s="42">
        <v>29351</v>
      </c>
      <c r="B701" s="43">
        <f>VLOOKUP(A701,Database!F:H,3,)</f>
        <v>601000</v>
      </c>
      <c r="C701" s="43">
        <f t="shared" si="20"/>
        <v>29000</v>
      </c>
      <c r="D701" s="43">
        <f>VLOOKUP(A701,Database!F:H,2,)</f>
        <v>3417000</v>
      </c>
      <c r="E701" s="43">
        <f t="shared" si="21"/>
        <v>83000</v>
      </c>
    </row>
    <row r="702" spans="1:5" x14ac:dyDescent="0.2">
      <c r="A702" s="42">
        <v>29358</v>
      </c>
      <c r="B702" s="43">
        <f>VLOOKUP(A702,Database!F:H,3,)</f>
        <v>642000</v>
      </c>
      <c r="C702" s="43">
        <f t="shared" si="20"/>
        <v>41000</v>
      </c>
      <c r="D702" s="43">
        <f>VLOOKUP(A702,Database!F:H,2,)</f>
        <v>3544000</v>
      </c>
      <c r="E702" s="43">
        <f t="shared" si="21"/>
        <v>127000</v>
      </c>
    </row>
    <row r="703" spans="1:5" x14ac:dyDescent="0.2">
      <c r="A703" s="42">
        <v>29365</v>
      </c>
      <c r="B703" s="43">
        <f>VLOOKUP(A703,Database!F:H,3,)</f>
        <v>627000</v>
      </c>
      <c r="C703" s="43">
        <f t="shared" si="20"/>
        <v>-15000</v>
      </c>
      <c r="D703" s="43">
        <f>VLOOKUP(A703,Database!F:H,2,)</f>
        <v>3698000</v>
      </c>
      <c r="E703" s="43">
        <f t="shared" si="21"/>
        <v>154000</v>
      </c>
    </row>
    <row r="704" spans="1:5" x14ac:dyDescent="0.2">
      <c r="A704" s="42">
        <v>29372</v>
      </c>
      <c r="B704" s="43">
        <f>VLOOKUP(A704,Database!F:H,3,)</f>
        <v>637000</v>
      </c>
      <c r="C704" s="43">
        <f t="shared" si="20"/>
        <v>10000</v>
      </c>
      <c r="D704" s="43">
        <f>VLOOKUP(A704,Database!F:H,2,)</f>
        <v>3731000</v>
      </c>
      <c r="E704" s="43">
        <f t="shared" si="21"/>
        <v>33000</v>
      </c>
    </row>
    <row r="705" spans="1:5" x14ac:dyDescent="0.2">
      <c r="A705" s="42">
        <v>29379</v>
      </c>
      <c r="B705" s="43">
        <f>VLOOKUP(A705,Database!F:H,3,)</f>
        <v>610000</v>
      </c>
      <c r="C705" s="43">
        <f t="shared" si="20"/>
        <v>-27000</v>
      </c>
      <c r="D705" s="43">
        <f>VLOOKUP(A705,Database!F:H,2,)</f>
        <v>3781000</v>
      </c>
      <c r="E705" s="43">
        <f t="shared" si="21"/>
        <v>50000</v>
      </c>
    </row>
    <row r="706" spans="1:5" x14ac:dyDescent="0.2">
      <c r="A706" s="42">
        <v>29386</v>
      </c>
      <c r="B706" s="43">
        <f>VLOOKUP(A706,Database!F:H,3,)</f>
        <v>592000</v>
      </c>
      <c r="C706" s="43">
        <f t="shared" si="20"/>
        <v>-18000</v>
      </c>
      <c r="D706" s="43">
        <f>VLOOKUP(A706,Database!F:H,2,)</f>
        <v>3779000</v>
      </c>
      <c r="E706" s="43">
        <f t="shared" si="21"/>
        <v>-2000</v>
      </c>
    </row>
    <row r="707" spans="1:5" x14ac:dyDescent="0.2">
      <c r="A707" s="42">
        <v>29393</v>
      </c>
      <c r="B707" s="43">
        <f>VLOOKUP(A707,Database!F:H,3,)</f>
        <v>599000</v>
      </c>
      <c r="C707" s="43">
        <f t="shared" si="20"/>
        <v>7000</v>
      </c>
      <c r="D707" s="43">
        <f>VLOOKUP(A707,Database!F:H,2,)</f>
        <v>3858000</v>
      </c>
      <c r="E707" s="43">
        <f t="shared" si="21"/>
        <v>79000</v>
      </c>
    </row>
    <row r="708" spans="1:5" x14ac:dyDescent="0.2">
      <c r="A708" s="42">
        <v>29400</v>
      </c>
      <c r="B708" s="43">
        <f>VLOOKUP(A708,Database!F:H,3,)</f>
        <v>627000</v>
      </c>
      <c r="C708" s="43">
        <f t="shared" si="20"/>
        <v>28000</v>
      </c>
      <c r="D708" s="43">
        <f>VLOOKUP(A708,Database!F:H,2,)</f>
        <v>3912000</v>
      </c>
      <c r="E708" s="43">
        <f t="shared" si="21"/>
        <v>54000</v>
      </c>
    </row>
    <row r="709" spans="1:5" x14ac:dyDescent="0.2">
      <c r="A709" s="42">
        <v>29407</v>
      </c>
      <c r="B709" s="43">
        <f>VLOOKUP(A709,Database!F:H,3,)</f>
        <v>579000</v>
      </c>
      <c r="C709" s="43">
        <f t="shared" si="20"/>
        <v>-48000</v>
      </c>
      <c r="D709" s="43">
        <f>VLOOKUP(A709,Database!F:H,2,)</f>
        <v>3823000</v>
      </c>
      <c r="E709" s="43">
        <f t="shared" si="21"/>
        <v>-89000</v>
      </c>
    </row>
    <row r="710" spans="1:5" x14ac:dyDescent="0.2">
      <c r="A710" s="42">
        <v>29414</v>
      </c>
      <c r="B710" s="43">
        <f>VLOOKUP(A710,Database!F:H,3,)</f>
        <v>533000</v>
      </c>
      <c r="C710" s="43">
        <f t="shared" si="20"/>
        <v>-46000</v>
      </c>
      <c r="D710" s="43">
        <f>VLOOKUP(A710,Database!F:H,2,)</f>
        <v>3836000</v>
      </c>
      <c r="E710" s="43">
        <f t="shared" si="21"/>
        <v>13000</v>
      </c>
    </row>
    <row r="711" spans="1:5" x14ac:dyDescent="0.2">
      <c r="A711" s="42">
        <v>29421</v>
      </c>
      <c r="B711" s="43">
        <f>VLOOKUP(A711,Database!F:H,3,)</f>
        <v>567000</v>
      </c>
      <c r="C711" s="43">
        <f t="shared" si="20"/>
        <v>34000</v>
      </c>
      <c r="D711" s="43">
        <f>VLOOKUP(A711,Database!F:H,2,)</f>
        <v>3872000</v>
      </c>
      <c r="E711" s="43">
        <f t="shared" si="21"/>
        <v>36000</v>
      </c>
    </row>
    <row r="712" spans="1:5" x14ac:dyDescent="0.2">
      <c r="A712" s="42">
        <v>29428</v>
      </c>
      <c r="B712" s="43">
        <f>VLOOKUP(A712,Database!F:H,3,)</f>
        <v>558000</v>
      </c>
      <c r="C712" s="43">
        <f t="shared" ref="C712:C775" si="22">B712-B711</f>
        <v>-9000</v>
      </c>
      <c r="D712" s="43">
        <f>VLOOKUP(A712,Database!F:H,2,)</f>
        <v>3851000</v>
      </c>
      <c r="E712" s="43">
        <f t="shared" ref="E712:E775" si="23">D712-D711</f>
        <v>-21000</v>
      </c>
    </row>
    <row r="713" spans="1:5" x14ac:dyDescent="0.2">
      <c r="A713" s="42">
        <v>29435</v>
      </c>
      <c r="B713" s="43">
        <f>VLOOKUP(A713,Database!F:H,3,)</f>
        <v>569000</v>
      </c>
      <c r="C713" s="43">
        <f t="shared" si="22"/>
        <v>11000</v>
      </c>
      <c r="D713" s="43">
        <f>VLOOKUP(A713,Database!F:H,2,)</f>
        <v>3789000</v>
      </c>
      <c r="E713" s="43">
        <f t="shared" si="23"/>
        <v>-62000</v>
      </c>
    </row>
    <row r="714" spans="1:5" x14ac:dyDescent="0.2">
      <c r="A714" s="42">
        <v>29442</v>
      </c>
      <c r="B714" s="43">
        <f>VLOOKUP(A714,Database!F:H,3,)</f>
        <v>533000</v>
      </c>
      <c r="C714" s="43">
        <f t="shared" si="22"/>
        <v>-36000</v>
      </c>
      <c r="D714" s="43">
        <f>VLOOKUP(A714,Database!F:H,2,)</f>
        <v>3862000</v>
      </c>
      <c r="E714" s="43">
        <f t="shared" si="23"/>
        <v>73000</v>
      </c>
    </row>
    <row r="715" spans="1:5" x14ac:dyDescent="0.2">
      <c r="A715" s="42">
        <v>29449</v>
      </c>
      <c r="B715" s="43">
        <f>VLOOKUP(A715,Database!F:H,3,)</f>
        <v>525000</v>
      </c>
      <c r="C715" s="43">
        <f t="shared" si="22"/>
        <v>-8000</v>
      </c>
      <c r="D715" s="43">
        <f>VLOOKUP(A715,Database!F:H,2,)</f>
        <v>3813000</v>
      </c>
      <c r="E715" s="43">
        <f t="shared" si="23"/>
        <v>-49000</v>
      </c>
    </row>
    <row r="716" spans="1:5" x14ac:dyDescent="0.2">
      <c r="A716" s="42">
        <v>29456</v>
      </c>
      <c r="B716" s="43">
        <f>VLOOKUP(A716,Database!F:H,3,)</f>
        <v>512000</v>
      </c>
      <c r="C716" s="43">
        <f t="shared" si="22"/>
        <v>-13000</v>
      </c>
      <c r="D716" s="43">
        <f>VLOOKUP(A716,Database!F:H,2,)</f>
        <v>3754000</v>
      </c>
      <c r="E716" s="43">
        <f t="shared" si="23"/>
        <v>-59000</v>
      </c>
    </row>
    <row r="717" spans="1:5" x14ac:dyDescent="0.2">
      <c r="A717" s="42">
        <v>29463</v>
      </c>
      <c r="B717" s="43">
        <f>VLOOKUP(A717,Database!F:H,3,)</f>
        <v>502000</v>
      </c>
      <c r="C717" s="43">
        <f t="shared" si="22"/>
        <v>-10000</v>
      </c>
      <c r="D717" s="43">
        <f>VLOOKUP(A717,Database!F:H,2,)</f>
        <v>3808000</v>
      </c>
      <c r="E717" s="43">
        <f t="shared" si="23"/>
        <v>54000</v>
      </c>
    </row>
    <row r="718" spans="1:5" x14ac:dyDescent="0.2">
      <c r="A718" s="42">
        <v>29470</v>
      </c>
      <c r="B718" s="43">
        <f>VLOOKUP(A718,Database!F:H,3,)</f>
        <v>511000</v>
      </c>
      <c r="C718" s="43">
        <f t="shared" si="22"/>
        <v>9000</v>
      </c>
      <c r="D718" s="43">
        <f>VLOOKUP(A718,Database!F:H,2,)</f>
        <v>3698000</v>
      </c>
      <c r="E718" s="43">
        <f t="shared" si="23"/>
        <v>-110000</v>
      </c>
    </row>
    <row r="719" spans="1:5" x14ac:dyDescent="0.2">
      <c r="A719" s="42">
        <v>29477</v>
      </c>
      <c r="B719" s="43">
        <f>VLOOKUP(A719,Database!F:H,3,)</f>
        <v>492000</v>
      </c>
      <c r="C719" s="43">
        <f t="shared" si="22"/>
        <v>-19000</v>
      </c>
      <c r="D719" s="43">
        <f>VLOOKUP(A719,Database!F:H,2,)</f>
        <v>3699000</v>
      </c>
      <c r="E719" s="43">
        <f t="shared" si="23"/>
        <v>1000</v>
      </c>
    </row>
    <row r="720" spans="1:5" x14ac:dyDescent="0.2">
      <c r="A720" s="42">
        <v>29484</v>
      </c>
      <c r="B720" s="43">
        <f>VLOOKUP(A720,Database!F:H,3,)</f>
        <v>465000</v>
      </c>
      <c r="C720" s="43">
        <f t="shared" si="22"/>
        <v>-27000</v>
      </c>
      <c r="D720" s="43">
        <f>VLOOKUP(A720,Database!F:H,2,)</f>
        <v>3698000</v>
      </c>
      <c r="E720" s="43">
        <f t="shared" si="23"/>
        <v>-1000</v>
      </c>
    </row>
    <row r="721" spans="1:5" x14ac:dyDescent="0.2">
      <c r="A721" s="42">
        <v>29491</v>
      </c>
      <c r="B721" s="43">
        <f>VLOOKUP(A721,Database!F:H,3,)</f>
        <v>463000</v>
      </c>
      <c r="C721" s="43">
        <f t="shared" si="22"/>
        <v>-2000</v>
      </c>
      <c r="D721" s="43">
        <f>VLOOKUP(A721,Database!F:H,2,)</f>
        <v>3679000</v>
      </c>
      <c r="E721" s="43">
        <f t="shared" si="23"/>
        <v>-19000</v>
      </c>
    </row>
    <row r="722" spans="1:5" x14ac:dyDescent="0.2">
      <c r="A722" s="42">
        <v>29498</v>
      </c>
      <c r="B722" s="43">
        <f>VLOOKUP(A722,Database!F:H,3,)</f>
        <v>462000</v>
      </c>
      <c r="C722" s="43">
        <f t="shared" si="22"/>
        <v>-1000</v>
      </c>
      <c r="D722" s="43">
        <f>VLOOKUP(A722,Database!F:H,2,)</f>
        <v>3672000</v>
      </c>
      <c r="E722" s="43">
        <f t="shared" si="23"/>
        <v>-7000</v>
      </c>
    </row>
    <row r="723" spans="1:5" x14ac:dyDescent="0.2">
      <c r="A723" s="42">
        <v>29505</v>
      </c>
      <c r="B723" s="43">
        <f>VLOOKUP(A723,Database!F:H,3,)</f>
        <v>447000</v>
      </c>
      <c r="C723" s="43">
        <f t="shared" si="22"/>
        <v>-15000</v>
      </c>
      <c r="D723" s="43">
        <f>VLOOKUP(A723,Database!F:H,2,)</f>
        <v>3549000</v>
      </c>
      <c r="E723" s="43">
        <f t="shared" si="23"/>
        <v>-123000</v>
      </c>
    </row>
    <row r="724" spans="1:5" x14ac:dyDescent="0.2">
      <c r="A724" s="42">
        <v>29512</v>
      </c>
      <c r="B724" s="43">
        <f>VLOOKUP(A724,Database!F:H,3,)</f>
        <v>425000</v>
      </c>
      <c r="C724" s="43">
        <f t="shared" si="22"/>
        <v>-22000</v>
      </c>
      <c r="D724" s="43">
        <f>VLOOKUP(A724,Database!F:H,2,)</f>
        <v>3477000</v>
      </c>
      <c r="E724" s="43">
        <f t="shared" si="23"/>
        <v>-72000</v>
      </c>
    </row>
    <row r="725" spans="1:5" x14ac:dyDescent="0.2">
      <c r="A725" s="42">
        <v>29519</v>
      </c>
      <c r="B725" s="43">
        <f>VLOOKUP(A725,Database!F:H,3,)</f>
        <v>418000</v>
      </c>
      <c r="C725" s="43">
        <f t="shared" si="22"/>
        <v>-7000</v>
      </c>
      <c r="D725" s="43">
        <f>VLOOKUP(A725,Database!F:H,2,)</f>
        <v>3527000</v>
      </c>
      <c r="E725" s="43">
        <f t="shared" si="23"/>
        <v>50000</v>
      </c>
    </row>
    <row r="726" spans="1:5" x14ac:dyDescent="0.2">
      <c r="A726" s="42">
        <v>29526</v>
      </c>
      <c r="B726" s="43">
        <f>VLOOKUP(A726,Database!F:H,3,)</f>
        <v>419000</v>
      </c>
      <c r="C726" s="43">
        <f t="shared" si="22"/>
        <v>1000</v>
      </c>
      <c r="D726" s="43">
        <f>VLOOKUP(A726,Database!F:H,2,)</f>
        <v>3391000</v>
      </c>
      <c r="E726" s="43">
        <f t="shared" si="23"/>
        <v>-136000</v>
      </c>
    </row>
    <row r="727" spans="1:5" x14ac:dyDescent="0.2">
      <c r="A727" s="42">
        <v>29533</v>
      </c>
      <c r="B727" s="43">
        <f>VLOOKUP(A727,Database!F:H,3,)</f>
        <v>407000</v>
      </c>
      <c r="C727" s="43">
        <f t="shared" si="22"/>
        <v>-12000</v>
      </c>
      <c r="D727" s="43">
        <f>VLOOKUP(A727,Database!F:H,2,)</f>
        <v>3380000</v>
      </c>
      <c r="E727" s="43">
        <f t="shared" si="23"/>
        <v>-11000</v>
      </c>
    </row>
    <row r="728" spans="1:5" x14ac:dyDescent="0.2">
      <c r="A728" s="42">
        <v>29540</v>
      </c>
      <c r="B728" s="43">
        <f>VLOOKUP(A728,Database!F:H,3,)</f>
        <v>427000</v>
      </c>
      <c r="C728" s="43">
        <f t="shared" si="22"/>
        <v>20000</v>
      </c>
      <c r="D728" s="43">
        <f>VLOOKUP(A728,Database!F:H,2,)</f>
        <v>3260000</v>
      </c>
      <c r="E728" s="43">
        <f t="shared" si="23"/>
        <v>-120000</v>
      </c>
    </row>
    <row r="729" spans="1:5" x14ac:dyDescent="0.2">
      <c r="A729" s="42">
        <v>29547</v>
      </c>
      <c r="B729" s="43">
        <f>VLOOKUP(A729,Database!F:H,3,)</f>
        <v>398000</v>
      </c>
      <c r="C729" s="43">
        <f t="shared" si="22"/>
        <v>-29000</v>
      </c>
      <c r="D729" s="43">
        <f>VLOOKUP(A729,Database!F:H,2,)</f>
        <v>3303000</v>
      </c>
      <c r="E729" s="43">
        <f t="shared" si="23"/>
        <v>43000</v>
      </c>
    </row>
    <row r="730" spans="1:5" x14ac:dyDescent="0.2">
      <c r="A730" s="42">
        <v>29554</v>
      </c>
      <c r="B730" s="43">
        <f>VLOOKUP(A730,Database!F:H,3,)</f>
        <v>412000</v>
      </c>
      <c r="C730" s="43">
        <f t="shared" si="22"/>
        <v>14000</v>
      </c>
      <c r="D730" s="43">
        <f>VLOOKUP(A730,Database!F:H,2,)</f>
        <v>3169000</v>
      </c>
      <c r="E730" s="43">
        <f t="shared" si="23"/>
        <v>-134000</v>
      </c>
    </row>
    <row r="731" spans="1:5" x14ac:dyDescent="0.2">
      <c r="A731" s="42">
        <v>29561</v>
      </c>
      <c r="B731" s="43">
        <f>VLOOKUP(A731,Database!F:H,3,)</f>
        <v>416000</v>
      </c>
      <c r="C731" s="43">
        <f t="shared" si="22"/>
        <v>4000</v>
      </c>
      <c r="D731" s="43">
        <f>VLOOKUP(A731,Database!F:H,2,)</f>
        <v>3185000</v>
      </c>
      <c r="E731" s="43">
        <f t="shared" si="23"/>
        <v>16000</v>
      </c>
    </row>
    <row r="732" spans="1:5" x14ac:dyDescent="0.2">
      <c r="A732" s="42">
        <v>29568</v>
      </c>
      <c r="B732" s="43">
        <f>VLOOKUP(A732,Database!F:H,3,)</f>
        <v>413000</v>
      </c>
      <c r="C732" s="43">
        <f t="shared" si="22"/>
        <v>-3000</v>
      </c>
      <c r="D732" s="43">
        <f>VLOOKUP(A732,Database!F:H,2,)</f>
        <v>3125000</v>
      </c>
      <c r="E732" s="43">
        <f t="shared" si="23"/>
        <v>-60000</v>
      </c>
    </row>
    <row r="733" spans="1:5" x14ac:dyDescent="0.2">
      <c r="A733" s="42">
        <v>29575</v>
      </c>
      <c r="B733" s="43">
        <f>VLOOKUP(A733,Database!F:H,3,)</f>
        <v>412000</v>
      </c>
      <c r="C733" s="43">
        <f t="shared" si="22"/>
        <v>-1000</v>
      </c>
      <c r="D733" s="43">
        <f>VLOOKUP(A733,Database!F:H,2,)</f>
        <v>3056000</v>
      </c>
      <c r="E733" s="43">
        <f t="shared" si="23"/>
        <v>-69000</v>
      </c>
    </row>
    <row r="734" spans="1:5" x14ac:dyDescent="0.2">
      <c r="A734" s="42">
        <v>29582</v>
      </c>
      <c r="B734" s="43">
        <f>VLOOKUP(A734,Database!F:H,3,)</f>
        <v>399000</v>
      </c>
      <c r="C734" s="43">
        <f t="shared" si="22"/>
        <v>-13000</v>
      </c>
      <c r="D734" s="43">
        <f>VLOOKUP(A734,Database!F:H,2,)</f>
        <v>3136000</v>
      </c>
      <c r="E734" s="43">
        <f t="shared" si="23"/>
        <v>80000</v>
      </c>
    </row>
    <row r="735" spans="1:5" x14ac:dyDescent="0.2">
      <c r="A735" s="42">
        <v>29589</v>
      </c>
      <c r="B735" s="43">
        <f>VLOOKUP(A735,Database!F:H,3,)</f>
        <v>410000</v>
      </c>
      <c r="C735" s="43">
        <f t="shared" si="22"/>
        <v>11000</v>
      </c>
      <c r="D735" s="43">
        <f>VLOOKUP(A735,Database!F:H,2,)</f>
        <v>3123000</v>
      </c>
      <c r="E735" s="43">
        <f t="shared" si="23"/>
        <v>-13000</v>
      </c>
    </row>
    <row r="736" spans="1:5" x14ac:dyDescent="0.2">
      <c r="A736" s="42">
        <v>29596</v>
      </c>
      <c r="B736" s="43">
        <f>VLOOKUP(A736,Database!F:H,3,)</f>
        <v>419000</v>
      </c>
      <c r="C736" s="43">
        <f t="shared" si="22"/>
        <v>9000</v>
      </c>
      <c r="D736" s="43">
        <f>VLOOKUP(A736,Database!F:H,2,)</f>
        <v>3082000</v>
      </c>
      <c r="E736" s="43">
        <f t="shared" si="23"/>
        <v>-41000</v>
      </c>
    </row>
    <row r="737" spans="1:5" x14ac:dyDescent="0.2">
      <c r="A737" s="42">
        <v>29603</v>
      </c>
      <c r="B737" s="43">
        <f>VLOOKUP(A737,Database!F:H,3,)</f>
        <v>421000</v>
      </c>
      <c r="C737" s="43">
        <f t="shared" si="22"/>
        <v>2000</v>
      </c>
      <c r="D737" s="43">
        <f>VLOOKUP(A737,Database!F:H,2,)</f>
        <v>3023000</v>
      </c>
      <c r="E737" s="43">
        <f t="shared" si="23"/>
        <v>-59000</v>
      </c>
    </row>
    <row r="738" spans="1:5" x14ac:dyDescent="0.2">
      <c r="A738" s="42">
        <v>29610</v>
      </c>
      <c r="B738" s="43">
        <f>VLOOKUP(A738,Database!F:H,3,)</f>
        <v>396000</v>
      </c>
      <c r="C738" s="43">
        <f t="shared" si="22"/>
        <v>-25000</v>
      </c>
      <c r="D738" s="43">
        <f>VLOOKUP(A738,Database!F:H,2,)</f>
        <v>2988000</v>
      </c>
      <c r="E738" s="43">
        <f t="shared" si="23"/>
        <v>-35000</v>
      </c>
    </row>
    <row r="739" spans="1:5" x14ac:dyDescent="0.2">
      <c r="A739" s="42">
        <v>29617</v>
      </c>
      <c r="B739" s="43">
        <f>VLOOKUP(A739,Database!F:H,3,)</f>
        <v>419000</v>
      </c>
      <c r="C739" s="43">
        <f t="shared" si="22"/>
        <v>23000</v>
      </c>
      <c r="D739" s="43">
        <f>VLOOKUP(A739,Database!F:H,2,)</f>
        <v>2975000</v>
      </c>
      <c r="E739" s="43">
        <f t="shared" si="23"/>
        <v>-13000</v>
      </c>
    </row>
    <row r="740" spans="1:5" x14ac:dyDescent="0.2">
      <c r="A740" s="42">
        <v>29624</v>
      </c>
      <c r="B740" s="43">
        <f>VLOOKUP(A740,Database!F:H,3,)</f>
        <v>420000</v>
      </c>
      <c r="C740" s="43">
        <f t="shared" si="22"/>
        <v>1000</v>
      </c>
      <c r="D740" s="43">
        <f>VLOOKUP(A740,Database!F:H,2,)</f>
        <v>2945000</v>
      </c>
      <c r="E740" s="43">
        <f t="shared" si="23"/>
        <v>-30000</v>
      </c>
    </row>
    <row r="741" spans="1:5" x14ac:dyDescent="0.2">
      <c r="A741" s="42">
        <v>29631</v>
      </c>
      <c r="B741" s="43">
        <f>VLOOKUP(A741,Database!F:H,3,)</f>
        <v>423000</v>
      </c>
      <c r="C741" s="43">
        <f t="shared" si="22"/>
        <v>3000</v>
      </c>
      <c r="D741" s="43">
        <f>VLOOKUP(A741,Database!F:H,2,)</f>
        <v>3043000</v>
      </c>
      <c r="E741" s="43">
        <f t="shared" si="23"/>
        <v>98000</v>
      </c>
    </row>
    <row r="742" spans="1:5" x14ac:dyDescent="0.2">
      <c r="A742" s="42">
        <v>29638</v>
      </c>
      <c r="B742" s="43">
        <f>VLOOKUP(A742,Database!F:H,3,)</f>
        <v>438000</v>
      </c>
      <c r="C742" s="43">
        <f t="shared" si="22"/>
        <v>15000</v>
      </c>
      <c r="D742" s="43">
        <f>VLOOKUP(A742,Database!F:H,2,)</f>
        <v>3023000</v>
      </c>
      <c r="E742" s="43">
        <f t="shared" si="23"/>
        <v>-20000</v>
      </c>
    </row>
    <row r="743" spans="1:5" x14ac:dyDescent="0.2">
      <c r="A743" s="42">
        <v>29645</v>
      </c>
      <c r="B743" s="43">
        <f>VLOOKUP(A743,Database!F:H,3,)</f>
        <v>434000</v>
      </c>
      <c r="C743" s="43">
        <f t="shared" si="22"/>
        <v>-4000</v>
      </c>
      <c r="D743" s="43">
        <f>VLOOKUP(A743,Database!F:H,2,)</f>
        <v>2901000</v>
      </c>
      <c r="E743" s="43">
        <f t="shared" si="23"/>
        <v>-122000</v>
      </c>
    </row>
    <row r="744" spans="1:5" x14ac:dyDescent="0.2">
      <c r="A744" s="42">
        <v>29652</v>
      </c>
      <c r="B744" s="43">
        <f>VLOOKUP(A744,Database!F:H,3,)</f>
        <v>409000</v>
      </c>
      <c r="C744" s="43">
        <f t="shared" si="22"/>
        <v>-25000</v>
      </c>
      <c r="D744" s="43">
        <f>VLOOKUP(A744,Database!F:H,2,)</f>
        <v>2931000</v>
      </c>
      <c r="E744" s="43">
        <f t="shared" si="23"/>
        <v>30000</v>
      </c>
    </row>
    <row r="745" spans="1:5" x14ac:dyDescent="0.2">
      <c r="A745" s="42">
        <v>29659</v>
      </c>
      <c r="B745" s="43">
        <f>VLOOKUP(A745,Database!F:H,3,)</f>
        <v>408000</v>
      </c>
      <c r="C745" s="43">
        <f t="shared" si="22"/>
        <v>-1000</v>
      </c>
      <c r="D745" s="43">
        <f>VLOOKUP(A745,Database!F:H,2,)</f>
        <v>2905000</v>
      </c>
      <c r="E745" s="43">
        <f t="shared" si="23"/>
        <v>-26000</v>
      </c>
    </row>
    <row r="746" spans="1:5" x14ac:dyDescent="0.2">
      <c r="A746" s="42">
        <v>29666</v>
      </c>
      <c r="B746" s="43">
        <f>VLOOKUP(A746,Database!F:H,3,)</f>
        <v>401000</v>
      </c>
      <c r="C746" s="43">
        <f t="shared" si="22"/>
        <v>-7000</v>
      </c>
      <c r="D746" s="43">
        <f>VLOOKUP(A746,Database!F:H,2,)</f>
        <v>2885000</v>
      </c>
      <c r="E746" s="43">
        <f t="shared" si="23"/>
        <v>-20000</v>
      </c>
    </row>
    <row r="747" spans="1:5" x14ac:dyDescent="0.2">
      <c r="A747" s="42">
        <v>29673</v>
      </c>
      <c r="B747" s="43">
        <f>VLOOKUP(A747,Database!F:H,3,)</f>
        <v>412000</v>
      </c>
      <c r="C747" s="43">
        <f t="shared" si="22"/>
        <v>11000</v>
      </c>
      <c r="D747" s="43">
        <f>VLOOKUP(A747,Database!F:H,2,)</f>
        <v>2876000</v>
      </c>
      <c r="E747" s="43">
        <f t="shared" si="23"/>
        <v>-9000</v>
      </c>
    </row>
    <row r="748" spans="1:5" x14ac:dyDescent="0.2">
      <c r="A748" s="42">
        <v>29680</v>
      </c>
      <c r="B748" s="43">
        <f>VLOOKUP(A748,Database!F:H,3,)</f>
        <v>417000</v>
      </c>
      <c r="C748" s="43">
        <f t="shared" si="22"/>
        <v>5000</v>
      </c>
      <c r="D748" s="43">
        <f>VLOOKUP(A748,Database!F:H,2,)</f>
        <v>2875000</v>
      </c>
      <c r="E748" s="43">
        <f t="shared" si="23"/>
        <v>-1000</v>
      </c>
    </row>
    <row r="749" spans="1:5" x14ac:dyDescent="0.2">
      <c r="A749" s="42">
        <v>29687</v>
      </c>
      <c r="B749" s="43">
        <f>VLOOKUP(A749,Database!F:H,3,)</f>
        <v>396000</v>
      </c>
      <c r="C749" s="43">
        <f t="shared" si="22"/>
        <v>-21000</v>
      </c>
      <c r="D749" s="43">
        <f>VLOOKUP(A749,Database!F:H,2,)</f>
        <v>2800000</v>
      </c>
      <c r="E749" s="43">
        <f t="shared" si="23"/>
        <v>-75000</v>
      </c>
    </row>
    <row r="750" spans="1:5" x14ac:dyDescent="0.2">
      <c r="A750" s="42">
        <v>29694</v>
      </c>
      <c r="B750" s="43">
        <f>VLOOKUP(A750,Database!F:H,3,)</f>
        <v>392000</v>
      </c>
      <c r="C750" s="43">
        <f t="shared" si="22"/>
        <v>-4000</v>
      </c>
      <c r="D750" s="43">
        <f>VLOOKUP(A750,Database!F:H,2,)</f>
        <v>2860000</v>
      </c>
      <c r="E750" s="43">
        <f t="shared" si="23"/>
        <v>60000</v>
      </c>
    </row>
    <row r="751" spans="1:5" x14ac:dyDescent="0.2">
      <c r="A751" s="42">
        <v>29701</v>
      </c>
      <c r="B751" s="43">
        <f>VLOOKUP(A751,Database!F:H,3,)</f>
        <v>436000</v>
      </c>
      <c r="C751" s="43">
        <f t="shared" si="22"/>
        <v>44000</v>
      </c>
      <c r="D751" s="43">
        <f>VLOOKUP(A751,Database!F:H,2,)</f>
        <v>2893000</v>
      </c>
      <c r="E751" s="43">
        <f t="shared" si="23"/>
        <v>33000</v>
      </c>
    </row>
    <row r="752" spans="1:5" x14ac:dyDescent="0.2">
      <c r="A752" s="42">
        <v>29708</v>
      </c>
      <c r="B752" s="43">
        <f>VLOOKUP(A752,Database!F:H,3,)</f>
        <v>413000</v>
      </c>
      <c r="C752" s="43">
        <f t="shared" si="22"/>
        <v>-23000</v>
      </c>
      <c r="D752" s="43">
        <f>VLOOKUP(A752,Database!F:H,2,)</f>
        <v>2944000</v>
      </c>
      <c r="E752" s="43">
        <f t="shared" si="23"/>
        <v>51000</v>
      </c>
    </row>
    <row r="753" spans="1:5" x14ac:dyDescent="0.2">
      <c r="A753" s="42">
        <v>29715</v>
      </c>
      <c r="B753" s="43">
        <f>VLOOKUP(A753,Database!F:H,3,)</f>
        <v>423000</v>
      </c>
      <c r="C753" s="43">
        <f t="shared" si="22"/>
        <v>10000</v>
      </c>
      <c r="D753" s="43">
        <f>VLOOKUP(A753,Database!F:H,2,)</f>
        <v>2887000</v>
      </c>
      <c r="E753" s="43">
        <f t="shared" si="23"/>
        <v>-57000</v>
      </c>
    </row>
    <row r="754" spans="1:5" x14ac:dyDescent="0.2">
      <c r="A754" s="42">
        <v>29722</v>
      </c>
      <c r="B754" s="43">
        <f>VLOOKUP(A754,Database!F:H,3,)</f>
        <v>414000</v>
      </c>
      <c r="C754" s="43">
        <f t="shared" si="22"/>
        <v>-9000</v>
      </c>
      <c r="D754" s="43">
        <f>VLOOKUP(A754,Database!F:H,2,)</f>
        <v>2865000</v>
      </c>
      <c r="E754" s="43">
        <f t="shared" si="23"/>
        <v>-22000</v>
      </c>
    </row>
    <row r="755" spans="1:5" x14ac:dyDescent="0.2">
      <c r="A755" s="42">
        <v>29729</v>
      </c>
      <c r="B755" s="43">
        <f>VLOOKUP(A755,Database!F:H,3,)</f>
        <v>415000</v>
      </c>
      <c r="C755" s="43">
        <f t="shared" si="22"/>
        <v>1000</v>
      </c>
      <c r="D755" s="43">
        <f>VLOOKUP(A755,Database!F:H,2,)</f>
        <v>2862000</v>
      </c>
      <c r="E755" s="43">
        <f t="shared" si="23"/>
        <v>-3000</v>
      </c>
    </row>
    <row r="756" spans="1:5" x14ac:dyDescent="0.2">
      <c r="A756" s="42">
        <v>29736</v>
      </c>
      <c r="B756" s="43">
        <f>VLOOKUP(A756,Database!F:H,3,)</f>
        <v>417000</v>
      </c>
      <c r="C756" s="43">
        <f t="shared" si="22"/>
        <v>2000</v>
      </c>
      <c r="D756" s="43">
        <f>VLOOKUP(A756,Database!F:H,2,)</f>
        <v>2962000</v>
      </c>
      <c r="E756" s="43">
        <f t="shared" si="23"/>
        <v>100000</v>
      </c>
    </row>
    <row r="757" spans="1:5" x14ac:dyDescent="0.2">
      <c r="A757" s="42">
        <v>29743</v>
      </c>
      <c r="B757" s="43">
        <f>VLOOKUP(A757,Database!F:H,3,)</f>
        <v>428000</v>
      </c>
      <c r="C757" s="43">
        <f t="shared" si="22"/>
        <v>11000</v>
      </c>
      <c r="D757" s="43">
        <f>VLOOKUP(A757,Database!F:H,2,)</f>
        <v>2877000</v>
      </c>
      <c r="E757" s="43">
        <f t="shared" si="23"/>
        <v>-85000</v>
      </c>
    </row>
    <row r="758" spans="1:5" x14ac:dyDescent="0.2">
      <c r="A758" s="42">
        <v>29750</v>
      </c>
      <c r="B758" s="43">
        <f>VLOOKUP(A758,Database!F:H,3,)</f>
        <v>425000</v>
      </c>
      <c r="C758" s="43">
        <f t="shared" si="22"/>
        <v>-3000</v>
      </c>
      <c r="D758" s="43">
        <f>VLOOKUP(A758,Database!F:H,2,)</f>
        <v>2867000</v>
      </c>
      <c r="E758" s="43">
        <f t="shared" si="23"/>
        <v>-10000</v>
      </c>
    </row>
    <row r="759" spans="1:5" x14ac:dyDescent="0.2">
      <c r="A759" s="42">
        <v>29757</v>
      </c>
      <c r="B759" s="43">
        <f>VLOOKUP(A759,Database!F:H,3,)</f>
        <v>435000</v>
      </c>
      <c r="C759" s="43">
        <f t="shared" si="22"/>
        <v>10000</v>
      </c>
      <c r="D759" s="43">
        <f>VLOOKUP(A759,Database!F:H,2,)</f>
        <v>2886000</v>
      </c>
      <c r="E759" s="43">
        <f t="shared" si="23"/>
        <v>19000</v>
      </c>
    </row>
    <row r="760" spans="1:5" x14ac:dyDescent="0.2">
      <c r="A760" s="42">
        <v>29764</v>
      </c>
      <c r="B760" s="43">
        <f>VLOOKUP(A760,Database!F:H,3,)</f>
        <v>444000</v>
      </c>
      <c r="C760" s="43">
        <f t="shared" si="22"/>
        <v>9000</v>
      </c>
      <c r="D760" s="43">
        <f>VLOOKUP(A760,Database!F:H,2,)</f>
        <v>2983000</v>
      </c>
      <c r="E760" s="43">
        <f t="shared" si="23"/>
        <v>97000</v>
      </c>
    </row>
    <row r="761" spans="1:5" x14ac:dyDescent="0.2">
      <c r="A761" s="42">
        <v>29771</v>
      </c>
      <c r="B761" s="43">
        <f>VLOOKUP(A761,Database!F:H,3,)</f>
        <v>460000</v>
      </c>
      <c r="C761" s="43">
        <f t="shared" si="22"/>
        <v>16000</v>
      </c>
      <c r="D761" s="43">
        <f>VLOOKUP(A761,Database!F:H,2,)</f>
        <v>2886000</v>
      </c>
      <c r="E761" s="43">
        <f t="shared" si="23"/>
        <v>-97000</v>
      </c>
    </row>
    <row r="762" spans="1:5" x14ac:dyDescent="0.2">
      <c r="A762" s="42">
        <v>29778</v>
      </c>
      <c r="B762" s="43">
        <f>VLOOKUP(A762,Database!F:H,3,)</f>
        <v>426000</v>
      </c>
      <c r="C762" s="43">
        <f t="shared" si="22"/>
        <v>-34000</v>
      </c>
      <c r="D762" s="43">
        <f>VLOOKUP(A762,Database!F:H,2,)</f>
        <v>2845000</v>
      </c>
      <c r="E762" s="43">
        <f t="shared" si="23"/>
        <v>-41000</v>
      </c>
    </row>
    <row r="763" spans="1:5" x14ac:dyDescent="0.2">
      <c r="A763" s="42">
        <v>29785</v>
      </c>
      <c r="B763" s="43">
        <f>VLOOKUP(A763,Database!F:H,3,)</f>
        <v>430000</v>
      </c>
      <c r="C763" s="43">
        <f t="shared" si="22"/>
        <v>4000</v>
      </c>
      <c r="D763" s="43">
        <f>VLOOKUP(A763,Database!F:H,2,)</f>
        <v>2902000</v>
      </c>
      <c r="E763" s="43">
        <f t="shared" si="23"/>
        <v>57000</v>
      </c>
    </row>
    <row r="764" spans="1:5" x14ac:dyDescent="0.2">
      <c r="A764" s="42">
        <v>29792</v>
      </c>
      <c r="B764" s="43">
        <f>VLOOKUP(A764,Database!F:H,3,)</f>
        <v>407000</v>
      </c>
      <c r="C764" s="43">
        <f t="shared" si="22"/>
        <v>-23000</v>
      </c>
      <c r="D764" s="43">
        <f>VLOOKUP(A764,Database!F:H,2,)</f>
        <v>2899000</v>
      </c>
      <c r="E764" s="43">
        <f t="shared" si="23"/>
        <v>-3000</v>
      </c>
    </row>
    <row r="765" spans="1:5" x14ac:dyDescent="0.2">
      <c r="A765" s="42">
        <v>29799</v>
      </c>
      <c r="B765" s="43">
        <f>VLOOKUP(A765,Database!F:H,3,)</f>
        <v>476000</v>
      </c>
      <c r="C765" s="43">
        <f t="shared" si="22"/>
        <v>69000</v>
      </c>
      <c r="D765" s="43">
        <f>VLOOKUP(A765,Database!F:H,2,)</f>
        <v>2867000</v>
      </c>
      <c r="E765" s="43">
        <f t="shared" si="23"/>
        <v>-32000</v>
      </c>
    </row>
    <row r="766" spans="1:5" x14ac:dyDescent="0.2">
      <c r="A766" s="42">
        <v>29806</v>
      </c>
      <c r="B766" s="43">
        <f>VLOOKUP(A766,Database!F:H,3,)</f>
        <v>448000</v>
      </c>
      <c r="C766" s="43">
        <f t="shared" si="22"/>
        <v>-28000</v>
      </c>
      <c r="D766" s="43">
        <f>VLOOKUP(A766,Database!F:H,2,)</f>
        <v>2998000</v>
      </c>
      <c r="E766" s="43">
        <f t="shared" si="23"/>
        <v>131000</v>
      </c>
    </row>
    <row r="767" spans="1:5" x14ac:dyDescent="0.2">
      <c r="A767" s="42">
        <v>29813</v>
      </c>
      <c r="B767" s="43">
        <f>VLOOKUP(A767,Database!F:H,3,)</f>
        <v>442000</v>
      </c>
      <c r="C767" s="43">
        <f t="shared" si="22"/>
        <v>-6000</v>
      </c>
      <c r="D767" s="43">
        <f>VLOOKUP(A767,Database!F:H,2,)</f>
        <v>2966000</v>
      </c>
      <c r="E767" s="43">
        <f t="shared" si="23"/>
        <v>-32000</v>
      </c>
    </row>
    <row r="768" spans="1:5" x14ac:dyDescent="0.2">
      <c r="A768" s="42">
        <v>29820</v>
      </c>
      <c r="B768" s="43">
        <f>VLOOKUP(A768,Database!F:H,3,)</f>
        <v>434000</v>
      </c>
      <c r="C768" s="43">
        <f t="shared" si="22"/>
        <v>-8000</v>
      </c>
      <c r="D768" s="43">
        <f>VLOOKUP(A768,Database!F:H,2,)</f>
        <v>2957000</v>
      </c>
      <c r="E768" s="43">
        <f t="shared" si="23"/>
        <v>-9000</v>
      </c>
    </row>
    <row r="769" spans="1:5" x14ac:dyDescent="0.2">
      <c r="A769" s="42">
        <v>29827</v>
      </c>
      <c r="B769" s="43">
        <f>VLOOKUP(A769,Database!F:H,3,)</f>
        <v>451000</v>
      </c>
      <c r="C769" s="43">
        <f t="shared" si="22"/>
        <v>17000</v>
      </c>
      <c r="D769" s="43">
        <f>VLOOKUP(A769,Database!F:H,2,)</f>
        <v>2954000</v>
      </c>
      <c r="E769" s="43">
        <f t="shared" si="23"/>
        <v>-3000</v>
      </c>
    </row>
    <row r="770" spans="1:5" x14ac:dyDescent="0.2">
      <c r="A770" s="42">
        <v>29834</v>
      </c>
      <c r="B770" s="43">
        <f>VLOOKUP(A770,Database!F:H,3,)</f>
        <v>473000</v>
      </c>
      <c r="C770" s="43">
        <f t="shared" si="22"/>
        <v>22000</v>
      </c>
      <c r="D770" s="43">
        <f>VLOOKUP(A770,Database!F:H,2,)</f>
        <v>2914000</v>
      </c>
      <c r="E770" s="43">
        <f t="shared" si="23"/>
        <v>-40000</v>
      </c>
    </row>
    <row r="771" spans="1:5" x14ac:dyDescent="0.2">
      <c r="A771" s="42">
        <v>29841</v>
      </c>
      <c r="B771" s="43">
        <f>VLOOKUP(A771,Database!F:H,3,)</f>
        <v>454000</v>
      </c>
      <c r="C771" s="43">
        <f t="shared" si="22"/>
        <v>-19000</v>
      </c>
      <c r="D771" s="43">
        <f>VLOOKUP(A771,Database!F:H,2,)</f>
        <v>3051000</v>
      </c>
      <c r="E771" s="43">
        <f t="shared" si="23"/>
        <v>137000</v>
      </c>
    </row>
    <row r="772" spans="1:5" x14ac:dyDescent="0.2">
      <c r="A772" s="42">
        <v>29848</v>
      </c>
      <c r="B772" s="43">
        <f>VLOOKUP(A772,Database!F:H,3,)</f>
        <v>475000</v>
      </c>
      <c r="C772" s="43">
        <f t="shared" si="22"/>
        <v>21000</v>
      </c>
      <c r="D772" s="43">
        <f>VLOOKUP(A772,Database!F:H,2,)</f>
        <v>3014000</v>
      </c>
      <c r="E772" s="43">
        <f t="shared" si="23"/>
        <v>-37000</v>
      </c>
    </row>
    <row r="773" spans="1:5" x14ac:dyDescent="0.2">
      <c r="A773" s="42">
        <v>29855</v>
      </c>
      <c r="B773" s="43">
        <f>VLOOKUP(A773,Database!F:H,3,)</f>
        <v>491000</v>
      </c>
      <c r="C773" s="43">
        <f t="shared" si="22"/>
        <v>16000</v>
      </c>
      <c r="D773" s="43">
        <f>VLOOKUP(A773,Database!F:H,2,)</f>
        <v>3073000</v>
      </c>
      <c r="E773" s="43">
        <f t="shared" si="23"/>
        <v>59000</v>
      </c>
    </row>
    <row r="774" spans="1:5" x14ac:dyDescent="0.2">
      <c r="A774" s="42">
        <v>29862</v>
      </c>
      <c r="B774" s="43">
        <f>VLOOKUP(A774,Database!F:H,3,)</f>
        <v>489000</v>
      </c>
      <c r="C774" s="43">
        <f t="shared" si="22"/>
        <v>-2000</v>
      </c>
      <c r="D774" s="43">
        <f>VLOOKUP(A774,Database!F:H,2,)</f>
        <v>3069000</v>
      </c>
      <c r="E774" s="43">
        <f t="shared" si="23"/>
        <v>-4000</v>
      </c>
    </row>
    <row r="775" spans="1:5" x14ac:dyDescent="0.2">
      <c r="A775" s="42">
        <v>29869</v>
      </c>
      <c r="B775" s="43">
        <f>VLOOKUP(A775,Database!F:H,3,)</f>
        <v>491000</v>
      </c>
      <c r="C775" s="43">
        <f t="shared" si="22"/>
        <v>2000</v>
      </c>
      <c r="D775" s="43">
        <f>VLOOKUP(A775,Database!F:H,2,)</f>
        <v>3098000</v>
      </c>
      <c r="E775" s="43">
        <f t="shared" si="23"/>
        <v>29000</v>
      </c>
    </row>
    <row r="776" spans="1:5" x14ac:dyDescent="0.2">
      <c r="A776" s="42">
        <v>29876</v>
      </c>
      <c r="B776" s="43">
        <f>VLOOKUP(A776,Database!F:H,3,)</f>
        <v>487000</v>
      </c>
      <c r="C776" s="43">
        <f t="shared" ref="C776:C839" si="24">B776-B775</f>
        <v>-4000</v>
      </c>
      <c r="D776" s="43">
        <f>VLOOKUP(A776,Database!F:H,2,)</f>
        <v>3104000</v>
      </c>
      <c r="E776" s="43">
        <f t="shared" ref="E776:E839" si="25">D776-D775</f>
        <v>6000</v>
      </c>
    </row>
    <row r="777" spans="1:5" x14ac:dyDescent="0.2">
      <c r="A777" s="42">
        <v>29883</v>
      </c>
      <c r="B777" s="43">
        <f>VLOOKUP(A777,Database!F:H,3,)</f>
        <v>483000</v>
      </c>
      <c r="C777" s="43">
        <f t="shared" si="24"/>
        <v>-4000</v>
      </c>
      <c r="D777" s="43">
        <f>VLOOKUP(A777,Database!F:H,2,)</f>
        <v>3181000</v>
      </c>
      <c r="E777" s="43">
        <f t="shared" si="25"/>
        <v>77000</v>
      </c>
    </row>
    <row r="778" spans="1:5" x14ac:dyDescent="0.2">
      <c r="A778" s="42">
        <v>29890</v>
      </c>
      <c r="B778" s="43">
        <f>VLOOKUP(A778,Database!F:H,3,)</f>
        <v>514000</v>
      </c>
      <c r="C778" s="43">
        <f t="shared" si="24"/>
        <v>31000</v>
      </c>
      <c r="D778" s="43">
        <f>VLOOKUP(A778,Database!F:H,2,)</f>
        <v>3183000</v>
      </c>
      <c r="E778" s="43">
        <f t="shared" si="25"/>
        <v>2000</v>
      </c>
    </row>
    <row r="779" spans="1:5" x14ac:dyDescent="0.2">
      <c r="A779" s="42">
        <v>29897</v>
      </c>
      <c r="B779" s="43">
        <f>VLOOKUP(A779,Database!F:H,3,)</f>
        <v>514000</v>
      </c>
      <c r="C779" s="43">
        <f t="shared" si="24"/>
        <v>0</v>
      </c>
      <c r="D779" s="43">
        <f>VLOOKUP(A779,Database!F:H,2,)</f>
        <v>3282000</v>
      </c>
      <c r="E779" s="43">
        <f t="shared" si="25"/>
        <v>99000</v>
      </c>
    </row>
    <row r="780" spans="1:5" x14ac:dyDescent="0.2">
      <c r="A780" s="42">
        <v>29904</v>
      </c>
      <c r="B780" s="43">
        <f>VLOOKUP(A780,Database!F:H,3,)</f>
        <v>517000</v>
      </c>
      <c r="C780" s="43">
        <f t="shared" si="24"/>
        <v>3000</v>
      </c>
      <c r="D780" s="43">
        <f>VLOOKUP(A780,Database!F:H,2,)</f>
        <v>3291000</v>
      </c>
      <c r="E780" s="43">
        <f t="shared" si="25"/>
        <v>9000</v>
      </c>
    </row>
    <row r="781" spans="1:5" x14ac:dyDescent="0.2">
      <c r="A781" s="42">
        <v>29911</v>
      </c>
      <c r="B781" s="43">
        <f>VLOOKUP(A781,Database!F:H,3,)</f>
        <v>464000</v>
      </c>
      <c r="C781" s="43">
        <f t="shared" si="24"/>
        <v>-53000</v>
      </c>
      <c r="D781" s="43">
        <f>VLOOKUP(A781,Database!F:H,2,)</f>
        <v>3416000</v>
      </c>
      <c r="E781" s="43">
        <f t="shared" si="25"/>
        <v>125000</v>
      </c>
    </row>
    <row r="782" spans="1:5" x14ac:dyDescent="0.2">
      <c r="A782" s="42">
        <v>29918</v>
      </c>
      <c r="B782" s="43">
        <f>VLOOKUP(A782,Database!F:H,3,)</f>
        <v>552000</v>
      </c>
      <c r="C782" s="43">
        <f t="shared" si="24"/>
        <v>88000</v>
      </c>
      <c r="D782" s="43">
        <f>VLOOKUP(A782,Database!F:H,2,)</f>
        <v>3360000</v>
      </c>
      <c r="E782" s="43">
        <f t="shared" si="25"/>
        <v>-56000</v>
      </c>
    </row>
    <row r="783" spans="1:5" x14ac:dyDescent="0.2">
      <c r="A783" s="42">
        <v>29925</v>
      </c>
      <c r="B783" s="43">
        <f>VLOOKUP(A783,Database!F:H,3,)</f>
        <v>558000</v>
      </c>
      <c r="C783" s="43">
        <f t="shared" si="24"/>
        <v>6000</v>
      </c>
      <c r="D783" s="43">
        <f>VLOOKUP(A783,Database!F:H,2,)</f>
        <v>3517000</v>
      </c>
      <c r="E783" s="43">
        <f t="shared" si="25"/>
        <v>157000</v>
      </c>
    </row>
    <row r="784" spans="1:5" x14ac:dyDescent="0.2">
      <c r="A784" s="42">
        <v>29932</v>
      </c>
      <c r="B784" s="43">
        <f>VLOOKUP(A784,Database!F:H,3,)</f>
        <v>551000</v>
      </c>
      <c r="C784" s="43">
        <f t="shared" si="24"/>
        <v>-7000</v>
      </c>
      <c r="D784" s="43">
        <f>VLOOKUP(A784,Database!F:H,2,)</f>
        <v>3397000</v>
      </c>
      <c r="E784" s="43">
        <f t="shared" si="25"/>
        <v>-120000</v>
      </c>
    </row>
    <row r="785" spans="1:5" x14ac:dyDescent="0.2">
      <c r="A785" s="42">
        <v>29939</v>
      </c>
      <c r="B785" s="43">
        <f>VLOOKUP(A785,Database!F:H,3,)</f>
        <v>539000</v>
      </c>
      <c r="C785" s="43">
        <f t="shared" si="24"/>
        <v>-12000</v>
      </c>
      <c r="D785" s="43">
        <f>VLOOKUP(A785,Database!F:H,2,)</f>
        <v>3551000</v>
      </c>
      <c r="E785" s="43">
        <f t="shared" si="25"/>
        <v>154000</v>
      </c>
    </row>
    <row r="786" spans="1:5" x14ac:dyDescent="0.2">
      <c r="A786" s="42">
        <v>29946</v>
      </c>
      <c r="B786" s="43">
        <f>VLOOKUP(A786,Database!F:H,3,)</f>
        <v>556000</v>
      </c>
      <c r="C786" s="43">
        <f t="shared" si="24"/>
        <v>17000</v>
      </c>
      <c r="D786" s="43">
        <f>VLOOKUP(A786,Database!F:H,2,)</f>
        <v>3636000</v>
      </c>
      <c r="E786" s="43">
        <f t="shared" si="25"/>
        <v>85000</v>
      </c>
    </row>
    <row r="787" spans="1:5" x14ac:dyDescent="0.2">
      <c r="A787" s="42">
        <v>29953</v>
      </c>
      <c r="B787" s="43">
        <f>VLOOKUP(A787,Database!F:H,3,)</f>
        <v>495000</v>
      </c>
      <c r="C787" s="43">
        <f t="shared" si="24"/>
        <v>-61000</v>
      </c>
      <c r="D787" s="43">
        <f>VLOOKUP(A787,Database!F:H,2,)</f>
        <v>3523000</v>
      </c>
      <c r="E787" s="43">
        <f t="shared" si="25"/>
        <v>-113000</v>
      </c>
    </row>
    <row r="788" spans="1:5" x14ac:dyDescent="0.2">
      <c r="A788" s="42">
        <v>29960</v>
      </c>
      <c r="B788" s="43">
        <f>VLOOKUP(A788,Database!F:H,3,)</f>
        <v>545000</v>
      </c>
      <c r="C788" s="43">
        <f t="shared" si="24"/>
        <v>50000</v>
      </c>
      <c r="D788" s="43">
        <f>VLOOKUP(A788,Database!F:H,2,)</f>
        <v>3398000</v>
      </c>
      <c r="E788" s="43">
        <f t="shared" si="25"/>
        <v>-125000</v>
      </c>
    </row>
    <row r="789" spans="1:5" x14ac:dyDescent="0.2">
      <c r="A789" s="42">
        <v>29967</v>
      </c>
      <c r="B789" s="43">
        <f>VLOOKUP(A789,Database!F:H,3,)</f>
        <v>489000</v>
      </c>
      <c r="C789" s="43">
        <f t="shared" si="24"/>
        <v>-56000</v>
      </c>
      <c r="D789" s="43">
        <f>VLOOKUP(A789,Database!F:H,2,)</f>
        <v>3624000</v>
      </c>
      <c r="E789" s="43">
        <f t="shared" si="25"/>
        <v>226000</v>
      </c>
    </row>
    <row r="790" spans="1:5" x14ac:dyDescent="0.2">
      <c r="A790" s="42">
        <v>29974</v>
      </c>
      <c r="B790" s="43">
        <f>VLOOKUP(A790,Database!F:H,3,)</f>
        <v>564000</v>
      </c>
      <c r="C790" s="43">
        <f t="shared" si="24"/>
        <v>75000</v>
      </c>
      <c r="D790" s="43">
        <f>VLOOKUP(A790,Database!F:H,2,)</f>
        <v>3602000</v>
      </c>
      <c r="E790" s="43">
        <f t="shared" si="25"/>
        <v>-22000</v>
      </c>
    </row>
    <row r="791" spans="1:5" x14ac:dyDescent="0.2">
      <c r="A791" s="42">
        <v>29981</v>
      </c>
      <c r="B791" s="43">
        <f>VLOOKUP(A791,Database!F:H,3,)</f>
        <v>583000</v>
      </c>
      <c r="C791" s="43">
        <f t="shared" si="24"/>
        <v>19000</v>
      </c>
      <c r="D791" s="43">
        <f>VLOOKUP(A791,Database!F:H,2,)</f>
        <v>3521000</v>
      </c>
      <c r="E791" s="43">
        <f t="shared" si="25"/>
        <v>-81000</v>
      </c>
    </row>
    <row r="792" spans="1:5" x14ac:dyDescent="0.2">
      <c r="A792" s="42">
        <v>29988</v>
      </c>
      <c r="B792" s="43">
        <f>VLOOKUP(A792,Database!F:H,3,)</f>
        <v>556000</v>
      </c>
      <c r="C792" s="43">
        <f t="shared" si="24"/>
        <v>-27000</v>
      </c>
      <c r="D792" s="43">
        <f>VLOOKUP(A792,Database!F:H,2,)</f>
        <v>3617000</v>
      </c>
      <c r="E792" s="43">
        <f t="shared" si="25"/>
        <v>96000</v>
      </c>
    </row>
    <row r="793" spans="1:5" x14ac:dyDescent="0.2">
      <c r="A793" s="42">
        <v>29995</v>
      </c>
      <c r="B793" s="43">
        <f>VLOOKUP(A793,Database!F:H,3,)</f>
        <v>507000</v>
      </c>
      <c r="C793" s="43">
        <f t="shared" si="24"/>
        <v>-49000</v>
      </c>
      <c r="D793" s="43">
        <f>VLOOKUP(A793,Database!F:H,2,)</f>
        <v>3490000</v>
      </c>
      <c r="E793" s="43">
        <f t="shared" si="25"/>
        <v>-127000</v>
      </c>
    </row>
    <row r="794" spans="1:5" x14ac:dyDescent="0.2">
      <c r="A794" s="42">
        <v>30002</v>
      </c>
      <c r="B794" s="43">
        <f>VLOOKUP(A794,Database!F:H,3,)</f>
        <v>544000</v>
      </c>
      <c r="C794" s="43">
        <f t="shared" si="24"/>
        <v>37000</v>
      </c>
      <c r="D794" s="43">
        <f>VLOOKUP(A794,Database!F:H,2,)</f>
        <v>3562000</v>
      </c>
      <c r="E794" s="43">
        <f t="shared" si="25"/>
        <v>72000</v>
      </c>
    </row>
    <row r="795" spans="1:5" x14ac:dyDescent="0.2">
      <c r="A795" s="42">
        <v>30009</v>
      </c>
      <c r="B795" s="43">
        <f>VLOOKUP(A795,Database!F:H,3,)</f>
        <v>528000</v>
      </c>
      <c r="C795" s="43">
        <f t="shared" si="24"/>
        <v>-16000</v>
      </c>
      <c r="D795" s="43">
        <f>VLOOKUP(A795,Database!F:H,2,)</f>
        <v>3553000</v>
      </c>
      <c r="E795" s="43">
        <f t="shared" si="25"/>
        <v>-9000</v>
      </c>
    </row>
    <row r="796" spans="1:5" x14ac:dyDescent="0.2">
      <c r="A796" s="42">
        <v>30016</v>
      </c>
      <c r="B796" s="43">
        <f>VLOOKUP(A796,Database!F:H,3,)</f>
        <v>556000</v>
      </c>
      <c r="C796" s="43">
        <f t="shared" si="24"/>
        <v>28000</v>
      </c>
      <c r="D796" s="43">
        <f>VLOOKUP(A796,Database!F:H,2,)</f>
        <v>3619000</v>
      </c>
      <c r="E796" s="43">
        <f t="shared" si="25"/>
        <v>66000</v>
      </c>
    </row>
    <row r="797" spans="1:5" x14ac:dyDescent="0.2">
      <c r="A797" s="42">
        <v>30023</v>
      </c>
      <c r="B797" s="43">
        <f>VLOOKUP(A797,Database!F:H,3,)</f>
        <v>539000</v>
      </c>
      <c r="C797" s="43">
        <f t="shared" si="24"/>
        <v>-17000</v>
      </c>
      <c r="D797" s="43">
        <f>VLOOKUP(A797,Database!F:H,2,)</f>
        <v>3605000</v>
      </c>
      <c r="E797" s="43">
        <f t="shared" si="25"/>
        <v>-14000</v>
      </c>
    </row>
    <row r="798" spans="1:5" x14ac:dyDescent="0.2">
      <c r="A798" s="42">
        <v>30030</v>
      </c>
      <c r="B798" s="43">
        <f>VLOOKUP(A798,Database!F:H,3,)</f>
        <v>557000</v>
      </c>
      <c r="C798" s="43">
        <f t="shared" si="24"/>
        <v>18000</v>
      </c>
      <c r="D798" s="43">
        <f>VLOOKUP(A798,Database!F:H,2,)</f>
        <v>3684000</v>
      </c>
      <c r="E798" s="43">
        <f t="shared" si="25"/>
        <v>79000</v>
      </c>
    </row>
    <row r="799" spans="1:5" x14ac:dyDescent="0.2">
      <c r="A799" s="42">
        <v>30037</v>
      </c>
      <c r="B799" s="43">
        <f>VLOOKUP(A799,Database!F:H,3,)</f>
        <v>574000</v>
      </c>
      <c r="C799" s="43">
        <f t="shared" si="24"/>
        <v>17000</v>
      </c>
      <c r="D799" s="43">
        <f>VLOOKUP(A799,Database!F:H,2,)</f>
        <v>3714000</v>
      </c>
      <c r="E799" s="43">
        <f t="shared" si="25"/>
        <v>30000</v>
      </c>
    </row>
    <row r="800" spans="1:5" x14ac:dyDescent="0.2">
      <c r="A800" s="42">
        <v>30044</v>
      </c>
      <c r="B800" s="43">
        <f>VLOOKUP(A800,Database!F:H,3,)</f>
        <v>578000</v>
      </c>
      <c r="C800" s="43">
        <f t="shared" si="24"/>
        <v>4000</v>
      </c>
      <c r="D800" s="43">
        <f>VLOOKUP(A800,Database!F:H,2,)</f>
        <v>3720000</v>
      </c>
      <c r="E800" s="43">
        <f t="shared" si="25"/>
        <v>6000</v>
      </c>
    </row>
    <row r="801" spans="1:5" x14ac:dyDescent="0.2">
      <c r="A801" s="42">
        <v>30051</v>
      </c>
      <c r="B801" s="43">
        <f>VLOOKUP(A801,Database!F:H,3,)</f>
        <v>585000</v>
      </c>
      <c r="C801" s="43">
        <f t="shared" si="24"/>
        <v>7000</v>
      </c>
      <c r="D801" s="43">
        <f>VLOOKUP(A801,Database!F:H,2,)</f>
        <v>3841000</v>
      </c>
      <c r="E801" s="43">
        <f t="shared" si="25"/>
        <v>121000</v>
      </c>
    </row>
    <row r="802" spans="1:5" x14ac:dyDescent="0.2">
      <c r="A802" s="42">
        <v>30058</v>
      </c>
      <c r="B802" s="43">
        <f>VLOOKUP(A802,Database!F:H,3,)</f>
        <v>597000</v>
      </c>
      <c r="C802" s="43">
        <f t="shared" si="24"/>
        <v>12000</v>
      </c>
      <c r="D802" s="43">
        <f>VLOOKUP(A802,Database!F:H,2,)</f>
        <v>3967000</v>
      </c>
      <c r="E802" s="43">
        <f t="shared" si="25"/>
        <v>126000</v>
      </c>
    </row>
    <row r="803" spans="1:5" x14ac:dyDescent="0.2">
      <c r="A803" s="42">
        <v>30065</v>
      </c>
      <c r="B803" s="43">
        <f>VLOOKUP(A803,Database!F:H,3,)</f>
        <v>588000</v>
      </c>
      <c r="C803" s="43">
        <f t="shared" si="24"/>
        <v>-9000</v>
      </c>
      <c r="D803" s="43">
        <f>VLOOKUP(A803,Database!F:H,2,)</f>
        <v>3930000</v>
      </c>
      <c r="E803" s="43">
        <f t="shared" si="25"/>
        <v>-37000</v>
      </c>
    </row>
    <row r="804" spans="1:5" x14ac:dyDescent="0.2">
      <c r="A804" s="42">
        <v>30072</v>
      </c>
      <c r="B804" s="43">
        <f>VLOOKUP(A804,Database!F:H,3,)</f>
        <v>576000</v>
      </c>
      <c r="C804" s="43">
        <f t="shared" si="24"/>
        <v>-12000</v>
      </c>
      <c r="D804" s="43">
        <f>VLOOKUP(A804,Database!F:H,2,)</f>
        <v>3960000</v>
      </c>
      <c r="E804" s="43">
        <f t="shared" si="25"/>
        <v>30000</v>
      </c>
    </row>
    <row r="805" spans="1:5" x14ac:dyDescent="0.2">
      <c r="A805" s="42">
        <v>30079</v>
      </c>
      <c r="B805" s="43">
        <f>VLOOKUP(A805,Database!F:H,3,)</f>
        <v>584000</v>
      </c>
      <c r="C805" s="43">
        <f t="shared" si="24"/>
        <v>8000</v>
      </c>
      <c r="D805" s="43">
        <f>VLOOKUP(A805,Database!F:H,2,)</f>
        <v>3972000</v>
      </c>
      <c r="E805" s="43">
        <f t="shared" si="25"/>
        <v>12000</v>
      </c>
    </row>
    <row r="806" spans="1:5" x14ac:dyDescent="0.2">
      <c r="A806" s="42">
        <v>30086</v>
      </c>
      <c r="B806" s="43">
        <f>VLOOKUP(A806,Database!F:H,3,)</f>
        <v>585000</v>
      </c>
      <c r="C806" s="43">
        <f t="shared" si="24"/>
        <v>1000</v>
      </c>
      <c r="D806" s="43">
        <f>VLOOKUP(A806,Database!F:H,2,)</f>
        <v>3968000</v>
      </c>
      <c r="E806" s="43">
        <f t="shared" si="25"/>
        <v>-4000</v>
      </c>
    </row>
    <row r="807" spans="1:5" x14ac:dyDescent="0.2">
      <c r="A807" s="42">
        <v>30093</v>
      </c>
      <c r="B807" s="43">
        <f>VLOOKUP(A807,Database!F:H,3,)</f>
        <v>586000</v>
      </c>
      <c r="C807" s="43">
        <f t="shared" si="24"/>
        <v>1000</v>
      </c>
      <c r="D807" s="43">
        <f>VLOOKUP(A807,Database!F:H,2,)</f>
        <v>4103000</v>
      </c>
      <c r="E807" s="43">
        <f t="shared" si="25"/>
        <v>135000</v>
      </c>
    </row>
    <row r="808" spans="1:5" x14ac:dyDescent="0.2">
      <c r="A808" s="42">
        <v>30100</v>
      </c>
      <c r="B808" s="43">
        <f>VLOOKUP(A808,Database!F:H,3,)</f>
        <v>588000</v>
      </c>
      <c r="C808" s="43">
        <f t="shared" si="24"/>
        <v>2000</v>
      </c>
      <c r="D808" s="43">
        <f>VLOOKUP(A808,Database!F:H,2,)</f>
        <v>3956000</v>
      </c>
      <c r="E808" s="43">
        <f t="shared" si="25"/>
        <v>-147000</v>
      </c>
    </row>
    <row r="809" spans="1:5" x14ac:dyDescent="0.2">
      <c r="A809" s="42">
        <v>30107</v>
      </c>
      <c r="B809" s="43">
        <f>VLOOKUP(A809,Database!F:H,3,)</f>
        <v>611000</v>
      </c>
      <c r="C809" s="43">
        <f t="shared" si="24"/>
        <v>23000</v>
      </c>
      <c r="D809" s="43">
        <f>VLOOKUP(A809,Database!F:H,2,)</f>
        <v>4094000</v>
      </c>
      <c r="E809" s="43">
        <f t="shared" si="25"/>
        <v>138000</v>
      </c>
    </row>
    <row r="810" spans="1:5" x14ac:dyDescent="0.2">
      <c r="A810" s="42">
        <v>30114</v>
      </c>
      <c r="B810" s="43">
        <f>VLOOKUP(A810,Database!F:H,3,)</f>
        <v>614000</v>
      </c>
      <c r="C810" s="43">
        <f t="shared" si="24"/>
        <v>3000</v>
      </c>
      <c r="D810" s="43">
        <f>VLOOKUP(A810,Database!F:H,2,)</f>
        <v>4121000</v>
      </c>
      <c r="E810" s="43">
        <f t="shared" si="25"/>
        <v>27000</v>
      </c>
    </row>
    <row r="811" spans="1:5" x14ac:dyDescent="0.2">
      <c r="A811" s="42">
        <v>30121</v>
      </c>
      <c r="B811" s="43">
        <f>VLOOKUP(A811,Database!F:H,3,)</f>
        <v>591000</v>
      </c>
      <c r="C811" s="43">
        <f t="shared" si="24"/>
        <v>-23000</v>
      </c>
      <c r="D811" s="43">
        <f>VLOOKUP(A811,Database!F:H,2,)</f>
        <v>4105000</v>
      </c>
      <c r="E811" s="43">
        <f t="shared" si="25"/>
        <v>-16000</v>
      </c>
    </row>
    <row r="812" spans="1:5" x14ac:dyDescent="0.2">
      <c r="A812" s="42">
        <v>30128</v>
      </c>
      <c r="B812" s="43">
        <f>VLOOKUP(A812,Database!F:H,3,)</f>
        <v>582000</v>
      </c>
      <c r="C812" s="43">
        <f t="shared" si="24"/>
        <v>-9000</v>
      </c>
      <c r="D812" s="43">
        <f>VLOOKUP(A812,Database!F:H,2,)</f>
        <v>4057000</v>
      </c>
      <c r="E812" s="43">
        <f t="shared" si="25"/>
        <v>-48000</v>
      </c>
    </row>
    <row r="813" spans="1:5" x14ac:dyDescent="0.2">
      <c r="A813" s="42">
        <v>30135</v>
      </c>
      <c r="B813" s="43">
        <f>VLOOKUP(A813,Database!F:H,3,)</f>
        <v>600000</v>
      </c>
      <c r="C813" s="43">
        <f t="shared" si="24"/>
        <v>18000</v>
      </c>
      <c r="D813" s="43">
        <f>VLOOKUP(A813,Database!F:H,2,)</f>
        <v>4139000</v>
      </c>
      <c r="E813" s="43">
        <f t="shared" si="25"/>
        <v>82000</v>
      </c>
    </row>
    <row r="814" spans="1:5" x14ac:dyDescent="0.2">
      <c r="A814" s="42">
        <v>30142</v>
      </c>
      <c r="B814" s="43">
        <f>VLOOKUP(A814,Database!F:H,3,)</f>
        <v>572000</v>
      </c>
      <c r="C814" s="43">
        <f t="shared" si="24"/>
        <v>-28000</v>
      </c>
      <c r="D814" s="43">
        <f>VLOOKUP(A814,Database!F:H,2,)</f>
        <v>4025000</v>
      </c>
      <c r="E814" s="43">
        <f t="shared" si="25"/>
        <v>-114000</v>
      </c>
    </row>
    <row r="815" spans="1:5" x14ac:dyDescent="0.2">
      <c r="A815" s="42">
        <v>30149</v>
      </c>
      <c r="B815" s="43">
        <f>VLOOKUP(A815,Database!F:H,3,)</f>
        <v>567000</v>
      </c>
      <c r="C815" s="43">
        <f t="shared" si="24"/>
        <v>-5000</v>
      </c>
      <c r="D815" s="43">
        <f>VLOOKUP(A815,Database!F:H,2,)</f>
        <v>4148000</v>
      </c>
      <c r="E815" s="43">
        <f t="shared" si="25"/>
        <v>123000</v>
      </c>
    </row>
    <row r="816" spans="1:5" x14ac:dyDescent="0.2">
      <c r="A816" s="42">
        <v>30156</v>
      </c>
      <c r="B816" s="43">
        <f>VLOOKUP(A816,Database!F:H,3,)</f>
        <v>536000</v>
      </c>
      <c r="C816" s="43">
        <f t="shared" si="24"/>
        <v>-31000</v>
      </c>
      <c r="D816" s="43">
        <f>VLOOKUP(A816,Database!F:H,2,)</f>
        <v>4155000</v>
      </c>
      <c r="E816" s="43">
        <f t="shared" si="25"/>
        <v>7000</v>
      </c>
    </row>
    <row r="817" spans="1:5" x14ac:dyDescent="0.2">
      <c r="A817" s="42">
        <v>30163</v>
      </c>
      <c r="B817" s="43">
        <f>VLOOKUP(A817,Database!F:H,3,)</f>
        <v>605000</v>
      </c>
      <c r="C817" s="43">
        <f t="shared" si="24"/>
        <v>69000</v>
      </c>
      <c r="D817" s="43">
        <f>VLOOKUP(A817,Database!F:H,2,)</f>
        <v>4040000</v>
      </c>
      <c r="E817" s="43">
        <f t="shared" si="25"/>
        <v>-115000</v>
      </c>
    </row>
    <row r="818" spans="1:5" x14ac:dyDescent="0.2">
      <c r="A818" s="42">
        <v>30170</v>
      </c>
      <c r="B818" s="43">
        <f>VLOOKUP(A818,Database!F:H,3,)</f>
        <v>606000</v>
      </c>
      <c r="C818" s="43">
        <f t="shared" si="24"/>
        <v>1000</v>
      </c>
      <c r="D818" s="43">
        <f>VLOOKUP(A818,Database!F:H,2,)</f>
        <v>4191000</v>
      </c>
      <c r="E818" s="43">
        <f t="shared" si="25"/>
        <v>151000</v>
      </c>
    </row>
    <row r="819" spans="1:5" x14ac:dyDescent="0.2">
      <c r="A819" s="42">
        <v>30177</v>
      </c>
      <c r="B819" s="43">
        <f>VLOOKUP(A819,Database!F:H,3,)</f>
        <v>637000</v>
      </c>
      <c r="C819" s="43">
        <f t="shared" si="24"/>
        <v>31000</v>
      </c>
      <c r="D819" s="43">
        <f>VLOOKUP(A819,Database!F:H,2,)</f>
        <v>4234000</v>
      </c>
      <c r="E819" s="43">
        <f t="shared" si="25"/>
        <v>43000</v>
      </c>
    </row>
    <row r="820" spans="1:5" x14ac:dyDescent="0.2">
      <c r="A820" s="42">
        <v>30184</v>
      </c>
      <c r="B820" s="43">
        <f>VLOOKUP(A820,Database!F:H,3,)</f>
        <v>628000</v>
      </c>
      <c r="C820" s="43">
        <f t="shared" si="24"/>
        <v>-9000</v>
      </c>
      <c r="D820" s="43">
        <f>VLOOKUP(A820,Database!F:H,2,)</f>
        <v>4300000</v>
      </c>
      <c r="E820" s="43">
        <f t="shared" si="25"/>
        <v>66000</v>
      </c>
    </row>
    <row r="821" spans="1:5" x14ac:dyDescent="0.2">
      <c r="A821" s="42">
        <v>30191</v>
      </c>
      <c r="B821" s="43">
        <f>VLOOKUP(A821,Database!F:H,3,)</f>
        <v>647000</v>
      </c>
      <c r="C821" s="43">
        <f t="shared" si="24"/>
        <v>19000</v>
      </c>
      <c r="D821" s="43">
        <f>VLOOKUP(A821,Database!F:H,2,)</f>
        <v>4316000</v>
      </c>
      <c r="E821" s="43">
        <f t="shared" si="25"/>
        <v>16000</v>
      </c>
    </row>
    <row r="822" spans="1:5" x14ac:dyDescent="0.2">
      <c r="A822" s="42">
        <v>30198</v>
      </c>
      <c r="B822" s="43">
        <f>VLOOKUP(A822,Database!F:H,3,)</f>
        <v>651000</v>
      </c>
      <c r="C822" s="43">
        <f t="shared" si="24"/>
        <v>4000</v>
      </c>
      <c r="D822" s="43">
        <f>VLOOKUP(A822,Database!F:H,2,)</f>
        <v>4356000</v>
      </c>
      <c r="E822" s="43">
        <f t="shared" si="25"/>
        <v>40000</v>
      </c>
    </row>
    <row r="823" spans="1:5" x14ac:dyDescent="0.2">
      <c r="A823" s="42">
        <v>30205</v>
      </c>
      <c r="B823" s="43">
        <f>VLOOKUP(A823,Database!F:H,3,)</f>
        <v>641000</v>
      </c>
      <c r="C823" s="43">
        <f t="shared" si="24"/>
        <v>-10000</v>
      </c>
      <c r="D823" s="43">
        <f>VLOOKUP(A823,Database!F:H,2,)</f>
        <v>4445000</v>
      </c>
      <c r="E823" s="43">
        <f t="shared" si="25"/>
        <v>89000</v>
      </c>
    </row>
    <row r="824" spans="1:5" x14ac:dyDescent="0.2">
      <c r="A824" s="42">
        <v>30212</v>
      </c>
      <c r="B824" s="43">
        <f>VLOOKUP(A824,Database!F:H,3,)</f>
        <v>680000</v>
      </c>
      <c r="C824" s="43">
        <f t="shared" si="24"/>
        <v>39000</v>
      </c>
      <c r="D824" s="43">
        <f>VLOOKUP(A824,Database!F:H,2,)</f>
        <v>4468000</v>
      </c>
      <c r="E824" s="43">
        <f t="shared" si="25"/>
        <v>23000</v>
      </c>
    </row>
    <row r="825" spans="1:5" x14ac:dyDescent="0.2">
      <c r="A825" s="42">
        <v>30219</v>
      </c>
      <c r="B825" s="43">
        <f>VLOOKUP(A825,Database!F:H,3,)</f>
        <v>671000</v>
      </c>
      <c r="C825" s="43">
        <f t="shared" si="24"/>
        <v>-9000</v>
      </c>
      <c r="D825" s="43">
        <f>VLOOKUP(A825,Database!F:H,2,)</f>
        <v>4542000</v>
      </c>
      <c r="E825" s="43">
        <f t="shared" si="25"/>
        <v>74000</v>
      </c>
    </row>
    <row r="826" spans="1:5" x14ac:dyDescent="0.2">
      <c r="A826" s="42">
        <v>30226</v>
      </c>
      <c r="B826" s="43">
        <f>VLOOKUP(A826,Database!F:H,3,)</f>
        <v>695000</v>
      </c>
      <c r="C826" s="43">
        <f t="shared" si="24"/>
        <v>24000</v>
      </c>
      <c r="D826" s="43">
        <f>VLOOKUP(A826,Database!F:H,2,)</f>
        <v>4629000</v>
      </c>
      <c r="E826" s="43">
        <f t="shared" si="25"/>
        <v>87000</v>
      </c>
    </row>
    <row r="827" spans="1:5" x14ac:dyDescent="0.2">
      <c r="A827" s="42">
        <v>30233</v>
      </c>
      <c r="B827" s="43">
        <f>VLOOKUP(A827,Database!F:H,3,)</f>
        <v>651000</v>
      </c>
      <c r="C827" s="43">
        <f t="shared" si="24"/>
        <v>-44000</v>
      </c>
      <c r="D827" s="43">
        <f>VLOOKUP(A827,Database!F:H,2,)</f>
        <v>4689000</v>
      </c>
      <c r="E827" s="43">
        <f t="shared" si="25"/>
        <v>60000</v>
      </c>
    </row>
    <row r="828" spans="1:5" x14ac:dyDescent="0.2">
      <c r="A828" s="42">
        <v>30240</v>
      </c>
      <c r="B828" s="43">
        <f>VLOOKUP(A828,Database!F:H,3,)</f>
        <v>656000</v>
      </c>
      <c r="C828" s="43">
        <f t="shared" si="24"/>
        <v>5000</v>
      </c>
      <c r="D828" s="43">
        <f>VLOOKUP(A828,Database!F:H,2,)</f>
        <v>4599000</v>
      </c>
      <c r="E828" s="43">
        <f t="shared" si="25"/>
        <v>-90000</v>
      </c>
    </row>
    <row r="829" spans="1:5" x14ac:dyDescent="0.2">
      <c r="A829" s="42">
        <v>30247</v>
      </c>
      <c r="B829" s="43">
        <f>VLOOKUP(A829,Database!F:H,3,)</f>
        <v>623000</v>
      </c>
      <c r="C829" s="43">
        <f t="shared" si="24"/>
        <v>-33000</v>
      </c>
      <c r="D829" s="43">
        <f>VLOOKUP(A829,Database!F:H,2,)</f>
        <v>4686000</v>
      </c>
      <c r="E829" s="43">
        <f t="shared" si="25"/>
        <v>87000</v>
      </c>
    </row>
    <row r="830" spans="1:5" x14ac:dyDescent="0.2">
      <c r="A830" s="42">
        <v>30254</v>
      </c>
      <c r="B830" s="43">
        <f>VLOOKUP(A830,Database!F:H,3,)</f>
        <v>637000</v>
      </c>
      <c r="C830" s="43">
        <f t="shared" si="24"/>
        <v>14000</v>
      </c>
      <c r="D830" s="43">
        <f>VLOOKUP(A830,Database!F:H,2,)</f>
        <v>4595000</v>
      </c>
      <c r="E830" s="43">
        <f t="shared" si="25"/>
        <v>-91000</v>
      </c>
    </row>
    <row r="831" spans="1:5" x14ac:dyDescent="0.2">
      <c r="A831" s="42">
        <v>30261</v>
      </c>
      <c r="B831" s="43">
        <f>VLOOKUP(A831,Database!F:H,3,)</f>
        <v>589000</v>
      </c>
      <c r="C831" s="43">
        <f t="shared" si="24"/>
        <v>-48000</v>
      </c>
      <c r="D831" s="43">
        <f>VLOOKUP(A831,Database!F:H,2,)</f>
        <v>4713000</v>
      </c>
      <c r="E831" s="43">
        <f t="shared" si="25"/>
        <v>118000</v>
      </c>
    </row>
    <row r="832" spans="1:5" x14ac:dyDescent="0.2">
      <c r="A832" s="42">
        <v>30268</v>
      </c>
      <c r="B832" s="43">
        <f>VLOOKUP(A832,Database!F:H,3,)</f>
        <v>599000</v>
      </c>
      <c r="C832" s="43">
        <f t="shared" si="24"/>
        <v>10000</v>
      </c>
      <c r="D832" s="43">
        <f>VLOOKUP(A832,Database!F:H,2,)</f>
        <v>4554000</v>
      </c>
      <c r="E832" s="43">
        <f t="shared" si="25"/>
        <v>-159000</v>
      </c>
    </row>
    <row r="833" spans="1:5" x14ac:dyDescent="0.2">
      <c r="A833" s="42">
        <v>30275</v>
      </c>
      <c r="B833" s="43">
        <f>VLOOKUP(A833,Database!F:H,3,)</f>
        <v>577000</v>
      </c>
      <c r="C833" s="43">
        <f t="shared" si="24"/>
        <v>-22000</v>
      </c>
      <c r="D833" s="43">
        <f>VLOOKUP(A833,Database!F:H,2,)</f>
        <v>4695000</v>
      </c>
      <c r="E833" s="43">
        <f t="shared" si="25"/>
        <v>141000</v>
      </c>
    </row>
    <row r="834" spans="1:5" x14ac:dyDescent="0.2">
      <c r="A834" s="42">
        <v>30282</v>
      </c>
      <c r="B834" s="43">
        <f>VLOOKUP(A834,Database!F:H,3,)</f>
        <v>612000</v>
      </c>
      <c r="C834" s="43">
        <f t="shared" si="24"/>
        <v>35000</v>
      </c>
      <c r="D834" s="43">
        <f>VLOOKUP(A834,Database!F:H,2,)</f>
        <v>4442000</v>
      </c>
      <c r="E834" s="43">
        <f t="shared" si="25"/>
        <v>-253000</v>
      </c>
    </row>
    <row r="835" spans="1:5" x14ac:dyDescent="0.2">
      <c r="A835" s="42">
        <v>30289</v>
      </c>
      <c r="B835" s="43">
        <f>VLOOKUP(A835,Database!F:H,3,)</f>
        <v>557000</v>
      </c>
      <c r="C835" s="43">
        <f t="shared" si="24"/>
        <v>-55000</v>
      </c>
      <c r="D835" s="43">
        <f>VLOOKUP(A835,Database!F:H,2,)</f>
        <v>4509000</v>
      </c>
      <c r="E835" s="43">
        <f t="shared" si="25"/>
        <v>67000</v>
      </c>
    </row>
    <row r="836" spans="1:5" x14ac:dyDescent="0.2">
      <c r="A836" s="42">
        <v>30296</v>
      </c>
      <c r="B836" s="43">
        <f>VLOOKUP(A836,Database!F:H,3,)</f>
        <v>533000</v>
      </c>
      <c r="C836" s="43">
        <f t="shared" si="24"/>
        <v>-24000</v>
      </c>
      <c r="D836" s="43">
        <f>VLOOKUP(A836,Database!F:H,2,)</f>
        <v>4339000</v>
      </c>
      <c r="E836" s="43">
        <f t="shared" si="25"/>
        <v>-170000</v>
      </c>
    </row>
    <row r="837" spans="1:5" x14ac:dyDescent="0.2">
      <c r="A837" s="42">
        <v>30303</v>
      </c>
      <c r="B837" s="43">
        <f>VLOOKUP(A837,Database!F:H,3,)</f>
        <v>516000</v>
      </c>
      <c r="C837" s="43">
        <f t="shared" si="24"/>
        <v>-17000</v>
      </c>
      <c r="D837" s="43">
        <f>VLOOKUP(A837,Database!F:H,2,)</f>
        <v>4371000</v>
      </c>
      <c r="E837" s="43">
        <f t="shared" si="25"/>
        <v>32000</v>
      </c>
    </row>
    <row r="838" spans="1:5" x14ac:dyDescent="0.2">
      <c r="A838" s="42">
        <v>30310</v>
      </c>
      <c r="B838" s="43">
        <f>VLOOKUP(A838,Database!F:H,3,)</f>
        <v>489000</v>
      </c>
      <c r="C838" s="43">
        <f t="shared" si="24"/>
        <v>-27000</v>
      </c>
      <c r="D838" s="43">
        <f>VLOOKUP(A838,Database!F:H,2,)</f>
        <v>4381000</v>
      </c>
      <c r="E838" s="43">
        <f t="shared" si="25"/>
        <v>10000</v>
      </c>
    </row>
    <row r="839" spans="1:5" x14ac:dyDescent="0.2">
      <c r="A839" s="42">
        <v>30317</v>
      </c>
      <c r="B839" s="43">
        <f>VLOOKUP(A839,Database!F:H,3,)</f>
        <v>534000</v>
      </c>
      <c r="C839" s="43">
        <f t="shared" si="24"/>
        <v>45000</v>
      </c>
      <c r="D839" s="43">
        <f>VLOOKUP(A839,Database!F:H,2,)</f>
        <v>4010000</v>
      </c>
      <c r="E839" s="43">
        <f t="shared" si="25"/>
        <v>-371000</v>
      </c>
    </row>
    <row r="840" spans="1:5" x14ac:dyDescent="0.2">
      <c r="A840" s="42">
        <v>30324</v>
      </c>
      <c r="B840" s="43">
        <f>VLOOKUP(A840,Database!F:H,3,)</f>
        <v>510000</v>
      </c>
      <c r="C840" s="43">
        <f t="shared" ref="C840:C903" si="26">B840-B839</f>
        <v>-24000</v>
      </c>
      <c r="D840" s="43">
        <f>VLOOKUP(A840,Database!F:H,2,)</f>
        <v>3885000</v>
      </c>
      <c r="E840" s="43">
        <f t="shared" ref="E840:E903" si="27">D840-D839</f>
        <v>-125000</v>
      </c>
    </row>
    <row r="841" spans="1:5" x14ac:dyDescent="0.2">
      <c r="A841" s="42">
        <v>30331</v>
      </c>
      <c r="B841" s="43">
        <f>VLOOKUP(A841,Database!F:H,3,)</f>
        <v>479000</v>
      </c>
      <c r="C841" s="43">
        <f t="shared" si="26"/>
        <v>-31000</v>
      </c>
      <c r="D841" s="43">
        <f>VLOOKUP(A841,Database!F:H,2,)</f>
        <v>3950000</v>
      </c>
      <c r="E841" s="43">
        <f t="shared" si="27"/>
        <v>65000</v>
      </c>
    </row>
    <row r="842" spans="1:5" x14ac:dyDescent="0.2">
      <c r="A842" s="42">
        <v>30338</v>
      </c>
      <c r="B842" s="43">
        <f>VLOOKUP(A842,Database!F:H,3,)</f>
        <v>479000</v>
      </c>
      <c r="C842" s="43">
        <f t="shared" si="26"/>
        <v>0</v>
      </c>
      <c r="D842" s="43">
        <f>VLOOKUP(A842,Database!F:H,2,)</f>
        <v>3860000</v>
      </c>
      <c r="E842" s="43">
        <f t="shared" si="27"/>
        <v>-90000</v>
      </c>
    </row>
    <row r="843" spans="1:5" x14ac:dyDescent="0.2">
      <c r="A843" s="42">
        <v>30345</v>
      </c>
      <c r="B843" s="43">
        <f>VLOOKUP(A843,Database!F:H,3,)</f>
        <v>503000</v>
      </c>
      <c r="C843" s="43">
        <f t="shared" si="26"/>
        <v>24000</v>
      </c>
      <c r="D843" s="43">
        <f>VLOOKUP(A843,Database!F:H,2,)</f>
        <v>3890000</v>
      </c>
      <c r="E843" s="43">
        <f t="shared" si="27"/>
        <v>30000</v>
      </c>
    </row>
    <row r="844" spans="1:5" x14ac:dyDescent="0.2">
      <c r="A844" s="42">
        <v>30352</v>
      </c>
      <c r="B844" s="43">
        <f>VLOOKUP(A844,Database!F:H,3,)</f>
        <v>501000</v>
      </c>
      <c r="C844" s="43">
        <f t="shared" si="26"/>
        <v>-2000</v>
      </c>
      <c r="D844" s="43">
        <f>VLOOKUP(A844,Database!F:H,2,)</f>
        <v>3877000</v>
      </c>
      <c r="E844" s="43">
        <f t="shared" si="27"/>
        <v>-13000</v>
      </c>
    </row>
    <row r="845" spans="1:5" x14ac:dyDescent="0.2">
      <c r="A845" s="42">
        <v>30359</v>
      </c>
      <c r="B845" s="43">
        <f>VLOOKUP(A845,Database!F:H,3,)</f>
        <v>486000</v>
      </c>
      <c r="C845" s="43">
        <f t="shared" si="26"/>
        <v>-15000</v>
      </c>
      <c r="D845" s="43">
        <f>VLOOKUP(A845,Database!F:H,2,)</f>
        <v>3865000</v>
      </c>
      <c r="E845" s="43">
        <f t="shared" si="27"/>
        <v>-12000</v>
      </c>
    </row>
    <row r="846" spans="1:5" x14ac:dyDescent="0.2">
      <c r="A846" s="42">
        <v>30366</v>
      </c>
      <c r="B846" s="43">
        <f>VLOOKUP(A846,Database!F:H,3,)</f>
        <v>487000</v>
      </c>
      <c r="C846" s="43">
        <f t="shared" si="26"/>
        <v>1000</v>
      </c>
      <c r="D846" s="43">
        <f>VLOOKUP(A846,Database!F:H,2,)</f>
        <v>3819000</v>
      </c>
      <c r="E846" s="43">
        <f t="shared" si="27"/>
        <v>-46000</v>
      </c>
    </row>
    <row r="847" spans="1:5" x14ac:dyDescent="0.2">
      <c r="A847" s="42">
        <v>30373</v>
      </c>
      <c r="B847" s="43">
        <f>VLOOKUP(A847,Database!F:H,3,)</f>
        <v>481000</v>
      </c>
      <c r="C847" s="43">
        <f t="shared" si="26"/>
        <v>-6000</v>
      </c>
      <c r="D847" s="43">
        <f>VLOOKUP(A847,Database!F:H,2,)</f>
        <v>3876000</v>
      </c>
      <c r="E847" s="43">
        <f t="shared" si="27"/>
        <v>57000</v>
      </c>
    </row>
    <row r="848" spans="1:5" x14ac:dyDescent="0.2">
      <c r="A848" s="42">
        <v>30380</v>
      </c>
      <c r="B848" s="43">
        <f>VLOOKUP(A848,Database!F:H,3,)</f>
        <v>495000</v>
      </c>
      <c r="C848" s="43">
        <f t="shared" si="26"/>
        <v>14000</v>
      </c>
      <c r="D848" s="43">
        <f>VLOOKUP(A848,Database!F:H,2,)</f>
        <v>3797000</v>
      </c>
      <c r="E848" s="43">
        <f t="shared" si="27"/>
        <v>-79000</v>
      </c>
    </row>
    <row r="849" spans="1:5" x14ac:dyDescent="0.2">
      <c r="A849" s="42">
        <v>30387</v>
      </c>
      <c r="B849" s="43">
        <f>VLOOKUP(A849,Database!F:H,3,)</f>
        <v>475000</v>
      </c>
      <c r="C849" s="43">
        <f t="shared" si="26"/>
        <v>-20000</v>
      </c>
      <c r="D849" s="43">
        <f>VLOOKUP(A849,Database!F:H,2,)</f>
        <v>3787000</v>
      </c>
      <c r="E849" s="43">
        <f t="shared" si="27"/>
        <v>-10000</v>
      </c>
    </row>
    <row r="850" spans="1:5" x14ac:dyDescent="0.2">
      <c r="A850" s="42">
        <v>30394</v>
      </c>
      <c r="B850" s="43">
        <f>VLOOKUP(A850,Database!F:H,3,)</f>
        <v>470000</v>
      </c>
      <c r="C850" s="43">
        <f t="shared" si="26"/>
        <v>-5000</v>
      </c>
      <c r="D850" s="43">
        <f>VLOOKUP(A850,Database!F:H,2,)</f>
        <v>3752000</v>
      </c>
      <c r="E850" s="43">
        <f t="shared" si="27"/>
        <v>-35000</v>
      </c>
    </row>
    <row r="851" spans="1:5" x14ac:dyDescent="0.2">
      <c r="A851" s="42">
        <v>30401</v>
      </c>
      <c r="B851" s="43">
        <f>VLOOKUP(A851,Database!F:H,3,)</f>
        <v>481000</v>
      </c>
      <c r="C851" s="43">
        <f t="shared" si="26"/>
        <v>11000</v>
      </c>
      <c r="D851" s="43">
        <f>VLOOKUP(A851,Database!F:H,2,)</f>
        <v>3734000</v>
      </c>
      <c r="E851" s="43">
        <f t="shared" si="27"/>
        <v>-18000</v>
      </c>
    </row>
    <row r="852" spans="1:5" x14ac:dyDescent="0.2">
      <c r="A852" s="42">
        <v>30408</v>
      </c>
      <c r="B852" s="43">
        <f>VLOOKUP(A852,Database!F:H,3,)</f>
        <v>491000</v>
      </c>
      <c r="C852" s="43">
        <f t="shared" si="26"/>
        <v>10000</v>
      </c>
      <c r="D852" s="43">
        <f>VLOOKUP(A852,Database!F:H,2,)</f>
        <v>3759000</v>
      </c>
      <c r="E852" s="43">
        <f t="shared" si="27"/>
        <v>25000</v>
      </c>
    </row>
    <row r="853" spans="1:5" x14ac:dyDescent="0.2">
      <c r="A853" s="42">
        <v>30415</v>
      </c>
      <c r="B853" s="43">
        <f>VLOOKUP(A853,Database!F:H,3,)</f>
        <v>496000</v>
      </c>
      <c r="C853" s="43">
        <f t="shared" si="26"/>
        <v>5000</v>
      </c>
      <c r="D853" s="43">
        <f>VLOOKUP(A853,Database!F:H,2,)</f>
        <v>3814000</v>
      </c>
      <c r="E853" s="43">
        <f t="shared" si="27"/>
        <v>55000</v>
      </c>
    </row>
    <row r="854" spans="1:5" x14ac:dyDescent="0.2">
      <c r="A854" s="42">
        <v>30422</v>
      </c>
      <c r="B854" s="43">
        <f>VLOOKUP(A854,Database!F:H,3,)</f>
        <v>515000</v>
      </c>
      <c r="C854" s="43">
        <f t="shared" si="26"/>
        <v>19000</v>
      </c>
      <c r="D854" s="43">
        <f>VLOOKUP(A854,Database!F:H,2,)</f>
        <v>3744000</v>
      </c>
      <c r="E854" s="43">
        <f t="shared" si="27"/>
        <v>-70000</v>
      </c>
    </row>
    <row r="855" spans="1:5" x14ac:dyDescent="0.2">
      <c r="A855" s="42">
        <v>30429</v>
      </c>
      <c r="B855" s="43">
        <f>VLOOKUP(A855,Database!F:H,3,)</f>
        <v>488000</v>
      </c>
      <c r="C855" s="43">
        <f t="shared" si="26"/>
        <v>-27000</v>
      </c>
      <c r="D855" s="43">
        <f>VLOOKUP(A855,Database!F:H,2,)</f>
        <v>3762000</v>
      </c>
      <c r="E855" s="43">
        <f t="shared" si="27"/>
        <v>18000</v>
      </c>
    </row>
    <row r="856" spans="1:5" x14ac:dyDescent="0.2">
      <c r="A856" s="42">
        <v>30436</v>
      </c>
      <c r="B856" s="43">
        <f>VLOOKUP(A856,Database!F:H,3,)</f>
        <v>490000</v>
      </c>
      <c r="C856" s="43">
        <f t="shared" si="26"/>
        <v>2000</v>
      </c>
      <c r="D856" s="43">
        <f>VLOOKUP(A856,Database!F:H,2,)</f>
        <v>3722000</v>
      </c>
      <c r="E856" s="43">
        <f t="shared" si="27"/>
        <v>-40000</v>
      </c>
    </row>
    <row r="857" spans="1:5" x14ac:dyDescent="0.2">
      <c r="A857" s="42">
        <v>30443</v>
      </c>
      <c r="B857" s="43">
        <f>VLOOKUP(A857,Database!F:H,3,)</f>
        <v>494000</v>
      </c>
      <c r="C857" s="43">
        <f t="shared" si="26"/>
        <v>4000</v>
      </c>
      <c r="D857" s="43">
        <f>VLOOKUP(A857,Database!F:H,2,)</f>
        <v>3714000</v>
      </c>
      <c r="E857" s="43">
        <f t="shared" si="27"/>
        <v>-8000</v>
      </c>
    </row>
    <row r="858" spans="1:5" x14ac:dyDescent="0.2">
      <c r="A858" s="42">
        <v>30450</v>
      </c>
      <c r="B858" s="43">
        <f>VLOOKUP(A858,Database!F:H,3,)</f>
        <v>464000</v>
      </c>
      <c r="C858" s="43">
        <f t="shared" si="26"/>
        <v>-30000</v>
      </c>
      <c r="D858" s="43">
        <f>VLOOKUP(A858,Database!F:H,2,)</f>
        <v>3625000</v>
      </c>
      <c r="E858" s="43">
        <f t="shared" si="27"/>
        <v>-89000</v>
      </c>
    </row>
    <row r="859" spans="1:5" x14ac:dyDescent="0.2">
      <c r="A859" s="42">
        <v>30457</v>
      </c>
      <c r="B859" s="43">
        <f>VLOOKUP(A859,Database!F:H,3,)</f>
        <v>460000</v>
      </c>
      <c r="C859" s="43">
        <f t="shared" si="26"/>
        <v>-4000</v>
      </c>
      <c r="D859" s="43">
        <f>VLOOKUP(A859,Database!F:H,2,)</f>
        <v>3701000</v>
      </c>
      <c r="E859" s="43">
        <f t="shared" si="27"/>
        <v>76000</v>
      </c>
    </row>
    <row r="860" spans="1:5" x14ac:dyDescent="0.2">
      <c r="A860" s="42">
        <v>30464</v>
      </c>
      <c r="B860" s="43">
        <f>VLOOKUP(A860,Database!F:H,3,)</f>
        <v>454000</v>
      </c>
      <c r="C860" s="43">
        <f t="shared" si="26"/>
        <v>-6000</v>
      </c>
      <c r="D860" s="43">
        <f>VLOOKUP(A860,Database!F:H,2,)</f>
        <v>3457000</v>
      </c>
      <c r="E860" s="43">
        <f t="shared" si="27"/>
        <v>-244000</v>
      </c>
    </row>
    <row r="861" spans="1:5" x14ac:dyDescent="0.2">
      <c r="A861" s="42">
        <v>30471</v>
      </c>
      <c r="B861" s="43">
        <f>VLOOKUP(A861,Database!F:H,3,)</f>
        <v>459000</v>
      </c>
      <c r="C861" s="43">
        <f t="shared" si="26"/>
        <v>5000</v>
      </c>
      <c r="D861" s="43">
        <f>VLOOKUP(A861,Database!F:H,2,)</f>
        <v>3548000</v>
      </c>
      <c r="E861" s="43">
        <f t="shared" si="27"/>
        <v>91000</v>
      </c>
    </row>
    <row r="862" spans="1:5" x14ac:dyDescent="0.2">
      <c r="A862" s="42">
        <v>30478</v>
      </c>
      <c r="B862" s="43">
        <f>VLOOKUP(A862,Database!F:H,3,)</f>
        <v>442000</v>
      </c>
      <c r="C862" s="43">
        <f t="shared" si="26"/>
        <v>-17000</v>
      </c>
      <c r="D862" s="43">
        <f>VLOOKUP(A862,Database!F:H,2,)</f>
        <v>3453000</v>
      </c>
      <c r="E862" s="43">
        <f t="shared" si="27"/>
        <v>-95000</v>
      </c>
    </row>
    <row r="863" spans="1:5" x14ac:dyDescent="0.2">
      <c r="A863" s="42">
        <v>30485</v>
      </c>
      <c r="B863" s="43">
        <f>VLOOKUP(A863,Database!F:H,3,)</f>
        <v>434000</v>
      </c>
      <c r="C863" s="43">
        <f t="shared" si="26"/>
        <v>-8000</v>
      </c>
      <c r="D863" s="43">
        <f>VLOOKUP(A863,Database!F:H,2,)</f>
        <v>3452000</v>
      </c>
      <c r="E863" s="43">
        <f t="shared" si="27"/>
        <v>-1000</v>
      </c>
    </row>
    <row r="864" spans="1:5" x14ac:dyDescent="0.2">
      <c r="A864" s="42">
        <v>30492</v>
      </c>
      <c r="B864" s="43">
        <f>VLOOKUP(A864,Database!F:H,3,)</f>
        <v>442000</v>
      </c>
      <c r="C864" s="43">
        <f t="shared" si="26"/>
        <v>8000</v>
      </c>
      <c r="D864" s="43">
        <f>VLOOKUP(A864,Database!F:H,2,)</f>
        <v>3369000</v>
      </c>
      <c r="E864" s="43">
        <f t="shared" si="27"/>
        <v>-83000</v>
      </c>
    </row>
    <row r="865" spans="1:5" x14ac:dyDescent="0.2">
      <c r="A865" s="42">
        <v>30499</v>
      </c>
      <c r="B865" s="43">
        <f>VLOOKUP(A865,Database!F:H,3,)</f>
        <v>422000</v>
      </c>
      <c r="C865" s="43">
        <f t="shared" si="26"/>
        <v>-20000</v>
      </c>
      <c r="D865" s="43">
        <f>VLOOKUP(A865,Database!F:H,2,)</f>
        <v>3239000</v>
      </c>
      <c r="E865" s="43">
        <f t="shared" si="27"/>
        <v>-130000</v>
      </c>
    </row>
    <row r="866" spans="1:5" x14ac:dyDescent="0.2">
      <c r="A866" s="42">
        <v>30506</v>
      </c>
      <c r="B866" s="43">
        <f>VLOOKUP(A866,Database!F:H,3,)</f>
        <v>412000</v>
      </c>
      <c r="C866" s="43">
        <f t="shared" si="26"/>
        <v>-10000</v>
      </c>
      <c r="D866" s="43">
        <f>VLOOKUP(A866,Database!F:H,2,)</f>
        <v>3226000</v>
      </c>
      <c r="E866" s="43">
        <f t="shared" si="27"/>
        <v>-13000</v>
      </c>
    </row>
    <row r="867" spans="1:5" x14ac:dyDescent="0.2">
      <c r="A867" s="42">
        <v>30513</v>
      </c>
      <c r="B867" s="43">
        <f>VLOOKUP(A867,Database!F:H,3,)</f>
        <v>396000</v>
      </c>
      <c r="C867" s="43">
        <f t="shared" si="26"/>
        <v>-16000</v>
      </c>
      <c r="D867" s="43">
        <f>VLOOKUP(A867,Database!F:H,2,)</f>
        <v>3216000</v>
      </c>
      <c r="E867" s="43">
        <f t="shared" si="27"/>
        <v>-10000</v>
      </c>
    </row>
    <row r="868" spans="1:5" x14ac:dyDescent="0.2">
      <c r="A868" s="42">
        <v>30520</v>
      </c>
      <c r="B868" s="43">
        <f>VLOOKUP(A868,Database!F:H,3,)</f>
        <v>395000</v>
      </c>
      <c r="C868" s="43">
        <f t="shared" si="26"/>
        <v>-1000</v>
      </c>
      <c r="D868" s="43">
        <f>VLOOKUP(A868,Database!F:H,2,)</f>
        <v>3155000</v>
      </c>
      <c r="E868" s="43">
        <f t="shared" si="27"/>
        <v>-61000</v>
      </c>
    </row>
    <row r="869" spans="1:5" x14ac:dyDescent="0.2">
      <c r="A869" s="42">
        <v>30527</v>
      </c>
      <c r="B869" s="43">
        <f>VLOOKUP(A869,Database!F:H,3,)</f>
        <v>415000</v>
      </c>
      <c r="C869" s="43">
        <f t="shared" si="26"/>
        <v>20000</v>
      </c>
      <c r="D869" s="43">
        <f>VLOOKUP(A869,Database!F:H,2,)</f>
        <v>3112000</v>
      </c>
      <c r="E869" s="43">
        <f t="shared" si="27"/>
        <v>-43000</v>
      </c>
    </row>
    <row r="870" spans="1:5" x14ac:dyDescent="0.2">
      <c r="A870" s="42">
        <v>30534</v>
      </c>
      <c r="B870" s="43">
        <f>VLOOKUP(A870,Database!F:H,3,)</f>
        <v>415000</v>
      </c>
      <c r="C870" s="43">
        <f t="shared" si="26"/>
        <v>0</v>
      </c>
      <c r="D870" s="43">
        <f>VLOOKUP(A870,Database!F:H,2,)</f>
        <v>3106000</v>
      </c>
      <c r="E870" s="43">
        <f t="shared" si="27"/>
        <v>-6000</v>
      </c>
    </row>
    <row r="871" spans="1:5" x14ac:dyDescent="0.2">
      <c r="A871" s="42">
        <v>30541</v>
      </c>
      <c r="B871" s="43">
        <f>VLOOKUP(A871,Database!F:H,3,)</f>
        <v>457000</v>
      </c>
      <c r="C871" s="43">
        <f t="shared" si="26"/>
        <v>42000</v>
      </c>
      <c r="D871" s="43">
        <f>VLOOKUP(A871,Database!F:H,2,)</f>
        <v>3107000</v>
      </c>
      <c r="E871" s="43">
        <f t="shared" si="27"/>
        <v>1000</v>
      </c>
    </row>
    <row r="872" spans="1:5" x14ac:dyDescent="0.2">
      <c r="A872" s="42">
        <v>30548</v>
      </c>
      <c r="B872" s="43">
        <f>VLOOKUP(A872,Database!F:H,3,)</f>
        <v>445000</v>
      </c>
      <c r="C872" s="43">
        <f t="shared" si="26"/>
        <v>-12000</v>
      </c>
      <c r="D872" s="43">
        <f>VLOOKUP(A872,Database!F:H,2,)</f>
        <v>3131000</v>
      </c>
      <c r="E872" s="43">
        <f t="shared" si="27"/>
        <v>24000</v>
      </c>
    </row>
    <row r="873" spans="1:5" x14ac:dyDescent="0.2">
      <c r="A873" s="42">
        <v>30555</v>
      </c>
      <c r="B873" s="43">
        <f>VLOOKUP(A873,Database!F:H,3,)</f>
        <v>426000</v>
      </c>
      <c r="C873" s="43">
        <f t="shared" si="26"/>
        <v>-19000</v>
      </c>
      <c r="D873" s="43">
        <f>VLOOKUP(A873,Database!F:H,2,)</f>
        <v>3079000</v>
      </c>
      <c r="E873" s="43">
        <f t="shared" si="27"/>
        <v>-52000</v>
      </c>
    </row>
    <row r="874" spans="1:5" x14ac:dyDescent="0.2">
      <c r="A874" s="42">
        <v>30562</v>
      </c>
      <c r="B874" s="43">
        <f>VLOOKUP(A874,Database!F:H,3,)</f>
        <v>411000</v>
      </c>
      <c r="C874" s="43">
        <f t="shared" si="26"/>
        <v>-15000</v>
      </c>
      <c r="D874" s="43">
        <f>VLOOKUP(A874,Database!F:H,2,)</f>
        <v>3055000</v>
      </c>
      <c r="E874" s="43">
        <f t="shared" si="27"/>
        <v>-24000</v>
      </c>
    </row>
    <row r="875" spans="1:5" x14ac:dyDescent="0.2">
      <c r="A875" s="42">
        <v>30569</v>
      </c>
      <c r="B875" s="43">
        <f>VLOOKUP(A875,Database!F:H,3,)</f>
        <v>403000</v>
      </c>
      <c r="C875" s="43">
        <f t="shared" si="26"/>
        <v>-8000</v>
      </c>
      <c r="D875" s="43">
        <f>VLOOKUP(A875,Database!F:H,2,)</f>
        <v>3007000</v>
      </c>
      <c r="E875" s="43">
        <f t="shared" si="27"/>
        <v>-48000</v>
      </c>
    </row>
    <row r="876" spans="1:5" x14ac:dyDescent="0.2">
      <c r="A876" s="42">
        <v>30576</v>
      </c>
      <c r="B876" s="43">
        <f>VLOOKUP(A876,Database!F:H,3,)</f>
        <v>405000</v>
      </c>
      <c r="C876" s="43">
        <f t="shared" si="26"/>
        <v>2000</v>
      </c>
      <c r="D876" s="43">
        <f>VLOOKUP(A876,Database!F:H,2,)</f>
        <v>2993000</v>
      </c>
      <c r="E876" s="43">
        <f t="shared" si="27"/>
        <v>-14000</v>
      </c>
    </row>
    <row r="877" spans="1:5" x14ac:dyDescent="0.2">
      <c r="A877" s="42">
        <v>30583</v>
      </c>
      <c r="B877" s="43">
        <f>VLOOKUP(A877,Database!F:H,3,)</f>
        <v>416000</v>
      </c>
      <c r="C877" s="43">
        <f t="shared" si="26"/>
        <v>11000</v>
      </c>
      <c r="D877" s="43">
        <f>VLOOKUP(A877,Database!F:H,2,)</f>
        <v>2973000</v>
      </c>
      <c r="E877" s="43">
        <f t="shared" si="27"/>
        <v>-20000</v>
      </c>
    </row>
    <row r="878" spans="1:5" x14ac:dyDescent="0.2">
      <c r="A878" s="42">
        <v>30590</v>
      </c>
      <c r="B878" s="43">
        <f>VLOOKUP(A878,Database!F:H,3,)</f>
        <v>413000</v>
      </c>
      <c r="C878" s="43">
        <f t="shared" si="26"/>
        <v>-3000</v>
      </c>
      <c r="D878" s="43">
        <f>VLOOKUP(A878,Database!F:H,2,)</f>
        <v>2926000</v>
      </c>
      <c r="E878" s="43">
        <f t="shared" si="27"/>
        <v>-47000</v>
      </c>
    </row>
    <row r="879" spans="1:5" x14ac:dyDescent="0.2">
      <c r="A879" s="42">
        <v>30597</v>
      </c>
      <c r="B879" s="43">
        <f>VLOOKUP(A879,Database!F:H,3,)</f>
        <v>406000</v>
      </c>
      <c r="C879" s="43">
        <f t="shared" si="26"/>
        <v>-7000</v>
      </c>
      <c r="D879" s="43">
        <f>VLOOKUP(A879,Database!F:H,2,)</f>
        <v>2929000</v>
      </c>
      <c r="E879" s="43">
        <f t="shared" si="27"/>
        <v>3000</v>
      </c>
    </row>
    <row r="880" spans="1:5" x14ac:dyDescent="0.2">
      <c r="A880" s="42">
        <v>30604</v>
      </c>
      <c r="B880" s="43">
        <f>VLOOKUP(A880,Database!F:H,3,)</f>
        <v>394000</v>
      </c>
      <c r="C880" s="43">
        <f t="shared" si="26"/>
        <v>-12000</v>
      </c>
      <c r="D880" s="43">
        <f>VLOOKUP(A880,Database!F:H,2,)</f>
        <v>2913000</v>
      </c>
      <c r="E880" s="43">
        <f t="shared" si="27"/>
        <v>-16000</v>
      </c>
    </row>
    <row r="881" spans="1:5" x14ac:dyDescent="0.2">
      <c r="A881" s="42">
        <v>30611</v>
      </c>
      <c r="B881" s="43">
        <f>VLOOKUP(A881,Database!F:H,3,)</f>
        <v>394000</v>
      </c>
      <c r="C881" s="43">
        <f t="shared" si="26"/>
        <v>0</v>
      </c>
      <c r="D881" s="43">
        <f>VLOOKUP(A881,Database!F:H,2,)</f>
        <v>2886000</v>
      </c>
      <c r="E881" s="43">
        <f t="shared" si="27"/>
        <v>-27000</v>
      </c>
    </row>
    <row r="882" spans="1:5" x14ac:dyDescent="0.2">
      <c r="A882" s="42">
        <v>30618</v>
      </c>
      <c r="B882" s="43">
        <f>VLOOKUP(A882,Database!F:H,3,)</f>
        <v>404000</v>
      </c>
      <c r="C882" s="43">
        <f t="shared" si="26"/>
        <v>10000</v>
      </c>
      <c r="D882" s="43">
        <f>VLOOKUP(A882,Database!F:H,2,)</f>
        <v>2860000</v>
      </c>
      <c r="E882" s="43">
        <f t="shared" si="27"/>
        <v>-26000</v>
      </c>
    </row>
    <row r="883" spans="1:5" x14ac:dyDescent="0.2">
      <c r="A883" s="42">
        <v>30625</v>
      </c>
      <c r="B883" s="43">
        <f>VLOOKUP(A883,Database!F:H,3,)</f>
        <v>395000</v>
      </c>
      <c r="C883" s="43">
        <f t="shared" si="26"/>
        <v>-9000</v>
      </c>
      <c r="D883" s="43">
        <f>VLOOKUP(A883,Database!F:H,2,)</f>
        <v>2750000</v>
      </c>
      <c r="E883" s="43">
        <f t="shared" si="27"/>
        <v>-110000</v>
      </c>
    </row>
    <row r="884" spans="1:5" x14ac:dyDescent="0.2">
      <c r="A884" s="42">
        <v>30632</v>
      </c>
      <c r="B884" s="43">
        <f>VLOOKUP(A884,Database!F:H,3,)</f>
        <v>390000</v>
      </c>
      <c r="C884" s="43">
        <f t="shared" si="26"/>
        <v>-5000</v>
      </c>
      <c r="D884" s="43">
        <f>VLOOKUP(A884,Database!F:H,2,)</f>
        <v>2789000</v>
      </c>
      <c r="E884" s="43">
        <f t="shared" si="27"/>
        <v>39000</v>
      </c>
    </row>
    <row r="885" spans="1:5" x14ac:dyDescent="0.2">
      <c r="A885" s="42">
        <v>30639</v>
      </c>
      <c r="B885" s="43">
        <f>VLOOKUP(A885,Database!F:H,3,)</f>
        <v>387000</v>
      </c>
      <c r="C885" s="43">
        <f t="shared" si="26"/>
        <v>-3000</v>
      </c>
      <c r="D885" s="43">
        <f>VLOOKUP(A885,Database!F:H,2,)</f>
        <v>2879000</v>
      </c>
      <c r="E885" s="43">
        <f t="shared" si="27"/>
        <v>90000</v>
      </c>
    </row>
    <row r="886" spans="1:5" x14ac:dyDescent="0.2">
      <c r="A886" s="42">
        <v>30646</v>
      </c>
      <c r="B886" s="43">
        <f>VLOOKUP(A886,Database!F:H,3,)</f>
        <v>398000</v>
      </c>
      <c r="C886" s="43">
        <f t="shared" si="26"/>
        <v>11000</v>
      </c>
      <c r="D886" s="43">
        <f>VLOOKUP(A886,Database!F:H,2,)</f>
        <v>2733000</v>
      </c>
      <c r="E886" s="43">
        <f t="shared" si="27"/>
        <v>-146000</v>
      </c>
    </row>
    <row r="887" spans="1:5" x14ac:dyDescent="0.2">
      <c r="A887" s="42">
        <v>30653</v>
      </c>
      <c r="B887" s="43">
        <f>VLOOKUP(A887,Database!F:H,3,)</f>
        <v>365000</v>
      </c>
      <c r="C887" s="43">
        <f t="shared" si="26"/>
        <v>-33000</v>
      </c>
      <c r="D887" s="43">
        <f>VLOOKUP(A887,Database!F:H,2,)</f>
        <v>2737000</v>
      </c>
      <c r="E887" s="43">
        <f t="shared" si="27"/>
        <v>4000</v>
      </c>
    </row>
    <row r="888" spans="1:5" x14ac:dyDescent="0.2">
      <c r="A888" s="42">
        <v>30660</v>
      </c>
      <c r="B888" s="43">
        <f>VLOOKUP(A888,Database!F:H,3,)</f>
        <v>368000</v>
      </c>
      <c r="C888" s="43">
        <f t="shared" si="26"/>
        <v>3000</v>
      </c>
      <c r="D888" s="43">
        <f>VLOOKUP(A888,Database!F:H,2,)</f>
        <v>2666000</v>
      </c>
      <c r="E888" s="43">
        <f t="shared" si="27"/>
        <v>-71000</v>
      </c>
    </row>
    <row r="889" spans="1:5" x14ac:dyDescent="0.2">
      <c r="A889" s="42">
        <v>30667</v>
      </c>
      <c r="B889" s="43">
        <f>VLOOKUP(A889,Database!F:H,3,)</f>
        <v>362000</v>
      </c>
      <c r="C889" s="43">
        <f t="shared" si="26"/>
        <v>-6000</v>
      </c>
      <c r="D889" s="43">
        <f>VLOOKUP(A889,Database!F:H,2,)</f>
        <v>2796000</v>
      </c>
      <c r="E889" s="43">
        <f t="shared" si="27"/>
        <v>130000</v>
      </c>
    </row>
    <row r="890" spans="1:5" x14ac:dyDescent="0.2">
      <c r="A890" s="42">
        <v>30674</v>
      </c>
      <c r="B890" s="43">
        <f>VLOOKUP(A890,Database!F:H,3,)</f>
        <v>377000</v>
      </c>
      <c r="C890" s="43">
        <f t="shared" si="26"/>
        <v>15000</v>
      </c>
      <c r="D890" s="43">
        <f>VLOOKUP(A890,Database!F:H,2,)</f>
        <v>2718000</v>
      </c>
      <c r="E890" s="43">
        <f t="shared" si="27"/>
        <v>-78000</v>
      </c>
    </row>
    <row r="891" spans="1:5" x14ac:dyDescent="0.2">
      <c r="A891" s="42">
        <v>30681</v>
      </c>
      <c r="B891" s="43">
        <f>VLOOKUP(A891,Database!F:H,3,)</f>
        <v>372000</v>
      </c>
      <c r="C891" s="43">
        <f t="shared" si="26"/>
        <v>-5000</v>
      </c>
      <c r="D891" s="43">
        <f>VLOOKUP(A891,Database!F:H,2,)</f>
        <v>2644000</v>
      </c>
      <c r="E891" s="43">
        <f t="shared" si="27"/>
        <v>-74000</v>
      </c>
    </row>
    <row r="892" spans="1:5" x14ac:dyDescent="0.2">
      <c r="A892" s="42">
        <v>30688</v>
      </c>
      <c r="B892" s="43">
        <f>VLOOKUP(A892,Database!F:H,3,)</f>
        <v>356000</v>
      </c>
      <c r="C892" s="43">
        <f t="shared" si="26"/>
        <v>-16000</v>
      </c>
      <c r="D892" s="43">
        <f>VLOOKUP(A892,Database!F:H,2,)</f>
        <v>2588000</v>
      </c>
      <c r="E892" s="43">
        <f t="shared" si="27"/>
        <v>-56000</v>
      </c>
    </row>
    <row r="893" spans="1:5" x14ac:dyDescent="0.2">
      <c r="A893" s="42">
        <v>30695</v>
      </c>
      <c r="B893" s="43">
        <f>VLOOKUP(A893,Database!F:H,3,)</f>
        <v>351000</v>
      </c>
      <c r="C893" s="43">
        <f t="shared" si="26"/>
        <v>-5000</v>
      </c>
      <c r="D893" s="43">
        <f>VLOOKUP(A893,Database!F:H,2,)</f>
        <v>2522000</v>
      </c>
      <c r="E893" s="43">
        <f t="shared" si="27"/>
        <v>-66000</v>
      </c>
    </row>
    <row r="894" spans="1:5" x14ac:dyDescent="0.2">
      <c r="A894" s="42">
        <v>30702</v>
      </c>
      <c r="B894" s="43">
        <f>VLOOKUP(A894,Database!F:H,3,)</f>
        <v>333000</v>
      </c>
      <c r="C894" s="43">
        <f t="shared" si="26"/>
        <v>-18000</v>
      </c>
      <c r="D894" s="43">
        <f>VLOOKUP(A894,Database!F:H,2,)</f>
        <v>2531000</v>
      </c>
      <c r="E894" s="43">
        <f t="shared" si="27"/>
        <v>9000</v>
      </c>
    </row>
    <row r="895" spans="1:5" x14ac:dyDescent="0.2">
      <c r="A895" s="42">
        <v>30709</v>
      </c>
      <c r="B895" s="43">
        <f>VLOOKUP(A895,Database!F:H,3,)</f>
        <v>364000</v>
      </c>
      <c r="C895" s="43">
        <f t="shared" si="26"/>
        <v>31000</v>
      </c>
      <c r="D895" s="43">
        <f>VLOOKUP(A895,Database!F:H,2,)</f>
        <v>2556000</v>
      </c>
      <c r="E895" s="43">
        <f t="shared" si="27"/>
        <v>25000</v>
      </c>
    </row>
    <row r="896" spans="1:5" x14ac:dyDescent="0.2">
      <c r="A896" s="42">
        <v>30716</v>
      </c>
      <c r="B896" s="43">
        <f>VLOOKUP(A896,Database!F:H,3,)</f>
        <v>342000</v>
      </c>
      <c r="C896" s="43">
        <f t="shared" si="26"/>
        <v>-22000</v>
      </c>
      <c r="D896" s="43">
        <f>VLOOKUP(A896,Database!F:H,2,)</f>
        <v>2531000</v>
      </c>
      <c r="E896" s="43">
        <f t="shared" si="27"/>
        <v>-25000</v>
      </c>
    </row>
    <row r="897" spans="1:5" x14ac:dyDescent="0.2">
      <c r="A897" s="42">
        <v>30723</v>
      </c>
      <c r="B897" s="43">
        <f>VLOOKUP(A897,Database!F:H,3,)</f>
        <v>338000</v>
      </c>
      <c r="C897" s="43">
        <f t="shared" si="26"/>
        <v>-4000</v>
      </c>
      <c r="D897" s="43">
        <f>VLOOKUP(A897,Database!F:H,2,)</f>
        <v>2453000</v>
      </c>
      <c r="E897" s="43">
        <f t="shared" si="27"/>
        <v>-78000</v>
      </c>
    </row>
    <row r="898" spans="1:5" x14ac:dyDescent="0.2">
      <c r="A898" s="42">
        <v>30730</v>
      </c>
      <c r="B898" s="43">
        <f>VLOOKUP(A898,Database!F:H,3,)</f>
        <v>334000</v>
      </c>
      <c r="C898" s="43">
        <f t="shared" si="26"/>
        <v>-4000</v>
      </c>
      <c r="D898" s="43">
        <f>VLOOKUP(A898,Database!F:H,2,)</f>
        <v>2425000</v>
      </c>
      <c r="E898" s="43">
        <f t="shared" si="27"/>
        <v>-28000</v>
      </c>
    </row>
    <row r="899" spans="1:5" x14ac:dyDescent="0.2">
      <c r="A899" s="42">
        <v>30737</v>
      </c>
      <c r="B899" s="43">
        <f>VLOOKUP(A899,Database!F:H,3,)</f>
        <v>343000</v>
      </c>
      <c r="C899" s="43">
        <f t="shared" si="26"/>
        <v>9000</v>
      </c>
      <c r="D899" s="43">
        <f>VLOOKUP(A899,Database!F:H,2,)</f>
        <v>2469000</v>
      </c>
      <c r="E899" s="43">
        <f t="shared" si="27"/>
        <v>44000</v>
      </c>
    </row>
    <row r="900" spans="1:5" x14ac:dyDescent="0.2">
      <c r="A900" s="42">
        <v>30744</v>
      </c>
      <c r="B900" s="43">
        <f>VLOOKUP(A900,Database!F:H,3,)</f>
        <v>347000</v>
      </c>
      <c r="C900" s="43">
        <f t="shared" si="26"/>
        <v>4000</v>
      </c>
      <c r="D900" s="43">
        <f>VLOOKUP(A900,Database!F:H,2,)</f>
        <v>2441000</v>
      </c>
      <c r="E900" s="43">
        <f t="shared" si="27"/>
        <v>-28000</v>
      </c>
    </row>
    <row r="901" spans="1:5" x14ac:dyDescent="0.2">
      <c r="A901" s="42">
        <v>30751</v>
      </c>
      <c r="B901" s="43">
        <f>VLOOKUP(A901,Database!F:H,3,)</f>
        <v>346000</v>
      </c>
      <c r="C901" s="43">
        <f t="shared" si="26"/>
        <v>-1000</v>
      </c>
      <c r="D901" s="43">
        <f>VLOOKUP(A901,Database!F:H,2,)</f>
        <v>2431000</v>
      </c>
      <c r="E901" s="43">
        <f t="shared" si="27"/>
        <v>-10000</v>
      </c>
    </row>
    <row r="902" spans="1:5" x14ac:dyDescent="0.2">
      <c r="A902" s="42">
        <v>30758</v>
      </c>
      <c r="B902" s="43">
        <f>VLOOKUP(A902,Database!F:H,3,)</f>
        <v>349000</v>
      </c>
      <c r="C902" s="43">
        <f t="shared" si="26"/>
        <v>3000</v>
      </c>
      <c r="D902" s="43">
        <f>VLOOKUP(A902,Database!F:H,2,)</f>
        <v>2426000</v>
      </c>
      <c r="E902" s="43">
        <f t="shared" si="27"/>
        <v>-5000</v>
      </c>
    </row>
    <row r="903" spans="1:5" x14ac:dyDescent="0.2">
      <c r="A903" s="42">
        <v>30765</v>
      </c>
      <c r="B903" s="43">
        <f>VLOOKUP(A903,Database!F:H,3,)</f>
        <v>346000</v>
      </c>
      <c r="C903" s="43">
        <f t="shared" si="26"/>
        <v>-3000</v>
      </c>
      <c r="D903" s="43">
        <f>VLOOKUP(A903,Database!F:H,2,)</f>
        <v>2412000</v>
      </c>
      <c r="E903" s="43">
        <f t="shared" si="27"/>
        <v>-14000</v>
      </c>
    </row>
    <row r="904" spans="1:5" x14ac:dyDescent="0.2">
      <c r="A904" s="42">
        <v>30772</v>
      </c>
      <c r="B904" s="43">
        <f>VLOOKUP(A904,Database!F:H,3,)</f>
        <v>341000</v>
      </c>
      <c r="C904" s="43">
        <f t="shared" ref="C904:C967" si="28">B904-B903</f>
        <v>-5000</v>
      </c>
      <c r="D904" s="43">
        <f>VLOOKUP(A904,Database!F:H,2,)</f>
        <v>2412000</v>
      </c>
      <c r="E904" s="43">
        <f t="shared" ref="E904:E967" si="29">D904-D903</f>
        <v>0</v>
      </c>
    </row>
    <row r="905" spans="1:5" x14ac:dyDescent="0.2">
      <c r="A905" s="42">
        <v>30779</v>
      </c>
      <c r="B905" s="43">
        <f>VLOOKUP(A905,Database!F:H,3,)</f>
        <v>381000</v>
      </c>
      <c r="C905" s="43">
        <f t="shared" si="28"/>
        <v>40000</v>
      </c>
      <c r="D905" s="43">
        <f>VLOOKUP(A905,Database!F:H,2,)</f>
        <v>2425000</v>
      </c>
      <c r="E905" s="43">
        <f t="shared" si="29"/>
        <v>13000</v>
      </c>
    </row>
    <row r="906" spans="1:5" x14ac:dyDescent="0.2">
      <c r="A906" s="42">
        <v>30786</v>
      </c>
      <c r="B906" s="43">
        <f>VLOOKUP(A906,Database!F:H,3,)</f>
        <v>357000</v>
      </c>
      <c r="C906" s="43">
        <f t="shared" si="28"/>
        <v>-24000</v>
      </c>
      <c r="D906" s="43">
        <f>VLOOKUP(A906,Database!F:H,2,)</f>
        <v>2396000</v>
      </c>
      <c r="E906" s="43">
        <f t="shared" si="29"/>
        <v>-29000</v>
      </c>
    </row>
    <row r="907" spans="1:5" x14ac:dyDescent="0.2">
      <c r="A907" s="42">
        <v>30793</v>
      </c>
      <c r="B907" s="43">
        <f>VLOOKUP(A907,Database!F:H,3,)</f>
        <v>364000</v>
      </c>
      <c r="C907" s="43">
        <f t="shared" si="28"/>
        <v>7000</v>
      </c>
      <c r="D907" s="43">
        <f>VLOOKUP(A907,Database!F:H,2,)</f>
        <v>2433000</v>
      </c>
      <c r="E907" s="43">
        <f t="shared" si="29"/>
        <v>37000</v>
      </c>
    </row>
    <row r="908" spans="1:5" x14ac:dyDescent="0.2">
      <c r="A908" s="42">
        <v>30800</v>
      </c>
      <c r="B908" s="43">
        <f>VLOOKUP(A908,Database!F:H,3,)</f>
        <v>375000</v>
      </c>
      <c r="C908" s="43">
        <f t="shared" si="28"/>
        <v>11000</v>
      </c>
      <c r="D908" s="43">
        <f>VLOOKUP(A908,Database!F:H,2,)</f>
        <v>2435000</v>
      </c>
      <c r="E908" s="43">
        <f t="shared" si="29"/>
        <v>2000</v>
      </c>
    </row>
    <row r="909" spans="1:5" x14ac:dyDescent="0.2">
      <c r="A909" s="42">
        <v>30807</v>
      </c>
      <c r="B909" s="43">
        <f>VLOOKUP(A909,Database!F:H,3,)</f>
        <v>365000</v>
      </c>
      <c r="C909" s="43">
        <f t="shared" si="28"/>
        <v>-10000</v>
      </c>
      <c r="D909" s="43">
        <f>VLOOKUP(A909,Database!F:H,2,)</f>
        <v>2430000</v>
      </c>
      <c r="E909" s="43">
        <f t="shared" si="29"/>
        <v>-5000</v>
      </c>
    </row>
    <row r="910" spans="1:5" x14ac:dyDescent="0.2">
      <c r="A910" s="42">
        <v>30814</v>
      </c>
      <c r="B910" s="43">
        <f>VLOOKUP(A910,Database!F:H,3,)</f>
        <v>368000</v>
      </c>
      <c r="C910" s="43">
        <f t="shared" si="28"/>
        <v>3000</v>
      </c>
      <c r="D910" s="43">
        <f>VLOOKUP(A910,Database!F:H,2,)</f>
        <v>2386000</v>
      </c>
      <c r="E910" s="43">
        <f t="shared" si="29"/>
        <v>-44000</v>
      </c>
    </row>
    <row r="911" spans="1:5" x14ac:dyDescent="0.2">
      <c r="A911" s="42">
        <v>30821</v>
      </c>
      <c r="B911" s="43">
        <f>VLOOKUP(A911,Database!F:H,3,)</f>
        <v>354000</v>
      </c>
      <c r="C911" s="43">
        <f t="shared" si="28"/>
        <v>-14000</v>
      </c>
      <c r="D911" s="43">
        <f>VLOOKUP(A911,Database!F:H,2,)</f>
        <v>2401000</v>
      </c>
      <c r="E911" s="43">
        <f t="shared" si="29"/>
        <v>15000</v>
      </c>
    </row>
    <row r="912" spans="1:5" x14ac:dyDescent="0.2">
      <c r="A912" s="42">
        <v>30828</v>
      </c>
      <c r="B912" s="43">
        <f>VLOOKUP(A912,Database!F:H,3,)</f>
        <v>354000</v>
      </c>
      <c r="C912" s="43">
        <f t="shared" si="28"/>
        <v>0</v>
      </c>
      <c r="D912" s="43">
        <f>VLOOKUP(A912,Database!F:H,2,)</f>
        <v>2323000</v>
      </c>
      <c r="E912" s="43">
        <f t="shared" si="29"/>
        <v>-78000</v>
      </c>
    </row>
    <row r="913" spans="1:5" x14ac:dyDescent="0.2">
      <c r="A913" s="42">
        <v>30835</v>
      </c>
      <c r="B913" s="43">
        <f>VLOOKUP(A913,Database!F:H,3,)</f>
        <v>355000</v>
      </c>
      <c r="C913" s="43">
        <f t="shared" si="28"/>
        <v>1000</v>
      </c>
      <c r="D913" s="43">
        <f>VLOOKUP(A913,Database!F:H,2,)</f>
        <v>2379000</v>
      </c>
      <c r="E913" s="43">
        <f t="shared" si="29"/>
        <v>56000</v>
      </c>
    </row>
    <row r="914" spans="1:5" x14ac:dyDescent="0.2">
      <c r="A914" s="42">
        <v>30842</v>
      </c>
      <c r="B914" s="43">
        <f>VLOOKUP(A914,Database!F:H,3,)</f>
        <v>369000</v>
      </c>
      <c r="C914" s="43">
        <f t="shared" si="28"/>
        <v>14000</v>
      </c>
      <c r="D914" s="43">
        <f>VLOOKUP(A914,Database!F:H,2,)</f>
        <v>2391000</v>
      </c>
      <c r="E914" s="43">
        <f t="shared" si="29"/>
        <v>12000</v>
      </c>
    </row>
    <row r="915" spans="1:5" x14ac:dyDescent="0.2">
      <c r="A915" s="42">
        <v>30849</v>
      </c>
      <c r="B915" s="43">
        <f>VLOOKUP(A915,Database!F:H,3,)</f>
        <v>361000</v>
      </c>
      <c r="C915" s="43">
        <f t="shared" si="28"/>
        <v>-8000</v>
      </c>
      <c r="D915" s="43">
        <f>VLOOKUP(A915,Database!F:H,2,)</f>
        <v>2364000</v>
      </c>
      <c r="E915" s="43">
        <f t="shared" si="29"/>
        <v>-27000</v>
      </c>
    </row>
    <row r="916" spans="1:5" x14ac:dyDescent="0.2">
      <c r="A916" s="42">
        <v>30856</v>
      </c>
      <c r="B916" s="43">
        <f>VLOOKUP(A916,Database!F:H,3,)</f>
        <v>362000</v>
      </c>
      <c r="C916" s="43">
        <f t="shared" si="28"/>
        <v>1000</v>
      </c>
      <c r="D916" s="43">
        <f>VLOOKUP(A916,Database!F:H,2,)</f>
        <v>2339000</v>
      </c>
      <c r="E916" s="43">
        <f t="shared" si="29"/>
        <v>-25000</v>
      </c>
    </row>
    <row r="917" spans="1:5" x14ac:dyDescent="0.2">
      <c r="A917" s="42">
        <v>30863</v>
      </c>
      <c r="B917" s="43">
        <f>VLOOKUP(A917,Database!F:H,3,)</f>
        <v>360000</v>
      </c>
      <c r="C917" s="43">
        <f t="shared" si="28"/>
        <v>-2000</v>
      </c>
      <c r="D917" s="43">
        <f>VLOOKUP(A917,Database!F:H,2,)</f>
        <v>2329000</v>
      </c>
      <c r="E917" s="43">
        <f t="shared" si="29"/>
        <v>-10000</v>
      </c>
    </row>
    <row r="918" spans="1:5" x14ac:dyDescent="0.2">
      <c r="A918" s="42">
        <v>30870</v>
      </c>
      <c r="B918" s="43">
        <f>VLOOKUP(A918,Database!F:H,3,)</f>
        <v>366000</v>
      </c>
      <c r="C918" s="43">
        <f t="shared" si="28"/>
        <v>6000</v>
      </c>
      <c r="D918" s="43">
        <f>VLOOKUP(A918,Database!F:H,2,)</f>
        <v>2375000</v>
      </c>
      <c r="E918" s="43">
        <f t="shared" si="29"/>
        <v>46000</v>
      </c>
    </row>
    <row r="919" spans="1:5" x14ac:dyDescent="0.2">
      <c r="A919" s="42">
        <v>30877</v>
      </c>
      <c r="B919" s="43">
        <f>VLOOKUP(A919,Database!F:H,3,)</f>
        <v>360000</v>
      </c>
      <c r="C919" s="43">
        <f t="shared" si="28"/>
        <v>-6000</v>
      </c>
      <c r="D919" s="43">
        <f>VLOOKUP(A919,Database!F:H,2,)</f>
        <v>2371000</v>
      </c>
      <c r="E919" s="43">
        <f t="shared" si="29"/>
        <v>-4000</v>
      </c>
    </row>
    <row r="920" spans="1:5" x14ac:dyDescent="0.2">
      <c r="A920" s="42">
        <v>30884</v>
      </c>
      <c r="B920" s="43">
        <f>VLOOKUP(A920,Database!F:H,3,)</f>
        <v>357000</v>
      </c>
      <c r="C920" s="43">
        <f t="shared" si="28"/>
        <v>-3000</v>
      </c>
      <c r="D920" s="43">
        <f>VLOOKUP(A920,Database!F:H,2,)</f>
        <v>2337000</v>
      </c>
      <c r="E920" s="43">
        <f t="shared" si="29"/>
        <v>-34000</v>
      </c>
    </row>
    <row r="921" spans="1:5" x14ac:dyDescent="0.2">
      <c r="A921" s="42">
        <v>30891</v>
      </c>
      <c r="B921" s="43">
        <f>VLOOKUP(A921,Database!F:H,3,)</f>
        <v>359000</v>
      </c>
      <c r="C921" s="43">
        <f t="shared" si="28"/>
        <v>2000</v>
      </c>
      <c r="D921" s="43">
        <f>VLOOKUP(A921,Database!F:H,2,)</f>
        <v>2329000</v>
      </c>
      <c r="E921" s="43">
        <f t="shared" si="29"/>
        <v>-8000</v>
      </c>
    </row>
    <row r="922" spans="1:5" x14ac:dyDescent="0.2">
      <c r="A922" s="42">
        <v>30898</v>
      </c>
      <c r="B922" s="43">
        <f>VLOOKUP(A922,Database!F:H,3,)</f>
        <v>382000</v>
      </c>
      <c r="C922" s="43">
        <f t="shared" si="28"/>
        <v>23000</v>
      </c>
      <c r="D922" s="43">
        <f>VLOOKUP(A922,Database!F:H,2,)</f>
        <v>2332000</v>
      </c>
      <c r="E922" s="43">
        <f t="shared" si="29"/>
        <v>3000</v>
      </c>
    </row>
    <row r="923" spans="1:5" x14ac:dyDescent="0.2">
      <c r="A923" s="42">
        <v>30905</v>
      </c>
      <c r="B923" s="43">
        <f>VLOOKUP(A923,Database!F:H,3,)</f>
        <v>380000</v>
      </c>
      <c r="C923" s="43">
        <f t="shared" si="28"/>
        <v>-2000</v>
      </c>
      <c r="D923" s="43">
        <f>VLOOKUP(A923,Database!F:H,2,)</f>
        <v>2390000</v>
      </c>
      <c r="E923" s="43">
        <f t="shared" si="29"/>
        <v>58000</v>
      </c>
    </row>
    <row r="924" spans="1:5" x14ac:dyDescent="0.2">
      <c r="A924" s="42">
        <v>30912</v>
      </c>
      <c r="B924" s="43">
        <f>VLOOKUP(A924,Database!F:H,3,)</f>
        <v>401000</v>
      </c>
      <c r="C924" s="43">
        <f t="shared" si="28"/>
        <v>21000</v>
      </c>
      <c r="D924" s="43">
        <f>VLOOKUP(A924,Database!F:H,2,)</f>
        <v>2416000</v>
      </c>
      <c r="E924" s="43">
        <f t="shared" si="29"/>
        <v>26000</v>
      </c>
    </row>
    <row r="925" spans="1:5" x14ac:dyDescent="0.2">
      <c r="A925" s="42">
        <v>30919</v>
      </c>
      <c r="B925" s="43">
        <f>VLOOKUP(A925,Database!F:H,3,)</f>
        <v>395000</v>
      </c>
      <c r="C925" s="43">
        <f t="shared" si="28"/>
        <v>-6000</v>
      </c>
      <c r="D925" s="43">
        <f>VLOOKUP(A925,Database!F:H,2,)</f>
        <v>2405000</v>
      </c>
      <c r="E925" s="43">
        <f t="shared" si="29"/>
        <v>-11000</v>
      </c>
    </row>
    <row r="926" spans="1:5" x14ac:dyDescent="0.2">
      <c r="A926" s="42">
        <v>30926</v>
      </c>
      <c r="B926" s="43">
        <f>VLOOKUP(A926,Database!F:H,3,)</f>
        <v>385000</v>
      </c>
      <c r="C926" s="43">
        <f t="shared" si="28"/>
        <v>-10000</v>
      </c>
      <c r="D926" s="43">
        <f>VLOOKUP(A926,Database!F:H,2,)</f>
        <v>2410000</v>
      </c>
      <c r="E926" s="43">
        <f t="shared" si="29"/>
        <v>5000</v>
      </c>
    </row>
    <row r="927" spans="1:5" x14ac:dyDescent="0.2">
      <c r="A927" s="42">
        <v>30933</v>
      </c>
      <c r="B927" s="43">
        <f>VLOOKUP(A927,Database!F:H,3,)</f>
        <v>402000</v>
      </c>
      <c r="C927" s="43">
        <f t="shared" si="28"/>
        <v>17000</v>
      </c>
      <c r="D927" s="43">
        <f>VLOOKUP(A927,Database!F:H,2,)</f>
        <v>2435000</v>
      </c>
      <c r="E927" s="43">
        <f t="shared" si="29"/>
        <v>25000</v>
      </c>
    </row>
    <row r="928" spans="1:5" x14ac:dyDescent="0.2">
      <c r="A928" s="42">
        <v>30940</v>
      </c>
      <c r="B928" s="43">
        <f>VLOOKUP(A928,Database!F:H,3,)</f>
        <v>393000</v>
      </c>
      <c r="C928" s="43">
        <f t="shared" si="28"/>
        <v>-9000</v>
      </c>
      <c r="D928" s="43">
        <f>VLOOKUP(A928,Database!F:H,2,)</f>
        <v>2434000</v>
      </c>
      <c r="E928" s="43">
        <f t="shared" si="29"/>
        <v>-1000</v>
      </c>
    </row>
    <row r="929" spans="1:5" x14ac:dyDescent="0.2">
      <c r="A929" s="42">
        <v>30947</v>
      </c>
      <c r="B929" s="43">
        <f>VLOOKUP(A929,Database!F:H,3,)</f>
        <v>395000</v>
      </c>
      <c r="C929" s="43">
        <f t="shared" si="28"/>
        <v>2000</v>
      </c>
      <c r="D929" s="43">
        <f>VLOOKUP(A929,Database!F:H,2,)</f>
        <v>2421000</v>
      </c>
      <c r="E929" s="43">
        <f t="shared" si="29"/>
        <v>-13000</v>
      </c>
    </row>
    <row r="930" spans="1:5" x14ac:dyDescent="0.2">
      <c r="A930" s="42">
        <v>30954</v>
      </c>
      <c r="B930" s="43">
        <f>VLOOKUP(A930,Database!F:H,3,)</f>
        <v>402000</v>
      </c>
      <c r="C930" s="43">
        <f t="shared" si="28"/>
        <v>7000</v>
      </c>
      <c r="D930" s="43">
        <f>VLOOKUP(A930,Database!F:H,2,)</f>
        <v>2474000</v>
      </c>
      <c r="E930" s="43">
        <f t="shared" si="29"/>
        <v>53000</v>
      </c>
    </row>
    <row r="931" spans="1:5" x14ac:dyDescent="0.2">
      <c r="A931" s="42">
        <v>30961</v>
      </c>
      <c r="B931" s="43">
        <f>VLOOKUP(A931,Database!F:H,3,)</f>
        <v>403000</v>
      </c>
      <c r="C931" s="43">
        <f t="shared" si="28"/>
        <v>1000</v>
      </c>
      <c r="D931" s="43">
        <f>VLOOKUP(A931,Database!F:H,2,)</f>
        <v>2455000</v>
      </c>
      <c r="E931" s="43">
        <f t="shared" si="29"/>
        <v>-19000</v>
      </c>
    </row>
    <row r="932" spans="1:5" x14ac:dyDescent="0.2">
      <c r="A932" s="42">
        <v>30968</v>
      </c>
      <c r="B932" s="43">
        <f>VLOOKUP(A932,Database!F:H,3,)</f>
        <v>410000</v>
      </c>
      <c r="C932" s="43">
        <f t="shared" si="28"/>
        <v>7000</v>
      </c>
      <c r="D932" s="43">
        <f>VLOOKUP(A932,Database!F:H,2,)</f>
        <v>2538000</v>
      </c>
      <c r="E932" s="43">
        <f t="shared" si="29"/>
        <v>83000</v>
      </c>
    </row>
    <row r="933" spans="1:5" x14ac:dyDescent="0.2">
      <c r="A933" s="42">
        <v>30975</v>
      </c>
      <c r="B933" s="43">
        <f>VLOOKUP(A933,Database!F:H,3,)</f>
        <v>439000</v>
      </c>
      <c r="C933" s="43">
        <f t="shared" si="28"/>
        <v>29000</v>
      </c>
      <c r="D933" s="43">
        <f>VLOOKUP(A933,Database!F:H,2,)</f>
        <v>2529000</v>
      </c>
      <c r="E933" s="43">
        <f t="shared" si="29"/>
        <v>-9000</v>
      </c>
    </row>
    <row r="934" spans="1:5" x14ac:dyDescent="0.2">
      <c r="A934" s="42">
        <v>30982</v>
      </c>
      <c r="B934" s="43">
        <f>VLOOKUP(A934,Database!F:H,3,)</f>
        <v>425000</v>
      </c>
      <c r="C934" s="43">
        <f t="shared" si="28"/>
        <v>-14000</v>
      </c>
      <c r="D934" s="43">
        <f>VLOOKUP(A934,Database!F:H,2,)</f>
        <v>2574000</v>
      </c>
      <c r="E934" s="43">
        <f t="shared" si="29"/>
        <v>45000</v>
      </c>
    </row>
    <row r="935" spans="1:5" x14ac:dyDescent="0.2">
      <c r="A935" s="42">
        <v>30989</v>
      </c>
      <c r="B935" s="43">
        <f>VLOOKUP(A935,Database!F:H,3,)</f>
        <v>423000</v>
      </c>
      <c r="C935" s="43">
        <f t="shared" si="28"/>
        <v>-2000</v>
      </c>
      <c r="D935" s="43">
        <f>VLOOKUP(A935,Database!F:H,2,)</f>
        <v>2578000</v>
      </c>
      <c r="E935" s="43">
        <f t="shared" si="29"/>
        <v>4000</v>
      </c>
    </row>
    <row r="936" spans="1:5" x14ac:dyDescent="0.2">
      <c r="A936" s="42">
        <v>30996</v>
      </c>
      <c r="B936" s="43">
        <f>VLOOKUP(A936,Database!F:H,3,)</f>
        <v>393000</v>
      </c>
      <c r="C936" s="43">
        <f t="shared" si="28"/>
        <v>-30000</v>
      </c>
      <c r="D936" s="43">
        <f>VLOOKUP(A936,Database!F:H,2,)</f>
        <v>2545000</v>
      </c>
      <c r="E936" s="43">
        <f t="shared" si="29"/>
        <v>-33000</v>
      </c>
    </row>
    <row r="937" spans="1:5" x14ac:dyDescent="0.2">
      <c r="A937" s="42">
        <v>31003</v>
      </c>
      <c r="B937" s="43">
        <f>VLOOKUP(A937,Database!F:H,3,)</f>
        <v>383000</v>
      </c>
      <c r="C937" s="43">
        <f t="shared" si="28"/>
        <v>-10000</v>
      </c>
      <c r="D937" s="43">
        <f>VLOOKUP(A937,Database!F:H,2,)</f>
        <v>2645000</v>
      </c>
      <c r="E937" s="43">
        <f t="shared" si="29"/>
        <v>100000</v>
      </c>
    </row>
    <row r="938" spans="1:5" x14ac:dyDescent="0.2">
      <c r="A938" s="42">
        <v>31010</v>
      </c>
      <c r="B938" s="43">
        <f>VLOOKUP(A938,Database!F:H,3,)</f>
        <v>429000</v>
      </c>
      <c r="C938" s="43">
        <f t="shared" si="28"/>
        <v>46000</v>
      </c>
      <c r="D938" s="43">
        <f>VLOOKUP(A938,Database!F:H,2,)</f>
        <v>2569000</v>
      </c>
      <c r="E938" s="43">
        <f t="shared" si="29"/>
        <v>-76000</v>
      </c>
    </row>
    <row r="939" spans="1:5" x14ac:dyDescent="0.2">
      <c r="A939" s="42">
        <v>31017</v>
      </c>
      <c r="B939" s="43">
        <f>VLOOKUP(A939,Database!F:H,3,)</f>
        <v>401000</v>
      </c>
      <c r="C939" s="43">
        <f t="shared" si="28"/>
        <v>-28000</v>
      </c>
      <c r="D939" s="43">
        <f>VLOOKUP(A939,Database!F:H,2,)</f>
        <v>2529000</v>
      </c>
      <c r="E939" s="43">
        <f t="shared" si="29"/>
        <v>-40000</v>
      </c>
    </row>
    <row r="940" spans="1:5" x14ac:dyDescent="0.2">
      <c r="A940" s="42">
        <v>31024</v>
      </c>
      <c r="B940" s="43">
        <f>VLOOKUP(A940,Database!F:H,3,)</f>
        <v>383000</v>
      </c>
      <c r="C940" s="43">
        <f t="shared" si="28"/>
        <v>-18000</v>
      </c>
      <c r="D940" s="43">
        <f>VLOOKUP(A940,Database!F:H,2,)</f>
        <v>2589000</v>
      </c>
      <c r="E940" s="43">
        <f t="shared" si="29"/>
        <v>60000</v>
      </c>
    </row>
    <row r="941" spans="1:5" x14ac:dyDescent="0.2">
      <c r="A941" s="42">
        <v>31031</v>
      </c>
      <c r="B941" s="43">
        <f>VLOOKUP(A941,Database!F:H,3,)</f>
        <v>386000</v>
      </c>
      <c r="C941" s="43">
        <f t="shared" si="28"/>
        <v>3000</v>
      </c>
      <c r="D941" s="43">
        <f>VLOOKUP(A941,Database!F:H,2,)</f>
        <v>2594000</v>
      </c>
      <c r="E941" s="43">
        <f t="shared" si="29"/>
        <v>5000</v>
      </c>
    </row>
    <row r="942" spans="1:5" x14ac:dyDescent="0.2">
      <c r="A942" s="42">
        <v>31038</v>
      </c>
      <c r="B942" s="43">
        <f>VLOOKUP(A942,Database!F:H,3,)</f>
        <v>379000</v>
      </c>
      <c r="C942" s="43">
        <f t="shared" si="28"/>
        <v>-7000</v>
      </c>
      <c r="D942" s="43">
        <f>VLOOKUP(A942,Database!F:H,2,)</f>
        <v>2487000</v>
      </c>
      <c r="E942" s="43">
        <f t="shared" si="29"/>
        <v>-107000</v>
      </c>
    </row>
    <row r="943" spans="1:5" x14ac:dyDescent="0.2">
      <c r="A943" s="42">
        <v>31045</v>
      </c>
      <c r="B943" s="43">
        <f>VLOOKUP(A943,Database!F:H,3,)</f>
        <v>379000</v>
      </c>
      <c r="C943" s="43">
        <f t="shared" si="28"/>
        <v>0</v>
      </c>
      <c r="D943" s="43">
        <f>VLOOKUP(A943,Database!F:H,2,)</f>
        <v>2536000</v>
      </c>
      <c r="E943" s="43">
        <f t="shared" si="29"/>
        <v>49000</v>
      </c>
    </row>
    <row r="944" spans="1:5" x14ac:dyDescent="0.2">
      <c r="A944" s="42">
        <v>31052</v>
      </c>
      <c r="B944" s="43">
        <f>VLOOKUP(A944,Database!F:H,3,)</f>
        <v>369000</v>
      </c>
      <c r="C944" s="43">
        <f t="shared" si="28"/>
        <v>-10000</v>
      </c>
      <c r="D944" s="43">
        <f>VLOOKUP(A944,Database!F:H,2,)</f>
        <v>2593000</v>
      </c>
      <c r="E944" s="43">
        <f t="shared" si="29"/>
        <v>57000</v>
      </c>
    </row>
    <row r="945" spans="1:5" x14ac:dyDescent="0.2">
      <c r="A945" s="42">
        <v>31059</v>
      </c>
      <c r="B945" s="43">
        <f>VLOOKUP(A945,Database!F:H,3,)</f>
        <v>387000</v>
      </c>
      <c r="C945" s="43">
        <f t="shared" si="28"/>
        <v>18000</v>
      </c>
      <c r="D945" s="43">
        <f>VLOOKUP(A945,Database!F:H,2,)</f>
        <v>2543000</v>
      </c>
      <c r="E945" s="43">
        <f t="shared" si="29"/>
        <v>-50000</v>
      </c>
    </row>
    <row r="946" spans="1:5" x14ac:dyDescent="0.2">
      <c r="A946" s="42">
        <v>31066</v>
      </c>
      <c r="B946" s="43">
        <f>VLOOKUP(A946,Database!F:H,3,)</f>
        <v>359000</v>
      </c>
      <c r="C946" s="43">
        <f t="shared" si="28"/>
        <v>-28000</v>
      </c>
      <c r="D946" s="43">
        <f>VLOOKUP(A946,Database!F:H,2,)</f>
        <v>2472000</v>
      </c>
      <c r="E946" s="43">
        <f t="shared" si="29"/>
        <v>-71000</v>
      </c>
    </row>
    <row r="947" spans="1:5" x14ac:dyDescent="0.2">
      <c r="A947" s="42">
        <v>31073</v>
      </c>
      <c r="B947" s="43">
        <f>VLOOKUP(A947,Database!F:H,3,)</f>
        <v>368000</v>
      </c>
      <c r="C947" s="43">
        <f t="shared" si="28"/>
        <v>9000</v>
      </c>
      <c r="D947" s="43">
        <f>VLOOKUP(A947,Database!F:H,2,)</f>
        <v>2601000</v>
      </c>
      <c r="E947" s="43">
        <f t="shared" si="29"/>
        <v>129000</v>
      </c>
    </row>
    <row r="948" spans="1:5" x14ac:dyDescent="0.2">
      <c r="A948" s="42">
        <v>31080</v>
      </c>
      <c r="B948" s="43">
        <f>VLOOKUP(A948,Database!F:H,3,)</f>
        <v>386000</v>
      </c>
      <c r="C948" s="43">
        <f t="shared" si="28"/>
        <v>18000</v>
      </c>
      <c r="D948" s="43">
        <f>VLOOKUP(A948,Database!F:H,2,)</f>
        <v>2632000</v>
      </c>
      <c r="E948" s="43">
        <f t="shared" si="29"/>
        <v>31000</v>
      </c>
    </row>
    <row r="949" spans="1:5" x14ac:dyDescent="0.2">
      <c r="A949" s="42">
        <v>31087</v>
      </c>
      <c r="B949" s="43">
        <f>VLOOKUP(A949,Database!F:H,3,)</f>
        <v>401000</v>
      </c>
      <c r="C949" s="43">
        <f t="shared" si="28"/>
        <v>15000</v>
      </c>
      <c r="D949" s="43">
        <f>VLOOKUP(A949,Database!F:H,2,)</f>
        <v>2608000</v>
      </c>
      <c r="E949" s="43">
        <f t="shared" si="29"/>
        <v>-24000</v>
      </c>
    </row>
    <row r="950" spans="1:5" x14ac:dyDescent="0.2">
      <c r="A950" s="42">
        <v>31094</v>
      </c>
      <c r="B950" s="43">
        <f>VLOOKUP(A950,Database!F:H,3,)</f>
        <v>390000</v>
      </c>
      <c r="C950" s="43">
        <f t="shared" si="28"/>
        <v>-11000</v>
      </c>
      <c r="D950" s="43">
        <f>VLOOKUP(A950,Database!F:H,2,)</f>
        <v>2613000</v>
      </c>
      <c r="E950" s="43">
        <f t="shared" si="29"/>
        <v>5000</v>
      </c>
    </row>
    <row r="951" spans="1:5" x14ac:dyDescent="0.2">
      <c r="A951" s="42">
        <v>31101</v>
      </c>
      <c r="B951" s="43">
        <f>VLOOKUP(A951,Database!F:H,3,)</f>
        <v>390000</v>
      </c>
      <c r="C951" s="43">
        <f t="shared" si="28"/>
        <v>0</v>
      </c>
      <c r="D951" s="43">
        <f>VLOOKUP(A951,Database!F:H,2,)</f>
        <v>2641000</v>
      </c>
      <c r="E951" s="43">
        <f t="shared" si="29"/>
        <v>28000</v>
      </c>
    </row>
    <row r="952" spans="1:5" x14ac:dyDescent="0.2">
      <c r="A952" s="42">
        <v>31108</v>
      </c>
      <c r="B952" s="43">
        <f>VLOOKUP(A952,Database!F:H,3,)</f>
        <v>374000</v>
      </c>
      <c r="C952" s="43">
        <f t="shared" si="28"/>
        <v>-16000</v>
      </c>
      <c r="D952" s="43">
        <f>VLOOKUP(A952,Database!F:H,2,)</f>
        <v>2571000</v>
      </c>
      <c r="E952" s="43">
        <f t="shared" si="29"/>
        <v>-70000</v>
      </c>
    </row>
    <row r="953" spans="1:5" x14ac:dyDescent="0.2">
      <c r="A953" s="42">
        <v>31115</v>
      </c>
      <c r="B953" s="43">
        <f>VLOOKUP(A953,Database!F:H,3,)</f>
        <v>385000</v>
      </c>
      <c r="C953" s="43">
        <f t="shared" si="28"/>
        <v>11000</v>
      </c>
      <c r="D953" s="43">
        <f>VLOOKUP(A953,Database!F:H,2,)</f>
        <v>2591000</v>
      </c>
      <c r="E953" s="43">
        <f t="shared" si="29"/>
        <v>20000</v>
      </c>
    </row>
    <row r="954" spans="1:5" x14ac:dyDescent="0.2">
      <c r="A954" s="42">
        <v>31122</v>
      </c>
      <c r="B954" s="43">
        <f>VLOOKUP(A954,Database!F:H,3,)</f>
        <v>386000</v>
      </c>
      <c r="C954" s="43">
        <f t="shared" si="28"/>
        <v>1000</v>
      </c>
      <c r="D954" s="43">
        <f>VLOOKUP(A954,Database!F:H,2,)</f>
        <v>2578000</v>
      </c>
      <c r="E954" s="43">
        <f t="shared" si="29"/>
        <v>-13000</v>
      </c>
    </row>
    <row r="955" spans="1:5" x14ac:dyDescent="0.2">
      <c r="A955" s="42">
        <v>31129</v>
      </c>
      <c r="B955" s="43">
        <f>VLOOKUP(A955,Database!F:H,3,)</f>
        <v>373000</v>
      </c>
      <c r="C955" s="43">
        <f t="shared" si="28"/>
        <v>-13000</v>
      </c>
      <c r="D955" s="43">
        <f>VLOOKUP(A955,Database!F:H,2,)</f>
        <v>2556000</v>
      </c>
      <c r="E955" s="43">
        <f t="shared" si="29"/>
        <v>-22000</v>
      </c>
    </row>
    <row r="956" spans="1:5" x14ac:dyDescent="0.2">
      <c r="A956" s="42">
        <v>31136</v>
      </c>
      <c r="B956" s="43">
        <f>VLOOKUP(A956,Database!F:H,3,)</f>
        <v>386000</v>
      </c>
      <c r="C956" s="43">
        <f t="shared" si="28"/>
        <v>13000</v>
      </c>
      <c r="D956" s="43">
        <f>VLOOKUP(A956,Database!F:H,2,)</f>
        <v>2526000</v>
      </c>
      <c r="E956" s="43">
        <f t="shared" si="29"/>
        <v>-30000</v>
      </c>
    </row>
    <row r="957" spans="1:5" x14ac:dyDescent="0.2">
      <c r="A957" s="42">
        <v>31143</v>
      </c>
      <c r="B957" s="43">
        <f>VLOOKUP(A957,Database!F:H,3,)</f>
        <v>405000</v>
      </c>
      <c r="C957" s="43">
        <f t="shared" si="28"/>
        <v>19000</v>
      </c>
      <c r="D957" s="43">
        <f>VLOOKUP(A957,Database!F:H,2,)</f>
        <v>2569000</v>
      </c>
      <c r="E957" s="43">
        <f t="shared" si="29"/>
        <v>43000</v>
      </c>
    </row>
    <row r="958" spans="1:5" x14ac:dyDescent="0.2">
      <c r="A958" s="42">
        <v>31150</v>
      </c>
      <c r="B958" s="43">
        <f>VLOOKUP(A958,Database!F:H,3,)</f>
        <v>411000</v>
      </c>
      <c r="C958" s="43">
        <f t="shared" si="28"/>
        <v>6000</v>
      </c>
      <c r="D958" s="43">
        <f>VLOOKUP(A958,Database!F:H,2,)</f>
        <v>2600000</v>
      </c>
      <c r="E958" s="43">
        <f t="shared" si="29"/>
        <v>31000</v>
      </c>
    </row>
    <row r="959" spans="1:5" x14ac:dyDescent="0.2">
      <c r="A959" s="42">
        <v>31157</v>
      </c>
      <c r="B959" s="43">
        <f>VLOOKUP(A959,Database!F:H,3,)</f>
        <v>391000</v>
      </c>
      <c r="C959" s="43">
        <f t="shared" si="28"/>
        <v>-20000</v>
      </c>
      <c r="D959" s="43">
        <f>VLOOKUP(A959,Database!F:H,2,)</f>
        <v>2584000</v>
      </c>
      <c r="E959" s="43">
        <f t="shared" si="29"/>
        <v>-16000</v>
      </c>
    </row>
    <row r="960" spans="1:5" x14ac:dyDescent="0.2">
      <c r="A960" s="42">
        <v>31164</v>
      </c>
      <c r="B960" s="43">
        <f>VLOOKUP(A960,Database!F:H,3,)</f>
        <v>386000</v>
      </c>
      <c r="C960" s="43">
        <f t="shared" si="28"/>
        <v>-5000</v>
      </c>
      <c r="D960" s="43">
        <f>VLOOKUP(A960,Database!F:H,2,)</f>
        <v>2562000</v>
      </c>
      <c r="E960" s="43">
        <f t="shared" si="29"/>
        <v>-22000</v>
      </c>
    </row>
    <row r="961" spans="1:5" x14ac:dyDescent="0.2">
      <c r="A961" s="42">
        <v>31171</v>
      </c>
      <c r="B961" s="43">
        <f>VLOOKUP(A961,Database!F:H,3,)</f>
        <v>390000</v>
      </c>
      <c r="C961" s="43">
        <f t="shared" si="28"/>
        <v>4000</v>
      </c>
      <c r="D961" s="43">
        <f>VLOOKUP(A961,Database!F:H,2,)</f>
        <v>2582000</v>
      </c>
      <c r="E961" s="43">
        <f t="shared" si="29"/>
        <v>20000</v>
      </c>
    </row>
    <row r="962" spans="1:5" x14ac:dyDescent="0.2">
      <c r="A962" s="42">
        <v>31178</v>
      </c>
      <c r="B962" s="43">
        <f>VLOOKUP(A962,Database!F:H,3,)</f>
        <v>394000</v>
      </c>
      <c r="C962" s="43">
        <f t="shared" si="28"/>
        <v>4000</v>
      </c>
      <c r="D962" s="43">
        <f>VLOOKUP(A962,Database!F:H,2,)</f>
        <v>2569000</v>
      </c>
      <c r="E962" s="43">
        <f t="shared" si="29"/>
        <v>-13000</v>
      </c>
    </row>
    <row r="963" spans="1:5" x14ac:dyDescent="0.2">
      <c r="A963" s="42">
        <v>31185</v>
      </c>
      <c r="B963" s="43">
        <f>VLOOKUP(A963,Database!F:H,3,)</f>
        <v>391000</v>
      </c>
      <c r="C963" s="43">
        <f t="shared" si="28"/>
        <v>-3000</v>
      </c>
      <c r="D963" s="43">
        <f>VLOOKUP(A963,Database!F:H,2,)</f>
        <v>2547000</v>
      </c>
      <c r="E963" s="43">
        <f t="shared" si="29"/>
        <v>-22000</v>
      </c>
    </row>
    <row r="964" spans="1:5" x14ac:dyDescent="0.2">
      <c r="A964" s="42">
        <v>31192</v>
      </c>
      <c r="B964" s="43">
        <f>VLOOKUP(A964,Database!F:H,3,)</f>
        <v>396000</v>
      </c>
      <c r="C964" s="43">
        <f t="shared" si="28"/>
        <v>5000</v>
      </c>
      <c r="D964" s="43">
        <f>VLOOKUP(A964,Database!F:H,2,)</f>
        <v>2545000</v>
      </c>
      <c r="E964" s="43">
        <f t="shared" si="29"/>
        <v>-2000</v>
      </c>
    </row>
    <row r="965" spans="1:5" x14ac:dyDescent="0.2">
      <c r="A965" s="42">
        <v>31199</v>
      </c>
      <c r="B965" s="43">
        <f>VLOOKUP(A965,Database!F:H,3,)</f>
        <v>393000</v>
      </c>
      <c r="C965" s="43">
        <f t="shared" si="28"/>
        <v>-3000</v>
      </c>
      <c r="D965" s="43">
        <f>VLOOKUP(A965,Database!F:H,2,)</f>
        <v>2591000</v>
      </c>
      <c r="E965" s="43">
        <f t="shared" si="29"/>
        <v>46000</v>
      </c>
    </row>
    <row r="966" spans="1:5" x14ac:dyDescent="0.2">
      <c r="A966" s="42">
        <v>31206</v>
      </c>
      <c r="B966" s="43">
        <f>VLOOKUP(A966,Database!F:H,3,)</f>
        <v>403000</v>
      </c>
      <c r="C966" s="43">
        <f t="shared" si="28"/>
        <v>10000</v>
      </c>
      <c r="D966" s="43">
        <f>VLOOKUP(A966,Database!F:H,2,)</f>
        <v>2564000</v>
      </c>
      <c r="E966" s="43">
        <f t="shared" si="29"/>
        <v>-27000</v>
      </c>
    </row>
    <row r="967" spans="1:5" x14ac:dyDescent="0.2">
      <c r="A967" s="42">
        <v>31213</v>
      </c>
      <c r="B967" s="43">
        <f>VLOOKUP(A967,Database!F:H,3,)</f>
        <v>390000</v>
      </c>
      <c r="C967" s="43">
        <f t="shared" si="28"/>
        <v>-13000</v>
      </c>
      <c r="D967" s="43">
        <f>VLOOKUP(A967,Database!F:H,2,)</f>
        <v>2549000</v>
      </c>
      <c r="E967" s="43">
        <f t="shared" si="29"/>
        <v>-15000</v>
      </c>
    </row>
    <row r="968" spans="1:5" x14ac:dyDescent="0.2">
      <c r="A968" s="42">
        <v>31220</v>
      </c>
      <c r="B968" s="43">
        <f>VLOOKUP(A968,Database!F:H,3,)</f>
        <v>386000</v>
      </c>
      <c r="C968" s="43">
        <f t="shared" ref="C968:C1031" si="30">B968-B967</f>
        <v>-4000</v>
      </c>
      <c r="D968" s="43">
        <f>VLOOKUP(A968,Database!F:H,2,)</f>
        <v>2550000</v>
      </c>
      <c r="E968" s="43">
        <f t="shared" ref="E968:E1031" si="31">D968-D967</f>
        <v>1000</v>
      </c>
    </row>
    <row r="969" spans="1:5" x14ac:dyDescent="0.2">
      <c r="A969" s="42">
        <v>31227</v>
      </c>
      <c r="B969" s="43">
        <f>VLOOKUP(A969,Database!F:H,3,)</f>
        <v>390000</v>
      </c>
      <c r="C969" s="43">
        <f t="shared" si="30"/>
        <v>4000</v>
      </c>
      <c r="D969" s="43">
        <f>VLOOKUP(A969,Database!F:H,2,)</f>
        <v>2505000</v>
      </c>
      <c r="E969" s="43">
        <f t="shared" si="31"/>
        <v>-45000</v>
      </c>
    </row>
    <row r="970" spans="1:5" x14ac:dyDescent="0.2">
      <c r="A970" s="42">
        <v>31234</v>
      </c>
      <c r="B970" s="43">
        <f>VLOOKUP(A970,Database!F:H,3,)</f>
        <v>395000</v>
      </c>
      <c r="C970" s="43">
        <f t="shared" si="30"/>
        <v>5000</v>
      </c>
      <c r="D970" s="43">
        <f>VLOOKUP(A970,Database!F:H,2,)</f>
        <v>2609000</v>
      </c>
      <c r="E970" s="43">
        <f t="shared" si="31"/>
        <v>104000</v>
      </c>
    </row>
    <row r="971" spans="1:5" x14ac:dyDescent="0.2">
      <c r="A971" s="42">
        <v>31241</v>
      </c>
      <c r="B971" s="43">
        <f>VLOOKUP(A971,Database!F:H,3,)</f>
        <v>386000</v>
      </c>
      <c r="C971" s="43">
        <f t="shared" si="30"/>
        <v>-9000</v>
      </c>
      <c r="D971" s="43">
        <f>VLOOKUP(A971,Database!F:H,2,)</f>
        <v>2519000</v>
      </c>
      <c r="E971" s="43">
        <f t="shared" si="31"/>
        <v>-90000</v>
      </c>
    </row>
    <row r="972" spans="1:5" x14ac:dyDescent="0.2">
      <c r="A972" s="42">
        <v>31248</v>
      </c>
      <c r="B972" s="43">
        <f>VLOOKUP(A972,Database!F:H,3,)</f>
        <v>370000</v>
      </c>
      <c r="C972" s="43">
        <f t="shared" si="30"/>
        <v>-16000</v>
      </c>
      <c r="D972" s="43">
        <f>VLOOKUP(A972,Database!F:H,2,)</f>
        <v>2520000</v>
      </c>
      <c r="E972" s="43">
        <f t="shared" si="31"/>
        <v>1000</v>
      </c>
    </row>
    <row r="973" spans="1:5" x14ac:dyDescent="0.2">
      <c r="A973" s="42">
        <v>31255</v>
      </c>
      <c r="B973" s="43">
        <f>VLOOKUP(A973,Database!F:H,3,)</f>
        <v>362000</v>
      </c>
      <c r="C973" s="43">
        <f t="shared" si="30"/>
        <v>-8000</v>
      </c>
      <c r="D973" s="43">
        <f>VLOOKUP(A973,Database!F:H,2,)</f>
        <v>2522000</v>
      </c>
      <c r="E973" s="43">
        <f t="shared" si="31"/>
        <v>2000</v>
      </c>
    </row>
    <row r="974" spans="1:5" x14ac:dyDescent="0.2">
      <c r="A974" s="42">
        <v>31262</v>
      </c>
      <c r="B974" s="43">
        <f>VLOOKUP(A974,Database!F:H,3,)</f>
        <v>407000</v>
      </c>
      <c r="C974" s="43">
        <f t="shared" si="30"/>
        <v>45000</v>
      </c>
      <c r="D974" s="43">
        <f>VLOOKUP(A974,Database!F:H,2,)</f>
        <v>2518000</v>
      </c>
      <c r="E974" s="43">
        <f t="shared" si="31"/>
        <v>-4000</v>
      </c>
    </row>
    <row r="975" spans="1:5" x14ac:dyDescent="0.2">
      <c r="A975" s="42">
        <v>31269</v>
      </c>
      <c r="B975" s="43">
        <f>VLOOKUP(A975,Database!F:H,3,)</f>
        <v>402000</v>
      </c>
      <c r="C975" s="43">
        <f t="shared" si="30"/>
        <v>-5000</v>
      </c>
      <c r="D975" s="43">
        <f>VLOOKUP(A975,Database!F:H,2,)</f>
        <v>2565000</v>
      </c>
      <c r="E975" s="43">
        <f t="shared" si="31"/>
        <v>47000</v>
      </c>
    </row>
    <row r="976" spans="1:5" x14ac:dyDescent="0.2">
      <c r="A976" s="42">
        <v>31276</v>
      </c>
      <c r="B976" s="43">
        <f>VLOOKUP(A976,Database!F:H,3,)</f>
        <v>399000</v>
      </c>
      <c r="C976" s="43">
        <f t="shared" si="30"/>
        <v>-3000</v>
      </c>
      <c r="D976" s="43">
        <f>VLOOKUP(A976,Database!F:H,2,)</f>
        <v>2574000</v>
      </c>
      <c r="E976" s="43">
        <f t="shared" si="31"/>
        <v>9000</v>
      </c>
    </row>
    <row r="977" spans="1:5" x14ac:dyDescent="0.2">
      <c r="A977" s="42">
        <v>31283</v>
      </c>
      <c r="B977" s="43">
        <f>VLOOKUP(A977,Database!F:H,3,)</f>
        <v>405000</v>
      </c>
      <c r="C977" s="43">
        <f t="shared" si="30"/>
        <v>6000</v>
      </c>
      <c r="D977" s="43">
        <f>VLOOKUP(A977,Database!F:H,2,)</f>
        <v>2561000</v>
      </c>
      <c r="E977" s="43">
        <f t="shared" si="31"/>
        <v>-13000</v>
      </c>
    </row>
    <row r="978" spans="1:5" x14ac:dyDescent="0.2">
      <c r="A978" s="42">
        <v>31290</v>
      </c>
      <c r="B978" s="43">
        <f>VLOOKUP(A978,Database!F:H,3,)</f>
        <v>409000</v>
      </c>
      <c r="C978" s="43">
        <f t="shared" si="30"/>
        <v>4000</v>
      </c>
      <c r="D978" s="43">
        <f>VLOOKUP(A978,Database!F:H,2,)</f>
        <v>2595000</v>
      </c>
      <c r="E978" s="43">
        <f t="shared" si="31"/>
        <v>34000</v>
      </c>
    </row>
    <row r="979" spans="1:5" x14ac:dyDescent="0.2">
      <c r="A979" s="42">
        <v>31297</v>
      </c>
      <c r="B979" s="43">
        <f>VLOOKUP(A979,Database!F:H,3,)</f>
        <v>426000</v>
      </c>
      <c r="C979" s="43">
        <f t="shared" si="30"/>
        <v>17000</v>
      </c>
      <c r="D979" s="43">
        <f>VLOOKUP(A979,Database!F:H,2,)</f>
        <v>2596000</v>
      </c>
      <c r="E979" s="43">
        <f t="shared" si="31"/>
        <v>1000</v>
      </c>
    </row>
    <row r="980" spans="1:5" x14ac:dyDescent="0.2">
      <c r="A980" s="42">
        <v>31304</v>
      </c>
      <c r="B980" s="43">
        <f>VLOOKUP(A980,Database!F:H,3,)</f>
        <v>408000</v>
      </c>
      <c r="C980" s="43">
        <f t="shared" si="30"/>
        <v>-18000</v>
      </c>
      <c r="D980" s="43">
        <f>VLOOKUP(A980,Database!F:H,2,)</f>
        <v>2590000</v>
      </c>
      <c r="E980" s="43">
        <f t="shared" si="31"/>
        <v>-6000</v>
      </c>
    </row>
    <row r="981" spans="1:5" x14ac:dyDescent="0.2">
      <c r="A981" s="42">
        <v>31311</v>
      </c>
      <c r="B981" s="43">
        <f>VLOOKUP(A981,Database!F:H,3,)</f>
        <v>401000</v>
      </c>
      <c r="C981" s="43">
        <f t="shared" si="30"/>
        <v>-7000</v>
      </c>
      <c r="D981" s="43">
        <f>VLOOKUP(A981,Database!F:H,2,)</f>
        <v>2513000</v>
      </c>
      <c r="E981" s="43">
        <f t="shared" si="31"/>
        <v>-77000</v>
      </c>
    </row>
    <row r="982" spans="1:5" x14ac:dyDescent="0.2">
      <c r="A982" s="42">
        <v>31318</v>
      </c>
      <c r="B982" s="43">
        <f>VLOOKUP(A982,Database!F:H,3,)</f>
        <v>399000</v>
      </c>
      <c r="C982" s="43">
        <f t="shared" si="30"/>
        <v>-2000</v>
      </c>
      <c r="D982" s="43">
        <f>VLOOKUP(A982,Database!F:H,2,)</f>
        <v>2623000</v>
      </c>
      <c r="E982" s="43">
        <f t="shared" si="31"/>
        <v>110000</v>
      </c>
    </row>
    <row r="983" spans="1:5" x14ac:dyDescent="0.2">
      <c r="A983" s="42">
        <v>31325</v>
      </c>
      <c r="B983" s="43">
        <f>VLOOKUP(A983,Database!F:H,3,)</f>
        <v>405000</v>
      </c>
      <c r="C983" s="43">
        <f t="shared" si="30"/>
        <v>6000</v>
      </c>
      <c r="D983" s="43">
        <f>VLOOKUP(A983,Database!F:H,2,)</f>
        <v>2657000</v>
      </c>
      <c r="E983" s="43">
        <f t="shared" si="31"/>
        <v>34000</v>
      </c>
    </row>
    <row r="984" spans="1:5" x14ac:dyDescent="0.2">
      <c r="A984" s="42">
        <v>31332</v>
      </c>
      <c r="B984" s="43">
        <f>VLOOKUP(A984,Database!F:H,3,)</f>
        <v>400000</v>
      </c>
      <c r="C984" s="43">
        <f t="shared" si="30"/>
        <v>-5000</v>
      </c>
      <c r="D984" s="43">
        <f>VLOOKUP(A984,Database!F:H,2,)</f>
        <v>2569000</v>
      </c>
      <c r="E984" s="43">
        <f t="shared" si="31"/>
        <v>-88000</v>
      </c>
    </row>
    <row r="985" spans="1:5" x14ac:dyDescent="0.2">
      <c r="A985" s="42">
        <v>31339</v>
      </c>
      <c r="B985" s="43">
        <f>VLOOKUP(A985,Database!F:H,3,)</f>
        <v>400000</v>
      </c>
      <c r="C985" s="43">
        <f t="shared" si="30"/>
        <v>0</v>
      </c>
      <c r="D985" s="43">
        <f>VLOOKUP(A985,Database!F:H,2,)</f>
        <v>2644000</v>
      </c>
      <c r="E985" s="43">
        <f t="shared" si="31"/>
        <v>75000</v>
      </c>
    </row>
    <row r="986" spans="1:5" x14ac:dyDescent="0.2">
      <c r="A986" s="42">
        <v>31346</v>
      </c>
      <c r="B986" s="43">
        <f>VLOOKUP(A986,Database!F:H,3,)</f>
        <v>418000</v>
      </c>
      <c r="C986" s="43">
        <f t="shared" si="30"/>
        <v>18000</v>
      </c>
      <c r="D986" s="43">
        <f>VLOOKUP(A986,Database!F:H,2,)</f>
        <v>2657000</v>
      </c>
      <c r="E986" s="43">
        <f t="shared" si="31"/>
        <v>13000</v>
      </c>
    </row>
    <row r="987" spans="1:5" x14ac:dyDescent="0.2">
      <c r="A987" s="42">
        <v>31353</v>
      </c>
      <c r="B987" s="43">
        <f>VLOOKUP(A987,Database!F:H,3,)</f>
        <v>398000</v>
      </c>
      <c r="C987" s="43">
        <f t="shared" si="30"/>
        <v>-20000</v>
      </c>
      <c r="D987" s="43">
        <f>VLOOKUP(A987,Database!F:H,2,)</f>
        <v>2673000</v>
      </c>
      <c r="E987" s="43">
        <f t="shared" si="31"/>
        <v>16000</v>
      </c>
    </row>
    <row r="988" spans="1:5" x14ac:dyDescent="0.2">
      <c r="A988" s="42">
        <v>31360</v>
      </c>
      <c r="B988" s="43">
        <f>VLOOKUP(A988,Database!F:H,3,)</f>
        <v>397000</v>
      </c>
      <c r="C988" s="43">
        <f t="shared" si="30"/>
        <v>-1000</v>
      </c>
      <c r="D988" s="43">
        <f>VLOOKUP(A988,Database!F:H,2,)</f>
        <v>2612000</v>
      </c>
      <c r="E988" s="43">
        <f t="shared" si="31"/>
        <v>-61000</v>
      </c>
    </row>
    <row r="989" spans="1:5" x14ac:dyDescent="0.2">
      <c r="A989" s="42">
        <v>31367</v>
      </c>
      <c r="B989" s="43">
        <f>VLOOKUP(A989,Database!F:H,3,)</f>
        <v>397000</v>
      </c>
      <c r="C989" s="43">
        <f t="shared" si="30"/>
        <v>0</v>
      </c>
      <c r="D989" s="43">
        <f>VLOOKUP(A989,Database!F:H,2,)</f>
        <v>2618000</v>
      </c>
      <c r="E989" s="43">
        <f t="shared" si="31"/>
        <v>6000</v>
      </c>
    </row>
    <row r="990" spans="1:5" x14ac:dyDescent="0.2">
      <c r="A990" s="42">
        <v>31374</v>
      </c>
      <c r="B990" s="43">
        <f>VLOOKUP(A990,Database!F:H,3,)</f>
        <v>382000</v>
      </c>
      <c r="C990" s="43">
        <f t="shared" si="30"/>
        <v>-15000</v>
      </c>
      <c r="D990" s="43">
        <f>VLOOKUP(A990,Database!F:H,2,)</f>
        <v>2585000</v>
      </c>
      <c r="E990" s="43">
        <f t="shared" si="31"/>
        <v>-33000</v>
      </c>
    </row>
    <row r="991" spans="1:5" x14ac:dyDescent="0.2">
      <c r="A991" s="42">
        <v>31381</v>
      </c>
      <c r="B991" s="43">
        <f>VLOOKUP(A991,Database!F:H,3,)</f>
        <v>393000</v>
      </c>
      <c r="C991" s="43">
        <f t="shared" si="30"/>
        <v>11000</v>
      </c>
      <c r="D991" s="43">
        <f>VLOOKUP(A991,Database!F:H,2,)</f>
        <v>2638000</v>
      </c>
      <c r="E991" s="43">
        <f t="shared" si="31"/>
        <v>53000</v>
      </c>
    </row>
    <row r="992" spans="1:5" x14ac:dyDescent="0.2">
      <c r="A992" s="42">
        <v>31388</v>
      </c>
      <c r="B992" s="43">
        <f>VLOOKUP(A992,Database!F:H,3,)</f>
        <v>399000</v>
      </c>
      <c r="C992" s="43">
        <f t="shared" si="30"/>
        <v>6000</v>
      </c>
      <c r="D992" s="43">
        <f>VLOOKUP(A992,Database!F:H,2,)</f>
        <v>2744000</v>
      </c>
      <c r="E992" s="43">
        <f t="shared" si="31"/>
        <v>106000</v>
      </c>
    </row>
    <row r="993" spans="1:5" x14ac:dyDescent="0.2">
      <c r="A993" s="42">
        <v>31395</v>
      </c>
      <c r="B993" s="43">
        <f>VLOOKUP(A993,Database!F:H,3,)</f>
        <v>382000</v>
      </c>
      <c r="C993" s="43">
        <f t="shared" si="30"/>
        <v>-17000</v>
      </c>
      <c r="D993" s="43">
        <f>VLOOKUP(A993,Database!F:H,2,)</f>
        <v>2680000</v>
      </c>
      <c r="E993" s="43">
        <f t="shared" si="31"/>
        <v>-64000</v>
      </c>
    </row>
    <row r="994" spans="1:5" x14ac:dyDescent="0.2">
      <c r="A994" s="42">
        <v>31402</v>
      </c>
      <c r="B994" s="43">
        <f>VLOOKUP(A994,Database!F:H,3,)</f>
        <v>370000</v>
      </c>
      <c r="C994" s="43">
        <f t="shared" si="30"/>
        <v>-12000</v>
      </c>
      <c r="D994" s="43">
        <f>VLOOKUP(A994,Database!F:H,2,)</f>
        <v>2543000</v>
      </c>
      <c r="E994" s="43">
        <f t="shared" si="31"/>
        <v>-137000</v>
      </c>
    </row>
    <row r="995" spans="1:5" x14ac:dyDescent="0.2">
      <c r="A995" s="42">
        <v>31409</v>
      </c>
      <c r="B995" s="43">
        <f>VLOOKUP(A995,Database!F:H,3,)</f>
        <v>390000</v>
      </c>
      <c r="C995" s="43">
        <f t="shared" si="30"/>
        <v>20000</v>
      </c>
      <c r="D995" s="43">
        <f>VLOOKUP(A995,Database!F:H,2,)</f>
        <v>2608000</v>
      </c>
      <c r="E995" s="43">
        <f t="shared" si="31"/>
        <v>65000</v>
      </c>
    </row>
    <row r="996" spans="1:5" x14ac:dyDescent="0.2">
      <c r="A996" s="42">
        <v>31416</v>
      </c>
      <c r="B996" s="43">
        <f>VLOOKUP(A996,Database!F:H,3,)</f>
        <v>362000</v>
      </c>
      <c r="C996" s="43">
        <f t="shared" si="30"/>
        <v>-28000</v>
      </c>
      <c r="D996" s="43">
        <f>VLOOKUP(A996,Database!F:H,2,)</f>
        <v>2694000</v>
      </c>
      <c r="E996" s="43">
        <f t="shared" si="31"/>
        <v>86000</v>
      </c>
    </row>
    <row r="997" spans="1:5" x14ac:dyDescent="0.2">
      <c r="A997" s="42">
        <v>31423</v>
      </c>
      <c r="B997" s="43">
        <f>VLOOKUP(A997,Database!F:H,3,)</f>
        <v>397000</v>
      </c>
      <c r="C997" s="43">
        <f t="shared" si="30"/>
        <v>35000</v>
      </c>
      <c r="D997" s="43">
        <f>VLOOKUP(A997,Database!F:H,2,)</f>
        <v>2636000</v>
      </c>
      <c r="E997" s="43">
        <f t="shared" si="31"/>
        <v>-58000</v>
      </c>
    </row>
    <row r="998" spans="1:5" x14ac:dyDescent="0.2">
      <c r="A998" s="42">
        <v>31430</v>
      </c>
      <c r="B998" s="43">
        <f>VLOOKUP(A998,Database!F:H,3,)</f>
        <v>364000</v>
      </c>
      <c r="C998" s="43">
        <f t="shared" si="30"/>
        <v>-33000</v>
      </c>
      <c r="D998" s="43">
        <f>VLOOKUP(A998,Database!F:H,2,)</f>
        <v>2516000</v>
      </c>
      <c r="E998" s="43">
        <f t="shared" si="31"/>
        <v>-120000</v>
      </c>
    </row>
    <row r="999" spans="1:5" x14ac:dyDescent="0.2">
      <c r="A999" s="42">
        <v>31437</v>
      </c>
      <c r="B999" s="43">
        <f>VLOOKUP(A999,Database!F:H,3,)</f>
        <v>344000</v>
      </c>
      <c r="C999" s="43">
        <f t="shared" si="30"/>
        <v>-20000</v>
      </c>
      <c r="D999" s="43">
        <f>VLOOKUP(A999,Database!F:H,2,)</f>
        <v>2570000</v>
      </c>
      <c r="E999" s="43">
        <f t="shared" si="31"/>
        <v>54000</v>
      </c>
    </row>
    <row r="1000" spans="1:5" x14ac:dyDescent="0.2">
      <c r="A1000" s="42">
        <v>31444</v>
      </c>
      <c r="B1000" s="43">
        <f>VLOOKUP(A1000,Database!F:H,3,)</f>
        <v>364000</v>
      </c>
      <c r="C1000" s="43">
        <f t="shared" si="30"/>
        <v>20000</v>
      </c>
      <c r="D1000" s="43">
        <f>VLOOKUP(A1000,Database!F:H,2,)</f>
        <v>2531000</v>
      </c>
      <c r="E1000" s="43">
        <f t="shared" si="31"/>
        <v>-39000</v>
      </c>
    </row>
    <row r="1001" spans="1:5" x14ac:dyDescent="0.2">
      <c r="A1001" s="42">
        <v>31451</v>
      </c>
      <c r="B1001" s="43">
        <f>VLOOKUP(A1001,Database!F:H,3,)</f>
        <v>366000</v>
      </c>
      <c r="C1001" s="43">
        <f t="shared" si="30"/>
        <v>2000</v>
      </c>
      <c r="D1001" s="43">
        <f>VLOOKUP(A1001,Database!F:H,2,)</f>
        <v>2548000</v>
      </c>
      <c r="E1001" s="43">
        <f t="shared" si="31"/>
        <v>17000</v>
      </c>
    </row>
    <row r="1002" spans="1:5" x14ac:dyDescent="0.2">
      <c r="A1002" s="42">
        <v>31458</v>
      </c>
      <c r="B1002" s="43">
        <f>VLOOKUP(A1002,Database!F:H,3,)</f>
        <v>358000</v>
      </c>
      <c r="C1002" s="43">
        <f t="shared" si="30"/>
        <v>-8000</v>
      </c>
      <c r="D1002" s="43">
        <f>VLOOKUP(A1002,Database!F:H,2,)</f>
        <v>2569000</v>
      </c>
      <c r="E1002" s="43">
        <f t="shared" si="31"/>
        <v>21000</v>
      </c>
    </row>
    <row r="1003" spans="1:5" x14ac:dyDescent="0.2">
      <c r="A1003" s="42">
        <v>31465</v>
      </c>
      <c r="B1003" s="43">
        <f>VLOOKUP(A1003,Database!F:H,3,)</f>
        <v>390000</v>
      </c>
      <c r="C1003" s="43">
        <f t="shared" si="30"/>
        <v>32000</v>
      </c>
      <c r="D1003" s="43">
        <f>VLOOKUP(A1003,Database!F:H,2,)</f>
        <v>2626000</v>
      </c>
      <c r="E1003" s="43">
        <f t="shared" si="31"/>
        <v>57000</v>
      </c>
    </row>
    <row r="1004" spans="1:5" x14ac:dyDescent="0.2">
      <c r="A1004" s="42">
        <v>31472</v>
      </c>
      <c r="B1004" s="43">
        <f>VLOOKUP(A1004,Database!F:H,3,)</f>
        <v>375000</v>
      </c>
      <c r="C1004" s="43">
        <f t="shared" si="30"/>
        <v>-15000</v>
      </c>
      <c r="D1004" s="43">
        <f>VLOOKUP(A1004,Database!F:H,2,)</f>
        <v>2570000</v>
      </c>
      <c r="E1004" s="43">
        <f t="shared" si="31"/>
        <v>-56000</v>
      </c>
    </row>
    <row r="1005" spans="1:5" x14ac:dyDescent="0.2">
      <c r="A1005" s="42">
        <v>31479</v>
      </c>
      <c r="B1005" s="43">
        <f>VLOOKUP(A1005,Database!F:H,3,)</f>
        <v>366000</v>
      </c>
      <c r="C1005" s="43">
        <f t="shared" si="30"/>
        <v>-9000</v>
      </c>
      <c r="D1005" s="43">
        <f>VLOOKUP(A1005,Database!F:H,2,)</f>
        <v>2603000</v>
      </c>
      <c r="E1005" s="43">
        <f t="shared" si="31"/>
        <v>33000</v>
      </c>
    </row>
    <row r="1006" spans="1:5" x14ac:dyDescent="0.2">
      <c r="A1006" s="42">
        <v>31486</v>
      </c>
      <c r="B1006" s="43">
        <f>VLOOKUP(A1006,Database!F:H,3,)</f>
        <v>382000</v>
      </c>
      <c r="C1006" s="43">
        <f t="shared" si="30"/>
        <v>16000</v>
      </c>
      <c r="D1006" s="43">
        <f>VLOOKUP(A1006,Database!F:H,2,)</f>
        <v>2589000</v>
      </c>
      <c r="E1006" s="43">
        <f t="shared" si="31"/>
        <v>-14000</v>
      </c>
    </row>
    <row r="1007" spans="1:5" x14ac:dyDescent="0.2">
      <c r="A1007" s="42">
        <v>31493</v>
      </c>
      <c r="B1007" s="43">
        <f>VLOOKUP(A1007,Database!F:H,3,)</f>
        <v>387000</v>
      </c>
      <c r="C1007" s="43">
        <f t="shared" si="30"/>
        <v>5000</v>
      </c>
      <c r="D1007" s="43">
        <f>VLOOKUP(A1007,Database!F:H,2,)</f>
        <v>2592000</v>
      </c>
      <c r="E1007" s="43">
        <f t="shared" si="31"/>
        <v>3000</v>
      </c>
    </row>
    <row r="1008" spans="1:5" x14ac:dyDescent="0.2">
      <c r="A1008" s="42">
        <v>31500</v>
      </c>
      <c r="B1008" s="43">
        <f>VLOOKUP(A1008,Database!F:H,3,)</f>
        <v>396000</v>
      </c>
      <c r="C1008" s="43">
        <f t="shared" si="30"/>
        <v>9000</v>
      </c>
      <c r="D1008" s="43">
        <f>VLOOKUP(A1008,Database!F:H,2,)</f>
        <v>2614000</v>
      </c>
      <c r="E1008" s="43">
        <f t="shared" si="31"/>
        <v>22000</v>
      </c>
    </row>
    <row r="1009" spans="1:5" x14ac:dyDescent="0.2">
      <c r="A1009" s="42">
        <v>31507</v>
      </c>
      <c r="B1009" s="43">
        <f>VLOOKUP(A1009,Database!F:H,3,)</f>
        <v>381000</v>
      </c>
      <c r="C1009" s="43">
        <f t="shared" si="30"/>
        <v>-15000</v>
      </c>
      <c r="D1009" s="43">
        <f>VLOOKUP(A1009,Database!F:H,2,)</f>
        <v>2625000</v>
      </c>
      <c r="E1009" s="43">
        <f t="shared" si="31"/>
        <v>11000</v>
      </c>
    </row>
    <row r="1010" spans="1:5" x14ac:dyDescent="0.2">
      <c r="A1010" s="42">
        <v>31514</v>
      </c>
      <c r="B1010" s="43">
        <f>VLOOKUP(A1010,Database!F:H,3,)</f>
        <v>388000</v>
      </c>
      <c r="C1010" s="43">
        <f t="shared" si="30"/>
        <v>7000</v>
      </c>
      <c r="D1010" s="43">
        <f>VLOOKUP(A1010,Database!F:H,2,)</f>
        <v>2570000</v>
      </c>
      <c r="E1010" s="43">
        <f t="shared" si="31"/>
        <v>-55000</v>
      </c>
    </row>
    <row r="1011" spans="1:5" x14ac:dyDescent="0.2">
      <c r="A1011" s="42">
        <v>31521</v>
      </c>
      <c r="B1011" s="43">
        <f>VLOOKUP(A1011,Database!F:H,3,)</f>
        <v>383000</v>
      </c>
      <c r="C1011" s="43">
        <f t="shared" si="30"/>
        <v>-5000</v>
      </c>
      <c r="D1011" s="43">
        <f>VLOOKUP(A1011,Database!F:H,2,)</f>
        <v>2613000</v>
      </c>
      <c r="E1011" s="43">
        <f t="shared" si="31"/>
        <v>43000</v>
      </c>
    </row>
    <row r="1012" spans="1:5" x14ac:dyDescent="0.2">
      <c r="A1012" s="42">
        <v>31528</v>
      </c>
      <c r="B1012" s="43">
        <f>VLOOKUP(A1012,Database!F:H,3,)</f>
        <v>391000</v>
      </c>
      <c r="C1012" s="43">
        <f t="shared" si="30"/>
        <v>8000</v>
      </c>
      <c r="D1012" s="43">
        <f>VLOOKUP(A1012,Database!F:H,2,)</f>
        <v>2627000</v>
      </c>
      <c r="E1012" s="43">
        <f t="shared" si="31"/>
        <v>14000</v>
      </c>
    </row>
    <row r="1013" spans="1:5" x14ac:dyDescent="0.2">
      <c r="A1013" s="42">
        <v>31535</v>
      </c>
      <c r="B1013" s="43">
        <f>VLOOKUP(A1013,Database!F:H,3,)</f>
        <v>392000</v>
      </c>
      <c r="C1013" s="43">
        <f t="shared" si="30"/>
        <v>1000</v>
      </c>
      <c r="D1013" s="43">
        <f>VLOOKUP(A1013,Database!F:H,2,)</f>
        <v>2670000</v>
      </c>
      <c r="E1013" s="43">
        <f t="shared" si="31"/>
        <v>43000</v>
      </c>
    </row>
    <row r="1014" spans="1:5" x14ac:dyDescent="0.2">
      <c r="A1014" s="42">
        <v>31542</v>
      </c>
      <c r="B1014" s="43">
        <f>VLOOKUP(A1014,Database!F:H,3,)</f>
        <v>395000</v>
      </c>
      <c r="C1014" s="43">
        <f t="shared" si="30"/>
        <v>3000</v>
      </c>
      <c r="D1014" s="43">
        <f>VLOOKUP(A1014,Database!F:H,2,)</f>
        <v>2670000</v>
      </c>
      <c r="E1014" s="43">
        <f t="shared" si="31"/>
        <v>0</v>
      </c>
    </row>
    <row r="1015" spans="1:5" x14ac:dyDescent="0.2">
      <c r="A1015" s="42">
        <v>31549</v>
      </c>
      <c r="B1015" s="43">
        <f>VLOOKUP(A1015,Database!F:H,3,)</f>
        <v>384000</v>
      </c>
      <c r="C1015" s="43">
        <f t="shared" si="30"/>
        <v>-11000</v>
      </c>
      <c r="D1015" s="43">
        <f>VLOOKUP(A1015,Database!F:H,2,)</f>
        <v>2669000</v>
      </c>
      <c r="E1015" s="43">
        <f t="shared" si="31"/>
        <v>-1000</v>
      </c>
    </row>
    <row r="1016" spans="1:5" x14ac:dyDescent="0.2">
      <c r="A1016" s="42">
        <v>31556</v>
      </c>
      <c r="B1016" s="43">
        <f>VLOOKUP(A1016,Database!F:H,3,)</f>
        <v>386000</v>
      </c>
      <c r="C1016" s="43">
        <f t="shared" si="30"/>
        <v>2000</v>
      </c>
      <c r="D1016" s="43">
        <f>VLOOKUP(A1016,Database!F:H,2,)</f>
        <v>2638000</v>
      </c>
      <c r="E1016" s="43">
        <f t="shared" si="31"/>
        <v>-31000</v>
      </c>
    </row>
    <row r="1017" spans="1:5" x14ac:dyDescent="0.2">
      <c r="A1017" s="42">
        <v>31563</v>
      </c>
      <c r="B1017" s="43">
        <f>VLOOKUP(A1017,Database!F:H,3,)</f>
        <v>373000</v>
      </c>
      <c r="C1017" s="43">
        <f t="shared" si="30"/>
        <v>-13000</v>
      </c>
      <c r="D1017" s="43">
        <f>VLOOKUP(A1017,Database!F:H,2,)</f>
        <v>2708000</v>
      </c>
      <c r="E1017" s="43">
        <f t="shared" si="31"/>
        <v>70000</v>
      </c>
    </row>
    <row r="1018" spans="1:5" x14ac:dyDescent="0.2">
      <c r="A1018" s="42">
        <v>31570</v>
      </c>
      <c r="B1018" s="43">
        <f>VLOOKUP(A1018,Database!F:H,3,)</f>
        <v>375000</v>
      </c>
      <c r="C1018" s="43">
        <f t="shared" si="30"/>
        <v>2000</v>
      </c>
      <c r="D1018" s="43">
        <f>VLOOKUP(A1018,Database!F:H,2,)</f>
        <v>2653000</v>
      </c>
      <c r="E1018" s="43">
        <f t="shared" si="31"/>
        <v>-55000</v>
      </c>
    </row>
    <row r="1019" spans="1:5" x14ac:dyDescent="0.2">
      <c r="A1019" s="42">
        <v>31577</v>
      </c>
      <c r="B1019" s="43">
        <f>VLOOKUP(A1019,Database!F:H,3,)</f>
        <v>369000</v>
      </c>
      <c r="C1019" s="43">
        <f t="shared" si="30"/>
        <v>-6000</v>
      </c>
      <c r="D1019" s="43">
        <f>VLOOKUP(A1019,Database!F:H,2,)</f>
        <v>2644000</v>
      </c>
      <c r="E1019" s="43">
        <f t="shared" si="31"/>
        <v>-9000</v>
      </c>
    </row>
    <row r="1020" spans="1:5" x14ac:dyDescent="0.2">
      <c r="A1020" s="42">
        <v>31584</v>
      </c>
      <c r="B1020" s="43">
        <f>VLOOKUP(A1020,Database!F:H,3,)</f>
        <v>367000</v>
      </c>
      <c r="C1020" s="43">
        <f t="shared" si="30"/>
        <v>-2000</v>
      </c>
      <c r="D1020" s="43">
        <f>VLOOKUP(A1020,Database!F:H,2,)</f>
        <v>2637000</v>
      </c>
      <c r="E1020" s="43">
        <f t="shared" si="31"/>
        <v>-7000</v>
      </c>
    </row>
    <row r="1021" spans="1:5" x14ac:dyDescent="0.2">
      <c r="A1021" s="42">
        <v>31591</v>
      </c>
      <c r="B1021" s="43">
        <f>VLOOKUP(A1021,Database!F:H,3,)</f>
        <v>371000</v>
      </c>
      <c r="C1021" s="43">
        <f t="shared" si="30"/>
        <v>4000</v>
      </c>
      <c r="D1021" s="43">
        <f>VLOOKUP(A1021,Database!F:H,2,)</f>
        <v>2606000</v>
      </c>
      <c r="E1021" s="43">
        <f t="shared" si="31"/>
        <v>-31000</v>
      </c>
    </row>
    <row r="1022" spans="1:5" x14ac:dyDescent="0.2">
      <c r="A1022" s="42">
        <v>31598</v>
      </c>
      <c r="B1022" s="43">
        <f>VLOOKUP(A1022,Database!F:H,3,)</f>
        <v>371000</v>
      </c>
      <c r="C1022" s="43">
        <f t="shared" si="30"/>
        <v>0</v>
      </c>
      <c r="D1022" s="43">
        <f>VLOOKUP(A1022,Database!F:H,2,)</f>
        <v>2669000</v>
      </c>
      <c r="E1022" s="43">
        <f t="shared" si="31"/>
        <v>63000</v>
      </c>
    </row>
    <row r="1023" spans="1:5" x14ac:dyDescent="0.2">
      <c r="A1023" s="42">
        <v>31605</v>
      </c>
      <c r="B1023" s="43">
        <f>VLOOKUP(A1023,Database!F:H,3,)</f>
        <v>361000</v>
      </c>
      <c r="C1023" s="43">
        <f t="shared" si="30"/>
        <v>-10000</v>
      </c>
      <c r="D1023" s="43">
        <f>VLOOKUP(A1023,Database!F:H,2,)</f>
        <v>2552000</v>
      </c>
      <c r="E1023" s="43">
        <f t="shared" si="31"/>
        <v>-117000</v>
      </c>
    </row>
    <row r="1024" spans="1:5" x14ac:dyDescent="0.2">
      <c r="A1024" s="42">
        <v>31612</v>
      </c>
      <c r="B1024" s="43">
        <f>VLOOKUP(A1024,Database!F:H,3,)</f>
        <v>354000</v>
      </c>
      <c r="C1024" s="43">
        <f t="shared" si="30"/>
        <v>-7000</v>
      </c>
      <c r="D1024" s="43">
        <f>VLOOKUP(A1024,Database!F:H,2,)</f>
        <v>2593000</v>
      </c>
      <c r="E1024" s="43">
        <f t="shared" si="31"/>
        <v>41000</v>
      </c>
    </row>
    <row r="1025" spans="1:5" x14ac:dyDescent="0.2">
      <c r="A1025" s="42">
        <v>31619</v>
      </c>
      <c r="B1025" s="43">
        <f>VLOOKUP(A1025,Database!F:H,3,)</f>
        <v>362000</v>
      </c>
      <c r="C1025" s="43">
        <f t="shared" si="30"/>
        <v>8000</v>
      </c>
      <c r="D1025" s="43">
        <f>VLOOKUP(A1025,Database!F:H,2,)</f>
        <v>2618000</v>
      </c>
      <c r="E1025" s="43">
        <f t="shared" si="31"/>
        <v>25000</v>
      </c>
    </row>
    <row r="1026" spans="1:5" x14ac:dyDescent="0.2">
      <c r="A1026" s="42">
        <v>31626</v>
      </c>
      <c r="B1026" s="43">
        <f>VLOOKUP(A1026,Database!F:H,3,)</f>
        <v>416000</v>
      </c>
      <c r="C1026" s="43">
        <f t="shared" si="30"/>
        <v>54000</v>
      </c>
      <c r="D1026" s="43">
        <f>VLOOKUP(A1026,Database!F:H,2,)</f>
        <v>2583000</v>
      </c>
      <c r="E1026" s="43">
        <f t="shared" si="31"/>
        <v>-35000</v>
      </c>
    </row>
    <row r="1027" spans="1:5" x14ac:dyDescent="0.2">
      <c r="A1027" s="42">
        <v>31633</v>
      </c>
      <c r="B1027" s="43">
        <f>VLOOKUP(A1027,Database!F:H,3,)</f>
        <v>416000</v>
      </c>
      <c r="C1027" s="43">
        <f t="shared" si="30"/>
        <v>0</v>
      </c>
      <c r="D1027" s="43">
        <f>VLOOKUP(A1027,Database!F:H,2,)</f>
        <v>2686000</v>
      </c>
      <c r="E1027" s="43">
        <f t="shared" si="31"/>
        <v>103000</v>
      </c>
    </row>
    <row r="1028" spans="1:5" x14ac:dyDescent="0.2">
      <c r="A1028" s="42">
        <v>31640</v>
      </c>
      <c r="B1028" s="43">
        <f>VLOOKUP(A1028,Database!F:H,3,)</f>
        <v>407000</v>
      </c>
      <c r="C1028" s="43">
        <f t="shared" si="30"/>
        <v>-9000</v>
      </c>
      <c r="D1028" s="43">
        <f>VLOOKUP(A1028,Database!F:H,2,)</f>
        <v>2658000</v>
      </c>
      <c r="E1028" s="43">
        <f t="shared" si="31"/>
        <v>-28000</v>
      </c>
    </row>
    <row r="1029" spans="1:5" x14ac:dyDescent="0.2">
      <c r="A1029" s="42">
        <v>31647</v>
      </c>
      <c r="B1029" s="43">
        <f>VLOOKUP(A1029,Database!F:H,3,)</f>
        <v>397000</v>
      </c>
      <c r="C1029" s="43">
        <f t="shared" si="30"/>
        <v>-10000</v>
      </c>
      <c r="D1029" s="43">
        <f>VLOOKUP(A1029,Database!F:H,2,)</f>
        <v>2687000</v>
      </c>
      <c r="E1029" s="43">
        <f t="shared" si="31"/>
        <v>29000</v>
      </c>
    </row>
    <row r="1030" spans="1:5" x14ac:dyDescent="0.2">
      <c r="A1030" s="42">
        <v>31654</v>
      </c>
      <c r="B1030" s="43">
        <f>VLOOKUP(A1030,Database!F:H,3,)</f>
        <v>401000</v>
      </c>
      <c r="C1030" s="43">
        <f t="shared" si="30"/>
        <v>4000</v>
      </c>
      <c r="D1030" s="43">
        <f>VLOOKUP(A1030,Database!F:H,2,)</f>
        <v>2664000</v>
      </c>
      <c r="E1030" s="43">
        <f t="shared" si="31"/>
        <v>-23000</v>
      </c>
    </row>
    <row r="1031" spans="1:5" x14ac:dyDescent="0.2">
      <c r="A1031" s="42">
        <v>31661</v>
      </c>
      <c r="B1031" s="43">
        <f>VLOOKUP(A1031,Database!F:H,3,)</f>
        <v>400000</v>
      </c>
      <c r="C1031" s="43">
        <f t="shared" si="30"/>
        <v>-1000</v>
      </c>
      <c r="D1031" s="43">
        <f>VLOOKUP(A1031,Database!F:H,2,)</f>
        <v>2756000</v>
      </c>
      <c r="E1031" s="43">
        <f t="shared" si="31"/>
        <v>92000</v>
      </c>
    </row>
    <row r="1032" spans="1:5" x14ac:dyDescent="0.2">
      <c r="A1032" s="42">
        <v>31668</v>
      </c>
      <c r="B1032" s="43">
        <f>VLOOKUP(A1032,Database!F:H,3,)</f>
        <v>394000</v>
      </c>
      <c r="C1032" s="43">
        <f t="shared" ref="C1032:C1095" si="32">B1032-B1031</f>
        <v>-6000</v>
      </c>
      <c r="D1032" s="43">
        <f>VLOOKUP(A1032,Database!F:H,2,)</f>
        <v>2671000</v>
      </c>
      <c r="E1032" s="43">
        <f t="shared" ref="E1032:E1095" si="33">D1032-D1031</f>
        <v>-85000</v>
      </c>
    </row>
    <row r="1033" spans="1:5" x14ac:dyDescent="0.2">
      <c r="A1033" s="42">
        <v>31675</v>
      </c>
      <c r="B1033" s="43">
        <f>VLOOKUP(A1033,Database!F:H,3,)</f>
        <v>399000</v>
      </c>
      <c r="C1033" s="43">
        <f t="shared" si="32"/>
        <v>5000</v>
      </c>
      <c r="D1033" s="43">
        <f>VLOOKUP(A1033,Database!F:H,2,)</f>
        <v>2703000</v>
      </c>
      <c r="E1033" s="43">
        <f t="shared" si="33"/>
        <v>32000</v>
      </c>
    </row>
    <row r="1034" spans="1:5" x14ac:dyDescent="0.2">
      <c r="A1034" s="42">
        <v>31682</v>
      </c>
      <c r="B1034" s="43">
        <f>VLOOKUP(A1034,Database!F:H,3,)</f>
        <v>389000</v>
      </c>
      <c r="C1034" s="43">
        <f t="shared" si="32"/>
        <v>-10000</v>
      </c>
      <c r="D1034" s="43">
        <f>VLOOKUP(A1034,Database!F:H,2,)</f>
        <v>2698000</v>
      </c>
      <c r="E1034" s="43">
        <f t="shared" si="33"/>
        <v>-5000</v>
      </c>
    </row>
    <row r="1035" spans="1:5" x14ac:dyDescent="0.2">
      <c r="A1035" s="42">
        <v>31689</v>
      </c>
      <c r="B1035" s="43">
        <f>VLOOKUP(A1035,Database!F:H,3,)</f>
        <v>391000</v>
      </c>
      <c r="C1035" s="43">
        <f t="shared" si="32"/>
        <v>2000</v>
      </c>
      <c r="D1035" s="43">
        <f>VLOOKUP(A1035,Database!F:H,2,)</f>
        <v>2780000</v>
      </c>
      <c r="E1035" s="43">
        <f t="shared" si="33"/>
        <v>82000</v>
      </c>
    </row>
    <row r="1036" spans="1:5" x14ac:dyDescent="0.2">
      <c r="A1036" s="42">
        <v>31696</v>
      </c>
      <c r="B1036" s="43">
        <f>VLOOKUP(A1036,Database!F:H,3,)</f>
        <v>387000</v>
      </c>
      <c r="C1036" s="43">
        <f t="shared" si="32"/>
        <v>-4000</v>
      </c>
      <c r="D1036" s="43">
        <f>VLOOKUP(A1036,Database!F:H,2,)</f>
        <v>2665000</v>
      </c>
      <c r="E1036" s="43">
        <f t="shared" si="33"/>
        <v>-115000</v>
      </c>
    </row>
    <row r="1037" spans="1:5" x14ac:dyDescent="0.2">
      <c r="A1037" s="42">
        <v>31703</v>
      </c>
      <c r="B1037" s="43">
        <f>VLOOKUP(A1037,Database!F:H,3,)</f>
        <v>385000</v>
      </c>
      <c r="C1037" s="43">
        <f t="shared" si="32"/>
        <v>-2000</v>
      </c>
      <c r="D1037" s="43">
        <f>VLOOKUP(A1037,Database!F:H,2,)</f>
        <v>2723000</v>
      </c>
      <c r="E1037" s="43">
        <f t="shared" si="33"/>
        <v>58000</v>
      </c>
    </row>
    <row r="1038" spans="1:5" x14ac:dyDescent="0.2">
      <c r="A1038" s="42">
        <v>31710</v>
      </c>
      <c r="B1038" s="43">
        <f>VLOOKUP(A1038,Database!F:H,3,)</f>
        <v>370000</v>
      </c>
      <c r="C1038" s="43">
        <f t="shared" si="32"/>
        <v>-15000</v>
      </c>
      <c r="D1038" s="43">
        <f>VLOOKUP(A1038,Database!F:H,2,)</f>
        <v>2707000</v>
      </c>
      <c r="E1038" s="43">
        <f t="shared" si="33"/>
        <v>-16000</v>
      </c>
    </row>
    <row r="1039" spans="1:5" x14ac:dyDescent="0.2">
      <c r="A1039" s="42">
        <v>31717</v>
      </c>
      <c r="B1039" s="43">
        <f>VLOOKUP(A1039,Database!F:H,3,)</f>
        <v>364000</v>
      </c>
      <c r="C1039" s="43">
        <f t="shared" si="32"/>
        <v>-6000</v>
      </c>
      <c r="D1039" s="43">
        <f>VLOOKUP(A1039,Database!F:H,2,)</f>
        <v>2646000</v>
      </c>
      <c r="E1039" s="43">
        <f t="shared" si="33"/>
        <v>-61000</v>
      </c>
    </row>
    <row r="1040" spans="1:5" x14ac:dyDescent="0.2">
      <c r="A1040" s="42">
        <v>31724</v>
      </c>
      <c r="B1040" s="43">
        <f>VLOOKUP(A1040,Database!F:H,3,)</f>
        <v>349000</v>
      </c>
      <c r="C1040" s="43">
        <f t="shared" si="32"/>
        <v>-15000</v>
      </c>
      <c r="D1040" s="43">
        <f>VLOOKUP(A1040,Database!F:H,2,)</f>
        <v>2614000</v>
      </c>
      <c r="E1040" s="43">
        <f t="shared" si="33"/>
        <v>-32000</v>
      </c>
    </row>
    <row r="1041" spans="1:5" x14ac:dyDescent="0.2">
      <c r="A1041" s="42">
        <v>31731</v>
      </c>
      <c r="B1041" s="43">
        <f>VLOOKUP(A1041,Database!F:H,3,)</f>
        <v>368000</v>
      </c>
      <c r="C1041" s="43">
        <f t="shared" si="32"/>
        <v>19000</v>
      </c>
      <c r="D1041" s="43">
        <f>VLOOKUP(A1041,Database!F:H,2,)</f>
        <v>2653000</v>
      </c>
      <c r="E1041" s="43">
        <f t="shared" si="33"/>
        <v>39000</v>
      </c>
    </row>
    <row r="1042" spans="1:5" x14ac:dyDescent="0.2">
      <c r="A1042" s="42">
        <v>31738</v>
      </c>
      <c r="B1042" s="43">
        <f>VLOOKUP(A1042,Database!F:H,3,)</f>
        <v>369000</v>
      </c>
      <c r="C1042" s="43">
        <f t="shared" si="32"/>
        <v>1000</v>
      </c>
      <c r="D1042" s="43">
        <f>VLOOKUP(A1042,Database!F:H,2,)</f>
        <v>2555000</v>
      </c>
      <c r="E1042" s="43">
        <f t="shared" si="33"/>
        <v>-98000</v>
      </c>
    </row>
    <row r="1043" spans="1:5" x14ac:dyDescent="0.2">
      <c r="A1043" s="42">
        <v>31745</v>
      </c>
      <c r="B1043" s="43">
        <f>VLOOKUP(A1043,Database!F:H,3,)</f>
        <v>366000</v>
      </c>
      <c r="C1043" s="43">
        <f t="shared" si="32"/>
        <v>-3000</v>
      </c>
      <c r="D1043" s="43">
        <f>VLOOKUP(A1043,Database!F:H,2,)</f>
        <v>2686000</v>
      </c>
      <c r="E1043" s="43">
        <f t="shared" si="33"/>
        <v>131000</v>
      </c>
    </row>
    <row r="1044" spans="1:5" x14ac:dyDescent="0.2">
      <c r="A1044" s="42">
        <v>31752</v>
      </c>
      <c r="B1044" s="43">
        <f>VLOOKUP(A1044,Database!F:H,3,)</f>
        <v>363000</v>
      </c>
      <c r="C1044" s="43">
        <f t="shared" si="32"/>
        <v>-3000</v>
      </c>
      <c r="D1044" s="43">
        <f>VLOOKUP(A1044,Database!F:H,2,)</f>
        <v>2634000</v>
      </c>
      <c r="E1044" s="43">
        <f t="shared" si="33"/>
        <v>-52000</v>
      </c>
    </row>
    <row r="1045" spans="1:5" x14ac:dyDescent="0.2">
      <c r="A1045" s="42">
        <v>31759</v>
      </c>
      <c r="B1045" s="43">
        <f>VLOOKUP(A1045,Database!F:H,3,)</f>
        <v>375000</v>
      </c>
      <c r="C1045" s="43">
        <f t="shared" si="32"/>
        <v>12000</v>
      </c>
      <c r="D1045" s="43">
        <f>VLOOKUP(A1045,Database!F:H,2,)</f>
        <v>2587000</v>
      </c>
      <c r="E1045" s="43">
        <f t="shared" si="33"/>
        <v>-47000</v>
      </c>
    </row>
    <row r="1046" spans="1:5" x14ac:dyDescent="0.2">
      <c r="A1046" s="42">
        <v>31766</v>
      </c>
      <c r="B1046" s="43">
        <f>VLOOKUP(A1046,Database!F:H,3,)</f>
        <v>350000</v>
      </c>
      <c r="C1046" s="43">
        <f t="shared" si="32"/>
        <v>-25000</v>
      </c>
      <c r="D1046" s="43">
        <f>VLOOKUP(A1046,Database!F:H,2,)</f>
        <v>2499000</v>
      </c>
      <c r="E1046" s="43">
        <f t="shared" si="33"/>
        <v>-88000</v>
      </c>
    </row>
    <row r="1047" spans="1:5" x14ac:dyDescent="0.2">
      <c r="A1047" s="42">
        <v>31773</v>
      </c>
      <c r="B1047" s="43">
        <f>VLOOKUP(A1047,Database!F:H,3,)</f>
        <v>345000</v>
      </c>
      <c r="C1047" s="43">
        <f t="shared" si="32"/>
        <v>-5000</v>
      </c>
      <c r="D1047" s="43">
        <f>VLOOKUP(A1047,Database!F:H,2,)</f>
        <v>2565000</v>
      </c>
      <c r="E1047" s="43">
        <f t="shared" si="33"/>
        <v>66000</v>
      </c>
    </row>
    <row r="1048" spans="1:5" x14ac:dyDescent="0.2">
      <c r="A1048" s="42">
        <v>31780</v>
      </c>
      <c r="B1048" s="43">
        <f>VLOOKUP(A1048,Database!F:H,3,)</f>
        <v>323000</v>
      </c>
      <c r="C1048" s="43">
        <f t="shared" si="32"/>
        <v>-22000</v>
      </c>
      <c r="D1048" s="43">
        <f>VLOOKUP(A1048,Database!F:H,2,)</f>
        <v>2590000</v>
      </c>
      <c r="E1048" s="43">
        <f t="shared" si="33"/>
        <v>25000</v>
      </c>
    </row>
    <row r="1049" spans="1:5" x14ac:dyDescent="0.2">
      <c r="A1049" s="42">
        <v>31787</v>
      </c>
      <c r="B1049" s="43">
        <f>VLOOKUP(A1049,Database!F:H,3,)</f>
        <v>348000</v>
      </c>
      <c r="C1049" s="43">
        <f t="shared" si="32"/>
        <v>25000</v>
      </c>
      <c r="D1049" s="43">
        <f>VLOOKUP(A1049,Database!F:H,2,)</f>
        <v>2508000</v>
      </c>
      <c r="E1049" s="43">
        <f t="shared" si="33"/>
        <v>-82000</v>
      </c>
    </row>
    <row r="1050" spans="1:5" x14ac:dyDescent="0.2">
      <c r="A1050" s="42">
        <v>31794</v>
      </c>
      <c r="B1050" s="43">
        <f>VLOOKUP(A1050,Database!F:H,3,)</f>
        <v>341000</v>
      </c>
      <c r="C1050" s="43">
        <f t="shared" si="32"/>
        <v>-7000</v>
      </c>
      <c r="D1050" s="43">
        <f>VLOOKUP(A1050,Database!F:H,2,)</f>
        <v>2443000</v>
      </c>
      <c r="E1050" s="43">
        <f t="shared" si="33"/>
        <v>-65000</v>
      </c>
    </row>
    <row r="1051" spans="1:5" x14ac:dyDescent="0.2">
      <c r="A1051" s="42">
        <v>31801</v>
      </c>
      <c r="B1051" s="43">
        <f>VLOOKUP(A1051,Database!F:H,3,)</f>
        <v>346000</v>
      </c>
      <c r="C1051" s="43">
        <f t="shared" si="32"/>
        <v>5000</v>
      </c>
      <c r="D1051" s="43">
        <f>VLOOKUP(A1051,Database!F:H,2,)</f>
        <v>2506000</v>
      </c>
      <c r="E1051" s="43">
        <f t="shared" si="33"/>
        <v>63000</v>
      </c>
    </row>
    <row r="1052" spans="1:5" x14ac:dyDescent="0.2">
      <c r="A1052" s="42">
        <v>31808</v>
      </c>
      <c r="B1052" s="43">
        <f>VLOOKUP(A1052,Database!F:H,3,)</f>
        <v>370000</v>
      </c>
      <c r="C1052" s="43">
        <f t="shared" si="32"/>
        <v>24000</v>
      </c>
      <c r="D1052" s="43">
        <f>VLOOKUP(A1052,Database!F:H,2,)</f>
        <v>2515000</v>
      </c>
      <c r="E1052" s="43">
        <f t="shared" si="33"/>
        <v>9000</v>
      </c>
    </row>
    <row r="1053" spans="1:5" x14ac:dyDescent="0.2">
      <c r="A1053" s="42">
        <v>31815</v>
      </c>
      <c r="B1053" s="43">
        <f>VLOOKUP(A1053,Database!F:H,3,)</f>
        <v>368000</v>
      </c>
      <c r="C1053" s="43">
        <f t="shared" si="32"/>
        <v>-2000</v>
      </c>
      <c r="D1053" s="43">
        <f>VLOOKUP(A1053,Database!F:H,2,)</f>
        <v>2496000</v>
      </c>
      <c r="E1053" s="43">
        <f t="shared" si="33"/>
        <v>-19000</v>
      </c>
    </row>
    <row r="1054" spans="1:5" x14ac:dyDescent="0.2">
      <c r="A1054" s="42">
        <v>31822</v>
      </c>
      <c r="B1054" s="43">
        <f>VLOOKUP(A1054,Database!F:H,3,)</f>
        <v>338000</v>
      </c>
      <c r="C1054" s="43">
        <f t="shared" si="32"/>
        <v>-30000</v>
      </c>
      <c r="D1054" s="43">
        <f>VLOOKUP(A1054,Database!F:H,2,)</f>
        <v>2451000</v>
      </c>
      <c r="E1054" s="43">
        <f t="shared" si="33"/>
        <v>-45000</v>
      </c>
    </row>
    <row r="1055" spans="1:5" x14ac:dyDescent="0.2">
      <c r="A1055" s="42">
        <v>31829</v>
      </c>
      <c r="B1055" s="43">
        <f>VLOOKUP(A1055,Database!F:H,3,)</f>
        <v>341000</v>
      </c>
      <c r="C1055" s="43">
        <f t="shared" si="32"/>
        <v>3000</v>
      </c>
      <c r="D1055" s="43">
        <f>VLOOKUP(A1055,Database!F:H,2,)</f>
        <v>2481000</v>
      </c>
      <c r="E1055" s="43">
        <f t="shared" si="33"/>
        <v>30000</v>
      </c>
    </row>
    <row r="1056" spans="1:5" x14ac:dyDescent="0.2">
      <c r="A1056" s="42">
        <v>31836</v>
      </c>
      <c r="B1056" s="43">
        <f>VLOOKUP(A1056,Database!F:H,3,)</f>
        <v>348000</v>
      </c>
      <c r="C1056" s="43">
        <f t="shared" si="32"/>
        <v>7000</v>
      </c>
      <c r="D1056" s="43">
        <f>VLOOKUP(A1056,Database!F:H,2,)</f>
        <v>2460000</v>
      </c>
      <c r="E1056" s="43">
        <f t="shared" si="33"/>
        <v>-21000</v>
      </c>
    </row>
    <row r="1057" spans="1:5" x14ac:dyDescent="0.2">
      <c r="A1057" s="42">
        <v>31843</v>
      </c>
      <c r="B1057" s="43">
        <f>VLOOKUP(A1057,Database!F:H,3,)</f>
        <v>337000</v>
      </c>
      <c r="C1057" s="43">
        <f t="shared" si="32"/>
        <v>-11000</v>
      </c>
      <c r="D1057" s="43">
        <f>VLOOKUP(A1057,Database!F:H,2,)</f>
        <v>2456000</v>
      </c>
      <c r="E1057" s="43">
        <f t="shared" si="33"/>
        <v>-4000</v>
      </c>
    </row>
    <row r="1058" spans="1:5" x14ac:dyDescent="0.2">
      <c r="A1058" s="42">
        <v>31850</v>
      </c>
      <c r="B1058" s="43">
        <f>VLOOKUP(A1058,Database!F:H,3,)</f>
        <v>335000</v>
      </c>
      <c r="C1058" s="43">
        <f t="shared" si="32"/>
        <v>-2000</v>
      </c>
      <c r="D1058" s="43">
        <f>VLOOKUP(A1058,Database!F:H,2,)</f>
        <v>2450000</v>
      </c>
      <c r="E1058" s="43">
        <f t="shared" si="33"/>
        <v>-6000</v>
      </c>
    </row>
    <row r="1059" spans="1:5" x14ac:dyDescent="0.2">
      <c r="A1059" s="42">
        <v>31857</v>
      </c>
      <c r="B1059" s="43">
        <f>VLOOKUP(A1059,Database!F:H,3,)</f>
        <v>335000</v>
      </c>
      <c r="C1059" s="43">
        <f t="shared" si="32"/>
        <v>0</v>
      </c>
      <c r="D1059" s="43">
        <f>VLOOKUP(A1059,Database!F:H,2,)</f>
        <v>2401000</v>
      </c>
      <c r="E1059" s="43">
        <f t="shared" si="33"/>
        <v>-49000</v>
      </c>
    </row>
    <row r="1060" spans="1:5" x14ac:dyDescent="0.2">
      <c r="A1060" s="42">
        <v>31864</v>
      </c>
      <c r="B1060" s="43">
        <f>VLOOKUP(A1060,Database!F:H,3,)</f>
        <v>326000</v>
      </c>
      <c r="C1060" s="43">
        <f t="shared" si="32"/>
        <v>-9000</v>
      </c>
      <c r="D1060" s="43">
        <f>VLOOKUP(A1060,Database!F:H,2,)</f>
        <v>2410000</v>
      </c>
      <c r="E1060" s="43">
        <f t="shared" si="33"/>
        <v>9000</v>
      </c>
    </row>
    <row r="1061" spans="1:5" x14ac:dyDescent="0.2">
      <c r="A1061" s="42">
        <v>31871</v>
      </c>
      <c r="B1061" s="43">
        <f>VLOOKUP(A1061,Database!F:H,3,)</f>
        <v>330000</v>
      </c>
      <c r="C1061" s="43">
        <f t="shared" si="32"/>
        <v>4000</v>
      </c>
      <c r="D1061" s="43">
        <f>VLOOKUP(A1061,Database!F:H,2,)</f>
        <v>2482000</v>
      </c>
      <c r="E1061" s="43">
        <f t="shared" si="33"/>
        <v>72000</v>
      </c>
    </row>
    <row r="1062" spans="1:5" x14ac:dyDescent="0.2">
      <c r="A1062" s="42">
        <v>31878</v>
      </c>
      <c r="B1062" s="43">
        <f>VLOOKUP(A1062,Database!F:H,3,)</f>
        <v>338000</v>
      </c>
      <c r="C1062" s="43">
        <f t="shared" si="32"/>
        <v>8000</v>
      </c>
      <c r="D1062" s="43">
        <f>VLOOKUP(A1062,Database!F:H,2,)</f>
        <v>2366000</v>
      </c>
      <c r="E1062" s="43">
        <f t="shared" si="33"/>
        <v>-116000</v>
      </c>
    </row>
    <row r="1063" spans="1:5" x14ac:dyDescent="0.2">
      <c r="A1063" s="42">
        <v>31885</v>
      </c>
      <c r="B1063" s="43">
        <f>VLOOKUP(A1063,Database!F:H,3,)</f>
        <v>349000</v>
      </c>
      <c r="C1063" s="43">
        <f t="shared" si="32"/>
        <v>11000</v>
      </c>
      <c r="D1063" s="43">
        <f>VLOOKUP(A1063,Database!F:H,2,)</f>
        <v>2410000</v>
      </c>
      <c r="E1063" s="43">
        <f t="shared" si="33"/>
        <v>44000</v>
      </c>
    </row>
    <row r="1064" spans="1:5" x14ac:dyDescent="0.2">
      <c r="A1064" s="42">
        <v>31892</v>
      </c>
      <c r="B1064" s="43">
        <f>VLOOKUP(A1064,Database!F:H,3,)</f>
        <v>328000</v>
      </c>
      <c r="C1064" s="43">
        <f t="shared" si="32"/>
        <v>-21000</v>
      </c>
      <c r="D1064" s="43">
        <f>VLOOKUP(A1064,Database!F:H,2,)</f>
        <v>2386000</v>
      </c>
      <c r="E1064" s="43">
        <f t="shared" si="33"/>
        <v>-24000</v>
      </c>
    </row>
    <row r="1065" spans="1:5" x14ac:dyDescent="0.2">
      <c r="A1065" s="42">
        <v>31899</v>
      </c>
      <c r="B1065" s="43">
        <f>VLOOKUP(A1065,Database!F:H,3,)</f>
        <v>330000</v>
      </c>
      <c r="C1065" s="43">
        <f t="shared" si="32"/>
        <v>2000</v>
      </c>
      <c r="D1065" s="43">
        <f>VLOOKUP(A1065,Database!F:H,2,)</f>
        <v>2302000</v>
      </c>
      <c r="E1065" s="43">
        <f t="shared" si="33"/>
        <v>-84000</v>
      </c>
    </row>
    <row r="1066" spans="1:5" x14ac:dyDescent="0.2">
      <c r="A1066" s="42">
        <v>31906</v>
      </c>
      <c r="B1066" s="43">
        <f>VLOOKUP(A1066,Database!F:H,3,)</f>
        <v>315000</v>
      </c>
      <c r="C1066" s="43">
        <f t="shared" si="32"/>
        <v>-15000</v>
      </c>
      <c r="D1066" s="43">
        <f>VLOOKUP(A1066,Database!F:H,2,)</f>
        <v>2347000</v>
      </c>
      <c r="E1066" s="43">
        <f t="shared" si="33"/>
        <v>45000</v>
      </c>
    </row>
    <row r="1067" spans="1:5" x14ac:dyDescent="0.2">
      <c r="A1067" s="42">
        <v>31913</v>
      </c>
      <c r="B1067" s="43">
        <f>VLOOKUP(A1067,Database!F:H,3,)</f>
        <v>341000</v>
      </c>
      <c r="C1067" s="43">
        <f t="shared" si="32"/>
        <v>26000</v>
      </c>
      <c r="D1067" s="43">
        <f>VLOOKUP(A1067,Database!F:H,2,)</f>
        <v>2326000</v>
      </c>
      <c r="E1067" s="43">
        <f t="shared" si="33"/>
        <v>-21000</v>
      </c>
    </row>
    <row r="1068" spans="1:5" x14ac:dyDescent="0.2">
      <c r="A1068" s="42">
        <v>31920</v>
      </c>
      <c r="B1068" s="43">
        <f>VLOOKUP(A1068,Database!F:H,3,)</f>
        <v>343000</v>
      </c>
      <c r="C1068" s="43">
        <f t="shared" si="32"/>
        <v>2000</v>
      </c>
      <c r="D1068" s="43">
        <f>VLOOKUP(A1068,Database!F:H,2,)</f>
        <v>2275000</v>
      </c>
      <c r="E1068" s="43">
        <f t="shared" si="33"/>
        <v>-51000</v>
      </c>
    </row>
    <row r="1069" spans="1:5" x14ac:dyDescent="0.2">
      <c r="A1069" s="42">
        <v>31927</v>
      </c>
      <c r="B1069" s="43">
        <f>VLOOKUP(A1069,Database!F:H,3,)</f>
        <v>326000</v>
      </c>
      <c r="C1069" s="43">
        <f t="shared" si="32"/>
        <v>-17000</v>
      </c>
      <c r="D1069" s="43">
        <f>VLOOKUP(A1069,Database!F:H,2,)</f>
        <v>2370000</v>
      </c>
      <c r="E1069" s="43">
        <f t="shared" si="33"/>
        <v>95000</v>
      </c>
    </row>
    <row r="1070" spans="1:5" x14ac:dyDescent="0.2">
      <c r="A1070" s="42">
        <v>31934</v>
      </c>
      <c r="B1070" s="43">
        <f>VLOOKUP(A1070,Database!F:H,3,)</f>
        <v>328000</v>
      </c>
      <c r="C1070" s="43">
        <f t="shared" si="32"/>
        <v>2000</v>
      </c>
      <c r="D1070" s="43">
        <f>VLOOKUP(A1070,Database!F:H,2,)</f>
        <v>2259000</v>
      </c>
      <c r="E1070" s="43">
        <f t="shared" si="33"/>
        <v>-111000</v>
      </c>
    </row>
    <row r="1071" spans="1:5" x14ac:dyDescent="0.2">
      <c r="A1071" s="42">
        <v>31941</v>
      </c>
      <c r="B1071" s="43">
        <f>VLOOKUP(A1071,Database!F:H,3,)</f>
        <v>316000</v>
      </c>
      <c r="C1071" s="43">
        <f t="shared" si="32"/>
        <v>-12000</v>
      </c>
      <c r="D1071" s="43">
        <f>VLOOKUP(A1071,Database!F:H,2,)</f>
        <v>2278000</v>
      </c>
      <c r="E1071" s="43">
        <f t="shared" si="33"/>
        <v>19000</v>
      </c>
    </row>
    <row r="1072" spans="1:5" x14ac:dyDescent="0.2">
      <c r="A1072" s="42">
        <v>31948</v>
      </c>
      <c r="B1072" s="43">
        <f>VLOOKUP(A1072,Database!F:H,3,)</f>
        <v>319000</v>
      </c>
      <c r="C1072" s="43">
        <f t="shared" si="32"/>
        <v>3000</v>
      </c>
      <c r="D1072" s="43">
        <f>VLOOKUP(A1072,Database!F:H,2,)</f>
        <v>2258000</v>
      </c>
      <c r="E1072" s="43">
        <f t="shared" si="33"/>
        <v>-20000</v>
      </c>
    </row>
    <row r="1073" spans="1:5" x14ac:dyDescent="0.2">
      <c r="A1073" s="42">
        <v>31955</v>
      </c>
      <c r="B1073" s="43">
        <f>VLOOKUP(A1073,Database!F:H,3,)</f>
        <v>326000</v>
      </c>
      <c r="C1073" s="43">
        <f t="shared" si="32"/>
        <v>7000</v>
      </c>
      <c r="D1073" s="43">
        <f>VLOOKUP(A1073,Database!F:H,2,)</f>
        <v>2321000</v>
      </c>
      <c r="E1073" s="43">
        <f t="shared" si="33"/>
        <v>63000</v>
      </c>
    </row>
    <row r="1074" spans="1:5" x14ac:dyDescent="0.2">
      <c r="A1074" s="42">
        <v>31962</v>
      </c>
      <c r="B1074" s="43">
        <f>VLOOKUP(A1074,Database!F:H,3,)</f>
        <v>326000</v>
      </c>
      <c r="C1074" s="43">
        <f t="shared" si="32"/>
        <v>0</v>
      </c>
      <c r="D1074" s="43">
        <f>VLOOKUP(A1074,Database!F:H,2,)</f>
        <v>2173000</v>
      </c>
      <c r="E1074" s="43">
        <f t="shared" si="33"/>
        <v>-148000</v>
      </c>
    </row>
    <row r="1075" spans="1:5" x14ac:dyDescent="0.2">
      <c r="A1075" s="42">
        <v>31969</v>
      </c>
      <c r="B1075" s="43">
        <f>VLOOKUP(A1075,Database!F:H,3,)</f>
        <v>317000</v>
      </c>
      <c r="C1075" s="43">
        <f t="shared" si="32"/>
        <v>-9000</v>
      </c>
      <c r="D1075" s="43">
        <f>VLOOKUP(A1075,Database!F:H,2,)</f>
        <v>2155000</v>
      </c>
      <c r="E1075" s="43">
        <f t="shared" si="33"/>
        <v>-18000</v>
      </c>
    </row>
    <row r="1076" spans="1:5" x14ac:dyDescent="0.2">
      <c r="A1076" s="42">
        <v>31976</v>
      </c>
      <c r="B1076" s="43">
        <f>VLOOKUP(A1076,Database!F:H,3,)</f>
        <v>310000</v>
      </c>
      <c r="C1076" s="43">
        <f t="shared" si="32"/>
        <v>-7000</v>
      </c>
      <c r="D1076" s="43">
        <f>VLOOKUP(A1076,Database!F:H,2,)</f>
        <v>2211000</v>
      </c>
      <c r="E1076" s="43">
        <f t="shared" si="33"/>
        <v>56000</v>
      </c>
    </row>
    <row r="1077" spans="1:5" x14ac:dyDescent="0.2">
      <c r="A1077" s="42">
        <v>31983</v>
      </c>
      <c r="B1077" s="43">
        <f>VLOOKUP(A1077,Database!F:H,3,)</f>
        <v>324000</v>
      </c>
      <c r="C1077" s="43">
        <f t="shared" si="32"/>
        <v>14000</v>
      </c>
      <c r="D1077" s="43">
        <f>VLOOKUP(A1077,Database!F:H,2,)</f>
        <v>2247000</v>
      </c>
      <c r="E1077" s="43">
        <f t="shared" si="33"/>
        <v>36000</v>
      </c>
    </row>
    <row r="1078" spans="1:5" x14ac:dyDescent="0.2">
      <c r="A1078" s="42">
        <v>31990</v>
      </c>
      <c r="B1078" s="43">
        <f>VLOOKUP(A1078,Database!F:H,3,)</f>
        <v>348000</v>
      </c>
      <c r="C1078" s="43">
        <f t="shared" si="32"/>
        <v>24000</v>
      </c>
      <c r="D1078" s="43">
        <f>VLOOKUP(A1078,Database!F:H,2,)</f>
        <v>2232000</v>
      </c>
      <c r="E1078" s="43">
        <f t="shared" si="33"/>
        <v>-15000</v>
      </c>
    </row>
    <row r="1079" spans="1:5" x14ac:dyDescent="0.2">
      <c r="A1079" s="42">
        <v>31997</v>
      </c>
      <c r="B1079" s="43">
        <f>VLOOKUP(A1079,Database!F:H,3,)</f>
        <v>327000</v>
      </c>
      <c r="C1079" s="43">
        <f t="shared" si="32"/>
        <v>-21000</v>
      </c>
      <c r="D1079" s="43">
        <f>VLOOKUP(A1079,Database!F:H,2,)</f>
        <v>2263000</v>
      </c>
      <c r="E1079" s="43">
        <f t="shared" si="33"/>
        <v>31000</v>
      </c>
    </row>
    <row r="1080" spans="1:5" x14ac:dyDescent="0.2">
      <c r="A1080" s="42">
        <v>32004</v>
      </c>
      <c r="B1080" s="43">
        <f>VLOOKUP(A1080,Database!F:H,3,)</f>
        <v>319000</v>
      </c>
      <c r="C1080" s="43">
        <f t="shared" si="32"/>
        <v>-8000</v>
      </c>
      <c r="D1080" s="43">
        <f>VLOOKUP(A1080,Database!F:H,2,)</f>
        <v>2194000</v>
      </c>
      <c r="E1080" s="43">
        <f t="shared" si="33"/>
        <v>-69000</v>
      </c>
    </row>
    <row r="1081" spans="1:5" x14ac:dyDescent="0.2">
      <c r="A1081" s="42">
        <v>32011</v>
      </c>
      <c r="B1081" s="43">
        <f>VLOOKUP(A1081,Database!F:H,3,)</f>
        <v>312000</v>
      </c>
      <c r="C1081" s="43">
        <f t="shared" si="32"/>
        <v>-7000</v>
      </c>
      <c r="D1081" s="43">
        <f>VLOOKUP(A1081,Database!F:H,2,)</f>
        <v>2190000</v>
      </c>
      <c r="E1081" s="43">
        <f t="shared" si="33"/>
        <v>-4000</v>
      </c>
    </row>
    <row r="1082" spans="1:5" x14ac:dyDescent="0.2">
      <c r="A1082" s="42">
        <v>32018</v>
      </c>
      <c r="B1082" s="43">
        <f>VLOOKUP(A1082,Database!F:H,3,)</f>
        <v>322000</v>
      </c>
      <c r="C1082" s="43">
        <f t="shared" si="32"/>
        <v>10000</v>
      </c>
      <c r="D1082" s="43">
        <f>VLOOKUP(A1082,Database!F:H,2,)</f>
        <v>2179000</v>
      </c>
      <c r="E1082" s="43">
        <f t="shared" si="33"/>
        <v>-11000</v>
      </c>
    </row>
    <row r="1083" spans="1:5" x14ac:dyDescent="0.2">
      <c r="A1083" s="42">
        <v>32025</v>
      </c>
      <c r="B1083" s="43">
        <f>VLOOKUP(A1083,Database!F:H,3,)</f>
        <v>316000</v>
      </c>
      <c r="C1083" s="43">
        <f t="shared" si="32"/>
        <v>-6000</v>
      </c>
      <c r="D1083" s="43">
        <f>VLOOKUP(A1083,Database!F:H,2,)</f>
        <v>2125000</v>
      </c>
      <c r="E1083" s="43">
        <f t="shared" si="33"/>
        <v>-54000</v>
      </c>
    </row>
    <row r="1084" spans="1:5" x14ac:dyDescent="0.2">
      <c r="A1084" s="42">
        <v>32032</v>
      </c>
      <c r="B1084" s="43">
        <f>VLOOKUP(A1084,Database!F:H,3,)</f>
        <v>297000</v>
      </c>
      <c r="C1084" s="43">
        <f t="shared" si="32"/>
        <v>-19000</v>
      </c>
      <c r="D1084" s="43">
        <f>VLOOKUP(A1084,Database!F:H,2,)</f>
        <v>2172000</v>
      </c>
      <c r="E1084" s="43">
        <f t="shared" si="33"/>
        <v>47000</v>
      </c>
    </row>
    <row r="1085" spans="1:5" x14ac:dyDescent="0.2">
      <c r="A1085" s="42">
        <v>32039</v>
      </c>
      <c r="B1085" s="43">
        <f>VLOOKUP(A1085,Database!F:H,3,)</f>
        <v>309000</v>
      </c>
      <c r="C1085" s="43">
        <f t="shared" si="32"/>
        <v>12000</v>
      </c>
      <c r="D1085" s="43">
        <f>VLOOKUP(A1085,Database!F:H,2,)</f>
        <v>2351000</v>
      </c>
      <c r="E1085" s="43">
        <f t="shared" si="33"/>
        <v>179000</v>
      </c>
    </row>
    <row r="1086" spans="1:5" x14ac:dyDescent="0.2">
      <c r="A1086" s="42">
        <v>32046</v>
      </c>
      <c r="B1086" s="43">
        <f>VLOOKUP(A1086,Database!F:H,3,)</f>
        <v>317000</v>
      </c>
      <c r="C1086" s="43">
        <f t="shared" si="32"/>
        <v>8000</v>
      </c>
      <c r="D1086" s="43">
        <f>VLOOKUP(A1086,Database!F:H,2,)</f>
        <v>2139000</v>
      </c>
      <c r="E1086" s="43">
        <f t="shared" si="33"/>
        <v>-212000</v>
      </c>
    </row>
    <row r="1087" spans="1:5" x14ac:dyDescent="0.2">
      <c r="A1087" s="42">
        <v>32053</v>
      </c>
      <c r="B1087" s="43">
        <f>VLOOKUP(A1087,Database!F:H,3,)</f>
        <v>301000</v>
      </c>
      <c r="C1087" s="43">
        <f t="shared" si="32"/>
        <v>-16000</v>
      </c>
      <c r="D1087" s="43">
        <f>VLOOKUP(A1087,Database!F:H,2,)</f>
        <v>2151000</v>
      </c>
      <c r="E1087" s="43">
        <f t="shared" si="33"/>
        <v>12000</v>
      </c>
    </row>
    <row r="1088" spans="1:5" x14ac:dyDescent="0.2">
      <c r="A1088" s="42">
        <v>32060</v>
      </c>
      <c r="B1088" s="43">
        <f>VLOOKUP(A1088,Database!F:H,3,)</f>
        <v>308000</v>
      </c>
      <c r="C1088" s="43">
        <f t="shared" si="32"/>
        <v>7000</v>
      </c>
      <c r="D1088" s="43">
        <f>VLOOKUP(A1088,Database!F:H,2,)</f>
        <v>2101000</v>
      </c>
      <c r="E1088" s="43">
        <f t="shared" si="33"/>
        <v>-50000</v>
      </c>
    </row>
    <row r="1089" spans="1:5" x14ac:dyDescent="0.2">
      <c r="A1089" s="42">
        <v>32067</v>
      </c>
      <c r="B1089" s="43">
        <f>VLOOKUP(A1089,Database!F:H,3,)</f>
        <v>301000</v>
      </c>
      <c r="C1089" s="43">
        <f t="shared" si="32"/>
        <v>-7000</v>
      </c>
      <c r="D1089" s="43">
        <f>VLOOKUP(A1089,Database!F:H,2,)</f>
        <v>2074000</v>
      </c>
      <c r="E1089" s="43">
        <f t="shared" si="33"/>
        <v>-27000</v>
      </c>
    </row>
    <row r="1090" spans="1:5" x14ac:dyDescent="0.2">
      <c r="A1090" s="42">
        <v>32074</v>
      </c>
      <c r="B1090" s="43">
        <f>VLOOKUP(A1090,Database!F:H,3,)</f>
        <v>301000</v>
      </c>
      <c r="C1090" s="43">
        <f t="shared" si="32"/>
        <v>0</v>
      </c>
      <c r="D1090" s="43">
        <f>VLOOKUP(A1090,Database!F:H,2,)</f>
        <v>1966000</v>
      </c>
      <c r="E1090" s="43">
        <f t="shared" si="33"/>
        <v>-108000</v>
      </c>
    </row>
    <row r="1091" spans="1:5" x14ac:dyDescent="0.2">
      <c r="A1091" s="42">
        <v>32081</v>
      </c>
      <c r="B1091" s="43">
        <f>VLOOKUP(A1091,Database!F:H,3,)</f>
        <v>289000</v>
      </c>
      <c r="C1091" s="43">
        <f t="shared" si="32"/>
        <v>-12000</v>
      </c>
      <c r="D1091" s="43">
        <f>VLOOKUP(A1091,Database!F:H,2,)</f>
        <v>1942000</v>
      </c>
      <c r="E1091" s="43">
        <f t="shared" si="33"/>
        <v>-24000</v>
      </c>
    </row>
    <row r="1092" spans="1:5" x14ac:dyDescent="0.2">
      <c r="A1092" s="42">
        <v>32088</v>
      </c>
      <c r="B1092" s="43">
        <f>VLOOKUP(A1092,Database!F:H,3,)</f>
        <v>297000</v>
      </c>
      <c r="C1092" s="43">
        <f t="shared" si="32"/>
        <v>8000</v>
      </c>
      <c r="D1092" s="43">
        <f>VLOOKUP(A1092,Database!F:H,2,)</f>
        <v>2054000</v>
      </c>
      <c r="E1092" s="43">
        <f t="shared" si="33"/>
        <v>112000</v>
      </c>
    </row>
    <row r="1093" spans="1:5" x14ac:dyDescent="0.2">
      <c r="A1093" s="42">
        <v>32095</v>
      </c>
      <c r="B1093" s="43">
        <f>VLOOKUP(A1093,Database!F:H,3,)</f>
        <v>307000</v>
      </c>
      <c r="C1093" s="43">
        <f t="shared" si="32"/>
        <v>10000</v>
      </c>
      <c r="D1093" s="43">
        <f>VLOOKUP(A1093,Database!F:H,2,)</f>
        <v>2109000</v>
      </c>
      <c r="E1093" s="43">
        <f t="shared" si="33"/>
        <v>55000</v>
      </c>
    </row>
    <row r="1094" spans="1:5" x14ac:dyDescent="0.2">
      <c r="A1094" s="42">
        <v>32102</v>
      </c>
      <c r="B1094" s="43">
        <f>VLOOKUP(A1094,Database!F:H,3,)</f>
        <v>317000</v>
      </c>
      <c r="C1094" s="43">
        <f t="shared" si="32"/>
        <v>10000</v>
      </c>
      <c r="D1094" s="43">
        <f>VLOOKUP(A1094,Database!F:H,2,)</f>
        <v>2064000</v>
      </c>
      <c r="E1094" s="43">
        <f t="shared" si="33"/>
        <v>-45000</v>
      </c>
    </row>
    <row r="1095" spans="1:5" x14ac:dyDescent="0.2">
      <c r="A1095" s="42">
        <v>32109</v>
      </c>
      <c r="B1095" s="43">
        <f>VLOOKUP(A1095,Database!F:H,3,)</f>
        <v>306000</v>
      </c>
      <c r="C1095" s="43">
        <f t="shared" si="32"/>
        <v>-11000</v>
      </c>
      <c r="D1095" s="43">
        <f>VLOOKUP(A1095,Database!F:H,2,)</f>
        <v>2102000</v>
      </c>
      <c r="E1095" s="43">
        <f t="shared" si="33"/>
        <v>38000</v>
      </c>
    </row>
    <row r="1096" spans="1:5" x14ac:dyDescent="0.2">
      <c r="A1096" s="42">
        <v>32116</v>
      </c>
      <c r="B1096" s="43">
        <f>VLOOKUP(A1096,Database!F:H,3,)</f>
        <v>319000</v>
      </c>
      <c r="C1096" s="43">
        <f t="shared" ref="C1096:C1159" si="34">B1096-B1095</f>
        <v>13000</v>
      </c>
      <c r="D1096" s="43">
        <f>VLOOKUP(A1096,Database!F:H,2,)</f>
        <v>2125000</v>
      </c>
      <c r="E1096" s="43">
        <f t="shared" ref="E1096:E1159" si="35">D1096-D1095</f>
        <v>23000</v>
      </c>
    </row>
    <row r="1097" spans="1:5" x14ac:dyDescent="0.2">
      <c r="A1097" s="42">
        <v>32123</v>
      </c>
      <c r="B1097" s="43">
        <f>VLOOKUP(A1097,Database!F:H,3,)</f>
        <v>317000</v>
      </c>
      <c r="C1097" s="43">
        <f t="shared" si="34"/>
        <v>-2000</v>
      </c>
      <c r="D1097" s="43">
        <f>VLOOKUP(A1097,Database!F:H,2,)</f>
        <v>2092000</v>
      </c>
      <c r="E1097" s="43">
        <f t="shared" si="35"/>
        <v>-33000</v>
      </c>
    </row>
    <row r="1098" spans="1:5" x14ac:dyDescent="0.2">
      <c r="A1098" s="42">
        <v>32130</v>
      </c>
      <c r="B1098" s="43">
        <f>VLOOKUP(A1098,Database!F:H,3,)</f>
        <v>323000</v>
      </c>
      <c r="C1098" s="43">
        <f t="shared" si="34"/>
        <v>6000</v>
      </c>
      <c r="D1098" s="43">
        <f>VLOOKUP(A1098,Database!F:H,2,)</f>
        <v>2105000</v>
      </c>
      <c r="E1098" s="43">
        <f t="shared" si="35"/>
        <v>13000</v>
      </c>
    </row>
    <row r="1099" spans="1:5" x14ac:dyDescent="0.2">
      <c r="A1099" s="42">
        <v>32137</v>
      </c>
      <c r="B1099" s="43">
        <f>VLOOKUP(A1099,Database!F:H,3,)</f>
        <v>316000</v>
      </c>
      <c r="C1099" s="43">
        <f t="shared" si="34"/>
        <v>-7000</v>
      </c>
      <c r="D1099" s="43">
        <f>VLOOKUP(A1099,Database!F:H,2,)</f>
        <v>2140000</v>
      </c>
      <c r="E1099" s="43">
        <f t="shared" si="35"/>
        <v>35000</v>
      </c>
    </row>
    <row r="1100" spans="1:5" x14ac:dyDescent="0.2">
      <c r="A1100" s="42">
        <v>32144</v>
      </c>
      <c r="B1100" s="43">
        <f>VLOOKUP(A1100,Database!F:H,3,)</f>
        <v>315000</v>
      </c>
      <c r="C1100" s="43">
        <f t="shared" si="34"/>
        <v>-1000</v>
      </c>
      <c r="D1100" s="43">
        <f>VLOOKUP(A1100,Database!F:H,2,)</f>
        <v>2096000</v>
      </c>
      <c r="E1100" s="43">
        <f t="shared" si="35"/>
        <v>-44000</v>
      </c>
    </row>
    <row r="1101" spans="1:5" x14ac:dyDescent="0.2">
      <c r="A1101" s="42">
        <v>32151</v>
      </c>
      <c r="B1101" s="43">
        <f>VLOOKUP(A1101,Database!F:H,3,)</f>
        <v>325000</v>
      </c>
      <c r="C1101" s="43">
        <f t="shared" si="34"/>
        <v>10000</v>
      </c>
      <c r="D1101" s="43">
        <f>VLOOKUP(A1101,Database!F:H,2,)</f>
        <v>2231000</v>
      </c>
      <c r="E1101" s="43">
        <f t="shared" si="35"/>
        <v>135000</v>
      </c>
    </row>
    <row r="1102" spans="1:5" x14ac:dyDescent="0.2">
      <c r="A1102" s="42">
        <v>32158</v>
      </c>
      <c r="B1102" s="43">
        <f>VLOOKUP(A1102,Database!F:H,3,)</f>
        <v>361000</v>
      </c>
      <c r="C1102" s="43">
        <f t="shared" si="34"/>
        <v>36000</v>
      </c>
      <c r="D1102" s="43">
        <f>VLOOKUP(A1102,Database!F:H,2,)</f>
        <v>2186000</v>
      </c>
      <c r="E1102" s="43">
        <f t="shared" si="35"/>
        <v>-45000</v>
      </c>
    </row>
    <row r="1103" spans="1:5" x14ac:dyDescent="0.2">
      <c r="A1103" s="42">
        <v>32165</v>
      </c>
      <c r="B1103" s="43">
        <f>VLOOKUP(A1103,Database!F:H,3,)</f>
        <v>335000</v>
      </c>
      <c r="C1103" s="43">
        <f t="shared" si="34"/>
        <v>-26000</v>
      </c>
      <c r="D1103" s="43">
        <f>VLOOKUP(A1103,Database!F:H,2,)</f>
        <v>2214000</v>
      </c>
      <c r="E1103" s="43">
        <f t="shared" si="35"/>
        <v>28000</v>
      </c>
    </row>
    <row r="1104" spans="1:5" x14ac:dyDescent="0.2">
      <c r="A1104" s="42">
        <v>32172</v>
      </c>
      <c r="B1104" s="43">
        <f>VLOOKUP(A1104,Database!F:H,3,)</f>
        <v>342000</v>
      </c>
      <c r="C1104" s="43">
        <f t="shared" si="34"/>
        <v>7000</v>
      </c>
      <c r="D1104" s="43">
        <f>VLOOKUP(A1104,Database!F:H,2,)</f>
        <v>2213000</v>
      </c>
      <c r="E1104" s="43">
        <f t="shared" si="35"/>
        <v>-1000</v>
      </c>
    </row>
    <row r="1105" spans="1:5" x14ac:dyDescent="0.2">
      <c r="A1105" s="42">
        <v>32179</v>
      </c>
      <c r="B1105" s="43">
        <f>VLOOKUP(A1105,Database!F:H,3,)</f>
        <v>318000</v>
      </c>
      <c r="C1105" s="43">
        <f t="shared" si="34"/>
        <v>-24000</v>
      </c>
      <c r="D1105" s="43">
        <f>VLOOKUP(A1105,Database!F:H,2,)</f>
        <v>2180000</v>
      </c>
      <c r="E1105" s="43">
        <f t="shared" si="35"/>
        <v>-33000</v>
      </c>
    </row>
    <row r="1106" spans="1:5" x14ac:dyDescent="0.2">
      <c r="A1106" s="42">
        <v>32186</v>
      </c>
      <c r="B1106" s="43">
        <f>VLOOKUP(A1106,Database!F:H,3,)</f>
        <v>311000</v>
      </c>
      <c r="C1106" s="43">
        <f t="shared" si="34"/>
        <v>-7000</v>
      </c>
      <c r="D1106" s="43">
        <f>VLOOKUP(A1106,Database!F:H,2,)</f>
        <v>2184000</v>
      </c>
      <c r="E1106" s="43">
        <f t="shared" si="35"/>
        <v>4000</v>
      </c>
    </row>
    <row r="1107" spans="1:5" x14ac:dyDescent="0.2">
      <c r="A1107" s="42">
        <v>32193</v>
      </c>
      <c r="B1107" s="43">
        <f>VLOOKUP(A1107,Database!F:H,3,)</f>
        <v>327000</v>
      </c>
      <c r="C1107" s="43">
        <f t="shared" si="34"/>
        <v>16000</v>
      </c>
      <c r="D1107" s="43">
        <f>VLOOKUP(A1107,Database!F:H,2,)</f>
        <v>2091000</v>
      </c>
      <c r="E1107" s="43">
        <f t="shared" si="35"/>
        <v>-93000</v>
      </c>
    </row>
    <row r="1108" spans="1:5" x14ac:dyDescent="0.2">
      <c r="A1108" s="42">
        <v>32200</v>
      </c>
      <c r="B1108" s="43">
        <f>VLOOKUP(A1108,Database!F:H,3,)</f>
        <v>319000</v>
      </c>
      <c r="C1108" s="43">
        <f t="shared" si="34"/>
        <v>-8000</v>
      </c>
      <c r="D1108" s="43">
        <f>VLOOKUP(A1108,Database!F:H,2,)</f>
        <v>2111000</v>
      </c>
      <c r="E1108" s="43">
        <f t="shared" si="35"/>
        <v>20000</v>
      </c>
    </row>
    <row r="1109" spans="1:5" x14ac:dyDescent="0.2">
      <c r="A1109" s="42">
        <v>32207</v>
      </c>
      <c r="B1109" s="43">
        <f>VLOOKUP(A1109,Database!F:H,3,)</f>
        <v>307000</v>
      </c>
      <c r="C1109" s="43">
        <f t="shared" si="34"/>
        <v>-12000</v>
      </c>
      <c r="D1109" s="43">
        <f>VLOOKUP(A1109,Database!F:H,2,)</f>
        <v>2147000</v>
      </c>
      <c r="E1109" s="43">
        <f t="shared" si="35"/>
        <v>36000</v>
      </c>
    </row>
    <row r="1110" spans="1:5" x14ac:dyDescent="0.2">
      <c r="A1110" s="42">
        <v>32214</v>
      </c>
      <c r="B1110" s="43">
        <f>VLOOKUP(A1110,Database!F:H,3,)</f>
        <v>304000</v>
      </c>
      <c r="C1110" s="43">
        <f t="shared" si="34"/>
        <v>-3000</v>
      </c>
      <c r="D1110" s="43">
        <f>VLOOKUP(A1110,Database!F:H,2,)</f>
        <v>2112000</v>
      </c>
      <c r="E1110" s="43">
        <f t="shared" si="35"/>
        <v>-35000</v>
      </c>
    </row>
    <row r="1111" spans="1:5" x14ac:dyDescent="0.2">
      <c r="A1111" s="42">
        <v>32221</v>
      </c>
      <c r="B1111" s="43">
        <f>VLOOKUP(A1111,Database!F:H,3,)</f>
        <v>307000</v>
      </c>
      <c r="C1111" s="43">
        <f t="shared" si="34"/>
        <v>3000</v>
      </c>
      <c r="D1111" s="43">
        <f>VLOOKUP(A1111,Database!F:H,2,)</f>
        <v>2112000</v>
      </c>
      <c r="E1111" s="43">
        <f t="shared" si="35"/>
        <v>0</v>
      </c>
    </row>
    <row r="1112" spans="1:5" x14ac:dyDescent="0.2">
      <c r="A1112" s="42">
        <v>32228</v>
      </c>
      <c r="B1112" s="43">
        <f>VLOOKUP(A1112,Database!F:H,3,)</f>
        <v>304000</v>
      </c>
      <c r="C1112" s="43">
        <f t="shared" si="34"/>
        <v>-3000</v>
      </c>
      <c r="D1112" s="43">
        <f>VLOOKUP(A1112,Database!F:H,2,)</f>
        <v>2077000</v>
      </c>
      <c r="E1112" s="43">
        <f t="shared" si="35"/>
        <v>-35000</v>
      </c>
    </row>
    <row r="1113" spans="1:5" x14ac:dyDescent="0.2">
      <c r="A1113" s="42">
        <v>32235</v>
      </c>
      <c r="B1113" s="43">
        <f>VLOOKUP(A1113,Database!F:H,3,)</f>
        <v>309000</v>
      </c>
      <c r="C1113" s="43">
        <f t="shared" si="34"/>
        <v>5000</v>
      </c>
      <c r="D1113" s="43">
        <f>VLOOKUP(A1113,Database!F:H,2,)</f>
        <v>2086000</v>
      </c>
      <c r="E1113" s="43">
        <f t="shared" si="35"/>
        <v>9000</v>
      </c>
    </row>
    <row r="1114" spans="1:5" x14ac:dyDescent="0.2">
      <c r="A1114" s="42">
        <v>32242</v>
      </c>
      <c r="B1114" s="43">
        <f>VLOOKUP(A1114,Database!F:H,3,)</f>
        <v>313000</v>
      </c>
      <c r="C1114" s="43">
        <f t="shared" si="34"/>
        <v>4000</v>
      </c>
      <c r="D1114" s="43">
        <f>VLOOKUP(A1114,Database!F:H,2,)</f>
        <v>2104000</v>
      </c>
      <c r="E1114" s="43">
        <f t="shared" si="35"/>
        <v>18000</v>
      </c>
    </row>
    <row r="1115" spans="1:5" x14ac:dyDescent="0.2">
      <c r="A1115" s="42">
        <v>32249</v>
      </c>
      <c r="B1115" s="43">
        <f>VLOOKUP(A1115,Database!F:H,3,)</f>
        <v>314000</v>
      </c>
      <c r="C1115" s="43">
        <f t="shared" si="34"/>
        <v>1000</v>
      </c>
      <c r="D1115" s="43">
        <f>VLOOKUP(A1115,Database!F:H,2,)</f>
        <v>2072000</v>
      </c>
      <c r="E1115" s="43">
        <f t="shared" si="35"/>
        <v>-32000</v>
      </c>
    </row>
    <row r="1116" spans="1:5" x14ac:dyDescent="0.2">
      <c r="A1116" s="42">
        <v>32256</v>
      </c>
      <c r="B1116" s="43">
        <f>VLOOKUP(A1116,Database!F:H,3,)</f>
        <v>312000</v>
      </c>
      <c r="C1116" s="43">
        <f t="shared" si="34"/>
        <v>-2000</v>
      </c>
      <c r="D1116" s="43">
        <f>VLOOKUP(A1116,Database!F:H,2,)</f>
        <v>2067000</v>
      </c>
      <c r="E1116" s="43">
        <f t="shared" si="35"/>
        <v>-5000</v>
      </c>
    </row>
    <row r="1117" spans="1:5" x14ac:dyDescent="0.2">
      <c r="A1117" s="42">
        <v>32263</v>
      </c>
      <c r="B1117" s="43">
        <f>VLOOKUP(A1117,Database!F:H,3,)</f>
        <v>313000</v>
      </c>
      <c r="C1117" s="43">
        <f t="shared" si="34"/>
        <v>1000</v>
      </c>
      <c r="D1117" s="43">
        <f>VLOOKUP(A1117,Database!F:H,2,)</f>
        <v>2077000</v>
      </c>
      <c r="E1117" s="43">
        <f t="shared" si="35"/>
        <v>10000</v>
      </c>
    </row>
    <row r="1118" spans="1:5" x14ac:dyDescent="0.2">
      <c r="A1118" s="42">
        <v>32270</v>
      </c>
      <c r="B1118" s="43">
        <f>VLOOKUP(A1118,Database!F:H,3,)</f>
        <v>309000</v>
      </c>
      <c r="C1118" s="43">
        <f t="shared" si="34"/>
        <v>-4000</v>
      </c>
      <c r="D1118" s="43">
        <f>VLOOKUP(A1118,Database!F:H,2,)</f>
        <v>2059000</v>
      </c>
      <c r="E1118" s="43">
        <f t="shared" si="35"/>
        <v>-18000</v>
      </c>
    </row>
    <row r="1119" spans="1:5" x14ac:dyDescent="0.2">
      <c r="A1119" s="42">
        <v>32277</v>
      </c>
      <c r="B1119" s="43">
        <f>VLOOKUP(A1119,Database!F:H,3,)</f>
        <v>314000</v>
      </c>
      <c r="C1119" s="43">
        <f t="shared" si="34"/>
        <v>5000</v>
      </c>
      <c r="D1119" s="43">
        <f>VLOOKUP(A1119,Database!F:H,2,)</f>
        <v>2068000</v>
      </c>
      <c r="E1119" s="43">
        <f t="shared" si="35"/>
        <v>9000</v>
      </c>
    </row>
    <row r="1120" spans="1:5" x14ac:dyDescent="0.2">
      <c r="A1120" s="42">
        <v>32284</v>
      </c>
      <c r="B1120" s="43">
        <f>VLOOKUP(A1120,Database!F:H,3,)</f>
        <v>319000</v>
      </c>
      <c r="C1120" s="43">
        <f t="shared" si="34"/>
        <v>5000</v>
      </c>
      <c r="D1120" s="43">
        <f>VLOOKUP(A1120,Database!F:H,2,)</f>
        <v>2099000</v>
      </c>
      <c r="E1120" s="43">
        <f t="shared" si="35"/>
        <v>31000</v>
      </c>
    </row>
    <row r="1121" spans="1:5" x14ac:dyDescent="0.2">
      <c r="A1121" s="42">
        <v>32291</v>
      </c>
      <c r="B1121" s="43">
        <f>VLOOKUP(A1121,Database!F:H,3,)</f>
        <v>313000</v>
      </c>
      <c r="C1121" s="43">
        <f t="shared" si="34"/>
        <v>-6000</v>
      </c>
      <c r="D1121" s="43">
        <f>VLOOKUP(A1121,Database!F:H,2,)</f>
        <v>2045000</v>
      </c>
      <c r="E1121" s="43">
        <f t="shared" si="35"/>
        <v>-54000</v>
      </c>
    </row>
    <row r="1122" spans="1:5" x14ac:dyDescent="0.2">
      <c r="A1122" s="42">
        <v>32298</v>
      </c>
      <c r="B1122" s="43">
        <f>VLOOKUP(A1122,Database!F:H,3,)</f>
        <v>310000</v>
      </c>
      <c r="C1122" s="43">
        <f t="shared" si="34"/>
        <v>-3000</v>
      </c>
      <c r="D1122" s="43">
        <f>VLOOKUP(A1122,Database!F:H,2,)</f>
        <v>2040000</v>
      </c>
      <c r="E1122" s="43">
        <f t="shared" si="35"/>
        <v>-5000</v>
      </c>
    </row>
    <row r="1123" spans="1:5" x14ac:dyDescent="0.2">
      <c r="A1123" s="42">
        <v>32305</v>
      </c>
      <c r="B1123" s="43">
        <f>VLOOKUP(A1123,Database!F:H,3,)</f>
        <v>305000</v>
      </c>
      <c r="C1123" s="43">
        <f t="shared" si="34"/>
        <v>-5000</v>
      </c>
      <c r="D1123" s="43">
        <f>VLOOKUP(A1123,Database!F:H,2,)</f>
        <v>2068000</v>
      </c>
      <c r="E1123" s="43">
        <f t="shared" si="35"/>
        <v>28000</v>
      </c>
    </row>
    <row r="1124" spans="1:5" x14ac:dyDescent="0.2">
      <c r="A1124" s="42">
        <v>32312</v>
      </c>
      <c r="B1124" s="43">
        <f>VLOOKUP(A1124,Database!F:H,3,)</f>
        <v>311000</v>
      </c>
      <c r="C1124" s="43">
        <f t="shared" si="34"/>
        <v>6000</v>
      </c>
      <c r="D1124" s="43">
        <f>VLOOKUP(A1124,Database!F:H,2,)</f>
        <v>2034000</v>
      </c>
      <c r="E1124" s="43">
        <f t="shared" si="35"/>
        <v>-34000</v>
      </c>
    </row>
    <row r="1125" spans="1:5" x14ac:dyDescent="0.2">
      <c r="A1125" s="42">
        <v>32319</v>
      </c>
      <c r="B1125" s="43">
        <f>VLOOKUP(A1125,Database!F:H,3,)</f>
        <v>307000</v>
      </c>
      <c r="C1125" s="43">
        <f t="shared" si="34"/>
        <v>-4000</v>
      </c>
      <c r="D1125" s="43">
        <f>VLOOKUP(A1125,Database!F:H,2,)</f>
        <v>2030000</v>
      </c>
      <c r="E1125" s="43">
        <f t="shared" si="35"/>
        <v>-4000</v>
      </c>
    </row>
    <row r="1126" spans="1:5" x14ac:dyDescent="0.2">
      <c r="A1126" s="42">
        <v>32326</v>
      </c>
      <c r="B1126" s="43">
        <f>VLOOKUP(A1126,Database!F:H,3,)</f>
        <v>305000</v>
      </c>
      <c r="C1126" s="43">
        <f t="shared" si="34"/>
        <v>-2000</v>
      </c>
      <c r="D1126" s="43">
        <f>VLOOKUP(A1126,Database!F:H,2,)</f>
        <v>2035000</v>
      </c>
      <c r="E1126" s="43">
        <f t="shared" si="35"/>
        <v>5000</v>
      </c>
    </row>
    <row r="1127" spans="1:5" x14ac:dyDescent="0.2">
      <c r="A1127" s="42">
        <v>32333</v>
      </c>
      <c r="B1127" s="43">
        <f>VLOOKUP(A1127,Database!F:H,3,)</f>
        <v>303000</v>
      </c>
      <c r="C1127" s="43">
        <f t="shared" si="34"/>
        <v>-2000</v>
      </c>
      <c r="D1127" s="43">
        <f>VLOOKUP(A1127,Database!F:H,2,)</f>
        <v>2027000</v>
      </c>
      <c r="E1127" s="43">
        <f t="shared" si="35"/>
        <v>-8000</v>
      </c>
    </row>
    <row r="1128" spans="1:5" x14ac:dyDescent="0.2">
      <c r="A1128" s="42">
        <v>32340</v>
      </c>
      <c r="B1128" s="43">
        <f>VLOOKUP(A1128,Database!F:H,3,)</f>
        <v>315000</v>
      </c>
      <c r="C1128" s="43">
        <f t="shared" si="34"/>
        <v>12000</v>
      </c>
      <c r="D1128" s="43">
        <f>VLOOKUP(A1128,Database!F:H,2,)</f>
        <v>2073000</v>
      </c>
      <c r="E1128" s="43">
        <f t="shared" si="35"/>
        <v>46000</v>
      </c>
    </row>
    <row r="1129" spans="1:5" x14ac:dyDescent="0.2">
      <c r="A1129" s="42">
        <v>32347</v>
      </c>
      <c r="B1129" s="43">
        <f>VLOOKUP(A1129,Database!F:H,3,)</f>
        <v>354000</v>
      </c>
      <c r="C1129" s="43">
        <f t="shared" si="34"/>
        <v>39000</v>
      </c>
      <c r="D1129" s="43">
        <f>VLOOKUP(A1129,Database!F:H,2,)</f>
        <v>2083000</v>
      </c>
      <c r="E1129" s="43">
        <f t="shared" si="35"/>
        <v>10000</v>
      </c>
    </row>
    <row r="1130" spans="1:5" x14ac:dyDescent="0.2">
      <c r="A1130" s="42">
        <v>32354</v>
      </c>
      <c r="B1130" s="43">
        <f>VLOOKUP(A1130,Database!F:H,3,)</f>
        <v>331000</v>
      </c>
      <c r="C1130" s="43">
        <f t="shared" si="34"/>
        <v>-23000</v>
      </c>
      <c r="D1130" s="43">
        <f>VLOOKUP(A1130,Database!F:H,2,)</f>
        <v>2108000</v>
      </c>
      <c r="E1130" s="43">
        <f t="shared" si="35"/>
        <v>25000</v>
      </c>
    </row>
    <row r="1131" spans="1:5" x14ac:dyDescent="0.2">
      <c r="A1131" s="42">
        <v>32361</v>
      </c>
      <c r="B1131" s="43">
        <f>VLOOKUP(A1131,Database!F:H,3,)</f>
        <v>316000</v>
      </c>
      <c r="C1131" s="43">
        <f t="shared" si="34"/>
        <v>-15000</v>
      </c>
      <c r="D1131" s="43">
        <f>VLOOKUP(A1131,Database!F:H,2,)</f>
        <v>2101000</v>
      </c>
      <c r="E1131" s="43">
        <f t="shared" si="35"/>
        <v>-7000</v>
      </c>
    </row>
    <row r="1132" spans="1:5" x14ac:dyDescent="0.2">
      <c r="A1132" s="42">
        <v>32368</v>
      </c>
      <c r="B1132" s="43">
        <f>VLOOKUP(A1132,Database!F:H,3,)</f>
        <v>312000</v>
      </c>
      <c r="C1132" s="43">
        <f t="shared" si="34"/>
        <v>-4000</v>
      </c>
      <c r="D1132" s="43">
        <f>VLOOKUP(A1132,Database!F:H,2,)</f>
        <v>2070000</v>
      </c>
      <c r="E1132" s="43">
        <f t="shared" si="35"/>
        <v>-31000</v>
      </c>
    </row>
    <row r="1133" spans="1:5" x14ac:dyDescent="0.2">
      <c r="A1133" s="42">
        <v>32375</v>
      </c>
      <c r="B1133" s="43">
        <f>VLOOKUP(A1133,Database!F:H,3,)</f>
        <v>316000</v>
      </c>
      <c r="C1133" s="43">
        <f t="shared" si="34"/>
        <v>4000</v>
      </c>
      <c r="D1133" s="43">
        <f>VLOOKUP(A1133,Database!F:H,2,)</f>
        <v>2099000</v>
      </c>
      <c r="E1133" s="43">
        <f t="shared" si="35"/>
        <v>29000</v>
      </c>
    </row>
    <row r="1134" spans="1:5" x14ac:dyDescent="0.2">
      <c r="A1134" s="42">
        <v>32382</v>
      </c>
      <c r="B1134" s="43">
        <f>VLOOKUP(A1134,Database!F:H,3,)</f>
        <v>315000</v>
      </c>
      <c r="C1134" s="43">
        <f t="shared" si="34"/>
        <v>-1000</v>
      </c>
      <c r="D1134" s="43">
        <f>VLOOKUP(A1134,Database!F:H,2,)</f>
        <v>2082000</v>
      </c>
      <c r="E1134" s="43">
        <f t="shared" si="35"/>
        <v>-17000</v>
      </c>
    </row>
    <row r="1135" spans="1:5" x14ac:dyDescent="0.2">
      <c r="A1135" s="42">
        <v>32389</v>
      </c>
      <c r="B1135" s="43">
        <f>VLOOKUP(A1135,Database!F:H,3,)</f>
        <v>306000</v>
      </c>
      <c r="C1135" s="43">
        <f t="shared" si="34"/>
        <v>-9000</v>
      </c>
      <c r="D1135" s="43">
        <f>VLOOKUP(A1135,Database!F:H,2,)</f>
        <v>2091000</v>
      </c>
      <c r="E1135" s="43">
        <f t="shared" si="35"/>
        <v>9000</v>
      </c>
    </row>
    <row r="1136" spans="1:5" x14ac:dyDescent="0.2">
      <c r="A1136" s="42">
        <v>32396</v>
      </c>
      <c r="B1136" s="43">
        <f>VLOOKUP(A1136,Database!F:H,3,)</f>
        <v>305000</v>
      </c>
      <c r="C1136" s="43">
        <f t="shared" si="34"/>
        <v>-1000</v>
      </c>
      <c r="D1136" s="43">
        <f>VLOOKUP(A1136,Database!F:H,2,)</f>
        <v>2053000</v>
      </c>
      <c r="E1136" s="43">
        <f t="shared" si="35"/>
        <v>-38000</v>
      </c>
    </row>
    <row r="1137" spans="1:5" x14ac:dyDescent="0.2">
      <c r="A1137" s="42">
        <v>32403</v>
      </c>
      <c r="B1137" s="43">
        <f>VLOOKUP(A1137,Database!F:H,3,)</f>
        <v>306000</v>
      </c>
      <c r="C1137" s="43">
        <f t="shared" si="34"/>
        <v>1000</v>
      </c>
      <c r="D1137" s="43">
        <f>VLOOKUP(A1137,Database!F:H,2,)</f>
        <v>2106000</v>
      </c>
      <c r="E1137" s="43">
        <f t="shared" si="35"/>
        <v>53000</v>
      </c>
    </row>
    <row r="1138" spans="1:5" x14ac:dyDescent="0.2">
      <c r="A1138" s="42">
        <v>32410</v>
      </c>
      <c r="B1138" s="43">
        <f>VLOOKUP(A1138,Database!F:H,3,)</f>
        <v>301000</v>
      </c>
      <c r="C1138" s="43">
        <f t="shared" si="34"/>
        <v>-5000</v>
      </c>
      <c r="D1138" s="43">
        <f>VLOOKUP(A1138,Database!F:H,2,)</f>
        <v>2053000</v>
      </c>
      <c r="E1138" s="43">
        <f t="shared" si="35"/>
        <v>-53000</v>
      </c>
    </row>
    <row r="1139" spans="1:5" x14ac:dyDescent="0.2">
      <c r="A1139" s="42">
        <v>32417</v>
      </c>
      <c r="B1139" s="43">
        <f>VLOOKUP(A1139,Database!F:H,3,)</f>
        <v>292000</v>
      </c>
      <c r="C1139" s="43">
        <f t="shared" si="34"/>
        <v>-9000</v>
      </c>
      <c r="D1139" s="43">
        <f>VLOOKUP(A1139,Database!F:H,2,)</f>
        <v>2041000</v>
      </c>
      <c r="E1139" s="43">
        <f t="shared" si="35"/>
        <v>-12000</v>
      </c>
    </row>
    <row r="1140" spans="1:5" x14ac:dyDescent="0.2">
      <c r="A1140" s="42">
        <v>32424</v>
      </c>
      <c r="B1140" s="43">
        <f>VLOOKUP(A1140,Database!F:H,3,)</f>
        <v>292000</v>
      </c>
      <c r="C1140" s="43">
        <f t="shared" si="34"/>
        <v>0</v>
      </c>
      <c r="D1140" s="43">
        <f>VLOOKUP(A1140,Database!F:H,2,)</f>
        <v>2017000</v>
      </c>
      <c r="E1140" s="43">
        <f t="shared" si="35"/>
        <v>-24000</v>
      </c>
    </row>
    <row r="1141" spans="1:5" x14ac:dyDescent="0.2">
      <c r="A1141" s="42">
        <v>32431</v>
      </c>
      <c r="B1141" s="43">
        <f>VLOOKUP(A1141,Database!F:H,3,)</f>
        <v>293000</v>
      </c>
      <c r="C1141" s="43">
        <f t="shared" si="34"/>
        <v>1000</v>
      </c>
      <c r="D1141" s="43">
        <f>VLOOKUP(A1141,Database!F:H,2,)</f>
        <v>1994000</v>
      </c>
      <c r="E1141" s="43">
        <f t="shared" si="35"/>
        <v>-23000</v>
      </c>
    </row>
    <row r="1142" spans="1:5" x14ac:dyDescent="0.2">
      <c r="A1142" s="42">
        <v>32438</v>
      </c>
      <c r="B1142" s="43">
        <f>VLOOKUP(A1142,Database!F:H,3,)</f>
        <v>286000</v>
      </c>
      <c r="C1142" s="43">
        <f t="shared" si="34"/>
        <v>-7000</v>
      </c>
      <c r="D1142" s="43">
        <f>VLOOKUP(A1142,Database!F:H,2,)</f>
        <v>2011000</v>
      </c>
      <c r="E1142" s="43">
        <f t="shared" si="35"/>
        <v>17000</v>
      </c>
    </row>
    <row r="1143" spans="1:5" x14ac:dyDescent="0.2">
      <c r="A1143" s="42">
        <v>32445</v>
      </c>
      <c r="B1143" s="43">
        <f>VLOOKUP(A1143,Database!F:H,3,)</f>
        <v>294000</v>
      </c>
      <c r="C1143" s="43">
        <f t="shared" si="34"/>
        <v>8000</v>
      </c>
      <c r="D1143" s="43">
        <f>VLOOKUP(A1143,Database!F:H,2,)</f>
        <v>2015000</v>
      </c>
      <c r="E1143" s="43">
        <f t="shared" si="35"/>
        <v>4000</v>
      </c>
    </row>
    <row r="1144" spans="1:5" x14ac:dyDescent="0.2">
      <c r="A1144" s="42">
        <v>32452</v>
      </c>
      <c r="B1144" s="43">
        <f>VLOOKUP(A1144,Database!F:H,3,)</f>
        <v>285000</v>
      </c>
      <c r="C1144" s="43">
        <f t="shared" si="34"/>
        <v>-9000</v>
      </c>
      <c r="D1144" s="43">
        <f>VLOOKUP(A1144,Database!F:H,2,)</f>
        <v>1898000</v>
      </c>
      <c r="E1144" s="43">
        <f t="shared" si="35"/>
        <v>-117000</v>
      </c>
    </row>
    <row r="1145" spans="1:5" x14ac:dyDescent="0.2">
      <c r="A1145" s="42">
        <v>32459</v>
      </c>
      <c r="B1145" s="43">
        <f>VLOOKUP(A1145,Database!F:H,3,)</f>
        <v>284000</v>
      </c>
      <c r="C1145" s="43">
        <f t="shared" si="34"/>
        <v>-1000</v>
      </c>
      <c r="D1145" s="43">
        <f>VLOOKUP(A1145,Database!F:H,2,)</f>
        <v>2011000</v>
      </c>
      <c r="E1145" s="43">
        <f t="shared" si="35"/>
        <v>113000</v>
      </c>
    </row>
    <row r="1146" spans="1:5" x14ac:dyDescent="0.2">
      <c r="A1146" s="42">
        <v>32466</v>
      </c>
      <c r="B1146" s="43">
        <f>VLOOKUP(A1146,Database!F:H,3,)</f>
        <v>294000</v>
      </c>
      <c r="C1146" s="43">
        <f t="shared" si="34"/>
        <v>10000</v>
      </c>
      <c r="D1146" s="43">
        <f>VLOOKUP(A1146,Database!F:H,2,)</f>
        <v>1981000</v>
      </c>
      <c r="E1146" s="43">
        <f t="shared" si="35"/>
        <v>-30000</v>
      </c>
    </row>
    <row r="1147" spans="1:5" x14ac:dyDescent="0.2">
      <c r="A1147" s="42">
        <v>32473</v>
      </c>
      <c r="B1147" s="43">
        <f>VLOOKUP(A1147,Database!F:H,3,)</f>
        <v>299000</v>
      </c>
      <c r="C1147" s="43">
        <f t="shared" si="34"/>
        <v>5000</v>
      </c>
      <c r="D1147" s="43">
        <f>VLOOKUP(A1147,Database!F:H,2,)</f>
        <v>2023000</v>
      </c>
      <c r="E1147" s="43">
        <f t="shared" si="35"/>
        <v>42000</v>
      </c>
    </row>
    <row r="1148" spans="1:5" x14ac:dyDescent="0.2">
      <c r="A1148" s="42">
        <v>32480</v>
      </c>
      <c r="B1148" s="43">
        <f>VLOOKUP(A1148,Database!F:H,3,)</f>
        <v>298000</v>
      </c>
      <c r="C1148" s="43">
        <f t="shared" si="34"/>
        <v>-1000</v>
      </c>
      <c r="D1148" s="43">
        <f>VLOOKUP(A1148,Database!F:H,2,)</f>
        <v>2006000</v>
      </c>
      <c r="E1148" s="43">
        <f t="shared" si="35"/>
        <v>-17000</v>
      </c>
    </row>
    <row r="1149" spans="1:5" x14ac:dyDescent="0.2">
      <c r="A1149" s="42">
        <v>32487</v>
      </c>
      <c r="B1149" s="43">
        <f>VLOOKUP(A1149,Database!F:H,3,)</f>
        <v>285000</v>
      </c>
      <c r="C1149" s="43">
        <f t="shared" si="34"/>
        <v>-13000</v>
      </c>
      <c r="D1149" s="43">
        <f>VLOOKUP(A1149,Database!F:H,2,)</f>
        <v>2013000</v>
      </c>
      <c r="E1149" s="43">
        <f t="shared" si="35"/>
        <v>7000</v>
      </c>
    </row>
    <row r="1150" spans="1:5" x14ac:dyDescent="0.2">
      <c r="A1150" s="42">
        <v>32494</v>
      </c>
      <c r="B1150" s="43">
        <f>VLOOKUP(A1150,Database!F:H,3,)</f>
        <v>293000</v>
      </c>
      <c r="C1150" s="43">
        <f t="shared" si="34"/>
        <v>8000</v>
      </c>
      <c r="D1150" s="43">
        <f>VLOOKUP(A1150,Database!F:H,2,)</f>
        <v>2054000</v>
      </c>
      <c r="E1150" s="43">
        <f t="shared" si="35"/>
        <v>41000</v>
      </c>
    </row>
    <row r="1151" spans="1:5" x14ac:dyDescent="0.2">
      <c r="A1151" s="42">
        <v>32501</v>
      </c>
      <c r="B1151" s="43">
        <f>VLOOKUP(A1151,Database!F:H,3,)</f>
        <v>286000</v>
      </c>
      <c r="C1151" s="43">
        <f t="shared" si="34"/>
        <v>-7000</v>
      </c>
      <c r="D1151" s="43">
        <f>VLOOKUP(A1151,Database!F:H,2,)</f>
        <v>2061000</v>
      </c>
      <c r="E1151" s="43">
        <f t="shared" si="35"/>
        <v>7000</v>
      </c>
    </row>
    <row r="1152" spans="1:5" x14ac:dyDescent="0.2">
      <c r="A1152" s="42">
        <v>32508</v>
      </c>
      <c r="B1152" s="43">
        <f>VLOOKUP(A1152,Database!F:H,3,)</f>
        <v>304000</v>
      </c>
      <c r="C1152" s="43">
        <f t="shared" si="34"/>
        <v>18000</v>
      </c>
      <c r="D1152" s="43">
        <f>VLOOKUP(A1152,Database!F:H,2,)</f>
        <v>2092000</v>
      </c>
      <c r="E1152" s="43">
        <f t="shared" si="35"/>
        <v>31000</v>
      </c>
    </row>
    <row r="1153" spans="1:5" x14ac:dyDescent="0.2">
      <c r="A1153" s="42">
        <v>32515</v>
      </c>
      <c r="B1153" s="43">
        <f>VLOOKUP(A1153,Database!F:H,3,)</f>
        <v>299000</v>
      </c>
      <c r="C1153" s="43">
        <f t="shared" si="34"/>
        <v>-5000</v>
      </c>
      <c r="D1153" s="43">
        <f>VLOOKUP(A1153,Database!F:H,2,)</f>
        <v>2056000</v>
      </c>
      <c r="E1153" s="43">
        <f t="shared" si="35"/>
        <v>-36000</v>
      </c>
    </row>
    <row r="1154" spans="1:5" x14ac:dyDescent="0.2">
      <c r="A1154" s="42">
        <v>32522</v>
      </c>
      <c r="B1154" s="43">
        <f>VLOOKUP(A1154,Database!F:H,3,)</f>
        <v>283000</v>
      </c>
      <c r="C1154" s="43">
        <f t="shared" si="34"/>
        <v>-16000</v>
      </c>
      <c r="D1154" s="43">
        <f>VLOOKUP(A1154,Database!F:H,2,)</f>
        <v>2069000</v>
      </c>
      <c r="E1154" s="43">
        <f t="shared" si="35"/>
        <v>13000</v>
      </c>
    </row>
    <row r="1155" spans="1:5" x14ac:dyDescent="0.2">
      <c r="A1155" s="42">
        <v>32529</v>
      </c>
      <c r="B1155" s="43">
        <f>VLOOKUP(A1155,Database!F:H,3,)</f>
        <v>282000</v>
      </c>
      <c r="C1155" s="43">
        <f t="shared" si="34"/>
        <v>-1000</v>
      </c>
      <c r="D1155" s="43">
        <f>VLOOKUP(A1155,Database!F:H,2,)</f>
        <v>2048000</v>
      </c>
      <c r="E1155" s="43">
        <f t="shared" si="35"/>
        <v>-21000</v>
      </c>
    </row>
    <row r="1156" spans="1:5" x14ac:dyDescent="0.2">
      <c r="A1156" s="42">
        <v>32536</v>
      </c>
      <c r="B1156" s="43">
        <f>VLOOKUP(A1156,Database!F:H,3,)</f>
        <v>295000</v>
      </c>
      <c r="C1156" s="43">
        <f t="shared" si="34"/>
        <v>13000</v>
      </c>
      <c r="D1156" s="43">
        <f>VLOOKUP(A1156,Database!F:H,2,)</f>
        <v>2071000</v>
      </c>
      <c r="E1156" s="43">
        <f t="shared" si="35"/>
        <v>23000</v>
      </c>
    </row>
    <row r="1157" spans="1:5" x14ac:dyDescent="0.2">
      <c r="A1157" s="42">
        <v>32543</v>
      </c>
      <c r="B1157" s="43">
        <f>VLOOKUP(A1157,Database!F:H,3,)</f>
        <v>288000</v>
      </c>
      <c r="C1157" s="43">
        <f t="shared" si="34"/>
        <v>-7000</v>
      </c>
      <c r="D1157" s="43">
        <f>VLOOKUP(A1157,Database!F:H,2,)</f>
        <v>2074000</v>
      </c>
      <c r="E1157" s="43">
        <f t="shared" si="35"/>
        <v>3000</v>
      </c>
    </row>
    <row r="1158" spans="1:5" x14ac:dyDescent="0.2">
      <c r="A1158" s="42">
        <v>32550</v>
      </c>
      <c r="B1158" s="43">
        <f>VLOOKUP(A1158,Database!F:H,3,)</f>
        <v>322000</v>
      </c>
      <c r="C1158" s="43">
        <f t="shared" si="34"/>
        <v>34000</v>
      </c>
      <c r="D1158" s="43">
        <f>VLOOKUP(A1158,Database!F:H,2,)</f>
        <v>2103000</v>
      </c>
      <c r="E1158" s="43">
        <f t="shared" si="35"/>
        <v>29000</v>
      </c>
    </row>
    <row r="1159" spans="1:5" x14ac:dyDescent="0.2">
      <c r="A1159" s="42">
        <v>32557</v>
      </c>
      <c r="B1159" s="43">
        <f>VLOOKUP(A1159,Database!F:H,3,)</f>
        <v>305000</v>
      </c>
      <c r="C1159" s="43">
        <f t="shared" si="34"/>
        <v>-17000</v>
      </c>
      <c r="D1159" s="43">
        <f>VLOOKUP(A1159,Database!F:H,2,)</f>
        <v>2111000</v>
      </c>
      <c r="E1159" s="43">
        <f t="shared" si="35"/>
        <v>8000</v>
      </c>
    </row>
    <row r="1160" spans="1:5" x14ac:dyDescent="0.2">
      <c r="A1160" s="42">
        <v>32564</v>
      </c>
      <c r="B1160" s="43">
        <f>VLOOKUP(A1160,Database!F:H,3,)</f>
        <v>300000</v>
      </c>
      <c r="C1160" s="43">
        <f t="shared" ref="C1160:C1223" si="36">B1160-B1159</f>
        <v>-5000</v>
      </c>
      <c r="D1160" s="43">
        <f>VLOOKUP(A1160,Database!F:H,2,)</f>
        <v>2167000</v>
      </c>
      <c r="E1160" s="43">
        <f t="shared" ref="E1160:E1223" si="37">D1160-D1159</f>
        <v>56000</v>
      </c>
    </row>
    <row r="1161" spans="1:5" x14ac:dyDescent="0.2">
      <c r="A1161" s="42">
        <v>32571</v>
      </c>
      <c r="B1161" s="43">
        <f>VLOOKUP(A1161,Database!F:H,3,)</f>
        <v>325000</v>
      </c>
      <c r="C1161" s="43">
        <f t="shared" si="36"/>
        <v>25000</v>
      </c>
      <c r="D1161" s="43">
        <f>VLOOKUP(A1161,Database!F:H,2,)</f>
        <v>2110000</v>
      </c>
      <c r="E1161" s="43">
        <f t="shared" si="37"/>
        <v>-57000</v>
      </c>
    </row>
    <row r="1162" spans="1:5" x14ac:dyDescent="0.2">
      <c r="A1162" s="42">
        <v>32578</v>
      </c>
      <c r="B1162" s="43">
        <f>VLOOKUP(A1162,Database!F:H,3,)</f>
        <v>325000</v>
      </c>
      <c r="C1162" s="43">
        <f t="shared" si="36"/>
        <v>0</v>
      </c>
      <c r="D1162" s="43">
        <f>VLOOKUP(A1162,Database!F:H,2,)</f>
        <v>2163000</v>
      </c>
      <c r="E1162" s="43">
        <f t="shared" si="37"/>
        <v>53000</v>
      </c>
    </row>
    <row r="1163" spans="1:5" x14ac:dyDescent="0.2">
      <c r="A1163" s="42">
        <v>32585</v>
      </c>
      <c r="B1163" s="43">
        <f>VLOOKUP(A1163,Database!F:H,3,)</f>
        <v>319000</v>
      </c>
      <c r="C1163" s="43">
        <f t="shared" si="36"/>
        <v>-6000</v>
      </c>
      <c r="D1163" s="43">
        <f>VLOOKUP(A1163,Database!F:H,2,)</f>
        <v>2108000</v>
      </c>
      <c r="E1163" s="43">
        <f t="shared" si="37"/>
        <v>-55000</v>
      </c>
    </row>
    <row r="1164" spans="1:5" x14ac:dyDescent="0.2">
      <c r="A1164" s="42">
        <v>32592</v>
      </c>
      <c r="B1164" s="43">
        <f>VLOOKUP(A1164,Database!F:H,3,)</f>
        <v>319000</v>
      </c>
      <c r="C1164" s="43">
        <f t="shared" si="36"/>
        <v>0</v>
      </c>
      <c r="D1164" s="43">
        <f>VLOOKUP(A1164,Database!F:H,2,)</f>
        <v>2145000</v>
      </c>
      <c r="E1164" s="43">
        <f t="shared" si="37"/>
        <v>37000</v>
      </c>
    </row>
    <row r="1165" spans="1:5" x14ac:dyDescent="0.2">
      <c r="A1165" s="42">
        <v>32599</v>
      </c>
      <c r="B1165" s="43">
        <f>VLOOKUP(A1165,Database!F:H,3,)</f>
        <v>323000</v>
      </c>
      <c r="C1165" s="43">
        <f t="shared" si="36"/>
        <v>4000</v>
      </c>
      <c r="D1165" s="43">
        <f>VLOOKUP(A1165,Database!F:H,2,)</f>
        <v>2117000</v>
      </c>
      <c r="E1165" s="43">
        <f t="shared" si="37"/>
        <v>-28000</v>
      </c>
    </row>
    <row r="1166" spans="1:5" x14ac:dyDescent="0.2">
      <c r="A1166" s="42">
        <v>32606</v>
      </c>
      <c r="B1166" s="43">
        <f>VLOOKUP(A1166,Database!F:H,3,)</f>
        <v>314000</v>
      </c>
      <c r="C1166" s="43">
        <f t="shared" si="36"/>
        <v>-9000</v>
      </c>
      <c r="D1166" s="43">
        <f>VLOOKUP(A1166,Database!F:H,2,)</f>
        <v>2117000</v>
      </c>
      <c r="E1166" s="43">
        <f t="shared" si="37"/>
        <v>0</v>
      </c>
    </row>
    <row r="1167" spans="1:5" x14ac:dyDescent="0.2">
      <c r="A1167" s="42">
        <v>32613</v>
      </c>
      <c r="B1167" s="43">
        <f>VLOOKUP(A1167,Database!F:H,3,)</f>
        <v>307000</v>
      </c>
      <c r="C1167" s="43">
        <f t="shared" si="36"/>
        <v>-7000</v>
      </c>
      <c r="D1167" s="43">
        <f>VLOOKUP(A1167,Database!F:H,2,)</f>
        <v>2092000</v>
      </c>
      <c r="E1167" s="43">
        <f t="shared" si="37"/>
        <v>-25000</v>
      </c>
    </row>
    <row r="1168" spans="1:5" x14ac:dyDescent="0.2">
      <c r="A1168" s="42">
        <v>32620</v>
      </c>
      <c r="B1168" s="43">
        <f>VLOOKUP(A1168,Database!F:H,3,)</f>
        <v>304000</v>
      </c>
      <c r="C1168" s="43">
        <f t="shared" si="36"/>
        <v>-3000</v>
      </c>
      <c r="D1168" s="43">
        <f>VLOOKUP(A1168,Database!F:H,2,)</f>
        <v>2104000</v>
      </c>
      <c r="E1168" s="43">
        <f t="shared" si="37"/>
        <v>12000</v>
      </c>
    </row>
    <row r="1169" spans="1:5" x14ac:dyDescent="0.2">
      <c r="A1169" s="42">
        <v>32627</v>
      </c>
      <c r="B1169" s="43">
        <f>VLOOKUP(A1169,Database!F:H,3,)</f>
        <v>311000</v>
      </c>
      <c r="C1169" s="43">
        <f t="shared" si="36"/>
        <v>7000</v>
      </c>
      <c r="D1169" s="43">
        <f>VLOOKUP(A1169,Database!F:H,2,)</f>
        <v>2064000</v>
      </c>
      <c r="E1169" s="43">
        <f t="shared" si="37"/>
        <v>-40000</v>
      </c>
    </row>
    <row r="1170" spans="1:5" x14ac:dyDescent="0.2">
      <c r="A1170" s="42">
        <v>32634</v>
      </c>
      <c r="B1170" s="43">
        <f>VLOOKUP(A1170,Database!F:H,3,)</f>
        <v>320000</v>
      </c>
      <c r="C1170" s="43">
        <f t="shared" si="36"/>
        <v>9000</v>
      </c>
      <c r="D1170" s="43">
        <f>VLOOKUP(A1170,Database!F:H,2,)</f>
        <v>2089000</v>
      </c>
      <c r="E1170" s="43">
        <f t="shared" si="37"/>
        <v>25000</v>
      </c>
    </row>
    <row r="1171" spans="1:5" x14ac:dyDescent="0.2">
      <c r="A1171" s="42">
        <v>32641</v>
      </c>
      <c r="B1171" s="43">
        <f>VLOOKUP(A1171,Database!F:H,3,)</f>
        <v>332000</v>
      </c>
      <c r="C1171" s="43">
        <f t="shared" si="36"/>
        <v>12000</v>
      </c>
      <c r="D1171" s="43">
        <f>VLOOKUP(A1171,Database!F:H,2,)</f>
        <v>2144000</v>
      </c>
      <c r="E1171" s="43">
        <f t="shared" si="37"/>
        <v>55000</v>
      </c>
    </row>
    <row r="1172" spans="1:5" x14ac:dyDescent="0.2">
      <c r="A1172" s="42">
        <v>32648</v>
      </c>
      <c r="B1172" s="43">
        <f>VLOOKUP(A1172,Database!F:H,3,)</f>
        <v>321000</v>
      </c>
      <c r="C1172" s="43">
        <f t="shared" si="36"/>
        <v>-11000</v>
      </c>
      <c r="D1172" s="43">
        <f>VLOOKUP(A1172,Database!F:H,2,)</f>
        <v>2085000</v>
      </c>
      <c r="E1172" s="43">
        <f t="shared" si="37"/>
        <v>-59000</v>
      </c>
    </row>
    <row r="1173" spans="1:5" x14ac:dyDescent="0.2">
      <c r="A1173" s="42">
        <v>32655</v>
      </c>
      <c r="B1173" s="43">
        <f>VLOOKUP(A1173,Database!F:H,3,)</f>
        <v>325000</v>
      </c>
      <c r="C1173" s="43">
        <f t="shared" si="36"/>
        <v>4000</v>
      </c>
      <c r="D1173" s="43">
        <f>VLOOKUP(A1173,Database!F:H,2,)</f>
        <v>2056000</v>
      </c>
      <c r="E1173" s="43">
        <f t="shared" si="37"/>
        <v>-29000</v>
      </c>
    </row>
    <row r="1174" spans="1:5" x14ac:dyDescent="0.2">
      <c r="A1174" s="42">
        <v>32662</v>
      </c>
      <c r="B1174" s="43">
        <f>VLOOKUP(A1174,Database!F:H,3,)</f>
        <v>325000</v>
      </c>
      <c r="C1174" s="43">
        <f t="shared" si="36"/>
        <v>0</v>
      </c>
      <c r="D1174" s="43">
        <f>VLOOKUP(A1174,Database!F:H,2,)</f>
        <v>2117000</v>
      </c>
      <c r="E1174" s="43">
        <f t="shared" si="37"/>
        <v>61000</v>
      </c>
    </row>
    <row r="1175" spans="1:5" x14ac:dyDescent="0.2">
      <c r="A1175" s="42">
        <v>32669</v>
      </c>
      <c r="B1175" s="43">
        <f>VLOOKUP(A1175,Database!F:H,3,)</f>
        <v>332000</v>
      </c>
      <c r="C1175" s="43">
        <f t="shared" si="36"/>
        <v>7000</v>
      </c>
      <c r="D1175" s="43">
        <f>VLOOKUP(A1175,Database!F:H,2,)</f>
        <v>2110000</v>
      </c>
      <c r="E1175" s="43">
        <f t="shared" si="37"/>
        <v>-7000</v>
      </c>
    </row>
    <row r="1176" spans="1:5" x14ac:dyDescent="0.2">
      <c r="A1176" s="42">
        <v>32676</v>
      </c>
      <c r="B1176" s="43">
        <f>VLOOKUP(A1176,Database!F:H,3,)</f>
        <v>337000</v>
      </c>
      <c r="C1176" s="43">
        <f t="shared" si="36"/>
        <v>5000</v>
      </c>
      <c r="D1176" s="43">
        <f>VLOOKUP(A1176,Database!F:H,2,)</f>
        <v>2113000</v>
      </c>
      <c r="E1176" s="43">
        <f t="shared" si="37"/>
        <v>3000</v>
      </c>
    </row>
    <row r="1177" spans="1:5" x14ac:dyDescent="0.2">
      <c r="A1177" s="42">
        <v>32683</v>
      </c>
      <c r="B1177" s="43">
        <f>VLOOKUP(A1177,Database!F:H,3,)</f>
        <v>338000</v>
      </c>
      <c r="C1177" s="43">
        <f t="shared" si="36"/>
        <v>1000</v>
      </c>
      <c r="D1177" s="43">
        <f>VLOOKUP(A1177,Database!F:H,2,)</f>
        <v>2151000</v>
      </c>
      <c r="E1177" s="43">
        <f t="shared" si="37"/>
        <v>38000</v>
      </c>
    </row>
    <row r="1178" spans="1:5" x14ac:dyDescent="0.2">
      <c r="A1178" s="42">
        <v>32690</v>
      </c>
      <c r="B1178" s="43">
        <f>VLOOKUP(A1178,Database!F:H,3,)</f>
        <v>349000</v>
      </c>
      <c r="C1178" s="43">
        <f t="shared" si="36"/>
        <v>11000</v>
      </c>
      <c r="D1178" s="43">
        <f>VLOOKUP(A1178,Database!F:H,2,)</f>
        <v>2133000</v>
      </c>
      <c r="E1178" s="43">
        <f t="shared" si="37"/>
        <v>-18000</v>
      </c>
    </row>
    <row r="1179" spans="1:5" x14ac:dyDescent="0.2">
      <c r="A1179" s="42">
        <v>32697</v>
      </c>
      <c r="B1179" s="43">
        <f>VLOOKUP(A1179,Database!F:H,3,)</f>
        <v>341000</v>
      </c>
      <c r="C1179" s="43">
        <f t="shared" si="36"/>
        <v>-8000</v>
      </c>
      <c r="D1179" s="43">
        <f>VLOOKUP(A1179,Database!F:H,2,)</f>
        <v>2207000</v>
      </c>
      <c r="E1179" s="43">
        <f t="shared" si="37"/>
        <v>74000</v>
      </c>
    </row>
    <row r="1180" spans="1:5" x14ac:dyDescent="0.2">
      <c r="A1180" s="42">
        <v>32704</v>
      </c>
      <c r="B1180" s="43">
        <f>VLOOKUP(A1180,Database!F:H,3,)</f>
        <v>349000</v>
      </c>
      <c r="C1180" s="43">
        <f t="shared" si="36"/>
        <v>8000</v>
      </c>
      <c r="D1180" s="43">
        <f>VLOOKUP(A1180,Database!F:H,2,)</f>
        <v>2217000</v>
      </c>
      <c r="E1180" s="43">
        <f t="shared" si="37"/>
        <v>10000</v>
      </c>
    </row>
    <row r="1181" spans="1:5" x14ac:dyDescent="0.2">
      <c r="A1181" s="42">
        <v>32711</v>
      </c>
      <c r="B1181" s="43">
        <f>VLOOKUP(A1181,Database!F:H,3,)</f>
        <v>332000</v>
      </c>
      <c r="C1181" s="43">
        <f t="shared" si="36"/>
        <v>-17000</v>
      </c>
      <c r="D1181" s="43">
        <f>VLOOKUP(A1181,Database!F:H,2,)</f>
        <v>2159000</v>
      </c>
      <c r="E1181" s="43">
        <f t="shared" si="37"/>
        <v>-58000</v>
      </c>
    </row>
    <row r="1182" spans="1:5" x14ac:dyDescent="0.2">
      <c r="A1182" s="42">
        <v>32718</v>
      </c>
      <c r="B1182" s="43">
        <f>VLOOKUP(A1182,Database!F:H,3,)</f>
        <v>337000</v>
      </c>
      <c r="C1182" s="43">
        <f t="shared" si="36"/>
        <v>5000</v>
      </c>
      <c r="D1182" s="43">
        <f>VLOOKUP(A1182,Database!F:H,2,)</f>
        <v>2181000</v>
      </c>
      <c r="E1182" s="43">
        <f t="shared" si="37"/>
        <v>22000</v>
      </c>
    </row>
    <row r="1183" spans="1:5" x14ac:dyDescent="0.2">
      <c r="A1183" s="42">
        <v>32725</v>
      </c>
      <c r="B1183" s="43">
        <f>VLOOKUP(A1183,Database!F:H,3,)</f>
        <v>338000</v>
      </c>
      <c r="C1183" s="43">
        <f t="shared" si="36"/>
        <v>1000</v>
      </c>
      <c r="D1183" s="43">
        <f>VLOOKUP(A1183,Database!F:H,2,)</f>
        <v>2236000</v>
      </c>
      <c r="E1183" s="43">
        <f t="shared" si="37"/>
        <v>55000</v>
      </c>
    </row>
    <row r="1184" spans="1:5" x14ac:dyDescent="0.2">
      <c r="A1184" s="42">
        <v>32732</v>
      </c>
      <c r="B1184" s="43">
        <f>VLOOKUP(A1184,Database!F:H,3,)</f>
        <v>341000</v>
      </c>
      <c r="C1184" s="43">
        <f t="shared" si="36"/>
        <v>3000</v>
      </c>
      <c r="D1184" s="43">
        <f>VLOOKUP(A1184,Database!F:H,2,)</f>
        <v>2214000</v>
      </c>
      <c r="E1184" s="43">
        <f t="shared" si="37"/>
        <v>-22000</v>
      </c>
    </row>
    <row r="1185" spans="1:5" x14ac:dyDescent="0.2">
      <c r="A1185" s="42">
        <v>32739</v>
      </c>
      <c r="B1185" s="43">
        <f>VLOOKUP(A1185,Database!F:H,3,)</f>
        <v>327000</v>
      </c>
      <c r="C1185" s="43">
        <f t="shared" si="36"/>
        <v>-14000</v>
      </c>
      <c r="D1185" s="43">
        <f>VLOOKUP(A1185,Database!F:H,2,)</f>
        <v>2195000</v>
      </c>
      <c r="E1185" s="43">
        <f t="shared" si="37"/>
        <v>-19000</v>
      </c>
    </row>
    <row r="1186" spans="1:5" x14ac:dyDescent="0.2">
      <c r="A1186" s="42">
        <v>32746</v>
      </c>
      <c r="B1186" s="43">
        <f>VLOOKUP(A1186,Database!F:H,3,)</f>
        <v>332000</v>
      </c>
      <c r="C1186" s="43">
        <f t="shared" si="36"/>
        <v>5000</v>
      </c>
      <c r="D1186" s="43">
        <f>VLOOKUP(A1186,Database!F:H,2,)</f>
        <v>2184000</v>
      </c>
      <c r="E1186" s="43">
        <f t="shared" si="37"/>
        <v>-11000</v>
      </c>
    </row>
    <row r="1187" spans="1:5" x14ac:dyDescent="0.2">
      <c r="A1187" s="42">
        <v>32753</v>
      </c>
      <c r="B1187" s="43">
        <f>VLOOKUP(A1187,Database!F:H,3,)</f>
        <v>329000</v>
      </c>
      <c r="C1187" s="43">
        <f t="shared" si="36"/>
        <v>-3000</v>
      </c>
      <c r="D1187" s="43">
        <f>VLOOKUP(A1187,Database!F:H,2,)</f>
        <v>2199000</v>
      </c>
      <c r="E1187" s="43">
        <f t="shared" si="37"/>
        <v>15000</v>
      </c>
    </row>
    <row r="1188" spans="1:5" x14ac:dyDescent="0.2">
      <c r="A1188" s="42">
        <v>32760</v>
      </c>
      <c r="B1188" s="43">
        <f>VLOOKUP(A1188,Database!F:H,3,)</f>
        <v>336000</v>
      </c>
      <c r="C1188" s="43">
        <f t="shared" si="36"/>
        <v>7000</v>
      </c>
      <c r="D1188" s="43">
        <f>VLOOKUP(A1188,Database!F:H,2,)</f>
        <v>2207000</v>
      </c>
      <c r="E1188" s="43">
        <f t="shared" si="37"/>
        <v>8000</v>
      </c>
    </row>
    <row r="1189" spans="1:5" x14ac:dyDescent="0.2">
      <c r="A1189" s="42">
        <v>32767</v>
      </c>
      <c r="B1189" s="43">
        <f>VLOOKUP(A1189,Database!F:H,3,)</f>
        <v>334000</v>
      </c>
      <c r="C1189" s="43">
        <f t="shared" si="36"/>
        <v>-2000</v>
      </c>
      <c r="D1189" s="43">
        <f>VLOOKUP(A1189,Database!F:H,2,)</f>
        <v>2169000</v>
      </c>
      <c r="E1189" s="43">
        <f t="shared" si="37"/>
        <v>-38000</v>
      </c>
    </row>
    <row r="1190" spans="1:5" x14ac:dyDescent="0.2">
      <c r="A1190" s="42">
        <v>32774</v>
      </c>
      <c r="B1190" s="43">
        <f>VLOOKUP(A1190,Database!F:H,3,)</f>
        <v>334000</v>
      </c>
      <c r="C1190" s="43">
        <f t="shared" si="36"/>
        <v>0</v>
      </c>
      <c r="D1190" s="43">
        <f>VLOOKUP(A1190,Database!F:H,2,)</f>
        <v>2249000</v>
      </c>
      <c r="E1190" s="43">
        <f t="shared" si="37"/>
        <v>80000</v>
      </c>
    </row>
    <row r="1191" spans="1:5" x14ac:dyDescent="0.2">
      <c r="A1191" s="42">
        <v>32781</v>
      </c>
      <c r="B1191" s="43">
        <f>VLOOKUP(A1191,Database!F:H,3,)</f>
        <v>347000</v>
      </c>
      <c r="C1191" s="43">
        <f t="shared" si="36"/>
        <v>13000</v>
      </c>
      <c r="D1191" s="43">
        <f>VLOOKUP(A1191,Database!F:H,2,)</f>
        <v>2220000</v>
      </c>
      <c r="E1191" s="43">
        <f t="shared" si="37"/>
        <v>-29000</v>
      </c>
    </row>
    <row r="1192" spans="1:5" x14ac:dyDescent="0.2">
      <c r="A1192" s="42">
        <v>32788</v>
      </c>
      <c r="B1192" s="43">
        <f>VLOOKUP(A1192,Database!F:H,3,)</f>
        <v>407000</v>
      </c>
      <c r="C1192" s="43">
        <f t="shared" si="36"/>
        <v>60000</v>
      </c>
      <c r="D1192" s="43">
        <f>VLOOKUP(A1192,Database!F:H,2,)</f>
        <v>2279000</v>
      </c>
      <c r="E1192" s="43">
        <f t="shared" si="37"/>
        <v>59000</v>
      </c>
    </row>
    <row r="1193" spans="1:5" x14ac:dyDescent="0.2">
      <c r="A1193" s="42">
        <v>32795</v>
      </c>
      <c r="B1193" s="43">
        <f>VLOOKUP(A1193,Database!F:H,3,)</f>
        <v>345000</v>
      </c>
      <c r="C1193" s="43">
        <f t="shared" si="36"/>
        <v>-62000</v>
      </c>
      <c r="D1193" s="43">
        <f>VLOOKUP(A1193,Database!F:H,2,)</f>
        <v>2293000</v>
      </c>
      <c r="E1193" s="43">
        <f t="shared" si="37"/>
        <v>14000</v>
      </c>
    </row>
    <row r="1194" spans="1:5" x14ac:dyDescent="0.2">
      <c r="A1194" s="42">
        <v>32802</v>
      </c>
      <c r="B1194" s="43">
        <f>VLOOKUP(A1194,Database!F:H,3,)</f>
        <v>347000</v>
      </c>
      <c r="C1194" s="43">
        <f t="shared" si="36"/>
        <v>2000</v>
      </c>
      <c r="D1194" s="43">
        <f>VLOOKUP(A1194,Database!F:H,2,)</f>
        <v>2295000</v>
      </c>
      <c r="E1194" s="43">
        <f t="shared" si="37"/>
        <v>2000</v>
      </c>
    </row>
    <row r="1195" spans="1:5" x14ac:dyDescent="0.2">
      <c r="A1195" s="42">
        <v>32809</v>
      </c>
      <c r="B1195" s="43">
        <f>VLOOKUP(A1195,Database!F:H,3,)</f>
        <v>354000</v>
      </c>
      <c r="C1195" s="43">
        <f t="shared" si="36"/>
        <v>7000</v>
      </c>
      <c r="D1195" s="43">
        <f>VLOOKUP(A1195,Database!F:H,2,)</f>
        <v>2257000</v>
      </c>
      <c r="E1195" s="43">
        <f t="shared" si="37"/>
        <v>-38000</v>
      </c>
    </row>
    <row r="1196" spans="1:5" x14ac:dyDescent="0.2">
      <c r="A1196" s="42">
        <v>32816</v>
      </c>
      <c r="B1196" s="43">
        <f>VLOOKUP(A1196,Database!F:H,3,)</f>
        <v>333000</v>
      </c>
      <c r="C1196" s="43">
        <f t="shared" si="36"/>
        <v>-21000</v>
      </c>
      <c r="D1196" s="43">
        <f>VLOOKUP(A1196,Database!F:H,2,)</f>
        <v>2280000</v>
      </c>
      <c r="E1196" s="43">
        <f t="shared" si="37"/>
        <v>23000</v>
      </c>
    </row>
    <row r="1197" spans="1:5" x14ac:dyDescent="0.2">
      <c r="A1197" s="42">
        <v>32823</v>
      </c>
      <c r="B1197" s="43">
        <f>VLOOKUP(A1197,Database!F:H,3,)</f>
        <v>336000</v>
      </c>
      <c r="C1197" s="43">
        <f t="shared" si="36"/>
        <v>3000</v>
      </c>
      <c r="D1197" s="43">
        <f>VLOOKUP(A1197,Database!F:H,2,)</f>
        <v>2271000</v>
      </c>
      <c r="E1197" s="43">
        <f t="shared" si="37"/>
        <v>-9000</v>
      </c>
    </row>
    <row r="1198" spans="1:5" x14ac:dyDescent="0.2">
      <c r="A1198" s="42">
        <v>32830</v>
      </c>
      <c r="B1198" s="43">
        <f>VLOOKUP(A1198,Database!F:H,3,)</f>
        <v>336000</v>
      </c>
      <c r="C1198" s="43">
        <f t="shared" si="36"/>
        <v>0</v>
      </c>
      <c r="D1198" s="43">
        <f>VLOOKUP(A1198,Database!F:H,2,)</f>
        <v>2289000</v>
      </c>
      <c r="E1198" s="43">
        <f t="shared" si="37"/>
        <v>18000</v>
      </c>
    </row>
    <row r="1199" spans="1:5" x14ac:dyDescent="0.2">
      <c r="A1199" s="42">
        <v>32837</v>
      </c>
      <c r="B1199" s="43">
        <f>VLOOKUP(A1199,Database!F:H,3,)</f>
        <v>342000</v>
      </c>
      <c r="C1199" s="43">
        <f t="shared" si="36"/>
        <v>6000</v>
      </c>
      <c r="D1199" s="43">
        <f>VLOOKUP(A1199,Database!F:H,2,)</f>
        <v>2300000</v>
      </c>
      <c r="E1199" s="43">
        <f t="shared" si="37"/>
        <v>11000</v>
      </c>
    </row>
    <row r="1200" spans="1:5" x14ac:dyDescent="0.2">
      <c r="A1200" s="42">
        <v>32844</v>
      </c>
      <c r="B1200" s="43">
        <f>VLOOKUP(A1200,Database!F:H,3,)</f>
        <v>344000</v>
      </c>
      <c r="C1200" s="43">
        <f t="shared" si="36"/>
        <v>2000</v>
      </c>
      <c r="D1200" s="43">
        <f>VLOOKUP(A1200,Database!F:H,2,)</f>
        <v>2271000</v>
      </c>
      <c r="E1200" s="43">
        <f t="shared" si="37"/>
        <v>-29000</v>
      </c>
    </row>
    <row r="1201" spans="1:5" x14ac:dyDescent="0.2">
      <c r="A1201" s="42">
        <v>32851</v>
      </c>
      <c r="B1201" s="43">
        <f>VLOOKUP(A1201,Database!F:H,3,)</f>
        <v>338000</v>
      </c>
      <c r="C1201" s="43">
        <f t="shared" si="36"/>
        <v>-6000</v>
      </c>
      <c r="D1201" s="43">
        <f>VLOOKUP(A1201,Database!F:H,2,)</f>
        <v>2265000</v>
      </c>
      <c r="E1201" s="43">
        <f t="shared" si="37"/>
        <v>-6000</v>
      </c>
    </row>
    <row r="1202" spans="1:5" x14ac:dyDescent="0.2">
      <c r="A1202" s="42">
        <v>32858</v>
      </c>
      <c r="B1202" s="43">
        <f>VLOOKUP(A1202,Database!F:H,3,)</f>
        <v>355000</v>
      </c>
      <c r="C1202" s="43">
        <f t="shared" si="36"/>
        <v>17000</v>
      </c>
      <c r="D1202" s="43">
        <f>VLOOKUP(A1202,Database!F:H,2,)</f>
        <v>2295000</v>
      </c>
      <c r="E1202" s="43">
        <f t="shared" si="37"/>
        <v>30000</v>
      </c>
    </row>
    <row r="1203" spans="1:5" x14ac:dyDescent="0.2">
      <c r="A1203" s="42">
        <v>32865</v>
      </c>
      <c r="B1203" s="43">
        <f>VLOOKUP(A1203,Database!F:H,3,)</f>
        <v>381000</v>
      </c>
      <c r="C1203" s="43">
        <f t="shared" si="36"/>
        <v>26000</v>
      </c>
      <c r="D1203" s="43">
        <f>VLOOKUP(A1203,Database!F:H,2,)</f>
        <v>2292000</v>
      </c>
      <c r="E1203" s="43">
        <f t="shared" si="37"/>
        <v>-3000</v>
      </c>
    </row>
    <row r="1204" spans="1:5" x14ac:dyDescent="0.2">
      <c r="A1204" s="42">
        <v>32872</v>
      </c>
      <c r="B1204" s="43">
        <f>VLOOKUP(A1204,Database!F:H,3,)</f>
        <v>358000</v>
      </c>
      <c r="C1204" s="43">
        <f t="shared" si="36"/>
        <v>-23000</v>
      </c>
      <c r="D1204" s="43">
        <f>VLOOKUP(A1204,Database!F:H,2,)</f>
        <v>2302000</v>
      </c>
      <c r="E1204" s="43">
        <f t="shared" si="37"/>
        <v>10000</v>
      </c>
    </row>
    <row r="1205" spans="1:5" x14ac:dyDescent="0.2">
      <c r="A1205" s="42">
        <v>32879</v>
      </c>
      <c r="B1205" s="43">
        <f>VLOOKUP(A1205,Database!F:H,3,)</f>
        <v>355000</v>
      </c>
      <c r="C1205" s="43">
        <f t="shared" si="36"/>
        <v>-3000</v>
      </c>
      <c r="D1205" s="43">
        <f>VLOOKUP(A1205,Database!F:H,2,)</f>
        <v>2347000</v>
      </c>
      <c r="E1205" s="43">
        <f t="shared" si="37"/>
        <v>45000</v>
      </c>
    </row>
    <row r="1206" spans="1:5" x14ac:dyDescent="0.2">
      <c r="A1206" s="42">
        <v>32886</v>
      </c>
      <c r="B1206" s="43">
        <f>VLOOKUP(A1206,Database!F:H,3,)</f>
        <v>369000</v>
      </c>
      <c r="C1206" s="43">
        <f t="shared" si="36"/>
        <v>14000</v>
      </c>
      <c r="D1206" s="43">
        <f>VLOOKUP(A1206,Database!F:H,2,)</f>
        <v>2349000</v>
      </c>
      <c r="E1206" s="43">
        <f t="shared" si="37"/>
        <v>2000</v>
      </c>
    </row>
    <row r="1207" spans="1:5" x14ac:dyDescent="0.2">
      <c r="A1207" s="42">
        <v>32893</v>
      </c>
      <c r="B1207" s="43">
        <f>VLOOKUP(A1207,Database!F:H,3,)</f>
        <v>375000</v>
      </c>
      <c r="C1207" s="43">
        <f t="shared" si="36"/>
        <v>6000</v>
      </c>
      <c r="D1207" s="43">
        <f>VLOOKUP(A1207,Database!F:H,2,)</f>
        <v>2407000</v>
      </c>
      <c r="E1207" s="43">
        <f t="shared" si="37"/>
        <v>58000</v>
      </c>
    </row>
    <row r="1208" spans="1:5" x14ac:dyDescent="0.2">
      <c r="A1208" s="42">
        <v>32900</v>
      </c>
      <c r="B1208" s="43">
        <f>VLOOKUP(A1208,Database!F:H,3,)</f>
        <v>345000</v>
      </c>
      <c r="C1208" s="43">
        <f t="shared" si="36"/>
        <v>-30000</v>
      </c>
      <c r="D1208" s="43">
        <f>VLOOKUP(A1208,Database!F:H,2,)</f>
        <v>2316000</v>
      </c>
      <c r="E1208" s="43">
        <f t="shared" si="37"/>
        <v>-91000</v>
      </c>
    </row>
    <row r="1209" spans="1:5" x14ac:dyDescent="0.2">
      <c r="A1209" s="42">
        <v>32907</v>
      </c>
      <c r="B1209" s="43">
        <f>VLOOKUP(A1209,Database!F:H,3,)</f>
        <v>368000</v>
      </c>
      <c r="C1209" s="43">
        <f t="shared" si="36"/>
        <v>23000</v>
      </c>
      <c r="D1209" s="43">
        <f>VLOOKUP(A1209,Database!F:H,2,)</f>
        <v>2364000</v>
      </c>
      <c r="E1209" s="43">
        <f t="shared" si="37"/>
        <v>48000</v>
      </c>
    </row>
    <row r="1210" spans="1:5" x14ac:dyDescent="0.2">
      <c r="A1210" s="42">
        <v>32914</v>
      </c>
      <c r="B1210" s="43">
        <f>VLOOKUP(A1210,Database!F:H,3,)</f>
        <v>367000</v>
      </c>
      <c r="C1210" s="43">
        <f t="shared" si="36"/>
        <v>-1000</v>
      </c>
      <c r="D1210" s="43">
        <f>VLOOKUP(A1210,Database!F:H,2,)</f>
        <v>2323000</v>
      </c>
      <c r="E1210" s="43">
        <f t="shared" si="37"/>
        <v>-41000</v>
      </c>
    </row>
    <row r="1211" spans="1:5" x14ac:dyDescent="0.2">
      <c r="A1211" s="42">
        <v>32921</v>
      </c>
      <c r="B1211" s="43">
        <f>VLOOKUP(A1211,Database!F:H,3,)</f>
        <v>348000</v>
      </c>
      <c r="C1211" s="43">
        <f t="shared" si="36"/>
        <v>-19000</v>
      </c>
      <c r="D1211" s="43">
        <f>VLOOKUP(A1211,Database!F:H,2,)</f>
        <v>2382000</v>
      </c>
      <c r="E1211" s="43">
        <f t="shared" si="37"/>
        <v>59000</v>
      </c>
    </row>
    <row r="1212" spans="1:5" x14ac:dyDescent="0.2">
      <c r="A1212" s="42">
        <v>32928</v>
      </c>
      <c r="B1212" s="43">
        <f>VLOOKUP(A1212,Database!F:H,3,)</f>
        <v>350000</v>
      </c>
      <c r="C1212" s="43">
        <f t="shared" si="36"/>
        <v>2000</v>
      </c>
      <c r="D1212" s="43">
        <f>VLOOKUP(A1212,Database!F:H,2,)</f>
        <v>2347000</v>
      </c>
      <c r="E1212" s="43">
        <f t="shared" si="37"/>
        <v>-35000</v>
      </c>
    </row>
    <row r="1213" spans="1:5" x14ac:dyDescent="0.2">
      <c r="A1213" s="42">
        <v>32935</v>
      </c>
      <c r="B1213" s="43">
        <f>VLOOKUP(A1213,Database!F:H,3,)</f>
        <v>351000</v>
      </c>
      <c r="C1213" s="43">
        <f t="shared" si="36"/>
        <v>1000</v>
      </c>
      <c r="D1213" s="43">
        <f>VLOOKUP(A1213,Database!F:H,2,)</f>
        <v>2385000</v>
      </c>
      <c r="E1213" s="43">
        <f t="shared" si="37"/>
        <v>38000</v>
      </c>
    </row>
    <row r="1214" spans="1:5" x14ac:dyDescent="0.2">
      <c r="A1214" s="42">
        <v>32942</v>
      </c>
      <c r="B1214" s="43">
        <f>VLOOKUP(A1214,Database!F:H,3,)</f>
        <v>349000</v>
      </c>
      <c r="C1214" s="43">
        <f t="shared" si="36"/>
        <v>-2000</v>
      </c>
      <c r="D1214" s="43">
        <f>VLOOKUP(A1214,Database!F:H,2,)</f>
        <v>2341000</v>
      </c>
      <c r="E1214" s="43">
        <f t="shared" si="37"/>
        <v>-44000</v>
      </c>
    </row>
    <row r="1215" spans="1:5" x14ac:dyDescent="0.2">
      <c r="A1215" s="42">
        <v>32949</v>
      </c>
      <c r="B1215" s="43">
        <f>VLOOKUP(A1215,Database!F:H,3,)</f>
        <v>349000</v>
      </c>
      <c r="C1215" s="43">
        <f t="shared" si="36"/>
        <v>0</v>
      </c>
      <c r="D1215" s="43">
        <f>VLOOKUP(A1215,Database!F:H,2,)</f>
        <v>2384000</v>
      </c>
      <c r="E1215" s="43">
        <f t="shared" si="37"/>
        <v>43000</v>
      </c>
    </row>
    <row r="1216" spans="1:5" x14ac:dyDescent="0.2">
      <c r="A1216" s="42">
        <v>32956</v>
      </c>
      <c r="B1216" s="43">
        <f>VLOOKUP(A1216,Database!F:H,3,)</f>
        <v>331000</v>
      </c>
      <c r="C1216" s="43">
        <f t="shared" si="36"/>
        <v>-18000</v>
      </c>
      <c r="D1216" s="43">
        <f>VLOOKUP(A1216,Database!F:H,2,)</f>
        <v>2344000</v>
      </c>
      <c r="E1216" s="43">
        <f t="shared" si="37"/>
        <v>-40000</v>
      </c>
    </row>
    <row r="1217" spans="1:5" x14ac:dyDescent="0.2">
      <c r="A1217" s="42">
        <v>32963</v>
      </c>
      <c r="B1217" s="43">
        <f>VLOOKUP(A1217,Database!F:H,3,)</f>
        <v>346000</v>
      </c>
      <c r="C1217" s="43">
        <f t="shared" si="36"/>
        <v>15000</v>
      </c>
      <c r="D1217" s="43">
        <f>VLOOKUP(A1217,Database!F:H,2,)</f>
        <v>2365000</v>
      </c>
      <c r="E1217" s="43">
        <f t="shared" si="37"/>
        <v>21000</v>
      </c>
    </row>
    <row r="1218" spans="1:5" x14ac:dyDescent="0.2">
      <c r="A1218" s="42">
        <v>32970</v>
      </c>
      <c r="B1218" s="43">
        <f>VLOOKUP(A1218,Database!F:H,3,)</f>
        <v>367000</v>
      </c>
      <c r="C1218" s="43">
        <f t="shared" si="36"/>
        <v>21000</v>
      </c>
      <c r="D1218" s="43">
        <f>VLOOKUP(A1218,Database!F:H,2,)</f>
        <v>2323000</v>
      </c>
      <c r="E1218" s="43">
        <f t="shared" si="37"/>
        <v>-42000</v>
      </c>
    </row>
    <row r="1219" spans="1:5" x14ac:dyDescent="0.2">
      <c r="A1219" s="42">
        <v>32977</v>
      </c>
      <c r="B1219" s="43">
        <f>VLOOKUP(A1219,Database!F:H,3,)</f>
        <v>357000</v>
      </c>
      <c r="C1219" s="43">
        <f t="shared" si="36"/>
        <v>-10000</v>
      </c>
      <c r="D1219" s="43">
        <f>VLOOKUP(A1219,Database!F:H,2,)</f>
        <v>2410000</v>
      </c>
      <c r="E1219" s="43">
        <f t="shared" si="37"/>
        <v>87000</v>
      </c>
    </row>
    <row r="1220" spans="1:5" x14ac:dyDescent="0.2">
      <c r="A1220" s="42">
        <v>32984</v>
      </c>
      <c r="B1220" s="43">
        <f>VLOOKUP(A1220,Database!F:H,3,)</f>
        <v>360000</v>
      </c>
      <c r="C1220" s="43">
        <f t="shared" si="36"/>
        <v>3000</v>
      </c>
      <c r="D1220" s="43">
        <f>VLOOKUP(A1220,Database!F:H,2,)</f>
        <v>2385000</v>
      </c>
      <c r="E1220" s="43">
        <f t="shared" si="37"/>
        <v>-25000</v>
      </c>
    </row>
    <row r="1221" spans="1:5" x14ac:dyDescent="0.2">
      <c r="A1221" s="42">
        <v>32991</v>
      </c>
      <c r="B1221" s="43">
        <f>VLOOKUP(A1221,Database!F:H,3,)</f>
        <v>363000</v>
      </c>
      <c r="C1221" s="43">
        <f t="shared" si="36"/>
        <v>3000</v>
      </c>
      <c r="D1221" s="43">
        <f>VLOOKUP(A1221,Database!F:H,2,)</f>
        <v>2403000</v>
      </c>
      <c r="E1221" s="43">
        <f t="shared" si="37"/>
        <v>18000</v>
      </c>
    </row>
    <row r="1222" spans="1:5" x14ac:dyDescent="0.2">
      <c r="A1222" s="42">
        <v>32998</v>
      </c>
      <c r="B1222" s="43">
        <f>VLOOKUP(A1222,Database!F:H,3,)</f>
        <v>354000</v>
      </c>
      <c r="C1222" s="43">
        <f t="shared" si="36"/>
        <v>-9000</v>
      </c>
      <c r="D1222" s="43">
        <f>VLOOKUP(A1222,Database!F:H,2,)</f>
        <v>2374000</v>
      </c>
      <c r="E1222" s="43">
        <f t="shared" si="37"/>
        <v>-29000</v>
      </c>
    </row>
    <row r="1223" spans="1:5" x14ac:dyDescent="0.2">
      <c r="A1223" s="42">
        <v>33005</v>
      </c>
      <c r="B1223" s="43">
        <f>VLOOKUP(A1223,Database!F:H,3,)</f>
        <v>355000</v>
      </c>
      <c r="C1223" s="43">
        <f t="shared" si="36"/>
        <v>1000</v>
      </c>
      <c r="D1223" s="43">
        <f>VLOOKUP(A1223,Database!F:H,2,)</f>
        <v>2374000</v>
      </c>
      <c r="E1223" s="43">
        <f t="shared" si="37"/>
        <v>0</v>
      </c>
    </row>
    <row r="1224" spans="1:5" x14ac:dyDescent="0.2">
      <c r="A1224" s="42">
        <v>33012</v>
      </c>
      <c r="B1224" s="43">
        <f>VLOOKUP(A1224,Database!F:H,3,)</f>
        <v>353000</v>
      </c>
      <c r="C1224" s="43">
        <f t="shared" ref="C1224:C1287" si="38">B1224-B1223</f>
        <v>-2000</v>
      </c>
      <c r="D1224" s="43">
        <f>VLOOKUP(A1224,Database!F:H,2,)</f>
        <v>2381000</v>
      </c>
      <c r="E1224" s="43">
        <f t="shared" ref="E1224:E1287" si="39">D1224-D1223</f>
        <v>7000</v>
      </c>
    </row>
    <row r="1225" spans="1:5" x14ac:dyDescent="0.2">
      <c r="A1225" s="42">
        <v>33019</v>
      </c>
      <c r="B1225" s="43">
        <f>VLOOKUP(A1225,Database!F:H,3,)</f>
        <v>359000</v>
      </c>
      <c r="C1225" s="43">
        <f t="shared" si="38"/>
        <v>6000</v>
      </c>
      <c r="D1225" s="43">
        <f>VLOOKUP(A1225,Database!F:H,2,)</f>
        <v>2431000</v>
      </c>
      <c r="E1225" s="43">
        <f t="shared" si="39"/>
        <v>50000</v>
      </c>
    </row>
    <row r="1226" spans="1:5" x14ac:dyDescent="0.2">
      <c r="A1226" s="42">
        <v>33026</v>
      </c>
      <c r="B1226" s="43">
        <f>VLOOKUP(A1226,Database!F:H,3,)</f>
        <v>368000</v>
      </c>
      <c r="C1226" s="43">
        <f t="shared" si="38"/>
        <v>9000</v>
      </c>
      <c r="D1226" s="43">
        <f>VLOOKUP(A1226,Database!F:H,2,)</f>
        <v>2406000</v>
      </c>
      <c r="E1226" s="43">
        <f t="shared" si="39"/>
        <v>-25000</v>
      </c>
    </row>
    <row r="1227" spans="1:5" x14ac:dyDescent="0.2">
      <c r="A1227" s="42">
        <v>33033</v>
      </c>
      <c r="B1227" s="43">
        <f>VLOOKUP(A1227,Database!F:H,3,)</f>
        <v>359000</v>
      </c>
      <c r="C1227" s="43">
        <f t="shared" si="38"/>
        <v>-9000</v>
      </c>
      <c r="D1227" s="43">
        <f>VLOOKUP(A1227,Database!F:H,2,)</f>
        <v>2438000</v>
      </c>
      <c r="E1227" s="43">
        <f t="shared" si="39"/>
        <v>32000</v>
      </c>
    </row>
    <row r="1228" spans="1:5" x14ac:dyDescent="0.2">
      <c r="A1228" s="42">
        <v>33040</v>
      </c>
      <c r="B1228" s="43">
        <f>VLOOKUP(A1228,Database!F:H,3,)</f>
        <v>359000</v>
      </c>
      <c r="C1228" s="43">
        <f t="shared" si="38"/>
        <v>0</v>
      </c>
      <c r="D1228" s="43">
        <f>VLOOKUP(A1228,Database!F:H,2,)</f>
        <v>2402000</v>
      </c>
      <c r="E1228" s="43">
        <f t="shared" si="39"/>
        <v>-36000</v>
      </c>
    </row>
    <row r="1229" spans="1:5" x14ac:dyDescent="0.2">
      <c r="A1229" s="42">
        <v>33047</v>
      </c>
      <c r="B1229" s="43">
        <f>VLOOKUP(A1229,Database!F:H,3,)</f>
        <v>362000</v>
      </c>
      <c r="C1229" s="43">
        <f t="shared" si="38"/>
        <v>3000</v>
      </c>
      <c r="D1229" s="43">
        <f>VLOOKUP(A1229,Database!F:H,2,)</f>
        <v>2431000</v>
      </c>
      <c r="E1229" s="43">
        <f t="shared" si="39"/>
        <v>29000</v>
      </c>
    </row>
    <row r="1230" spans="1:5" x14ac:dyDescent="0.2">
      <c r="A1230" s="42">
        <v>33054</v>
      </c>
      <c r="B1230" s="43">
        <f>VLOOKUP(A1230,Database!F:H,3,)</f>
        <v>364000</v>
      </c>
      <c r="C1230" s="43">
        <f t="shared" si="38"/>
        <v>2000</v>
      </c>
      <c r="D1230" s="43">
        <f>VLOOKUP(A1230,Database!F:H,2,)</f>
        <v>2442000</v>
      </c>
      <c r="E1230" s="43">
        <f t="shared" si="39"/>
        <v>11000</v>
      </c>
    </row>
    <row r="1231" spans="1:5" x14ac:dyDescent="0.2">
      <c r="A1231" s="42">
        <v>33061</v>
      </c>
      <c r="B1231" s="43">
        <f>VLOOKUP(A1231,Database!F:H,3,)</f>
        <v>362000</v>
      </c>
      <c r="C1231" s="43">
        <f t="shared" si="38"/>
        <v>-2000</v>
      </c>
      <c r="D1231" s="43">
        <f>VLOOKUP(A1231,Database!F:H,2,)</f>
        <v>2487000</v>
      </c>
      <c r="E1231" s="43">
        <f t="shared" si="39"/>
        <v>45000</v>
      </c>
    </row>
    <row r="1232" spans="1:5" x14ac:dyDescent="0.2">
      <c r="A1232" s="42">
        <v>33068</v>
      </c>
      <c r="B1232" s="43">
        <f>VLOOKUP(A1232,Database!F:H,3,)</f>
        <v>367000</v>
      </c>
      <c r="C1232" s="43">
        <f t="shared" si="38"/>
        <v>5000</v>
      </c>
      <c r="D1232" s="43">
        <f>VLOOKUP(A1232,Database!F:H,2,)</f>
        <v>2498000</v>
      </c>
      <c r="E1232" s="43">
        <f t="shared" si="39"/>
        <v>11000</v>
      </c>
    </row>
    <row r="1233" spans="1:5" x14ac:dyDescent="0.2">
      <c r="A1233" s="42">
        <v>33075</v>
      </c>
      <c r="B1233" s="43">
        <f>VLOOKUP(A1233,Database!F:H,3,)</f>
        <v>370000</v>
      </c>
      <c r="C1233" s="43">
        <f t="shared" si="38"/>
        <v>3000</v>
      </c>
      <c r="D1233" s="43">
        <f>VLOOKUP(A1233,Database!F:H,2,)</f>
        <v>2441000</v>
      </c>
      <c r="E1233" s="43">
        <f t="shared" si="39"/>
        <v>-57000</v>
      </c>
    </row>
    <row r="1234" spans="1:5" x14ac:dyDescent="0.2">
      <c r="A1234" s="42">
        <v>33082</v>
      </c>
      <c r="B1234" s="43">
        <f>VLOOKUP(A1234,Database!F:H,3,)</f>
        <v>369000</v>
      </c>
      <c r="C1234" s="43">
        <f t="shared" si="38"/>
        <v>-1000</v>
      </c>
      <c r="D1234" s="43">
        <f>VLOOKUP(A1234,Database!F:H,2,)</f>
        <v>2461000</v>
      </c>
      <c r="E1234" s="43">
        <f t="shared" si="39"/>
        <v>20000</v>
      </c>
    </row>
    <row r="1235" spans="1:5" x14ac:dyDescent="0.2">
      <c r="A1235" s="42">
        <v>33089</v>
      </c>
      <c r="B1235" s="43">
        <f>VLOOKUP(A1235,Database!F:H,3,)</f>
        <v>369000</v>
      </c>
      <c r="C1235" s="43">
        <f t="shared" si="38"/>
        <v>0</v>
      </c>
      <c r="D1235" s="43">
        <f>VLOOKUP(A1235,Database!F:H,2,)</f>
        <v>2460000</v>
      </c>
      <c r="E1235" s="43">
        <f t="shared" si="39"/>
        <v>-1000</v>
      </c>
    </row>
    <row r="1236" spans="1:5" x14ac:dyDescent="0.2">
      <c r="A1236" s="42">
        <v>33096</v>
      </c>
      <c r="B1236" s="43">
        <f>VLOOKUP(A1236,Database!F:H,3,)</f>
        <v>381000</v>
      </c>
      <c r="C1236" s="43">
        <f t="shared" si="38"/>
        <v>12000</v>
      </c>
      <c r="D1236" s="43">
        <f>VLOOKUP(A1236,Database!F:H,2,)</f>
        <v>2500000</v>
      </c>
      <c r="E1236" s="43">
        <f t="shared" si="39"/>
        <v>40000</v>
      </c>
    </row>
    <row r="1237" spans="1:5" x14ac:dyDescent="0.2">
      <c r="A1237" s="42">
        <v>33103</v>
      </c>
      <c r="B1237" s="43">
        <f>VLOOKUP(A1237,Database!F:H,3,)</f>
        <v>393000</v>
      </c>
      <c r="C1237" s="43">
        <f t="shared" si="38"/>
        <v>12000</v>
      </c>
      <c r="D1237" s="43">
        <f>VLOOKUP(A1237,Database!F:H,2,)</f>
        <v>2537000</v>
      </c>
      <c r="E1237" s="43">
        <f t="shared" si="39"/>
        <v>37000</v>
      </c>
    </row>
    <row r="1238" spans="1:5" x14ac:dyDescent="0.2">
      <c r="A1238" s="42">
        <v>33110</v>
      </c>
      <c r="B1238" s="43">
        <f>VLOOKUP(A1238,Database!F:H,3,)</f>
        <v>394000</v>
      </c>
      <c r="C1238" s="43">
        <f t="shared" si="38"/>
        <v>1000</v>
      </c>
      <c r="D1238" s="43">
        <f>VLOOKUP(A1238,Database!F:H,2,)</f>
        <v>2540000</v>
      </c>
      <c r="E1238" s="43">
        <f t="shared" si="39"/>
        <v>3000</v>
      </c>
    </row>
    <row r="1239" spans="1:5" x14ac:dyDescent="0.2">
      <c r="A1239" s="42">
        <v>33117</v>
      </c>
      <c r="B1239" s="43">
        <f>VLOOKUP(A1239,Database!F:H,3,)</f>
        <v>392000</v>
      </c>
      <c r="C1239" s="43">
        <f t="shared" si="38"/>
        <v>-2000</v>
      </c>
      <c r="D1239" s="43">
        <f>VLOOKUP(A1239,Database!F:H,2,)</f>
        <v>2579000</v>
      </c>
      <c r="E1239" s="43">
        <f t="shared" si="39"/>
        <v>39000</v>
      </c>
    </row>
    <row r="1240" spans="1:5" x14ac:dyDescent="0.2">
      <c r="A1240" s="42">
        <v>33124</v>
      </c>
      <c r="B1240" s="43">
        <f>VLOOKUP(A1240,Database!F:H,3,)</f>
        <v>390000</v>
      </c>
      <c r="C1240" s="43">
        <f t="shared" si="38"/>
        <v>-2000</v>
      </c>
      <c r="D1240" s="43">
        <f>VLOOKUP(A1240,Database!F:H,2,)</f>
        <v>2585000</v>
      </c>
      <c r="E1240" s="43">
        <f t="shared" si="39"/>
        <v>6000</v>
      </c>
    </row>
    <row r="1241" spans="1:5" x14ac:dyDescent="0.2">
      <c r="A1241" s="42">
        <v>33131</v>
      </c>
      <c r="B1241" s="43">
        <f>VLOOKUP(A1241,Database!F:H,3,)</f>
        <v>395000</v>
      </c>
      <c r="C1241" s="43">
        <f t="shared" si="38"/>
        <v>5000</v>
      </c>
      <c r="D1241" s="43">
        <f>VLOOKUP(A1241,Database!F:H,2,)</f>
        <v>2591000</v>
      </c>
      <c r="E1241" s="43">
        <f t="shared" si="39"/>
        <v>6000</v>
      </c>
    </row>
    <row r="1242" spans="1:5" x14ac:dyDescent="0.2">
      <c r="A1242" s="42">
        <v>33138</v>
      </c>
      <c r="B1242" s="43">
        <f>VLOOKUP(A1242,Database!F:H,3,)</f>
        <v>389000</v>
      </c>
      <c r="C1242" s="43">
        <f t="shared" si="38"/>
        <v>-6000</v>
      </c>
      <c r="D1242" s="43">
        <f>VLOOKUP(A1242,Database!F:H,2,)</f>
        <v>2578000</v>
      </c>
      <c r="E1242" s="43">
        <f t="shared" si="39"/>
        <v>-13000</v>
      </c>
    </row>
    <row r="1243" spans="1:5" x14ac:dyDescent="0.2">
      <c r="A1243" s="42">
        <v>33145</v>
      </c>
      <c r="B1243" s="43">
        <f>VLOOKUP(A1243,Database!F:H,3,)</f>
        <v>404000</v>
      </c>
      <c r="C1243" s="43">
        <f t="shared" si="38"/>
        <v>15000</v>
      </c>
      <c r="D1243" s="43">
        <f>VLOOKUP(A1243,Database!F:H,2,)</f>
        <v>2644000</v>
      </c>
      <c r="E1243" s="43">
        <f t="shared" si="39"/>
        <v>66000</v>
      </c>
    </row>
    <row r="1244" spans="1:5" x14ac:dyDescent="0.2">
      <c r="A1244" s="42">
        <v>33152</v>
      </c>
      <c r="B1244" s="43">
        <f>VLOOKUP(A1244,Database!F:H,3,)</f>
        <v>404000</v>
      </c>
      <c r="C1244" s="43">
        <f t="shared" si="38"/>
        <v>0</v>
      </c>
      <c r="D1244" s="43">
        <f>VLOOKUP(A1244,Database!F:H,2,)</f>
        <v>2621000</v>
      </c>
      <c r="E1244" s="43">
        <f t="shared" si="39"/>
        <v>-23000</v>
      </c>
    </row>
    <row r="1245" spans="1:5" x14ac:dyDescent="0.2">
      <c r="A1245" s="42">
        <v>33159</v>
      </c>
      <c r="B1245" s="43">
        <f>VLOOKUP(A1245,Database!F:H,3,)</f>
        <v>422000</v>
      </c>
      <c r="C1245" s="43">
        <f t="shared" si="38"/>
        <v>18000</v>
      </c>
      <c r="D1245" s="43">
        <f>VLOOKUP(A1245,Database!F:H,2,)</f>
        <v>2753000</v>
      </c>
      <c r="E1245" s="43">
        <f t="shared" si="39"/>
        <v>132000</v>
      </c>
    </row>
    <row r="1246" spans="1:5" x14ac:dyDescent="0.2">
      <c r="A1246" s="42">
        <v>33166</v>
      </c>
      <c r="B1246" s="43">
        <f>VLOOKUP(A1246,Database!F:H,3,)</f>
        <v>435000</v>
      </c>
      <c r="C1246" s="43">
        <f t="shared" si="38"/>
        <v>13000</v>
      </c>
      <c r="D1246" s="43">
        <f>VLOOKUP(A1246,Database!F:H,2,)</f>
        <v>2722000</v>
      </c>
      <c r="E1246" s="43">
        <f t="shared" si="39"/>
        <v>-31000</v>
      </c>
    </row>
    <row r="1247" spans="1:5" x14ac:dyDescent="0.2">
      <c r="A1247" s="42">
        <v>33173</v>
      </c>
      <c r="B1247" s="43">
        <f>VLOOKUP(A1247,Database!F:H,3,)</f>
        <v>440000</v>
      </c>
      <c r="C1247" s="43">
        <f t="shared" si="38"/>
        <v>5000</v>
      </c>
      <c r="D1247" s="43">
        <f>VLOOKUP(A1247,Database!F:H,2,)</f>
        <v>2787000</v>
      </c>
      <c r="E1247" s="43">
        <f t="shared" si="39"/>
        <v>65000</v>
      </c>
    </row>
    <row r="1248" spans="1:5" x14ac:dyDescent="0.2">
      <c r="A1248" s="42">
        <v>33180</v>
      </c>
      <c r="B1248" s="43">
        <f>VLOOKUP(A1248,Database!F:H,3,)</f>
        <v>430000</v>
      </c>
      <c r="C1248" s="43">
        <f t="shared" si="38"/>
        <v>-10000</v>
      </c>
      <c r="D1248" s="43">
        <f>VLOOKUP(A1248,Database!F:H,2,)</f>
        <v>2813000</v>
      </c>
      <c r="E1248" s="43">
        <f t="shared" si="39"/>
        <v>26000</v>
      </c>
    </row>
    <row r="1249" spans="1:5" x14ac:dyDescent="0.2">
      <c r="A1249" s="42">
        <v>33187</v>
      </c>
      <c r="B1249" s="43">
        <f>VLOOKUP(A1249,Database!F:H,3,)</f>
        <v>448000</v>
      </c>
      <c r="C1249" s="43">
        <f t="shared" si="38"/>
        <v>18000</v>
      </c>
      <c r="D1249" s="43">
        <f>VLOOKUP(A1249,Database!F:H,2,)</f>
        <v>2789000</v>
      </c>
      <c r="E1249" s="43">
        <f t="shared" si="39"/>
        <v>-24000</v>
      </c>
    </row>
    <row r="1250" spans="1:5" x14ac:dyDescent="0.2">
      <c r="A1250" s="42">
        <v>33194</v>
      </c>
      <c r="B1250" s="43">
        <f>VLOOKUP(A1250,Database!F:H,3,)</f>
        <v>447000</v>
      </c>
      <c r="C1250" s="43">
        <f t="shared" si="38"/>
        <v>-1000</v>
      </c>
      <c r="D1250" s="43">
        <f>VLOOKUP(A1250,Database!F:H,2,)</f>
        <v>2996000</v>
      </c>
      <c r="E1250" s="43">
        <f t="shared" si="39"/>
        <v>207000</v>
      </c>
    </row>
    <row r="1251" spans="1:5" x14ac:dyDescent="0.2">
      <c r="A1251" s="42">
        <v>33201</v>
      </c>
      <c r="B1251" s="43">
        <f>VLOOKUP(A1251,Database!F:H,3,)</f>
        <v>462000</v>
      </c>
      <c r="C1251" s="43">
        <f t="shared" si="38"/>
        <v>15000</v>
      </c>
      <c r="D1251" s="43">
        <f>VLOOKUP(A1251,Database!F:H,2,)</f>
        <v>2955000</v>
      </c>
      <c r="E1251" s="43">
        <f t="shared" si="39"/>
        <v>-41000</v>
      </c>
    </row>
    <row r="1252" spans="1:5" x14ac:dyDescent="0.2">
      <c r="A1252" s="42">
        <v>33208</v>
      </c>
      <c r="B1252" s="43">
        <f>VLOOKUP(A1252,Database!F:H,3,)</f>
        <v>451000</v>
      </c>
      <c r="C1252" s="43">
        <f t="shared" si="38"/>
        <v>-11000</v>
      </c>
      <c r="D1252" s="43">
        <f>VLOOKUP(A1252,Database!F:H,2,)</f>
        <v>2918000</v>
      </c>
      <c r="E1252" s="43">
        <f t="shared" si="39"/>
        <v>-37000</v>
      </c>
    </row>
    <row r="1253" spans="1:5" x14ac:dyDescent="0.2">
      <c r="A1253" s="42">
        <v>33215</v>
      </c>
      <c r="B1253" s="43">
        <f>VLOOKUP(A1253,Database!F:H,3,)</f>
        <v>449000</v>
      </c>
      <c r="C1253" s="43">
        <f t="shared" si="38"/>
        <v>-2000</v>
      </c>
      <c r="D1253" s="43">
        <f>VLOOKUP(A1253,Database!F:H,2,)</f>
        <v>3000000</v>
      </c>
      <c r="E1253" s="43">
        <f t="shared" si="39"/>
        <v>82000</v>
      </c>
    </row>
    <row r="1254" spans="1:5" x14ac:dyDescent="0.2">
      <c r="A1254" s="42">
        <v>33222</v>
      </c>
      <c r="B1254" s="43">
        <f>VLOOKUP(A1254,Database!F:H,3,)</f>
        <v>447000</v>
      </c>
      <c r="C1254" s="43">
        <f t="shared" si="38"/>
        <v>-2000</v>
      </c>
      <c r="D1254" s="43">
        <f>VLOOKUP(A1254,Database!F:H,2,)</f>
        <v>2984000</v>
      </c>
      <c r="E1254" s="43">
        <f t="shared" si="39"/>
        <v>-16000</v>
      </c>
    </row>
    <row r="1255" spans="1:5" x14ac:dyDescent="0.2">
      <c r="A1255" s="42">
        <v>33229</v>
      </c>
      <c r="B1255" s="43">
        <f>VLOOKUP(A1255,Database!F:H,3,)</f>
        <v>474000</v>
      </c>
      <c r="C1255" s="43">
        <f t="shared" si="38"/>
        <v>27000</v>
      </c>
      <c r="D1255" s="43">
        <f>VLOOKUP(A1255,Database!F:H,2,)</f>
        <v>3001000</v>
      </c>
      <c r="E1255" s="43">
        <f t="shared" si="39"/>
        <v>17000</v>
      </c>
    </row>
    <row r="1256" spans="1:5" x14ac:dyDescent="0.2">
      <c r="A1256" s="42">
        <v>33236</v>
      </c>
      <c r="B1256" s="43">
        <f>VLOOKUP(A1256,Database!F:H,3,)</f>
        <v>454000</v>
      </c>
      <c r="C1256" s="43">
        <f t="shared" si="38"/>
        <v>-20000</v>
      </c>
      <c r="D1256" s="43">
        <f>VLOOKUP(A1256,Database!F:H,2,)</f>
        <v>2938000</v>
      </c>
      <c r="E1256" s="43">
        <f t="shared" si="39"/>
        <v>-63000</v>
      </c>
    </row>
    <row r="1257" spans="1:5" x14ac:dyDescent="0.2">
      <c r="A1257" s="42">
        <v>33243</v>
      </c>
      <c r="B1257" s="43">
        <f>VLOOKUP(A1257,Database!F:H,3,)</f>
        <v>415000</v>
      </c>
      <c r="C1257" s="43">
        <f t="shared" si="38"/>
        <v>-39000</v>
      </c>
      <c r="D1257" s="43">
        <f>VLOOKUP(A1257,Database!F:H,2,)</f>
        <v>3062000</v>
      </c>
      <c r="E1257" s="43">
        <f t="shared" si="39"/>
        <v>124000</v>
      </c>
    </row>
    <row r="1258" spans="1:5" x14ac:dyDescent="0.2">
      <c r="A1258" s="42">
        <v>33250</v>
      </c>
      <c r="B1258" s="43">
        <f>VLOOKUP(A1258,Database!F:H,3,)</f>
        <v>437000</v>
      </c>
      <c r="C1258" s="43">
        <f t="shared" si="38"/>
        <v>22000</v>
      </c>
      <c r="D1258" s="43">
        <f>VLOOKUP(A1258,Database!F:H,2,)</f>
        <v>3111000</v>
      </c>
      <c r="E1258" s="43">
        <f t="shared" si="39"/>
        <v>49000</v>
      </c>
    </row>
    <row r="1259" spans="1:5" x14ac:dyDescent="0.2">
      <c r="A1259" s="42">
        <v>33257</v>
      </c>
      <c r="B1259" s="43">
        <f>VLOOKUP(A1259,Database!F:H,3,)</f>
        <v>445000</v>
      </c>
      <c r="C1259" s="43">
        <f t="shared" si="38"/>
        <v>8000</v>
      </c>
      <c r="D1259" s="43">
        <f>VLOOKUP(A1259,Database!F:H,2,)</f>
        <v>3017000</v>
      </c>
      <c r="E1259" s="43">
        <f t="shared" si="39"/>
        <v>-94000</v>
      </c>
    </row>
    <row r="1260" spans="1:5" x14ac:dyDescent="0.2">
      <c r="A1260" s="42">
        <v>33264</v>
      </c>
      <c r="B1260" s="43">
        <f>VLOOKUP(A1260,Database!F:H,3,)</f>
        <v>462000</v>
      </c>
      <c r="C1260" s="43">
        <f t="shared" si="38"/>
        <v>17000</v>
      </c>
      <c r="D1260" s="43">
        <f>VLOOKUP(A1260,Database!F:H,2,)</f>
        <v>3162000</v>
      </c>
      <c r="E1260" s="43">
        <f t="shared" si="39"/>
        <v>145000</v>
      </c>
    </row>
    <row r="1261" spans="1:5" x14ac:dyDescent="0.2">
      <c r="A1261" s="42">
        <v>33271</v>
      </c>
      <c r="B1261" s="43">
        <f>VLOOKUP(A1261,Database!F:H,3,)</f>
        <v>483000</v>
      </c>
      <c r="C1261" s="43">
        <f t="shared" si="38"/>
        <v>21000</v>
      </c>
      <c r="D1261" s="43">
        <f>VLOOKUP(A1261,Database!F:H,2,)</f>
        <v>3228000</v>
      </c>
      <c r="E1261" s="43">
        <f t="shared" si="39"/>
        <v>66000</v>
      </c>
    </row>
    <row r="1262" spans="1:5" x14ac:dyDescent="0.2">
      <c r="A1262" s="42">
        <v>33278</v>
      </c>
      <c r="B1262" s="43">
        <f>VLOOKUP(A1262,Database!F:H,3,)</f>
        <v>480000</v>
      </c>
      <c r="C1262" s="43">
        <f t="shared" si="38"/>
        <v>-3000</v>
      </c>
      <c r="D1262" s="43">
        <f>VLOOKUP(A1262,Database!F:H,2,)</f>
        <v>3226000</v>
      </c>
      <c r="E1262" s="43">
        <f t="shared" si="39"/>
        <v>-2000</v>
      </c>
    </row>
    <row r="1263" spans="1:5" x14ac:dyDescent="0.2">
      <c r="A1263" s="42">
        <v>33285</v>
      </c>
      <c r="B1263" s="43">
        <f>VLOOKUP(A1263,Database!F:H,3,)</f>
        <v>474000</v>
      </c>
      <c r="C1263" s="43">
        <f t="shared" si="38"/>
        <v>-6000</v>
      </c>
      <c r="D1263" s="43">
        <f>VLOOKUP(A1263,Database!F:H,2,)</f>
        <v>3293000</v>
      </c>
      <c r="E1263" s="43">
        <f t="shared" si="39"/>
        <v>67000</v>
      </c>
    </row>
    <row r="1264" spans="1:5" x14ac:dyDescent="0.2">
      <c r="A1264" s="42">
        <v>33292</v>
      </c>
      <c r="B1264" s="43">
        <f>VLOOKUP(A1264,Database!F:H,3,)</f>
        <v>499000</v>
      </c>
      <c r="C1264" s="43">
        <f t="shared" si="38"/>
        <v>25000</v>
      </c>
      <c r="D1264" s="43">
        <f>VLOOKUP(A1264,Database!F:H,2,)</f>
        <v>3304000</v>
      </c>
      <c r="E1264" s="43">
        <f t="shared" si="39"/>
        <v>11000</v>
      </c>
    </row>
    <row r="1265" spans="1:5" x14ac:dyDescent="0.2">
      <c r="A1265" s="42">
        <v>33299</v>
      </c>
      <c r="B1265" s="43">
        <f>VLOOKUP(A1265,Database!F:H,3,)</f>
        <v>488000</v>
      </c>
      <c r="C1265" s="43">
        <f t="shared" si="38"/>
        <v>-11000</v>
      </c>
      <c r="D1265" s="43">
        <f>VLOOKUP(A1265,Database!F:H,2,)</f>
        <v>3357000</v>
      </c>
      <c r="E1265" s="43">
        <f t="shared" si="39"/>
        <v>53000</v>
      </c>
    </row>
    <row r="1266" spans="1:5" x14ac:dyDescent="0.2">
      <c r="A1266" s="42">
        <v>33306</v>
      </c>
      <c r="B1266" s="43">
        <f>VLOOKUP(A1266,Database!F:H,3,)</f>
        <v>499000</v>
      </c>
      <c r="C1266" s="43">
        <f t="shared" si="38"/>
        <v>11000</v>
      </c>
      <c r="D1266" s="43">
        <f>VLOOKUP(A1266,Database!F:H,2,)</f>
        <v>3384000</v>
      </c>
      <c r="E1266" s="43">
        <f t="shared" si="39"/>
        <v>27000</v>
      </c>
    </row>
    <row r="1267" spans="1:5" x14ac:dyDescent="0.2">
      <c r="A1267" s="42">
        <v>33313</v>
      </c>
      <c r="B1267" s="43">
        <f>VLOOKUP(A1267,Database!F:H,3,)</f>
        <v>498000</v>
      </c>
      <c r="C1267" s="43">
        <f t="shared" si="38"/>
        <v>-1000</v>
      </c>
      <c r="D1267" s="43">
        <f>VLOOKUP(A1267,Database!F:H,2,)</f>
        <v>3448000</v>
      </c>
      <c r="E1267" s="43">
        <f t="shared" si="39"/>
        <v>64000</v>
      </c>
    </row>
    <row r="1268" spans="1:5" x14ac:dyDescent="0.2">
      <c r="A1268" s="42">
        <v>33320</v>
      </c>
      <c r="B1268" s="43">
        <f>VLOOKUP(A1268,Database!F:H,3,)</f>
        <v>509000</v>
      </c>
      <c r="C1268" s="43">
        <f t="shared" si="38"/>
        <v>11000</v>
      </c>
      <c r="D1268" s="43">
        <f>VLOOKUP(A1268,Database!F:H,2,)</f>
        <v>3404000</v>
      </c>
      <c r="E1268" s="43">
        <f t="shared" si="39"/>
        <v>-44000</v>
      </c>
    </row>
    <row r="1269" spans="1:5" x14ac:dyDescent="0.2">
      <c r="A1269" s="42">
        <v>33327</v>
      </c>
      <c r="B1269" s="43">
        <f>VLOOKUP(A1269,Database!F:H,3,)</f>
        <v>499000</v>
      </c>
      <c r="C1269" s="43">
        <f t="shared" si="38"/>
        <v>-10000</v>
      </c>
      <c r="D1269" s="43">
        <f>VLOOKUP(A1269,Database!F:H,2,)</f>
        <v>3502000</v>
      </c>
      <c r="E1269" s="43">
        <f t="shared" si="39"/>
        <v>98000</v>
      </c>
    </row>
    <row r="1270" spans="1:5" x14ac:dyDescent="0.2">
      <c r="A1270" s="42">
        <v>33334</v>
      </c>
      <c r="B1270" s="43">
        <f>VLOOKUP(A1270,Database!F:H,3,)</f>
        <v>452000</v>
      </c>
      <c r="C1270" s="43">
        <f t="shared" si="38"/>
        <v>-47000</v>
      </c>
      <c r="D1270" s="43">
        <f>VLOOKUP(A1270,Database!F:H,2,)</f>
        <v>3493000</v>
      </c>
      <c r="E1270" s="43">
        <f t="shared" si="39"/>
        <v>-9000</v>
      </c>
    </row>
    <row r="1271" spans="1:5" x14ac:dyDescent="0.2">
      <c r="A1271" s="42">
        <v>33341</v>
      </c>
      <c r="B1271" s="43">
        <f>VLOOKUP(A1271,Database!F:H,3,)</f>
        <v>477000</v>
      </c>
      <c r="C1271" s="43">
        <f t="shared" si="38"/>
        <v>25000</v>
      </c>
      <c r="D1271" s="43">
        <f>VLOOKUP(A1271,Database!F:H,2,)</f>
        <v>3464000</v>
      </c>
      <c r="E1271" s="43">
        <f t="shared" si="39"/>
        <v>-29000</v>
      </c>
    </row>
    <row r="1272" spans="1:5" x14ac:dyDescent="0.2">
      <c r="A1272" s="42">
        <v>33348</v>
      </c>
      <c r="B1272" s="43">
        <f>VLOOKUP(A1272,Database!F:H,3,)</f>
        <v>478000</v>
      </c>
      <c r="C1272" s="43">
        <f t="shared" si="38"/>
        <v>1000</v>
      </c>
      <c r="D1272" s="43">
        <f>VLOOKUP(A1272,Database!F:H,2,)</f>
        <v>3502000</v>
      </c>
      <c r="E1272" s="43">
        <f t="shared" si="39"/>
        <v>38000</v>
      </c>
    </row>
    <row r="1273" spans="1:5" x14ac:dyDescent="0.2">
      <c r="A1273" s="42">
        <v>33355</v>
      </c>
      <c r="B1273" s="43">
        <f>VLOOKUP(A1273,Database!F:H,3,)</f>
        <v>462000</v>
      </c>
      <c r="C1273" s="43">
        <f t="shared" si="38"/>
        <v>-16000</v>
      </c>
      <c r="D1273" s="43">
        <f>VLOOKUP(A1273,Database!F:H,2,)</f>
        <v>3474000</v>
      </c>
      <c r="E1273" s="43">
        <f t="shared" si="39"/>
        <v>-28000</v>
      </c>
    </row>
    <row r="1274" spans="1:5" x14ac:dyDescent="0.2">
      <c r="A1274" s="42">
        <v>33362</v>
      </c>
      <c r="B1274" s="43">
        <f>VLOOKUP(A1274,Database!F:H,3,)</f>
        <v>451000</v>
      </c>
      <c r="C1274" s="43">
        <f t="shared" si="38"/>
        <v>-11000</v>
      </c>
      <c r="D1274" s="43">
        <f>VLOOKUP(A1274,Database!F:H,2,)</f>
        <v>3524000</v>
      </c>
      <c r="E1274" s="43">
        <f t="shared" si="39"/>
        <v>50000</v>
      </c>
    </row>
    <row r="1275" spans="1:5" x14ac:dyDescent="0.2">
      <c r="A1275" s="42">
        <v>33369</v>
      </c>
      <c r="B1275" s="43">
        <f>VLOOKUP(A1275,Database!F:H,3,)</f>
        <v>446000</v>
      </c>
      <c r="C1275" s="43">
        <f t="shared" si="38"/>
        <v>-5000</v>
      </c>
      <c r="D1275" s="43">
        <f>VLOOKUP(A1275,Database!F:H,2,)</f>
        <v>3492000</v>
      </c>
      <c r="E1275" s="43">
        <f t="shared" si="39"/>
        <v>-32000</v>
      </c>
    </row>
    <row r="1276" spans="1:5" x14ac:dyDescent="0.2">
      <c r="A1276" s="42">
        <v>33376</v>
      </c>
      <c r="B1276" s="43">
        <f>VLOOKUP(A1276,Database!F:H,3,)</f>
        <v>448000</v>
      </c>
      <c r="C1276" s="43">
        <f t="shared" si="38"/>
        <v>2000</v>
      </c>
      <c r="D1276" s="43">
        <f>VLOOKUP(A1276,Database!F:H,2,)</f>
        <v>3459000</v>
      </c>
      <c r="E1276" s="43">
        <f t="shared" si="39"/>
        <v>-33000</v>
      </c>
    </row>
    <row r="1277" spans="1:5" x14ac:dyDescent="0.2">
      <c r="A1277" s="42">
        <v>33383</v>
      </c>
      <c r="B1277" s="43">
        <f>VLOOKUP(A1277,Database!F:H,3,)</f>
        <v>443000</v>
      </c>
      <c r="C1277" s="43">
        <f t="shared" si="38"/>
        <v>-5000</v>
      </c>
      <c r="D1277" s="43">
        <f>VLOOKUP(A1277,Database!F:H,2,)</f>
        <v>3472000</v>
      </c>
      <c r="E1277" s="43">
        <f t="shared" si="39"/>
        <v>13000</v>
      </c>
    </row>
    <row r="1278" spans="1:5" x14ac:dyDescent="0.2">
      <c r="A1278" s="42">
        <v>33390</v>
      </c>
      <c r="B1278" s="43">
        <f>VLOOKUP(A1278,Database!F:H,3,)</f>
        <v>432000</v>
      </c>
      <c r="C1278" s="43">
        <f t="shared" si="38"/>
        <v>-11000</v>
      </c>
      <c r="D1278" s="43">
        <f>VLOOKUP(A1278,Database!F:H,2,)</f>
        <v>3522000</v>
      </c>
      <c r="E1278" s="43">
        <f t="shared" si="39"/>
        <v>50000</v>
      </c>
    </row>
    <row r="1279" spans="1:5" x14ac:dyDescent="0.2">
      <c r="A1279" s="42">
        <v>33397</v>
      </c>
      <c r="B1279" s="43">
        <f>VLOOKUP(A1279,Database!F:H,3,)</f>
        <v>441000</v>
      </c>
      <c r="C1279" s="43">
        <f t="shared" si="38"/>
        <v>9000</v>
      </c>
      <c r="D1279" s="43">
        <f>VLOOKUP(A1279,Database!F:H,2,)</f>
        <v>3439000</v>
      </c>
      <c r="E1279" s="43">
        <f t="shared" si="39"/>
        <v>-83000</v>
      </c>
    </row>
    <row r="1280" spans="1:5" x14ac:dyDescent="0.2">
      <c r="A1280" s="42">
        <v>33404</v>
      </c>
      <c r="B1280" s="43">
        <f>VLOOKUP(A1280,Database!F:H,3,)</f>
        <v>429000</v>
      </c>
      <c r="C1280" s="43">
        <f t="shared" si="38"/>
        <v>-12000</v>
      </c>
      <c r="D1280" s="43">
        <f>VLOOKUP(A1280,Database!F:H,2,)</f>
        <v>3428000</v>
      </c>
      <c r="E1280" s="43">
        <f t="shared" si="39"/>
        <v>-11000</v>
      </c>
    </row>
    <row r="1281" spans="1:5" x14ac:dyDescent="0.2">
      <c r="A1281" s="42">
        <v>33411</v>
      </c>
      <c r="B1281" s="43">
        <f>VLOOKUP(A1281,Database!F:H,3,)</f>
        <v>423000</v>
      </c>
      <c r="C1281" s="43">
        <f t="shared" si="38"/>
        <v>-6000</v>
      </c>
      <c r="D1281" s="43">
        <f>VLOOKUP(A1281,Database!F:H,2,)</f>
        <v>3389000</v>
      </c>
      <c r="E1281" s="43">
        <f t="shared" si="39"/>
        <v>-39000</v>
      </c>
    </row>
    <row r="1282" spans="1:5" x14ac:dyDescent="0.2">
      <c r="A1282" s="42">
        <v>33418</v>
      </c>
      <c r="B1282" s="43">
        <f>VLOOKUP(A1282,Database!F:H,3,)</f>
        <v>418000</v>
      </c>
      <c r="C1282" s="43">
        <f t="shared" si="38"/>
        <v>-5000</v>
      </c>
      <c r="D1282" s="43">
        <f>VLOOKUP(A1282,Database!F:H,2,)</f>
        <v>3356000</v>
      </c>
      <c r="E1282" s="43">
        <f t="shared" si="39"/>
        <v>-33000</v>
      </c>
    </row>
    <row r="1283" spans="1:5" x14ac:dyDescent="0.2">
      <c r="A1283" s="42">
        <v>33425</v>
      </c>
      <c r="B1283" s="43">
        <f>VLOOKUP(A1283,Database!F:H,3,)</f>
        <v>422000</v>
      </c>
      <c r="C1283" s="43">
        <f t="shared" si="38"/>
        <v>4000</v>
      </c>
      <c r="D1283" s="43">
        <f>VLOOKUP(A1283,Database!F:H,2,)</f>
        <v>3393000</v>
      </c>
      <c r="E1283" s="43">
        <f t="shared" si="39"/>
        <v>37000</v>
      </c>
    </row>
    <row r="1284" spans="1:5" x14ac:dyDescent="0.2">
      <c r="A1284" s="42">
        <v>33432</v>
      </c>
      <c r="B1284" s="43">
        <f>VLOOKUP(A1284,Database!F:H,3,)</f>
        <v>420000</v>
      </c>
      <c r="C1284" s="43">
        <f t="shared" si="38"/>
        <v>-2000</v>
      </c>
      <c r="D1284" s="43">
        <f>VLOOKUP(A1284,Database!F:H,2,)</f>
        <v>3255000</v>
      </c>
      <c r="E1284" s="43">
        <f t="shared" si="39"/>
        <v>-138000</v>
      </c>
    </row>
    <row r="1285" spans="1:5" x14ac:dyDescent="0.2">
      <c r="A1285" s="42">
        <v>33439</v>
      </c>
      <c r="B1285" s="43">
        <f>VLOOKUP(A1285,Database!F:H,3,)</f>
        <v>408000</v>
      </c>
      <c r="C1285" s="43">
        <f t="shared" si="38"/>
        <v>-12000</v>
      </c>
      <c r="D1285" s="43">
        <f>VLOOKUP(A1285,Database!F:H,2,)</f>
        <v>3276000</v>
      </c>
      <c r="E1285" s="43">
        <f t="shared" si="39"/>
        <v>21000</v>
      </c>
    </row>
    <row r="1286" spans="1:5" x14ac:dyDescent="0.2">
      <c r="A1286" s="42">
        <v>33446</v>
      </c>
      <c r="B1286" s="43">
        <f>VLOOKUP(A1286,Database!F:H,3,)</f>
        <v>423000</v>
      </c>
      <c r="C1286" s="43">
        <f t="shared" si="38"/>
        <v>15000</v>
      </c>
      <c r="D1286" s="43">
        <f>VLOOKUP(A1286,Database!F:H,2,)</f>
        <v>3306000</v>
      </c>
      <c r="E1286" s="43">
        <f t="shared" si="39"/>
        <v>30000</v>
      </c>
    </row>
    <row r="1287" spans="1:5" x14ac:dyDescent="0.2">
      <c r="A1287" s="42">
        <v>33453</v>
      </c>
      <c r="B1287" s="43">
        <f>VLOOKUP(A1287,Database!F:H,3,)</f>
        <v>438000</v>
      </c>
      <c r="C1287" s="43">
        <f t="shared" si="38"/>
        <v>15000</v>
      </c>
      <c r="D1287" s="43">
        <f>VLOOKUP(A1287,Database!F:H,2,)</f>
        <v>3307000</v>
      </c>
      <c r="E1287" s="43">
        <f t="shared" si="39"/>
        <v>1000</v>
      </c>
    </row>
    <row r="1288" spans="1:5" x14ac:dyDescent="0.2">
      <c r="A1288" s="42">
        <v>33460</v>
      </c>
      <c r="B1288" s="43">
        <f>VLOOKUP(A1288,Database!F:H,3,)</f>
        <v>437000</v>
      </c>
      <c r="C1288" s="43">
        <f t="shared" ref="C1288:C1351" si="40">B1288-B1287</f>
        <v>-1000</v>
      </c>
      <c r="D1288" s="43">
        <f>VLOOKUP(A1288,Database!F:H,2,)</f>
        <v>3314000</v>
      </c>
      <c r="E1288" s="43">
        <f t="shared" ref="E1288:E1351" si="41">D1288-D1287</f>
        <v>7000</v>
      </c>
    </row>
    <row r="1289" spans="1:5" x14ac:dyDescent="0.2">
      <c r="A1289" s="42">
        <v>33467</v>
      </c>
      <c r="B1289" s="43">
        <f>VLOOKUP(A1289,Database!F:H,3,)</f>
        <v>433000</v>
      </c>
      <c r="C1289" s="43">
        <f t="shared" si="40"/>
        <v>-4000</v>
      </c>
      <c r="D1289" s="43">
        <f>VLOOKUP(A1289,Database!F:H,2,)</f>
        <v>3282000</v>
      </c>
      <c r="E1289" s="43">
        <f t="shared" si="41"/>
        <v>-32000</v>
      </c>
    </row>
    <row r="1290" spans="1:5" x14ac:dyDescent="0.2">
      <c r="A1290" s="42">
        <v>33474</v>
      </c>
      <c r="B1290" s="43">
        <f>VLOOKUP(A1290,Database!F:H,3,)</f>
        <v>425000</v>
      </c>
      <c r="C1290" s="43">
        <f t="shared" si="40"/>
        <v>-8000</v>
      </c>
      <c r="D1290" s="43">
        <f>VLOOKUP(A1290,Database!F:H,2,)</f>
        <v>3277000</v>
      </c>
      <c r="E1290" s="43">
        <f t="shared" si="41"/>
        <v>-5000</v>
      </c>
    </row>
    <row r="1291" spans="1:5" x14ac:dyDescent="0.2">
      <c r="A1291" s="42">
        <v>33481</v>
      </c>
      <c r="B1291" s="43">
        <f>VLOOKUP(A1291,Database!F:H,3,)</f>
        <v>425000</v>
      </c>
      <c r="C1291" s="43">
        <f t="shared" si="40"/>
        <v>0</v>
      </c>
      <c r="D1291" s="43">
        <f>VLOOKUP(A1291,Database!F:H,2,)</f>
        <v>3279000</v>
      </c>
      <c r="E1291" s="43">
        <f t="shared" si="41"/>
        <v>2000</v>
      </c>
    </row>
    <row r="1292" spans="1:5" x14ac:dyDescent="0.2">
      <c r="A1292" s="42">
        <v>33488</v>
      </c>
      <c r="B1292" s="43">
        <f>VLOOKUP(A1292,Database!F:H,3,)</f>
        <v>424000</v>
      </c>
      <c r="C1292" s="43">
        <f t="shared" si="40"/>
        <v>-1000</v>
      </c>
      <c r="D1292" s="43">
        <f>VLOOKUP(A1292,Database!F:H,2,)</f>
        <v>3326000</v>
      </c>
      <c r="E1292" s="43">
        <f t="shared" si="41"/>
        <v>47000</v>
      </c>
    </row>
    <row r="1293" spans="1:5" x14ac:dyDescent="0.2">
      <c r="A1293" s="42">
        <v>33495</v>
      </c>
      <c r="B1293" s="43">
        <f>VLOOKUP(A1293,Database!F:H,3,)</f>
        <v>418000</v>
      </c>
      <c r="C1293" s="43">
        <f t="shared" si="40"/>
        <v>-6000</v>
      </c>
      <c r="D1293" s="43">
        <f>VLOOKUP(A1293,Database!F:H,2,)</f>
        <v>3275000</v>
      </c>
      <c r="E1293" s="43">
        <f t="shared" si="41"/>
        <v>-51000</v>
      </c>
    </row>
    <row r="1294" spans="1:5" x14ac:dyDescent="0.2">
      <c r="A1294" s="42">
        <v>33502</v>
      </c>
      <c r="B1294" s="43">
        <f>VLOOKUP(A1294,Database!F:H,3,)</f>
        <v>419000</v>
      </c>
      <c r="C1294" s="43">
        <f t="shared" si="40"/>
        <v>1000</v>
      </c>
      <c r="D1294" s="43">
        <f>VLOOKUP(A1294,Database!F:H,2,)</f>
        <v>3294000</v>
      </c>
      <c r="E1294" s="43">
        <f t="shared" si="41"/>
        <v>19000</v>
      </c>
    </row>
    <row r="1295" spans="1:5" x14ac:dyDescent="0.2">
      <c r="A1295" s="42">
        <v>33509</v>
      </c>
      <c r="B1295" s="43">
        <f>VLOOKUP(A1295,Database!F:H,3,)</f>
        <v>437000</v>
      </c>
      <c r="C1295" s="43">
        <f t="shared" si="40"/>
        <v>18000</v>
      </c>
      <c r="D1295" s="43">
        <f>VLOOKUP(A1295,Database!F:H,2,)</f>
        <v>3290000</v>
      </c>
      <c r="E1295" s="43">
        <f t="shared" si="41"/>
        <v>-4000</v>
      </c>
    </row>
    <row r="1296" spans="1:5" x14ac:dyDescent="0.2">
      <c r="A1296" s="42">
        <v>33516</v>
      </c>
      <c r="B1296" s="43">
        <f>VLOOKUP(A1296,Database!F:H,3,)</f>
        <v>424000</v>
      </c>
      <c r="C1296" s="43">
        <f t="shared" si="40"/>
        <v>-13000</v>
      </c>
      <c r="D1296" s="43">
        <f>VLOOKUP(A1296,Database!F:H,2,)</f>
        <v>3388000</v>
      </c>
      <c r="E1296" s="43">
        <f t="shared" si="41"/>
        <v>98000</v>
      </c>
    </row>
    <row r="1297" spans="1:5" x14ac:dyDescent="0.2">
      <c r="A1297" s="42">
        <v>33523</v>
      </c>
      <c r="B1297" s="43">
        <f>VLOOKUP(A1297,Database!F:H,3,)</f>
        <v>425000</v>
      </c>
      <c r="C1297" s="43">
        <f t="shared" si="40"/>
        <v>1000</v>
      </c>
      <c r="D1297" s="43">
        <f>VLOOKUP(A1297,Database!F:H,2,)</f>
        <v>3237000</v>
      </c>
      <c r="E1297" s="43">
        <f t="shared" si="41"/>
        <v>-151000</v>
      </c>
    </row>
    <row r="1298" spans="1:5" x14ac:dyDescent="0.2">
      <c r="A1298" s="42">
        <v>33530</v>
      </c>
      <c r="B1298" s="43">
        <f>VLOOKUP(A1298,Database!F:H,3,)</f>
        <v>419000</v>
      </c>
      <c r="C1298" s="43">
        <f t="shared" si="40"/>
        <v>-6000</v>
      </c>
      <c r="D1298" s="43">
        <f>VLOOKUP(A1298,Database!F:H,2,)</f>
        <v>3320000</v>
      </c>
      <c r="E1298" s="43">
        <f t="shared" si="41"/>
        <v>83000</v>
      </c>
    </row>
    <row r="1299" spans="1:5" x14ac:dyDescent="0.2">
      <c r="A1299" s="42">
        <v>33537</v>
      </c>
      <c r="B1299" s="43">
        <f>VLOOKUP(A1299,Database!F:H,3,)</f>
        <v>423000</v>
      </c>
      <c r="C1299" s="43">
        <f t="shared" si="40"/>
        <v>4000</v>
      </c>
      <c r="D1299" s="43">
        <f>VLOOKUP(A1299,Database!F:H,2,)</f>
        <v>3299000</v>
      </c>
      <c r="E1299" s="43">
        <f t="shared" si="41"/>
        <v>-21000</v>
      </c>
    </row>
    <row r="1300" spans="1:5" x14ac:dyDescent="0.2">
      <c r="A1300" s="42">
        <v>33544</v>
      </c>
      <c r="B1300" s="43">
        <f>VLOOKUP(A1300,Database!F:H,3,)</f>
        <v>447000</v>
      </c>
      <c r="C1300" s="43">
        <f t="shared" si="40"/>
        <v>24000</v>
      </c>
      <c r="D1300" s="43">
        <f>VLOOKUP(A1300,Database!F:H,2,)</f>
        <v>3336000</v>
      </c>
      <c r="E1300" s="43">
        <f t="shared" si="41"/>
        <v>37000</v>
      </c>
    </row>
    <row r="1301" spans="1:5" x14ac:dyDescent="0.2">
      <c r="A1301" s="42">
        <v>33551</v>
      </c>
      <c r="B1301" s="43">
        <f>VLOOKUP(A1301,Database!F:H,3,)</f>
        <v>453000</v>
      </c>
      <c r="C1301" s="43">
        <f t="shared" si="40"/>
        <v>6000</v>
      </c>
      <c r="D1301" s="43">
        <f>VLOOKUP(A1301,Database!F:H,2,)</f>
        <v>3328000</v>
      </c>
      <c r="E1301" s="43">
        <f t="shared" si="41"/>
        <v>-8000</v>
      </c>
    </row>
    <row r="1302" spans="1:5" x14ac:dyDescent="0.2">
      <c r="A1302" s="42">
        <v>33558</v>
      </c>
      <c r="B1302" s="43">
        <f>VLOOKUP(A1302,Database!F:H,3,)</f>
        <v>439000</v>
      </c>
      <c r="C1302" s="43">
        <f t="shared" si="40"/>
        <v>-14000</v>
      </c>
      <c r="D1302" s="43">
        <f>VLOOKUP(A1302,Database!F:H,2,)</f>
        <v>3315000</v>
      </c>
      <c r="E1302" s="43">
        <f t="shared" si="41"/>
        <v>-13000</v>
      </c>
    </row>
    <row r="1303" spans="1:5" x14ac:dyDescent="0.2">
      <c r="A1303" s="42">
        <v>33565</v>
      </c>
      <c r="B1303" s="43">
        <f>VLOOKUP(A1303,Database!F:H,3,)</f>
        <v>444000</v>
      </c>
      <c r="C1303" s="43">
        <f t="shared" si="40"/>
        <v>5000</v>
      </c>
      <c r="D1303" s="43">
        <f>VLOOKUP(A1303,Database!F:H,2,)</f>
        <v>3226000</v>
      </c>
      <c r="E1303" s="43">
        <f t="shared" si="41"/>
        <v>-89000</v>
      </c>
    </row>
    <row r="1304" spans="1:5" x14ac:dyDescent="0.2">
      <c r="A1304" s="42">
        <v>33572</v>
      </c>
      <c r="B1304" s="43">
        <f>VLOOKUP(A1304,Database!F:H,3,)</f>
        <v>444000</v>
      </c>
      <c r="C1304" s="43">
        <f t="shared" si="40"/>
        <v>0</v>
      </c>
      <c r="D1304" s="43">
        <f>VLOOKUP(A1304,Database!F:H,2,)</f>
        <v>3348000</v>
      </c>
      <c r="E1304" s="43">
        <f t="shared" si="41"/>
        <v>122000</v>
      </c>
    </row>
    <row r="1305" spans="1:5" x14ac:dyDescent="0.2">
      <c r="A1305" s="42">
        <v>33579</v>
      </c>
      <c r="B1305" s="43">
        <f>VLOOKUP(A1305,Database!F:H,3,)</f>
        <v>475000</v>
      </c>
      <c r="C1305" s="43">
        <f t="shared" si="40"/>
        <v>31000</v>
      </c>
      <c r="D1305" s="43">
        <f>VLOOKUP(A1305,Database!F:H,2,)</f>
        <v>3388000</v>
      </c>
      <c r="E1305" s="43">
        <f t="shared" si="41"/>
        <v>40000</v>
      </c>
    </row>
    <row r="1306" spans="1:5" x14ac:dyDescent="0.2">
      <c r="A1306" s="42">
        <v>33586</v>
      </c>
      <c r="B1306" s="43">
        <f>VLOOKUP(A1306,Database!F:H,3,)</f>
        <v>475000</v>
      </c>
      <c r="C1306" s="43">
        <f t="shared" si="40"/>
        <v>0</v>
      </c>
      <c r="D1306" s="43">
        <f>VLOOKUP(A1306,Database!F:H,2,)</f>
        <v>3405000</v>
      </c>
      <c r="E1306" s="43">
        <f t="shared" si="41"/>
        <v>17000</v>
      </c>
    </row>
    <row r="1307" spans="1:5" x14ac:dyDescent="0.2">
      <c r="A1307" s="42">
        <v>33593</v>
      </c>
      <c r="B1307" s="43">
        <f>VLOOKUP(A1307,Database!F:H,3,)</f>
        <v>436000</v>
      </c>
      <c r="C1307" s="43">
        <f t="shared" si="40"/>
        <v>-39000</v>
      </c>
      <c r="D1307" s="43">
        <f>VLOOKUP(A1307,Database!F:H,2,)</f>
        <v>3264000</v>
      </c>
      <c r="E1307" s="43">
        <f t="shared" si="41"/>
        <v>-141000</v>
      </c>
    </row>
    <row r="1308" spans="1:5" x14ac:dyDescent="0.2">
      <c r="A1308" s="42">
        <v>33600</v>
      </c>
      <c r="B1308" s="43">
        <f>VLOOKUP(A1308,Database!F:H,3,)</f>
        <v>441000</v>
      </c>
      <c r="C1308" s="43">
        <f t="shared" si="40"/>
        <v>5000</v>
      </c>
      <c r="D1308" s="43">
        <f>VLOOKUP(A1308,Database!F:H,2,)</f>
        <v>3340000</v>
      </c>
      <c r="E1308" s="43">
        <f t="shared" si="41"/>
        <v>76000</v>
      </c>
    </row>
    <row r="1309" spans="1:5" x14ac:dyDescent="0.2">
      <c r="A1309" s="42">
        <v>33607</v>
      </c>
      <c r="B1309" s="43">
        <f>VLOOKUP(A1309,Database!F:H,3,)</f>
        <v>432000</v>
      </c>
      <c r="C1309" s="43">
        <f t="shared" si="40"/>
        <v>-9000</v>
      </c>
      <c r="D1309" s="43">
        <f>VLOOKUP(A1309,Database!F:H,2,)</f>
        <v>3410000</v>
      </c>
      <c r="E1309" s="43">
        <f t="shared" si="41"/>
        <v>70000</v>
      </c>
    </row>
    <row r="1310" spans="1:5" x14ac:dyDescent="0.2">
      <c r="A1310" s="42">
        <v>33614</v>
      </c>
      <c r="B1310" s="43">
        <f>VLOOKUP(A1310,Database!F:H,3,)</f>
        <v>440000</v>
      </c>
      <c r="C1310" s="43">
        <f t="shared" si="40"/>
        <v>8000</v>
      </c>
      <c r="D1310" s="43">
        <f>VLOOKUP(A1310,Database!F:H,2,)</f>
        <v>3342000</v>
      </c>
      <c r="E1310" s="43">
        <f t="shared" si="41"/>
        <v>-68000</v>
      </c>
    </row>
    <row r="1311" spans="1:5" x14ac:dyDescent="0.2">
      <c r="A1311" s="42">
        <v>33621</v>
      </c>
      <c r="B1311" s="43">
        <f>VLOOKUP(A1311,Database!F:H,3,)</f>
        <v>443000</v>
      </c>
      <c r="C1311" s="43">
        <f t="shared" si="40"/>
        <v>3000</v>
      </c>
      <c r="D1311" s="43">
        <f>VLOOKUP(A1311,Database!F:H,2,)</f>
        <v>3297000</v>
      </c>
      <c r="E1311" s="43">
        <f t="shared" si="41"/>
        <v>-45000</v>
      </c>
    </row>
    <row r="1312" spans="1:5" x14ac:dyDescent="0.2">
      <c r="A1312" s="42">
        <v>33628</v>
      </c>
      <c r="B1312" s="43">
        <f>VLOOKUP(A1312,Database!F:H,3,)</f>
        <v>441000</v>
      </c>
      <c r="C1312" s="43">
        <f t="shared" si="40"/>
        <v>-2000</v>
      </c>
      <c r="D1312" s="43">
        <f>VLOOKUP(A1312,Database!F:H,2,)</f>
        <v>3364000</v>
      </c>
      <c r="E1312" s="43">
        <f t="shared" si="41"/>
        <v>67000</v>
      </c>
    </row>
    <row r="1313" spans="1:5" x14ac:dyDescent="0.2">
      <c r="A1313" s="42">
        <v>33635</v>
      </c>
      <c r="B1313" s="43">
        <f>VLOOKUP(A1313,Database!F:H,3,)</f>
        <v>440000</v>
      </c>
      <c r="C1313" s="43">
        <f t="shared" si="40"/>
        <v>-1000</v>
      </c>
      <c r="D1313" s="43">
        <f>VLOOKUP(A1313,Database!F:H,2,)</f>
        <v>3301000</v>
      </c>
      <c r="E1313" s="43">
        <f t="shared" si="41"/>
        <v>-63000</v>
      </c>
    </row>
    <row r="1314" spans="1:5" x14ac:dyDescent="0.2">
      <c r="A1314" s="42">
        <v>33642</v>
      </c>
      <c r="B1314" s="43">
        <f>VLOOKUP(A1314,Database!F:H,3,)</f>
        <v>445000</v>
      </c>
      <c r="C1314" s="43">
        <f t="shared" si="40"/>
        <v>5000</v>
      </c>
      <c r="D1314" s="43">
        <f>VLOOKUP(A1314,Database!F:H,2,)</f>
        <v>3320000</v>
      </c>
      <c r="E1314" s="43">
        <f t="shared" si="41"/>
        <v>19000</v>
      </c>
    </row>
    <row r="1315" spans="1:5" x14ac:dyDescent="0.2">
      <c r="A1315" s="42">
        <v>33649</v>
      </c>
      <c r="B1315" s="43">
        <f>VLOOKUP(A1315,Database!F:H,3,)</f>
        <v>446000</v>
      </c>
      <c r="C1315" s="43">
        <f t="shared" si="40"/>
        <v>1000</v>
      </c>
      <c r="D1315" s="43">
        <f>VLOOKUP(A1315,Database!F:H,2,)</f>
        <v>3260000</v>
      </c>
      <c r="E1315" s="43">
        <f t="shared" si="41"/>
        <v>-60000</v>
      </c>
    </row>
    <row r="1316" spans="1:5" x14ac:dyDescent="0.2">
      <c r="A1316" s="42">
        <v>33656</v>
      </c>
      <c r="B1316" s="43">
        <f>VLOOKUP(A1316,Database!F:H,3,)</f>
        <v>436000</v>
      </c>
      <c r="C1316" s="43">
        <f t="shared" si="40"/>
        <v>-10000</v>
      </c>
      <c r="D1316" s="43">
        <f>VLOOKUP(A1316,Database!F:H,2,)</f>
        <v>3412000</v>
      </c>
      <c r="E1316" s="43">
        <f t="shared" si="41"/>
        <v>152000</v>
      </c>
    </row>
    <row r="1317" spans="1:5" x14ac:dyDescent="0.2">
      <c r="A1317" s="42">
        <v>33663</v>
      </c>
      <c r="B1317" s="43">
        <f>VLOOKUP(A1317,Database!F:H,3,)</f>
        <v>444000</v>
      </c>
      <c r="C1317" s="43">
        <f t="shared" si="40"/>
        <v>8000</v>
      </c>
      <c r="D1317" s="43">
        <f>VLOOKUP(A1317,Database!F:H,2,)</f>
        <v>3280000</v>
      </c>
      <c r="E1317" s="43">
        <f t="shared" si="41"/>
        <v>-132000</v>
      </c>
    </row>
    <row r="1318" spans="1:5" x14ac:dyDescent="0.2">
      <c r="A1318" s="42">
        <v>33670</v>
      </c>
      <c r="B1318" s="43">
        <f>VLOOKUP(A1318,Database!F:H,3,)</f>
        <v>421000</v>
      </c>
      <c r="C1318" s="43">
        <f t="shared" si="40"/>
        <v>-23000</v>
      </c>
      <c r="D1318" s="43">
        <f>VLOOKUP(A1318,Database!F:H,2,)</f>
        <v>3288000</v>
      </c>
      <c r="E1318" s="43">
        <f t="shared" si="41"/>
        <v>8000</v>
      </c>
    </row>
    <row r="1319" spans="1:5" x14ac:dyDescent="0.2">
      <c r="A1319" s="42">
        <v>33677</v>
      </c>
      <c r="B1319" s="43">
        <f>VLOOKUP(A1319,Database!F:H,3,)</f>
        <v>437000</v>
      </c>
      <c r="C1319" s="43">
        <f t="shared" si="40"/>
        <v>16000</v>
      </c>
      <c r="D1319" s="43">
        <f>VLOOKUP(A1319,Database!F:H,2,)</f>
        <v>3280000</v>
      </c>
      <c r="E1319" s="43">
        <f t="shared" si="41"/>
        <v>-8000</v>
      </c>
    </row>
    <row r="1320" spans="1:5" x14ac:dyDescent="0.2">
      <c r="A1320" s="42">
        <v>33684</v>
      </c>
      <c r="B1320" s="43">
        <f>VLOOKUP(A1320,Database!F:H,3,)</f>
        <v>440000</v>
      </c>
      <c r="C1320" s="43">
        <f t="shared" si="40"/>
        <v>3000</v>
      </c>
      <c r="D1320" s="43">
        <f>VLOOKUP(A1320,Database!F:H,2,)</f>
        <v>3344000</v>
      </c>
      <c r="E1320" s="43">
        <f t="shared" si="41"/>
        <v>64000</v>
      </c>
    </row>
    <row r="1321" spans="1:5" x14ac:dyDescent="0.2">
      <c r="A1321" s="42">
        <v>33691</v>
      </c>
      <c r="B1321" s="43">
        <f>VLOOKUP(A1321,Database!F:H,3,)</f>
        <v>420000</v>
      </c>
      <c r="C1321" s="43">
        <f t="shared" si="40"/>
        <v>-20000</v>
      </c>
      <c r="D1321" s="43">
        <f>VLOOKUP(A1321,Database!F:H,2,)</f>
        <v>3336000</v>
      </c>
      <c r="E1321" s="43">
        <f t="shared" si="41"/>
        <v>-8000</v>
      </c>
    </row>
    <row r="1322" spans="1:5" x14ac:dyDescent="0.2">
      <c r="A1322" s="42">
        <v>33698</v>
      </c>
      <c r="B1322" s="43">
        <f>VLOOKUP(A1322,Database!F:H,3,)</f>
        <v>412000</v>
      </c>
      <c r="C1322" s="43">
        <f t="shared" si="40"/>
        <v>-8000</v>
      </c>
      <c r="D1322" s="43">
        <f>VLOOKUP(A1322,Database!F:H,2,)</f>
        <v>3383000</v>
      </c>
      <c r="E1322" s="43">
        <f t="shared" si="41"/>
        <v>47000</v>
      </c>
    </row>
    <row r="1323" spans="1:5" x14ac:dyDescent="0.2">
      <c r="A1323" s="42">
        <v>33705</v>
      </c>
      <c r="B1323" s="43">
        <f>VLOOKUP(A1323,Database!F:H,3,)</f>
        <v>413000</v>
      </c>
      <c r="C1323" s="43">
        <f t="shared" si="40"/>
        <v>1000</v>
      </c>
      <c r="D1323" s="43">
        <f>VLOOKUP(A1323,Database!F:H,2,)</f>
        <v>3288000</v>
      </c>
      <c r="E1323" s="43">
        <f t="shared" si="41"/>
        <v>-95000</v>
      </c>
    </row>
    <row r="1324" spans="1:5" x14ac:dyDescent="0.2">
      <c r="A1324" s="42">
        <v>33712</v>
      </c>
      <c r="B1324" s="43">
        <f>VLOOKUP(A1324,Database!F:H,3,)</f>
        <v>424000</v>
      </c>
      <c r="C1324" s="43">
        <f t="shared" si="40"/>
        <v>11000</v>
      </c>
      <c r="D1324" s="43">
        <f>VLOOKUP(A1324,Database!F:H,2,)</f>
        <v>3339000</v>
      </c>
      <c r="E1324" s="43">
        <f t="shared" si="41"/>
        <v>51000</v>
      </c>
    </row>
    <row r="1325" spans="1:5" x14ac:dyDescent="0.2">
      <c r="A1325" s="42">
        <v>33719</v>
      </c>
      <c r="B1325" s="43">
        <f>VLOOKUP(A1325,Database!F:H,3,)</f>
        <v>424000</v>
      </c>
      <c r="C1325" s="43">
        <f t="shared" si="40"/>
        <v>0</v>
      </c>
      <c r="D1325" s="43">
        <f>VLOOKUP(A1325,Database!F:H,2,)</f>
        <v>3365000</v>
      </c>
      <c r="E1325" s="43">
        <f t="shared" si="41"/>
        <v>26000</v>
      </c>
    </row>
    <row r="1326" spans="1:5" x14ac:dyDescent="0.2">
      <c r="A1326" s="42">
        <v>33726</v>
      </c>
      <c r="B1326" s="43">
        <f>VLOOKUP(A1326,Database!F:H,3,)</f>
        <v>431000</v>
      </c>
      <c r="C1326" s="43">
        <f t="shared" si="40"/>
        <v>7000</v>
      </c>
      <c r="D1326" s="43">
        <f>VLOOKUP(A1326,Database!F:H,2,)</f>
        <v>3397000</v>
      </c>
      <c r="E1326" s="43">
        <f t="shared" si="41"/>
        <v>32000</v>
      </c>
    </row>
    <row r="1327" spans="1:5" x14ac:dyDescent="0.2">
      <c r="A1327" s="42">
        <v>33733</v>
      </c>
      <c r="B1327" s="43">
        <f>VLOOKUP(A1327,Database!F:H,3,)</f>
        <v>417000</v>
      </c>
      <c r="C1327" s="43">
        <f t="shared" si="40"/>
        <v>-14000</v>
      </c>
      <c r="D1327" s="43">
        <f>VLOOKUP(A1327,Database!F:H,2,)</f>
        <v>3354000</v>
      </c>
      <c r="E1327" s="43">
        <f t="shared" si="41"/>
        <v>-43000</v>
      </c>
    </row>
    <row r="1328" spans="1:5" x14ac:dyDescent="0.2">
      <c r="A1328" s="42">
        <v>33740</v>
      </c>
      <c r="B1328" s="43">
        <f>VLOOKUP(A1328,Database!F:H,3,)</f>
        <v>414000</v>
      </c>
      <c r="C1328" s="43">
        <f t="shared" si="40"/>
        <v>-3000</v>
      </c>
      <c r="D1328" s="43">
        <f>VLOOKUP(A1328,Database!F:H,2,)</f>
        <v>3296000</v>
      </c>
      <c r="E1328" s="43">
        <f t="shared" si="41"/>
        <v>-58000</v>
      </c>
    </row>
    <row r="1329" spans="1:5" x14ac:dyDescent="0.2">
      <c r="A1329" s="42">
        <v>33747</v>
      </c>
      <c r="B1329" s="43">
        <f>VLOOKUP(A1329,Database!F:H,3,)</f>
        <v>414000</v>
      </c>
      <c r="C1329" s="43">
        <f t="shared" si="40"/>
        <v>0</v>
      </c>
      <c r="D1329" s="43">
        <f>VLOOKUP(A1329,Database!F:H,2,)</f>
        <v>3285000</v>
      </c>
      <c r="E1329" s="43">
        <f t="shared" si="41"/>
        <v>-11000</v>
      </c>
    </row>
    <row r="1330" spans="1:5" x14ac:dyDescent="0.2">
      <c r="A1330" s="42">
        <v>33754</v>
      </c>
      <c r="B1330" s="43">
        <f>VLOOKUP(A1330,Database!F:H,3,)</f>
        <v>411000</v>
      </c>
      <c r="C1330" s="43">
        <f t="shared" si="40"/>
        <v>-3000</v>
      </c>
      <c r="D1330" s="43">
        <f>VLOOKUP(A1330,Database!F:H,2,)</f>
        <v>3392000</v>
      </c>
      <c r="E1330" s="43">
        <f t="shared" si="41"/>
        <v>107000</v>
      </c>
    </row>
    <row r="1331" spans="1:5" x14ac:dyDescent="0.2">
      <c r="A1331" s="42">
        <v>33761</v>
      </c>
      <c r="B1331" s="43">
        <f>VLOOKUP(A1331,Database!F:H,3,)</f>
        <v>416000</v>
      </c>
      <c r="C1331" s="43">
        <f t="shared" si="40"/>
        <v>5000</v>
      </c>
      <c r="D1331" s="43">
        <f>VLOOKUP(A1331,Database!F:H,2,)</f>
        <v>3265000</v>
      </c>
      <c r="E1331" s="43">
        <f t="shared" si="41"/>
        <v>-127000</v>
      </c>
    </row>
    <row r="1332" spans="1:5" x14ac:dyDescent="0.2">
      <c r="A1332" s="42">
        <v>33768</v>
      </c>
      <c r="B1332" s="43">
        <f>VLOOKUP(A1332,Database!F:H,3,)</f>
        <v>420000</v>
      </c>
      <c r="C1332" s="43">
        <f t="shared" si="40"/>
        <v>4000</v>
      </c>
      <c r="D1332" s="43">
        <f>VLOOKUP(A1332,Database!F:H,2,)</f>
        <v>3270000</v>
      </c>
      <c r="E1332" s="43">
        <f t="shared" si="41"/>
        <v>5000</v>
      </c>
    </row>
    <row r="1333" spans="1:5" x14ac:dyDescent="0.2">
      <c r="A1333" s="42">
        <v>33775</v>
      </c>
      <c r="B1333" s="43">
        <f>VLOOKUP(A1333,Database!F:H,3,)</f>
        <v>419000</v>
      </c>
      <c r="C1333" s="43">
        <f t="shared" si="40"/>
        <v>-1000</v>
      </c>
      <c r="D1333" s="43">
        <f>VLOOKUP(A1333,Database!F:H,2,)</f>
        <v>3284000</v>
      </c>
      <c r="E1333" s="43">
        <f t="shared" si="41"/>
        <v>14000</v>
      </c>
    </row>
    <row r="1334" spans="1:5" x14ac:dyDescent="0.2">
      <c r="A1334" s="42">
        <v>33782</v>
      </c>
      <c r="B1334" s="43">
        <f>VLOOKUP(A1334,Database!F:H,3,)</f>
        <v>420000</v>
      </c>
      <c r="C1334" s="43">
        <f t="shared" si="40"/>
        <v>1000</v>
      </c>
      <c r="D1334" s="43">
        <f>VLOOKUP(A1334,Database!F:H,2,)</f>
        <v>3340000</v>
      </c>
      <c r="E1334" s="43">
        <f t="shared" si="41"/>
        <v>56000</v>
      </c>
    </row>
    <row r="1335" spans="1:5" x14ac:dyDescent="0.2">
      <c r="A1335" s="42">
        <v>33789</v>
      </c>
      <c r="B1335" s="43">
        <f>VLOOKUP(A1335,Database!F:H,3,)</f>
        <v>407000</v>
      </c>
      <c r="C1335" s="43">
        <f t="shared" si="40"/>
        <v>-13000</v>
      </c>
      <c r="D1335" s="43">
        <f>VLOOKUP(A1335,Database!F:H,2,)</f>
        <v>3212000</v>
      </c>
      <c r="E1335" s="43">
        <f t="shared" si="41"/>
        <v>-128000</v>
      </c>
    </row>
    <row r="1336" spans="1:5" x14ac:dyDescent="0.2">
      <c r="A1336" s="42">
        <v>33796</v>
      </c>
      <c r="B1336" s="43">
        <f>VLOOKUP(A1336,Database!F:H,3,)</f>
        <v>408000</v>
      </c>
      <c r="C1336" s="43">
        <f t="shared" si="40"/>
        <v>1000</v>
      </c>
      <c r="D1336" s="43">
        <f>VLOOKUP(A1336,Database!F:H,2,)</f>
        <v>3103000</v>
      </c>
      <c r="E1336" s="43">
        <f t="shared" si="41"/>
        <v>-109000</v>
      </c>
    </row>
    <row r="1337" spans="1:5" x14ac:dyDescent="0.2">
      <c r="A1337" s="42">
        <v>33803</v>
      </c>
      <c r="B1337" s="43">
        <f>VLOOKUP(A1337,Database!F:H,3,)</f>
        <v>392000</v>
      </c>
      <c r="C1337" s="43">
        <f t="shared" si="40"/>
        <v>-16000</v>
      </c>
      <c r="D1337" s="43">
        <f>VLOOKUP(A1337,Database!F:H,2,)</f>
        <v>3238000</v>
      </c>
      <c r="E1337" s="43">
        <f t="shared" si="41"/>
        <v>135000</v>
      </c>
    </row>
    <row r="1338" spans="1:5" x14ac:dyDescent="0.2">
      <c r="A1338" s="42">
        <v>33810</v>
      </c>
      <c r="B1338" s="43">
        <f>VLOOKUP(A1338,Database!F:H,3,)</f>
        <v>564000</v>
      </c>
      <c r="C1338" s="43">
        <f t="shared" si="40"/>
        <v>172000</v>
      </c>
      <c r="D1338" s="43">
        <f>VLOOKUP(A1338,Database!F:H,2,)</f>
        <v>3318000</v>
      </c>
      <c r="E1338" s="43">
        <f t="shared" si="41"/>
        <v>80000</v>
      </c>
    </row>
    <row r="1339" spans="1:5" x14ac:dyDescent="0.2">
      <c r="A1339" s="42">
        <v>33817</v>
      </c>
      <c r="B1339" s="43">
        <f>VLOOKUP(A1339,Database!F:H,3,)</f>
        <v>423000</v>
      </c>
      <c r="C1339" s="43">
        <f t="shared" si="40"/>
        <v>-141000</v>
      </c>
      <c r="D1339" s="43">
        <f>VLOOKUP(A1339,Database!F:H,2,)</f>
        <v>3467000</v>
      </c>
      <c r="E1339" s="43">
        <f t="shared" si="41"/>
        <v>149000</v>
      </c>
    </row>
    <row r="1340" spans="1:5" x14ac:dyDescent="0.2">
      <c r="A1340" s="42">
        <v>33824</v>
      </c>
      <c r="B1340" s="43">
        <f>VLOOKUP(A1340,Database!F:H,3,)</f>
        <v>406000</v>
      </c>
      <c r="C1340" s="43">
        <f t="shared" si="40"/>
        <v>-17000</v>
      </c>
      <c r="D1340" s="43">
        <f>VLOOKUP(A1340,Database!F:H,2,)</f>
        <v>3211000</v>
      </c>
      <c r="E1340" s="43">
        <f t="shared" si="41"/>
        <v>-256000</v>
      </c>
    </row>
    <row r="1341" spans="1:5" x14ac:dyDescent="0.2">
      <c r="A1341" s="42">
        <v>33831</v>
      </c>
      <c r="B1341" s="43">
        <f>VLOOKUP(A1341,Database!F:H,3,)</f>
        <v>401000</v>
      </c>
      <c r="C1341" s="43">
        <f t="shared" si="40"/>
        <v>-5000</v>
      </c>
      <c r="D1341" s="43">
        <f>VLOOKUP(A1341,Database!F:H,2,)</f>
        <v>3210000</v>
      </c>
      <c r="E1341" s="43">
        <f t="shared" si="41"/>
        <v>-1000</v>
      </c>
    </row>
    <row r="1342" spans="1:5" x14ac:dyDescent="0.2">
      <c r="A1342" s="42">
        <v>33838</v>
      </c>
      <c r="B1342" s="43">
        <f>VLOOKUP(A1342,Database!F:H,3,)</f>
        <v>398000</v>
      </c>
      <c r="C1342" s="43">
        <f t="shared" si="40"/>
        <v>-3000</v>
      </c>
      <c r="D1342" s="43">
        <f>VLOOKUP(A1342,Database!F:H,2,)</f>
        <v>3188000</v>
      </c>
      <c r="E1342" s="43">
        <f t="shared" si="41"/>
        <v>-22000</v>
      </c>
    </row>
    <row r="1343" spans="1:5" x14ac:dyDescent="0.2">
      <c r="A1343" s="42">
        <v>33845</v>
      </c>
      <c r="B1343" s="43">
        <f>VLOOKUP(A1343,Database!F:H,3,)</f>
        <v>408000</v>
      </c>
      <c r="C1343" s="43">
        <f t="shared" si="40"/>
        <v>10000</v>
      </c>
      <c r="D1343" s="43">
        <f>VLOOKUP(A1343,Database!F:H,2,)</f>
        <v>3175000</v>
      </c>
      <c r="E1343" s="43">
        <f t="shared" si="41"/>
        <v>-13000</v>
      </c>
    </row>
    <row r="1344" spans="1:5" x14ac:dyDescent="0.2">
      <c r="A1344" s="42">
        <v>33852</v>
      </c>
      <c r="B1344" s="43">
        <f>VLOOKUP(A1344,Database!F:H,3,)</f>
        <v>416000</v>
      </c>
      <c r="C1344" s="43">
        <f t="shared" si="40"/>
        <v>8000</v>
      </c>
      <c r="D1344" s="43">
        <f>VLOOKUP(A1344,Database!F:H,2,)</f>
        <v>3167000</v>
      </c>
      <c r="E1344" s="43">
        <f t="shared" si="41"/>
        <v>-8000</v>
      </c>
    </row>
    <row r="1345" spans="1:5" x14ac:dyDescent="0.2">
      <c r="A1345" s="42">
        <v>33859</v>
      </c>
      <c r="B1345" s="43">
        <f>VLOOKUP(A1345,Database!F:H,3,)</f>
        <v>416000</v>
      </c>
      <c r="C1345" s="43">
        <f t="shared" si="40"/>
        <v>0</v>
      </c>
      <c r="D1345" s="43">
        <f>VLOOKUP(A1345,Database!F:H,2,)</f>
        <v>3261000</v>
      </c>
      <c r="E1345" s="43">
        <f t="shared" si="41"/>
        <v>94000</v>
      </c>
    </row>
    <row r="1346" spans="1:5" x14ac:dyDescent="0.2">
      <c r="A1346" s="42">
        <v>33866</v>
      </c>
      <c r="B1346" s="43">
        <f>VLOOKUP(A1346,Database!F:H,3,)</f>
        <v>427000</v>
      </c>
      <c r="C1346" s="43">
        <f t="shared" si="40"/>
        <v>11000</v>
      </c>
      <c r="D1346" s="43">
        <f>VLOOKUP(A1346,Database!F:H,2,)</f>
        <v>3195000</v>
      </c>
      <c r="E1346" s="43">
        <f t="shared" si="41"/>
        <v>-66000</v>
      </c>
    </row>
    <row r="1347" spans="1:5" x14ac:dyDescent="0.2">
      <c r="A1347" s="42">
        <v>33873</v>
      </c>
      <c r="B1347" s="43">
        <f>VLOOKUP(A1347,Database!F:H,3,)</f>
        <v>409000</v>
      </c>
      <c r="C1347" s="43">
        <f t="shared" si="40"/>
        <v>-18000</v>
      </c>
      <c r="D1347" s="43">
        <f>VLOOKUP(A1347,Database!F:H,2,)</f>
        <v>3194000</v>
      </c>
      <c r="E1347" s="43">
        <f t="shared" si="41"/>
        <v>-1000</v>
      </c>
    </row>
    <row r="1348" spans="1:5" x14ac:dyDescent="0.2">
      <c r="A1348" s="42">
        <v>33880</v>
      </c>
      <c r="B1348" s="43">
        <f>VLOOKUP(A1348,Database!F:H,3,)</f>
        <v>398000</v>
      </c>
      <c r="C1348" s="43">
        <f t="shared" si="40"/>
        <v>-11000</v>
      </c>
      <c r="D1348" s="43">
        <f>VLOOKUP(A1348,Database!F:H,2,)</f>
        <v>3121000</v>
      </c>
      <c r="E1348" s="43">
        <f t="shared" si="41"/>
        <v>-73000</v>
      </c>
    </row>
    <row r="1349" spans="1:5" x14ac:dyDescent="0.2">
      <c r="A1349" s="42">
        <v>33887</v>
      </c>
      <c r="B1349" s="43">
        <f>VLOOKUP(A1349,Database!F:H,3,)</f>
        <v>374000</v>
      </c>
      <c r="C1349" s="43">
        <f t="shared" si="40"/>
        <v>-24000</v>
      </c>
      <c r="D1349" s="43">
        <f>VLOOKUP(A1349,Database!F:H,2,)</f>
        <v>3072000</v>
      </c>
      <c r="E1349" s="43">
        <f t="shared" si="41"/>
        <v>-49000</v>
      </c>
    </row>
    <row r="1350" spans="1:5" x14ac:dyDescent="0.2">
      <c r="A1350" s="42">
        <v>33894</v>
      </c>
      <c r="B1350" s="43">
        <f>VLOOKUP(A1350,Database!F:H,3,)</f>
        <v>385000</v>
      </c>
      <c r="C1350" s="43">
        <f t="shared" si="40"/>
        <v>11000</v>
      </c>
      <c r="D1350" s="43">
        <f>VLOOKUP(A1350,Database!F:H,2,)</f>
        <v>3083000</v>
      </c>
      <c r="E1350" s="43">
        <f t="shared" si="41"/>
        <v>11000</v>
      </c>
    </row>
    <row r="1351" spans="1:5" x14ac:dyDescent="0.2">
      <c r="A1351" s="42">
        <v>33901</v>
      </c>
      <c r="B1351" s="43">
        <f>VLOOKUP(A1351,Database!F:H,3,)</f>
        <v>367000</v>
      </c>
      <c r="C1351" s="43">
        <f t="shared" si="40"/>
        <v>-18000</v>
      </c>
      <c r="D1351" s="43">
        <f>VLOOKUP(A1351,Database!F:H,2,)</f>
        <v>3063000</v>
      </c>
      <c r="E1351" s="43">
        <f t="shared" si="41"/>
        <v>-20000</v>
      </c>
    </row>
    <row r="1352" spans="1:5" x14ac:dyDescent="0.2">
      <c r="A1352" s="42">
        <v>33908</v>
      </c>
      <c r="B1352" s="43">
        <f>VLOOKUP(A1352,Database!F:H,3,)</f>
        <v>365000</v>
      </c>
      <c r="C1352" s="43">
        <f t="shared" ref="C1352:C1415" si="42">B1352-B1351</f>
        <v>-2000</v>
      </c>
      <c r="D1352" s="43">
        <f>VLOOKUP(A1352,Database!F:H,2,)</f>
        <v>2973000</v>
      </c>
      <c r="E1352" s="43">
        <f t="shared" ref="E1352:E1415" si="43">D1352-D1351</f>
        <v>-90000</v>
      </c>
    </row>
    <row r="1353" spans="1:5" x14ac:dyDescent="0.2">
      <c r="A1353" s="42">
        <v>33915</v>
      </c>
      <c r="B1353" s="43">
        <f>VLOOKUP(A1353,Database!F:H,3,)</f>
        <v>374000</v>
      </c>
      <c r="C1353" s="43">
        <f t="shared" si="42"/>
        <v>9000</v>
      </c>
      <c r="D1353" s="43">
        <f>VLOOKUP(A1353,Database!F:H,2,)</f>
        <v>3017000</v>
      </c>
      <c r="E1353" s="43">
        <f t="shared" si="43"/>
        <v>44000</v>
      </c>
    </row>
    <row r="1354" spans="1:5" x14ac:dyDescent="0.2">
      <c r="A1354" s="42">
        <v>33922</v>
      </c>
      <c r="B1354" s="43">
        <f>VLOOKUP(A1354,Database!F:H,3,)</f>
        <v>377000</v>
      </c>
      <c r="C1354" s="43">
        <f t="shared" si="42"/>
        <v>3000</v>
      </c>
      <c r="D1354" s="43">
        <f>VLOOKUP(A1354,Database!F:H,2,)</f>
        <v>2962000</v>
      </c>
      <c r="E1354" s="43">
        <f t="shared" si="43"/>
        <v>-55000</v>
      </c>
    </row>
    <row r="1355" spans="1:5" x14ac:dyDescent="0.2">
      <c r="A1355" s="42">
        <v>33929</v>
      </c>
      <c r="B1355" s="43">
        <f>VLOOKUP(A1355,Database!F:H,3,)</f>
        <v>357000</v>
      </c>
      <c r="C1355" s="43">
        <f t="shared" si="42"/>
        <v>-20000</v>
      </c>
      <c r="D1355" s="43">
        <f>VLOOKUP(A1355,Database!F:H,2,)</f>
        <v>2906000</v>
      </c>
      <c r="E1355" s="43">
        <f t="shared" si="43"/>
        <v>-56000</v>
      </c>
    </row>
    <row r="1356" spans="1:5" x14ac:dyDescent="0.2">
      <c r="A1356" s="42">
        <v>33936</v>
      </c>
      <c r="B1356" s="43">
        <f>VLOOKUP(A1356,Database!F:H,3,)</f>
        <v>341000</v>
      </c>
      <c r="C1356" s="43">
        <f t="shared" si="42"/>
        <v>-16000</v>
      </c>
      <c r="D1356" s="43">
        <f>VLOOKUP(A1356,Database!F:H,2,)</f>
        <v>2911000</v>
      </c>
      <c r="E1356" s="43">
        <f t="shared" si="43"/>
        <v>5000</v>
      </c>
    </row>
    <row r="1357" spans="1:5" x14ac:dyDescent="0.2">
      <c r="A1357" s="42">
        <v>33943</v>
      </c>
      <c r="B1357" s="43">
        <f>VLOOKUP(A1357,Database!F:H,3,)</f>
        <v>350000</v>
      </c>
      <c r="C1357" s="43">
        <f t="shared" si="42"/>
        <v>9000</v>
      </c>
      <c r="D1357" s="43">
        <f>VLOOKUP(A1357,Database!F:H,2,)</f>
        <v>2918000</v>
      </c>
      <c r="E1357" s="43">
        <f t="shared" si="43"/>
        <v>7000</v>
      </c>
    </row>
    <row r="1358" spans="1:5" x14ac:dyDescent="0.2">
      <c r="A1358" s="42">
        <v>33950</v>
      </c>
      <c r="B1358" s="43">
        <f>VLOOKUP(A1358,Database!F:H,3,)</f>
        <v>359000</v>
      </c>
      <c r="C1358" s="43">
        <f t="shared" si="42"/>
        <v>9000</v>
      </c>
      <c r="D1358" s="43">
        <f>VLOOKUP(A1358,Database!F:H,2,)</f>
        <v>2807000</v>
      </c>
      <c r="E1358" s="43">
        <f t="shared" si="43"/>
        <v>-111000</v>
      </c>
    </row>
    <row r="1359" spans="1:5" x14ac:dyDescent="0.2">
      <c r="A1359" s="42">
        <v>33957</v>
      </c>
      <c r="B1359" s="43">
        <f>VLOOKUP(A1359,Database!F:H,3,)</f>
        <v>334000</v>
      </c>
      <c r="C1359" s="43">
        <f t="shared" si="42"/>
        <v>-25000</v>
      </c>
      <c r="D1359" s="43">
        <f>VLOOKUP(A1359,Database!F:H,2,)</f>
        <v>2770000</v>
      </c>
      <c r="E1359" s="43">
        <f t="shared" si="43"/>
        <v>-37000</v>
      </c>
    </row>
    <row r="1360" spans="1:5" x14ac:dyDescent="0.2">
      <c r="A1360" s="42">
        <v>33964</v>
      </c>
      <c r="B1360" s="43">
        <f>VLOOKUP(A1360,Database!F:H,3,)</f>
        <v>313000</v>
      </c>
      <c r="C1360" s="43">
        <f t="shared" si="42"/>
        <v>-21000</v>
      </c>
      <c r="D1360" s="43">
        <f>VLOOKUP(A1360,Database!F:H,2,)</f>
        <v>2800000</v>
      </c>
      <c r="E1360" s="43">
        <f t="shared" si="43"/>
        <v>30000</v>
      </c>
    </row>
    <row r="1361" spans="1:5" x14ac:dyDescent="0.2">
      <c r="A1361" s="42">
        <v>33971</v>
      </c>
      <c r="B1361" s="43">
        <f>VLOOKUP(A1361,Database!F:H,3,)</f>
        <v>341000</v>
      </c>
      <c r="C1361" s="43">
        <f t="shared" si="42"/>
        <v>28000</v>
      </c>
      <c r="D1361" s="43">
        <f>VLOOKUP(A1361,Database!F:H,2,)</f>
        <v>2729000</v>
      </c>
      <c r="E1361" s="43">
        <f t="shared" si="43"/>
        <v>-71000</v>
      </c>
    </row>
    <row r="1362" spans="1:5" x14ac:dyDescent="0.2">
      <c r="A1362" s="42">
        <v>33978</v>
      </c>
      <c r="B1362" s="43">
        <f>VLOOKUP(A1362,Database!F:H,3,)</f>
        <v>354000</v>
      </c>
      <c r="C1362" s="43">
        <f t="shared" si="42"/>
        <v>13000</v>
      </c>
      <c r="D1362" s="43">
        <f>VLOOKUP(A1362,Database!F:H,2,)</f>
        <v>2697000</v>
      </c>
      <c r="E1362" s="43">
        <f t="shared" si="43"/>
        <v>-32000</v>
      </c>
    </row>
    <row r="1363" spans="1:5" x14ac:dyDescent="0.2">
      <c r="A1363" s="42">
        <v>33985</v>
      </c>
      <c r="B1363" s="43">
        <f>VLOOKUP(A1363,Database!F:H,3,)</f>
        <v>352000</v>
      </c>
      <c r="C1363" s="43">
        <f t="shared" si="42"/>
        <v>-2000</v>
      </c>
      <c r="D1363" s="43">
        <f>VLOOKUP(A1363,Database!F:H,2,)</f>
        <v>2749000</v>
      </c>
      <c r="E1363" s="43">
        <f t="shared" si="43"/>
        <v>52000</v>
      </c>
    </row>
    <row r="1364" spans="1:5" x14ac:dyDescent="0.2">
      <c r="A1364" s="42">
        <v>33992</v>
      </c>
      <c r="B1364" s="43">
        <f>VLOOKUP(A1364,Database!F:H,3,)</f>
        <v>341000</v>
      </c>
      <c r="C1364" s="43">
        <f t="shared" si="42"/>
        <v>-11000</v>
      </c>
      <c r="D1364" s="43">
        <f>VLOOKUP(A1364,Database!F:H,2,)</f>
        <v>2727000</v>
      </c>
      <c r="E1364" s="43">
        <f t="shared" si="43"/>
        <v>-22000</v>
      </c>
    </row>
    <row r="1365" spans="1:5" x14ac:dyDescent="0.2">
      <c r="A1365" s="42">
        <v>33999</v>
      </c>
      <c r="B1365" s="43">
        <f>VLOOKUP(A1365,Database!F:H,3,)</f>
        <v>340000</v>
      </c>
      <c r="C1365" s="43">
        <f t="shared" si="42"/>
        <v>-1000</v>
      </c>
      <c r="D1365" s="43">
        <f>VLOOKUP(A1365,Database!F:H,2,)</f>
        <v>2663000</v>
      </c>
      <c r="E1365" s="43">
        <f t="shared" si="43"/>
        <v>-64000</v>
      </c>
    </row>
    <row r="1366" spans="1:5" x14ac:dyDescent="0.2">
      <c r="A1366" s="42">
        <v>34006</v>
      </c>
      <c r="B1366" s="43">
        <f>VLOOKUP(A1366,Database!F:H,3,)</f>
        <v>319000</v>
      </c>
      <c r="C1366" s="43">
        <f t="shared" si="42"/>
        <v>-21000</v>
      </c>
      <c r="D1366" s="43">
        <f>VLOOKUP(A1366,Database!F:H,2,)</f>
        <v>2645000</v>
      </c>
      <c r="E1366" s="43">
        <f t="shared" si="43"/>
        <v>-18000</v>
      </c>
    </row>
    <row r="1367" spans="1:5" x14ac:dyDescent="0.2">
      <c r="A1367" s="42">
        <v>34013</v>
      </c>
      <c r="B1367" s="43">
        <f>VLOOKUP(A1367,Database!F:H,3,)</f>
        <v>321000</v>
      </c>
      <c r="C1367" s="43">
        <f t="shared" si="42"/>
        <v>2000</v>
      </c>
      <c r="D1367" s="43">
        <f>VLOOKUP(A1367,Database!F:H,2,)</f>
        <v>2628000</v>
      </c>
      <c r="E1367" s="43">
        <f t="shared" si="43"/>
        <v>-17000</v>
      </c>
    </row>
    <row r="1368" spans="1:5" x14ac:dyDescent="0.2">
      <c r="A1368" s="42">
        <v>34020</v>
      </c>
      <c r="B1368" s="43">
        <f>VLOOKUP(A1368,Database!F:H,3,)</f>
        <v>351000</v>
      </c>
      <c r="C1368" s="43">
        <f t="shared" si="42"/>
        <v>30000</v>
      </c>
      <c r="D1368" s="43">
        <f>VLOOKUP(A1368,Database!F:H,2,)</f>
        <v>2646000</v>
      </c>
      <c r="E1368" s="43">
        <f t="shared" si="43"/>
        <v>18000</v>
      </c>
    </row>
    <row r="1369" spans="1:5" x14ac:dyDescent="0.2">
      <c r="A1369" s="42">
        <v>34027</v>
      </c>
      <c r="B1369" s="43">
        <f>VLOOKUP(A1369,Database!F:H,3,)</f>
        <v>362000</v>
      </c>
      <c r="C1369" s="43">
        <f t="shared" si="42"/>
        <v>11000</v>
      </c>
      <c r="D1369" s="43">
        <f>VLOOKUP(A1369,Database!F:H,2,)</f>
        <v>2645000</v>
      </c>
      <c r="E1369" s="43">
        <f t="shared" si="43"/>
        <v>-1000</v>
      </c>
    </row>
    <row r="1370" spans="1:5" x14ac:dyDescent="0.2">
      <c r="A1370" s="42">
        <v>34034</v>
      </c>
      <c r="B1370" s="43">
        <f>VLOOKUP(A1370,Database!F:H,3,)</f>
        <v>354000</v>
      </c>
      <c r="C1370" s="43">
        <f t="shared" si="42"/>
        <v>-8000</v>
      </c>
      <c r="D1370" s="43">
        <f>VLOOKUP(A1370,Database!F:H,2,)</f>
        <v>2683000</v>
      </c>
      <c r="E1370" s="43">
        <f t="shared" si="43"/>
        <v>38000</v>
      </c>
    </row>
    <row r="1371" spans="1:5" x14ac:dyDescent="0.2">
      <c r="A1371" s="42">
        <v>34041</v>
      </c>
      <c r="B1371" s="43">
        <f>VLOOKUP(A1371,Database!F:H,3,)</f>
        <v>346000</v>
      </c>
      <c r="C1371" s="43">
        <f t="shared" si="42"/>
        <v>-8000</v>
      </c>
      <c r="D1371" s="43">
        <f>VLOOKUP(A1371,Database!F:H,2,)</f>
        <v>2618000</v>
      </c>
      <c r="E1371" s="43">
        <f t="shared" si="43"/>
        <v>-65000</v>
      </c>
    </row>
    <row r="1372" spans="1:5" x14ac:dyDescent="0.2">
      <c r="A1372" s="42">
        <v>34048</v>
      </c>
      <c r="B1372" s="43">
        <f>VLOOKUP(A1372,Database!F:H,3,)</f>
        <v>338000</v>
      </c>
      <c r="C1372" s="43">
        <f t="shared" si="42"/>
        <v>-8000</v>
      </c>
      <c r="D1372" s="43">
        <f>VLOOKUP(A1372,Database!F:H,2,)</f>
        <v>2724000</v>
      </c>
      <c r="E1372" s="43">
        <f t="shared" si="43"/>
        <v>106000</v>
      </c>
    </row>
    <row r="1373" spans="1:5" x14ac:dyDescent="0.2">
      <c r="A1373" s="42">
        <v>34055</v>
      </c>
      <c r="B1373" s="43">
        <f>VLOOKUP(A1373,Database!F:H,3,)</f>
        <v>366000</v>
      </c>
      <c r="C1373" s="43">
        <f t="shared" si="42"/>
        <v>28000</v>
      </c>
      <c r="D1373" s="43">
        <f>VLOOKUP(A1373,Database!F:H,2,)</f>
        <v>2725000</v>
      </c>
      <c r="E1373" s="43">
        <f t="shared" si="43"/>
        <v>1000</v>
      </c>
    </row>
    <row r="1374" spans="1:5" x14ac:dyDescent="0.2">
      <c r="A1374" s="42">
        <v>34062</v>
      </c>
      <c r="B1374" s="43">
        <f>VLOOKUP(A1374,Database!F:H,3,)</f>
        <v>365000</v>
      </c>
      <c r="C1374" s="43">
        <f t="shared" si="42"/>
        <v>-1000</v>
      </c>
      <c r="D1374" s="43">
        <f>VLOOKUP(A1374,Database!F:H,2,)</f>
        <v>2729000</v>
      </c>
      <c r="E1374" s="43">
        <f t="shared" si="43"/>
        <v>4000</v>
      </c>
    </row>
    <row r="1375" spans="1:5" x14ac:dyDescent="0.2">
      <c r="A1375" s="42">
        <v>34069</v>
      </c>
      <c r="B1375" s="43">
        <f>VLOOKUP(A1375,Database!F:H,3,)</f>
        <v>353000</v>
      </c>
      <c r="C1375" s="43">
        <f t="shared" si="42"/>
        <v>-12000</v>
      </c>
      <c r="D1375" s="43">
        <f>VLOOKUP(A1375,Database!F:H,2,)</f>
        <v>2781000</v>
      </c>
      <c r="E1375" s="43">
        <f t="shared" si="43"/>
        <v>52000</v>
      </c>
    </row>
    <row r="1376" spans="1:5" x14ac:dyDescent="0.2">
      <c r="A1376" s="42">
        <v>34076</v>
      </c>
      <c r="B1376" s="43">
        <f>VLOOKUP(A1376,Database!F:H,3,)</f>
        <v>351000</v>
      </c>
      <c r="C1376" s="43">
        <f t="shared" si="42"/>
        <v>-2000</v>
      </c>
      <c r="D1376" s="43">
        <f>VLOOKUP(A1376,Database!F:H,2,)</f>
        <v>2800000</v>
      </c>
      <c r="E1376" s="43">
        <f t="shared" si="43"/>
        <v>19000</v>
      </c>
    </row>
    <row r="1377" spans="1:5" x14ac:dyDescent="0.2">
      <c r="A1377" s="42">
        <v>34083</v>
      </c>
      <c r="B1377" s="43">
        <f>VLOOKUP(A1377,Database!F:H,3,)</f>
        <v>350000</v>
      </c>
      <c r="C1377" s="43">
        <f t="shared" si="42"/>
        <v>-1000</v>
      </c>
      <c r="D1377" s="43">
        <f>VLOOKUP(A1377,Database!F:H,2,)</f>
        <v>2792000</v>
      </c>
      <c r="E1377" s="43">
        <f t="shared" si="43"/>
        <v>-8000</v>
      </c>
    </row>
    <row r="1378" spans="1:5" x14ac:dyDescent="0.2">
      <c r="A1378" s="42">
        <v>34090</v>
      </c>
      <c r="B1378" s="43">
        <f>VLOOKUP(A1378,Database!F:H,3,)</f>
        <v>343000</v>
      </c>
      <c r="C1378" s="43">
        <f t="shared" si="42"/>
        <v>-7000</v>
      </c>
      <c r="D1378" s="43">
        <f>VLOOKUP(A1378,Database!F:H,2,)</f>
        <v>2747000</v>
      </c>
      <c r="E1378" s="43">
        <f t="shared" si="43"/>
        <v>-45000</v>
      </c>
    </row>
    <row r="1379" spans="1:5" x14ac:dyDescent="0.2">
      <c r="A1379" s="42">
        <v>34097</v>
      </c>
      <c r="B1379" s="43">
        <f>VLOOKUP(A1379,Database!F:H,3,)</f>
        <v>339000</v>
      </c>
      <c r="C1379" s="43">
        <f t="shared" si="42"/>
        <v>-4000</v>
      </c>
      <c r="D1379" s="43">
        <f>VLOOKUP(A1379,Database!F:H,2,)</f>
        <v>2820000</v>
      </c>
      <c r="E1379" s="43">
        <f t="shared" si="43"/>
        <v>73000</v>
      </c>
    </row>
    <row r="1380" spans="1:5" x14ac:dyDescent="0.2">
      <c r="A1380" s="42">
        <v>34104</v>
      </c>
      <c r="B1380" s="43">
        <f>VLOOKUP(A1380,Database!F:H,3,)</f>
        <v>345000</v>
      </c>
      <c r="C1380" s="43">
        <f t="shared" si="42"/>
        <v>6000</v>
      </c>
      <c r="D1380" s="43">
        <f>VLOOKUP(A1380,Database!F:H,2,)</f>
        <v>2772000</v>
      </c>
      <c r="E1380" s="43">
        <f t="shared" si="43"/>
        <v>-48000</v>
      </c>
    </row>
    <row r="1381" spans="1:5" x14ac:dyDescent="0.2">
      <c r="A1381" s="42">
        <v>34111</v>
      </c>
      <c r="B1381" s="43">
        <f>VLOOKUP(A1381,Database!F:H,3,)</f>
        <v>342000</v>
      </c>
      <c r="C1381" s="43">
        <f t="shared" si="42"/>
        <v>-3000</v>
      </c>
      <c r="D1381" s="43">
        <f>VLOOKUP(A1381,Database!F:H,2,)</f>
        <v>2816000</v>
      </c>
      <c r="E1381" s="43">
        <f t="shared" si="43"/>
        <v>44000</v>
      </c>
    </row>
    <row r="1382" spans="1:5" x14ac:dyDescent="0.2">
      <c r="A1382" s="42">
        <v>34118</v>
      </c>
      <c r="B1382" s="43">
        <f>VLOOKUP(A1382,Database!F:H,3,)</f>
        <v>349000</v>
      </c>
      <c r="C1382" s="43">
        <f t="shared" si="42"/>
        <v>7000</v>
      </c>
      <c r="D1382" s="43">
        <f>VLOOKUP(A1382,Database!F:H,2,)</f>
        <v>2737000</v>
      </c>
      <c r="E1382" s="43">
        <f t="shared" si="43"/>
        <v>-79000</v>
      </c>
    </row>
    <row r="1383" spans="1:5" x14ac:dyDescent="0.2">
      <c r="A1383" s="42">
        <v>34125</v>
      </c>
      <c r="B1383" s="43">
        <f>VLOOKUP(A1383,Database!F:H,3,)</f>
        <v>343000</v>
      </c>
      <c r="C1383" s="43">
        <f t="shared" si="42"/>
        <v>-6000</v>
      </c>
      <c r="D1383" s="43">
        <f>VLOOKUP(A1383,Database!F:H,2,)</f>
        <v>2808000</v>
      </c>
      <c r="E1383" s="43">
        <f t="shared" si="43"/>
        <v>71000</v>
      </c>
    </row>
    <row r="1384" spans="1:5" x14ac:dyDescent="0.2">
      <c r="A1384" s="42">
        <v>34132</v>
      </c>
      <c r="B1384" s="43">
        <f>VLOOKUP(A1384,Database!F:H,3,)</f>
        <v>343000</v>
      </c>
      <c r="C1384" s="43">
        <f t="shared" si="42"/>
        <v>0</v>
      </c>
      <c r="D1384" s="43">
        <f>VLOOKUP(A1384,Database!F:H,2,)</f>
        <v>2836000</v>
      </c>
      <c r="E1384" s="43">
        <f t="shared" si="43"/>
        <v>28000</v>
      </c>
    </row>
    <row r="1385" spans="1:5" x14ac:dyDescent="0.2">
      <c r="A1385" s="42">
        <v>34139</v>
      </c>
      <c r="B1385" s="43">
        <f>VLOOKUP(A1385,Database!F:H,3,)</f>
        <v>345000</v>
      </c>
      <c r="C1385" s="43">
        <f t="shared" si="42"/>
        <v>2000</v>
      </c>
      <c r="D1385" s="43">
        <f>VLOOKUP(A1385,Database!F:H,2,)</f>
        <v>2857000</v>
      </c>
      <c r="E1385" s="43">
        <f t="shared" si="43"/>
        <v>21000</v>
      </c>
    </row>
    <row r="1386" spans="1:5" x14ac:dyDescent="0.2">
      <c r="A1386" s="42">
        <v>34146</v>
      </c>
      <c r="B1386" s="43">
        <f>VLOOKUP(A1386,Database!F:H,3,)</f>
        <v>340000</v>
      </c>
      <c r="C1386" s="43">
        <f t="shared" si="42"/>
        <v>-5000</v>
      </c>
      <c r="D1386" s="43">
        <f>VLOOKUP(A1386,Database!F:H,2,)</f>
        <v>2747000</v>
      </c>
      <c r="E1386" s="43">
        <f t="shared" si="43"/>
        <v>-110000</v>
      </c>
    </row>
    <row r="1387" spans="1:5" x14ac:dyDescent="0.2">
      <c r="A1387" s="42">
        <v>34153</v>
      </c>
      <c r="B1387" s="43">
        <f>VLOOKUP(A1387,Database!F:H,3,)</f>
        <v>334000</v>
      </c>
      <c r="C1387" s="43">
        <f t="shared" si="42"/>
        <v>-6000</v>
      </c>
      <c r="D1387" s="43">
        <f>VLOOKUP(A1387,Database!F:H,2,)</f>
        <v>2724000</v>
      </c>
      <c r="E1387" s="43">
        <f t="shared" si="43"/>
        <v>-23000</v>
      </c>
    </row>
    <row r="1388" spans="1:5" x14ac:dyDescent="0.2">
      <c r="A1388" s="42">
        <v>34160</v>
      </c>
      <c r="B1388" s="43">
        <f>VLOOKUP(A1388,Database!F:H,3,)</f>
        <v>314000</v>
      </c>
      <c r="C1388" s="43">
        <f t="shared" si="42"/>
        <v>-20000</v>
      </c>
      <c r="D1388" s="43">
        <f>VLOOKUP(A1388,Database!F:H,2,)</f>
        <v>2778000</v>
      </c>
      <c r="E1388" s="43">
        <f t="shared" si="43"/>
        <v>54000</v>
      </c>
    </row>
    <row r="1389" spans="1:5" x14ac:dyDescent="0.2">
      <c r="A1389" s="42">
        <v>34167</v>
      </c>
      <c r="B1389" s="43">
        <f>VLOOKUP(A1389,Database!F:H,3,)</f>
        <v>335000</v>
      </c>
      <c r="C1389" s="43">
        <f t="shared" si="42"/>
        <v>21000</v>
      </c>
      <c r="D1389" s="43">
        <f>VLOOKUP(A1389,Database!F:H,2,)</f>
        <v>2766000</v>
      </c>
      <c r="E1389" s="43">
        <f t="shared" si="43"/>
        <v>-12000</v>
      </c>
    </row>
    <row r="1390" spans="1:5" x14ac:dyDescent="0.2">
      <c r="A1390" s="42">
        <v>34174</v>
      </c>
      <c r="B1390" s="43">
        <f>VLOOKUP(A1390,Database!F:H,3,)</f>
        <v>415000</v>
      </c>
      <c r="C1390" s="43">
        <f t="shared" si="42"/>
        <v>80000</v>
      </c>
      <c r="D1390" s="43">
        <f>VLOOKUP(A1390,Database!F:H,2,)</f>
        <v>2803000</v>
      </c>
      <c r="E1390" s="43">
        <f t="shared" si="43"/>
        <v>37000</v>
      </c>
    </row>
    <row r="1391" spans="1:5" x14ac:dyDescent="0.2">
      <c r="A1391" s="42">
        <v>34181</v>
      </c>
      <c r="B1391" s="43">
        <f>VLOOKUP(A1391,Database!F:H,3,)</f>
        <v>356000</v>
      </c>
      <c r="C1391" s="43">
        <f t="shared" si="42"/>
        <v>-59000</v>
      </c>
      <c r="D1391" s="43">
        <f>VLOOKUP(A1391,Database!F:H,2,)</f>
        <v>2843000</v>
      </c>
      <c r="E1391" s="43">
        <f t="shared" si="43"/>
        <v>40000</v>
      </c>
    </row>
    <row r="1392" spans="1:5" x14ac:dyDescent="0.2">
      <c r="A1392" s="42">
        <v>34188</v>
      </c>
      <c r="B1392" s="43">
        <f>VLOOKUP(A1392,Database!F:H,3,)</f>
        <v>346000</v>
      </c>
      <c r="C1392" s="43">
        <f t="shared" si="42"/>
        <v>-10000</v>
      </c>
      <c r="D1392" s="43">
        <f>VLOOKUP(A1392,Database!F:H,2,)</f>
        <v>2813000</v>
      </c>
      <c r="E1392" s="43">
        <f t="shared" si="43"/>
        <v>-30000</v>
      </c>
    </row>
    <row r="1393" spans="1:5" x14ac:dyDescent="0.2">
      <c r="A1393" s="42">
        <v>34195</v>
      </c>
      <c r="B1393" s="43">
        <f>VLOOKUP(A1393,Database!F:H,3,)</f>
        <v>339000</v>
      </c>
      <c r="C1393" s="43">
        <f t="shared" si="42"/>
        <v>-7000</v>
      </c>
      <c r="D1393" s="43">
        <f>VLOOKUP(A1393,Database!F:H,2,)</f>
        <v>2791000</v>
      </c>
      <c r="E1393" s="43">
        <f t="shared" si="43"/>
        <v>-22000</v>
      </c>
    </row>
    <row r="1394" spans="1:5" x14ac:dyDescent="0.2">
      <c r="A1394" s="42">
        <v>34202</v>
      </c>
      <c r="B1394" s="43">
        <f>VLOOKUP(A1394,Database!F:H,3,)</f>
        <v>342000</v>
      </c>
      <c r="C1394" s="43">
        <f t="shared" si="42"/>
        <v>3000</v>
      </c>
      <c r="D1394" s="43">
        <f>VLOOKUP(A1394,Database!F:H,2,)</f>
        <v>2821000</v>
      </c>
      <c r="E1394" s="43">
        <f t="shared" si="43"/>
        <v>30000</v>
      </c>
    </row>
    <row r="1395" spans="1:5" x14ac:dyDescent="0.2">
      <c r="A1395" s="42">
        <v>34209</v>
      </c>
      <c r="B1395" s="43">
        <f>VLOOKUP(A1395,Database!F:H,3,)</f>
        <v>337000</v>
      </c>
      <c r="C1395" s="43">
        <f t="shared" si="42"/>
        <v>-5000</v>
      </c>
      <c r="D1395" s="43">
        <f>VLOOKUP(A1395,Database!F:H,2,)</f>
        <v>2788000</v>
      </c>
      <c r="E1395" s="43">
        <f t="shared" si="43"/>
        <v>-33000</v>
      </c>
    </row>
    <row r="1396" spans="1:5" x14ac:dyDescent="0.2">
      <c r="A1396" s="42">
        <v>34216</v>
      </c>
      <c r="B1396" s="43">
        <f>VLOOKUP(A1396,Database!F:H,3,)</f>
        <v>334000</v>
      </c>
      <c r="C1396" s="43">
        <f t="shared" si="42"/>
        <v>-3000</v>
      </c>
      <c r="D1396" s="43">
        <f>VLOOKUP(A1396,Database!F:H,2,)</f>
        <v>2768000</v>
      </c>
      <c r="E1396" s="43">
        <f t="shared" si="43"/>
        <v>-20000</v>
      </c>
    </row>
    <row r="1397" spans="1:5" x14ac:dyDescent="0.2">
      <c r="A1397" s="42">
        <v>34223</v>
      </c>
      <c r="B1397" s="43">
        <f>VLOOKUP(A1397,Database!F:H,3,)</f>
        <v>333000</v>
      </c>
      <c r="C1397" s="43">
        <f t="shared" si="42"/>
        <v>-1000</v>
      </c>
      <c r="D1397" s="43">
        <f>VLOOKUP(A1397,Database!F:H,2,)</f>
        <v>2844000</v>
      </c>
      <c r="E1397" s="43">
        <f t="shared" si="43"/>
        <v>76000</v>
      </c>
    </row>
    <row r="1398" spans="1:5" x14ac:dyDescent="0.2">
      <c r="A1398" s="42">
        <v>34230</v>
      </c>
      <c r="B1398" s="43">
        <f>VLOOKUP(A1398,Database!F:H,3,)</f>
        <v>346000</v>
      </c>
      <c r="C1398" s="43">
        <f t="shared" si="42"/>
        <v>13000</v>
      </c>
      <c r="D1398" s="43">
        <f>VLOOKUP(A1398,Database!F:H,2,)</f>
        <v>2856000</v>
      </c>
      <c r="E1398" s="43">
        <f t="shared" si="43"/>
        <v>12000</v>
      </c>
    </row>
    <row r="1399" spans="1:5" x14ac:dyDescent="0.2">
      <c r="A1399" s="42">
        <v>34237</v>
      </c>
      <c r="B1399" s="43">
        <f>VLOOKUP(A1399,Database!F:H,3,)</f>
        <v>343000</v>
      </c>
      <c r="C1399" s="43">
        <f t="shared" si="42"/>
        <v>-3000</v>
      </c>
      <c r="D1399" s="43">
        <f>VLOOKUP(A1399,Database!F:H,2,)</f>
        <v>2836000</v>
      </c>
      <c r="E1399" s="43">
        <f t="shared" si="43"/>
        <v>-20000</v>
      </c>
    </row>
    <row r="1400" spans="1:5" x14ac:dyDescent="0.2">
      <c r="A1400" s="42">
        <v>34244</v>
      </c>
      <c r="B1400" s="43">
        <f>VLOOKUP(A1400,Database!F:H,3,)</f>
        <v>333000</v>
      </c>
      <c r="C1400" s="43">
        <f t="shared" si="42"/>
        <v>-10000</v>
      </c>
      <c r="D1400" s="43">
        <f>VLOOKUP(A1400,Database!F:H,2,)</f>
        <v>2810000</v>
      </c>
      <c r="E1400" s="43">
        <f t="shared" si="43"/>
        <v>-26000</v>
      </c>
    </row>
    <row r="1401" spans="1:5" x14ac:dyDescent="0.2">
      <c r="A1401" s="42">
        <v>34251</v>
      </c>
      <c r="B1401" s="43">
        <f>VLOOKUP(A1401,Database!F:H,3,)</f>
        <v>355000</v>
      </c>
      <c r="C1401" s="43">
        <f t="shared" si="42"/>
        <v>22000</v>
      </c>
      <c r="D1401" s="43">
        <f>VLOOKUP(A1401,Database!F:H,2,)</f>
        <v>2799000</v>
      </c>
      <c r="E1401" s="43">
        <f t="shared" si="43"/>
        <v>-11000</v>
      </c>
    </row>
    <row r="1402" spans="1:5" x14ac:dyDescent="0.2">
      <c r="A1402" s="42">
        <v>34258</v>
      </c>
      <c r="B1402" s="43">
        <f>VLOOKUP(A1402,Database!F:H,3,)</f>
        <v>359000</v>
      </c>
      <c r="C1402" s="43">
        <f t="shared" si="42"/>
        <v>4000</v>
      </c>
      <c r="D1402" s="43">
        <f>VLOOKUP(A1402,Database!F:H,2,)</f>
        <v>2833000</v>
      </c>
      <c r="E1402" s="43">
        <f t="shared" si="43"/>
        <v>34000</v>
      </c>
    </row>
    <row r="1403" spans="1:5" x14ac:dyDescent="0.2">
      <c r="A1403" s="42">
        <v>34265</v>
      </c>
      <c r="B1403" s="43">
        <f>VLOOKUP(A1403,Database!F:H,3,)</f>
        <v>354000</v>
      </c>
      <c r="C1403" s="43">
        <f t="shared" si="42"/>
        <v>-5000</v>
      </c>
      <c r="D1403" s="43">
        <f>VLOOKUP(A1403,Database!F:H,2,)</f>
        <v>2882000</v>
      </c>
      <c r="E1403" s="43">
        <f t="shared" si="43"/>
        <v>49000</v>
      </c>
    </row>
    <row r="1404" spans="1:5" x14ac:dyDescent="0.2">
      <c r="A1404" s="42">
        <v>34272</v>
      </c>
      <c r="B1404" s="43">
        <f>VLOOKUP(A1404,Database!F:H,3,)</f>
        <v>348000</v>
      </c>
      <c r="C1404" s="43">
        <f t="shared" si="42"/>
        <v>-6000</v>
      </c>
      <c r="D1404" s="43">
        <f>VLOOKUP(A1404,Database!F:H,2,)</f>
        <v>2801000</v>
      </c>
      <c r="E1404" s="43">
        <f t="shared" si="43"/>
        <v>-81000</v>
      </c>
    </row>
    <row r="1405" spans="1:5" x14ac:dyDescent="0.2">
      <c r="A1405" s="42">
        <v>34279</v>
      </c>
      <c r="B1405" s="43">
        <f>VLOOKUP(A1405,Database!F:H,3,)</f>
        <v>350000</v>
      </c>
      <c r="C1405" s="43">
        <f t="shared" si="42"/>
        <v>2000</v>
      </c>
      <c r="D1405" s="43">
        <f>VLOOKUP(A1405,Database!F:H,2,)</f>
        <v>2833000</v>
      </c>
      <c r="E1405" s="43">
        <f t="shared" si="43"/>
        <v>32000</v>
      </c>
    </row>
    <row r="1406" spans="1:5" x14ac:dyDescent="0.2">
      <c r="A1406" s="42">
        <v>34286</v>
      </c>
      <c r="B1406" s="43">
        <f>VLOOKUP(A1406,Database!F:H,3,)</f>
        <v>341000</v>
      </c>
      <c r="C1406" s="43">
        <f t="shared" si="42"/>
        <v>-9000</v>
      </c>
      <c r="D1406" s="43">
        <f>VLOOKUP(A1406,Database!F:H,2,)</f>
        <v>2785000</v>
      </c>
      <c r="E1406" s="43">
        <f t="shared" si="43"/>
        <v>-48000</v>
      </c>
    </row>
    <row r="1407" spans="1:5" x14ac:dyDescent="0.2">
      <c r="A1407" s="42">
        <v>34293</v>
      </c>
      <c r="B1407" s="43">
        <f>VLOOKUP(A1407,Database!F:H,3,)</f>
        <v>336000</v>
      </c>
      <c r="C1407" s="43">
        <f t="shared" si="42"/>
        <v>-5000</v>
      </c>
      <c r="D1407" s="43">
        <f>VLOOKUP(A1407,Database!F:H,2,)</f>
        <v>2801000</v>
      </c>
      <c r="E1407" s="43">
        <f t="shared" si="43"/>
        <v>16000</v>
      </c>
    </row>
    <row r="1408" spans="1:5" x14ac:dyDescent="0.2">
      <c r="A1408" s="42">
        <v>34300</v>
      </c>
      <c r="B1408" s="43">
        <f>VLOOKUP(A1408,Database!F:H,3,)</f>
        <v>337000</v>
      </c>
      <c r="C1408" s="43">
        <f t="shared" si="42"/>
        <v>1000</v>
      </c>
      <c r="D1408" s="43">
        <f>VLOOKUP(A1408,Database!F:H,2,)</f>
        <v>2784000</v>
      </c>
      <c r="E1408" s="43">
        <f t="shared" si="43"/>
        <v>-17000</v>
      </c>
    </row>
    <row r="1409" spans="1:5" x14ac:dyDescent="0.2">
      <c r="A1409" s="42">
        <v>34307</v>
      </c>
      <c r="B1409" s="43">
        <f>VLOOKUP(A1409,Database!F:H,3,)</f>
        <v>337000</v>
      </c>
      <c r="C1409" s="43">
        <f t="shared" si="42"/>
        <v>0</v>
      </c>
      <c r="D1409" s="43">
        <f>VLOOKUP(A1409,Database!F:H,2,)</f>
        <v>2802000</v>
      </c>
      <c r="E1409" s="43">
        <f t="shared" si="43"/>
        <v>18000</v>
      </c>
    </row>
    <row r="1410" spans="1:5" x14ac:dyDescent="0.2">
      <c r="A1410" s="42">
        <v>34314</v>
      </c>
      <c r="B1410" s="43">
        <f>VLOOKUP(A1410,Database!F:H,3,)</f>
        <v>334000</v>
      </c>
      <c r="C1410" s="43">
        <f t="shared" si="42"/>
        <v>-3000</v>
      </c>
      <c r="D1410" s="43">
        <f>VLOOKUP(A1410,Database!F:H,2,)</f>
        <v>2747000</v>
      </c>
      <c r="E1410" s="43">
        <f t="shared" si="43"/>
        <v>-55000</v>
      </c>
    </row>
    <row r="1411" spans="1:5" x14ac:dyDescent="0.2">
      <c r="A1411" s="42">
        <v>34321</v>
      </c>
      <c r="B1411" s="43">
        <f>VLOOKUP(A1411,Database!F:H,3,)</f>
        <v>331000</v>
      </c>
      <c r="C1411" s="43">
        <f t="shared" si="42"/>
        <v>-3000</v>
      </c>
      <c r="D1411" s="43">
        <f>VLOOKUP(A1411,Database!F:H,2,)</f>
        <v>2780000</v>
      </c>
      <c r="E1411" s="43">
        <f t="shared" si="43"/>
        <v>33000</v>
      </c>
    </row>
    <row r="1412" spans="1:5" x14ac:dyDescent="0.2">
      <c r="A1412" s="42">
        <v>34328</v>
      </c>
      <c r="B1412" s="43">
        <f>VLOOKUP(A1412,Database!F:H,3,)</f>
        <v>290000</v>
      </c>
      <c r="C1412" s="43">
        <f t="shared" si="42"/>
        <v>-41000</v>
      </c>
      <c r="D1412" s="43">
        <f>VLOOKUP(A1412,Database!F:H,2,)</f>
        <v>2720000</v>
      </c>
      <c r="E1412" s="43">
        <f t="shared" si="43"/>
        <v>-60000</v>
      </c>
    </row>
    <row r="1413" spans="1:5" x14ac:dyDescent="0.2">
      <c r="A1413" s="42">
        <v>34335</v>
      </c>
      <c r="B1413" s="43">
        <f>VLOOKUP(A1413,Database!F:H,3,)</f>
        <v>341000</v>
      </c>
      <c r="C1413" s="43">
        <f t="shared" si="42"/>
        <v>51000</v>
      </c>
      <c r="D1413" s="43">
        <f>VLOOKUP(A1413,Database!F:H,2,)</f>
        <v>2633000</v>
      </c>
      <c r="E1413" s="43">
        <f t="shared" si="43"/>
        <v>-87000</v>
      </c>
    </row>
    <row r="1414" spans="1:5" x14ac:dyDescent="0.2">
      <c r="A1414" s="42">
        <v>34342</v>
      </c>
      <c r="B1414" s="43">
        <f>VLOOKUP(A1414,Database!F:H,3,)</f>
        <v>343000</v>
      </c>
      <c r="C1414" s="43">
        <f t="shared" si="42"/>
        <v>2000</v>
      </c>
      <c r="D1414" s="43">
        <f>VLOOKUP(A1414,Database!F:H,2,)</f>
        <v>2705000</v>
      </c>
      <c r="E1414" s="43">
        <f t="shared" si="43"/>
        <v>72000</v>
      </c>
    </row>
    <row r="1415" spans="1:5" x14ac:dyDescent="0.2">
      <c r="A1415" s="42">
        <v>34349</v>
      </c>
      <c r="B1415" s="43">
        <f>VLOOKUP(A1415,Database!F:H,3,)</f>
        <v>355000</v>
      </c>
      <c r="C1415" s="43">
        <f t="shared" si="42"/>
        <v>12000</v>
      </c>
      <c r="D1415" s="43">
        <f>VLOOKUP(A1415,Database!F:H,2,)</f>
        <v>2634000</v>
      </c>
      <c r="E1415" s="43">
        <f t="shared" si="43"/>
        <v>-71000</v>
      </c>
    </row>
    <row r="1416" spans="1:5" x14ac:dyDescent="0.2">
      <c r="A1416" s="42">
        <v>34356</v>
      </c>
      <c r="B1416" s="43">
        <f>VLOOKUP(A1416,Database!F:H,3,)</f>
        <v>351000</v>
      </c>
      <c r="C1416" s="43">
        <f t="shared" ref="C1416:C1479" si="44">B1416-B1415</f>
        <v>-4000</v>
      </c>
      <c r="D1416" s="43">
        <f>VLOOKUP(A1416,Database!F:H,2,)</f>
        <v>2814000</v>
      </c>
      <c r="E1416" s="43">
        <f t="shared" ref="E1416:E1479" si="45">D1416-D1415</f>
        <v>180000</v>
      </c>
    </row>
    <row r="1417" spans="1:5" x14ac:dyDescent="0.2">
      <c r="A1417" s="42">
        <v>34363</v>
      </c>
      <c r="B1417" s="43">
        <f>VLOOKUP(A1417,Database!F:H,3,)</f>
        <v>406000</v>
      </c>
      <c r="C1417" s="43">
        <f t="shared" si="44"/>
        <v>55000</v>
      </c>
      <c r="D1417" s="43">
        <f>VLOOKUP(A1417,Database!F:H,2,)</f>
        <v>2762000</v>
      </c>
      <c r="E1417" s="43">
        <f t="shared" si="45"/>
        <v>-52000</v>
      </c>
    </row>
    <row r="1418" spans="1:5" x14ac:dyDescent="0.2">
      <c r="A1418" s="42">
        <v>34370</v>
      </c>
      <c r="B1418" s="43">
        <f>VLOOKUP(A1418,Database!F:H,3,)</f>
        <v>361000</v>
      </c>
      <c r="C1418" s="43">
        <f t="shared" si="44"/>
        <v>-45000</v>
      </c>
      <c r="D1418" s="43">
        <f>VLOOKUP(A1418,Database!F:H,2,)</f>
        <v>2764000</v>
      </c>
      <c r="E1418" s="43">
        <f t="shared" si="45"/>
        <v>2000</v>
      </c>
    </row>
    <row r="1419" spans="1:5" x14ac:dyDescent="0.2">
      <c r="A1419" s="42">
        <v>34377</v>
      </c>
      <c r="B1419" s="43">
        <f>VLOOKUP(A1419,Database!F:H,3,)</f>
        <v>354000</v>
      </c>
      <c r="C1419" s="43">
        <f t="shared" si="44"/>
        <v>-7000</v>
      </c>
      <c r="D1419" s="43">
        <f>VLOOKUP(A1419,Database!F:H,2,)</f>
        <v>2861000</v>
      </c>
      <c r="E1419" s="43">
        <f t="shared" si="45"/>
        <v>97000</v>
      </c>
    </row>
    <row r="1420" spans="1:5" x14ac:dyDescent="0.2">
      <c r="A1420" s="42">
        <v>34384</v>
      </c>
      <c r="B1420" s="43">
        <f>VLOOKUP(A1420,Database!F:H,3,)</f>
        <v>352000</v>
      </c>
      <c r="C1420" s="43">
        <f t="shared" si="44"/>
        <v>-2000</v>
      </c>
      <c r="D1420" s="43">
        <f>VLOOKUP(A1420,Database!F:H,2,)</f>
        <v>2748000</v>
      </c>
      <c r="E1420" s="43">
        <f t="shared" si="45"/>
        <v>-113000</v>
      </c>
    </row>
    <row r="1421" spans="1:5" x14ac:dyDescent="0.2">
      <c r="A1421" s="42">
        <v>34391</v>
      </c>
      <c r="B1421" s="43">
        <f>VLOOKUP(A1421,Database!F:H,3,)</f>
        <v>327000</v>
      </c>
      <c r="C1421" s="43">
        <f t="shared" si="44"/>
        <v>-25000</v>
      </c>
      <c r="D1421" s="43">
        <f>VLOOKUP(A1421,Database!F:H,2,)</f>
        <v>2797000</v>
      </c>
      <c r="E1421" s="43">
        <f t="shared" si="45"/>
        <v>49000</v>
      </c>
    </row>
    <row r="1422" spans="1:5" x14ac:dyDescent="0.2">
      <c r="A1422" s="42">
        <v>34398</v>
      </c>
      <c r="B1422" s="43">
        <f>VLOOKUP(A1422,Database!F:H,3,)</f>
        <v>348000</v>
      </c>
      <c r="C1422" s="43">
        <f t="shared" si="44"/>
        <v>21000</v>
      </c>
      <c r="D1422" s="43">
        <f>VLOOKUP(A1422,Database!F:H,2,)</f>
        <v>2779000</v>
      </c>
      <c r="E1422" s="43">
        <f t="shared" si="45"/>
        <v>-18000</v>
      </c>
    </row>
    <row r="1423" spans="1:5" x14ac:dyDescent="0.2">
      <c r="A1423" s="42">
        <v>34405</v>
      </c>
      <c r="B1423" s="43">
        <f>VLOOKUP(A1423,Database!F:H,3,)</f>
        <v>341000</v>
      </c>
      <c r="C1423" s="43">
        <f t="shared" si="44"/>
        <v>-7000</v>
      </c>
      <c r="D1423" s="43">
        <f>VLOOKUP(A1423,Database!F:H,2,)</f>
        <v>2783000</v>
      </c>
      <c r="E1423" s="43">
        <f t="shared" si="45"/>
        <v>4000</v>
      </c>
    </row>
    <row r="1424" spans="1:5" x14ac:dyDescent="0.2">
      <c r="A1424" s="42">
        <v>34412</v>
      </c>
      <c r="B1424" s="43">
        <f>VLOOKUP(A1424,Database!F:H,3,)</f>
        <v>332000</v>
      </c>
      <c r="C1424" s="43">
        <f t="shared" si="44"/>
        <v>-9000</v>
      </c>
      <c r="D1424" s="43">
        <f>VLOOKUP(A1424,Database!F:H,2,)</f>
        <v>2746000</v>
      </c>
      <c r="E1424" s="43">
        <f t="shared" si="45"/>
        <v>-37000</v>
      </c>
    </row>
    <row r="1425" spans="1:5" x14ac:dyDescent="0.2">
      <c r="A1425" s="42">
        <v>34419</v>
      </c>
      <c r="B1425" s="43">
        <f>VLOOKUP(A1425,Database!F:H,3,)</f>
        <v>322000</v>
      </c>
      <c r="C1425" s="43">
        <f t="shared" si="44"/>
        <v>-10000</v>
      </c>
      <c r="D1425" s="43">
        <f>VLOOKUP(A1425,Database!F:H,2,)</f>
        <v>2710000</v>
      </c>
      <c r="E1425" s="43">
        <f t="shared" si="45"/>
        <v>-36000</v>
      </c>
    </row>
    <row r="1426" spans="1:5" x14ac:dyDescent="0.2">
      <c r="A1426" s="42">
        <v>34426</v>
      </c>
      <c r="B1426" s="43">
        <f>VLOOKUP(A1426,Database!F:H,3,)</f>
        <v>342000</v>
      </c>
      <c r="C1426" s="43">
        <f t="shared" si="44"/>
        <v>20000</v>
      </c>
      <c r="D1426" s="43">
        <f>VLOOKUP(A1426,Database!F:H,2,)</f>
        <v>2730000</v>
      </c>
      <c r="E1426" s="43">
        <f t="shared" si="45"/>
        <v>20000</v>
      </c>
    </row>
    <row r="1427" spans="1:5" x14ac:dyDescent="0.2">
      <c r="A1427" s="42">
        <v>34433</v>
      </c>
      <c r="B1427" s="43">
        <f>VLOOKUP(A1427,Database!F:H,3,)</f>
        <v>349000</v>
      </c>
      <c r="C1427" s="43">
        <f t="shared" si="44"/>
        <v>7000</v>
      </c>
      <c r="D1427" s="43">
        <f>VLOOKUP(A1427,Database!F:H,2,)</f>
        <v>2773000</v>
      </c>
      <c r="E1427" s="43">
        <f t="shared" si="45"/>
        <v>43000</v>
      </c>
    </row>
    <row r="1428" spans="1:5" x14ac:dyDescent="0.2">
      <c r="A1428" s="42">
        <v>34440</v>
      </c>
      <c r="B1428" s="43">
        <f>VLOOKUP(A1428,Database!F:H,3,)</f>
        <v>354000</v>
      </c>
      <c r="C1428" s="43">
        <f t="shared" si="44"/>
        <v>5000</v>
      </c>
      <c r="D1428" s="43">
        <f>VLOOKUP(A1428,Database!F:H,2,)</f>
        <v>2716000</v>
      </c>
      <c r="E1428" s="43">
        <f t="shared" si="45"/>
        <v>-57000</v>
      </c>
    </row>
    <row r="1429" spans="1:5" x14ac:dyDescent="0.2">
      <c r="A1429" s="42">
        <v>34447</v>
      </c>
      <c r="B1429" s="43">
        <f>VLOOKUP(A1429,Database!F:H,3,)</f>
        <v>331000</v>
      </c>
      <c r="C1429" s="43">
        <f t="shared" si="44"/>
        <v>-23000</v>
      </c>
      <c r="D1429" s="43">
        <f>VLOOKUP(A1429,Database!F:H,2,)</f>
        <v>2695000</v>
      </c>
      <c r="E1429" s="43">
        <f t="shared" si="45"/>
        <v>-21000</v>
      </c>
    </row>
    <row r="1430" spans="1:5" x14ac:dyDescent="0.2">
      <c r="A1430" s="42">
        <v>34454</v>
      </c>
      <c r="B1430" s="43">
        <f>VLOOKUP(A1430,Database!F:H,3,)</f>
        <v>344000</v>
      </c>
      <c r="C1430" s="43">
        <f t="shared" si="44"/>
        <v>13000</v>
      </c>
      <c r="D1430" s="43">
        <f>VLOOKUP(A1430,Database!F:H,2,)</f>
        <v>2769000</v>
      </c>
      <c r="E1430" s="43">
        <f t="shared" si="45"/>
        <v>74000</v>
      </c>
    </row>
    <row r="1431" spans="1:5" x14ac:dyDescent="0.2">
      <c r="A1431" s="42">
        <v>34461</v>
      </c>
      <c r="B1431" s="43">
        <f>VLOOKUP(A1431,Database!F:H,3,)</f>
        <v>371000</v>
      </c>
      <c r="C1431" s="43">
        <f t="shared" si="44"/>
        <v>27000</v>
      </c>
      <c r="D1431" s="43">
        <f>VLOOKUP(A1431,Database!F:H,2,)</f>
        <v>2726000</v>
      </c>
      <c r="E1431" s="43">
        <f t="shared" si="45"/>
        <v>-43000</v>
      </c>
    </row>
    <row r="1432" spans="1:5" x14ac:dyDescent="0.2">
      <c r="A1432" s="42">
        <v>34468</v>
      </c>
      <c r="B1432" s="43">
        <f>VLOOKUP(A1432,Database!F:H,3,)</f>
        <v>360000</v>
      </c>
      <c r="C1432" s="43">
        <f t="shared" si="44"/>
        <v>-11000</v>
      </c>
      <c r="D1432" s="43">
        <f>VLOOKUP(A1432,Database!F:H,2,)</f>
        <v>2792000</v>
      </c>
      <c r="E1432" s="43">
        <f t="shared" si="45"/>
        <v>66000</v>
      </c>
    </row>
    <row r="1433" spans="1:5" x14ac:dyDescent="0.2">
      <c r="A1433" s="42">
        <v>34475</v>
      </c>
      <c r="B1433" s="43">
        <f>VLOOKUP(A1433,Database!F:H,3,)</f>
        <v>357000</v>
      </c>
      <c r="C1433" s="43">
        <f t="shared" si="44"/>
        <v>-3000</v>
      </c>
      <c r="D1433" s="43">
        <f>VLOOKUP(A1433,Database!F:H,2,)</f>
        <v>2766000</v>
      </c>
      <c r="E1433" s="43">
        <f t="shared" si="45"/>
        <v>-26000</v>
      </c>
    </row>
    <row r="1434" spans="1:5" x14ac:dyDescent="0.2">
      <c r="A1434" s="42">
        <v>34482</v>
      </c>
      <c r="B1434" s="43">
        <f>VLOOKUP(A1434,Database!F:H,3,)</f>
        <v>348000</v>
      </c>
      <c r="C1434" s="43">
        <f t="shared" si="44"/>
        <v>-9000</v>
      </c>
      <c r="D1434" s="43">
        <f>VLOOKUP(A1434,Database!F:H,2,)</f>
        <v>2727000</v>
      </c>
      <c r="E1434" s="43">
        <f t="shared" si="45"/>
        <v>-39000</v>
      </c>
    </row>
    <row r="1435" spans="1:5" x14ac:dyDescent="0.2">
      <c r="A1435" s="42">
        <v>34489</v>
      </c>
      <c r="B1435" s="43">
        <f>VLOOKUP(A1435,Database!F:H,3,)</f>
        <v>345000</v>
      </c>
      <c r="C1435" s="43">
        <f t="shared" si="44"/>
        <v>-3000</v>
      </c>
      <c r="D1435" s="43">
        <f>VLOOKUP(A1435,Database!F:H,2,)</f>
        <v>2740000</v>
      </c>
      <c r="E1435" s="43">
        <f t="shared" si="45"/>
        <v>13000</v>
      </c>
    </row>
    <row r="1436" spans="1:5" x14ac:dyDescent="0.2">
      <c r="A1436" s="42">
        <v>34496</v>
      </c>
      <c r="B1436" s="43">
        <f>VLOOKUP(A1436,Database!F:H,3,)</f>
        <v>338000</v>
      </c>
      <c r="C1436" s="43">
        <f t="shared" si="44"/>
        <v>-7000</v>
      </c>
      <c r="D1436" s="43">
        <f>VLOOKUP(A1436,Database!F:H,2,)</f>
        <v>2755000</v>
      </c>
      <c r="E1436" s="43">
        <f t="shared" si="45"/>
        <v>15000</v>
      </c>
    </row>
    <row r="1437" spans="1:5" x14ac:dyDescent="0.2">
      <c r="A1437" s="42">
        <v>34503</v>
      </c>
      <c r="B1437" s="43">
        <f>VLOOKUP(A1437,Database!F:H,3,)</f>
        <v>336000</v>
      </c>
      <c r="C1437" s="43">
        <f t="shared" si="44"/>
        <v>-2000</v>
      </c>
      <c r="D1437" s="43">
        <f>VLOOKUP(A1437,Database!F:H,2,)</f>
        <v>2698000</v>
      </c>
      <c r="E1437" s="43">
        <f t="shared" si="45"/>
        <v>-57000</v>
      </c>
    </row>
    <row r="1438" spans="1:5" x14ac:dyDescent="0.2">
      <c r="A1438" s="42">
        <v>34510</v>
      </c>
      <c r="B1438" s="43">
        <f>VLOOKUP(A1438,Database!F:H,3,)</f>
        <v>341000</v>
      </c>
      <c r="C1438" s="43">
        <f t="shared" si="44"/>
        <v>5000</v>
      </c>
      <c r="D1438" s="43">
        <f>VLOOKUP(A1438,Database!F:H,2,)</f>
        <v>2687000</v>
      </c>
      <c r="E1438" s="43">
        <f t="shared" si="45"/>
        <v>-11000</v>
      </c>
    </row>
    <row r="1439" spans="1:5" x14ac:dyDescent="0.2">
      <c r="A1439" s="42">
        <v>34517</v>
      </c>
      <c r="B1439" s="43">
        <f>VLOOKUP(A1439,Database!F:H,3,)</f>
        <v>334000</v>
      </c>
      <c r="C1439" s="43">
        <f t="shared" si="44"/>
        <v>-7000</v>
      </c>
      <c r="D1439" s="43">
        <f>VLOOKUP(A1439,Database!F:H,2,)</f>
        <v>2672000</v>
      </c>
      <c r="E1439" s="43">
        <f t="shared" si="45"/>
        <v>-15000</v>
      </c>
    </row>
    <row r="1440" spans="1:5" x14ac:dyDescent="0.2">
      <c r="A1440" s="42">
        <v>34524</v>
      </c>
      <c r="B1440" s="43">
        <f>VLOOKUP(A1440,Database!F:H,3,)</f>
        <v>341000</v>
      </c>
      <c r="C1440" s="43">
        <f t="shared" si="44"/>
        <v>7000</v>
      </c>
      <c r="D1440" s="43">
        <f>VLOOKUP(A1440,Database!F:H,2,)</f>
        <v>2670000</v>
      </c>
      <c r="E1440" s="43">
        <f t="shared" si="45"/>
        <v>-2000</v>
      </c>
    </row>
    <row r="1441" spans="1:5" x14ac:dyDescent="0.2">
      <c r="A1441" s="42">
        <v>34531</v>
      </c>
      <c r="B1441" s="43">
        <f>VLOOKUP(A1441,Database!F:H,3,)</f>
        <v>359000</v>
      </c>
      <c r="C1441" s="43">
        <f t="shared" si="44"/>
        <v>18000</v>
      </c>
      <c r="D1441" s="43">
        <f>VLOOKUP(A1441,Database!F:H,2,)</f>
        <v>2680000</v>
      </c>
      <c r="E1441" s="43">
        <f t="shared" si="45"/>
        <v>10000</v>
      </c>
    </row>
    <row r="1442" spans="1:5" x14ac:dyDescent="0.2">
      <c r="A1442" s="42">
        <v>34538</v>
      </c>
      <c r="B1442" s="43">
        <f>VLOOKUP(A1442,Database!F:H,3,)</f>
        <v>345000</v>
      </c>
      <c r="C1442" s="43">
        <f t="shared" si="44"/>
        <v>-14000</v>
      </c>
      <c r="D1442" s="43">
        <f>VLOOKUP(A1442,Database!F:H,2,)</f>
        <v>2650000</v>
      </c>
      <c r="E1442" s="43">
        <f t="shared" si="45"/>
        <v>-30000</v>
      </c>
    </row>
    <row r="1443" spans="1:5" x14ac:dyDescent="0.2">
      <c r="A1443" s="42">
        <v>34545</v>
      </c>
      <c r="B1443" s="43">
        <f>VLOOKUP(A1443,Database!F:H,3,)</f>
        <v>332000</v>
      </c>
      <c r="C1443" s="43">
        <f t="shared" si="44"/>
        <v>-13000</v>
      </c>
      <c r="D1443" s="43">
        <f>VLOOKUP(A1443,Database!F:H,2,)</f>
        <v>2626000</v>
      </c>
      <c r="E1443" s="43">
        <f t="shared" si="45"/>
        <v>-24000</v>
      </c>
    </row>
    <row r="1444" spans="1:5" x14ac:dyDescent="0.2">
      <c r="A1444" s="42">
        <v>34552</v>
      </c>
      <c r="B1444" s="43">
        <f>VLOOKUP(A1444,Database!F:H,3,)</f>
        <v>338000</v>
      </c>
      <c r="C1444" s="43">
        <f t="shared" si="44"/>
        <v>6000</v>
      </c>
      <c r="D1444" s="43">
        <f>VLOOKUP(A1444,Database!F:H,2,)</f>
        <v>2644000</v>
      </c>
      <c r="E1444" s="43">
        <f t="shared" si="45"/>
        <v>18000</v>
      </c>
    </row>
    <row r="1445" spans="1:5" x14ac:dyDescent="0.2">
      <c r="A1445" s="42">
        <v>34559</v>
      </c>
      <c r="B1445" s="43">
        <f>VLOOKUP(A1445,Database!F:H,3,)</f>
        <v>335000</v>
      </c>
      <c r="C1445" s="43">
        <f t="shared" si="44"/>
        <v>-3000</v>
      </c>
      <c r="D1445" s="43">
        <f>VLOOKUP(A1445,Database!F:H,2,)</f>
        <v>2639000</v>
      </c>
      <c r="E1445" s="43">
        <f t="shared" si="45"/>
        <v>-5000</v>
      </c>
    </row>
    <row r="1446" spans="1:5" x14ac:dyDescent="0.2">
      <c r="A1446" s="42">
        <v>34566</v>
      </c>
      <c r="B1446" s="43">
        <f>VLOOKUP(A1446,Database!F:H,3,)</f>
        <v>331000</v>
      </c>
      <c r="C1446" s="43">
        <f t="shared" si="44"/>
        <v>-4000</v>
      </c>
      <c r="D1446" s="43">
        <f>VLOOKUP(A1446,Database!F:H,2,)</f>
        <v>2659000</v>
      </c>
      <c r="E1446" s="43">
        <f t="shared" si="45"/>
        <v>20000</v>
      </c>
    </row>
    <row r="1447" spans="1:5" x14ac:dyDescent="0.2">
      <c r="A1447" s="42">
        <v>34573</v>
      </c>
      <c r="B1447" s="43">
        <f>VLOOKUP(A1447,Database!F:H,3,)</f>
        <v>341000</v>
      </c>
      <c r="C1447" s="43">
        <f t="shared" si="44"/>
        <v>10000</v>
      </c>
      <c r="D1447" s="43">
        <f>VLOOKUP(A1447,Database!F:H,2,)</f>
        <v>2648000</v>
      </c>
      <c r="E1447" s="43">
        <f t="shared" si="45"/>
        <v>-11000</v>
      </c>
    </row>
    <row r="1448" spans="1:5" x14ac:dyDescent="0.2">
      <c r="A1448" s="42">
        <v>34580</v>
      </c>
      <c r="B1448" s="43">
        <f>VLOOKUP(A1448,Database!F:H,3,)</f>
        <v>339000</v>
      </c>
      <c r="C1448" s="43">
        <f t="shared" si="44"/>
        <v>-2000</v>
      </c>
      <c r="D1448" s="43">
        <f>VLOOKUP(A1448,Database!F:H,2,)</f>
        <v>2645000</v>
      </c>
      <c r="E1448" s="43">
        <f t="shared" si="45"/>
        <v>-3000</v>
      </c>
    </row>
    <row r="1449" spans="1:5" x14ac:dyDescent="0.2">
      <c r="A1449" s="42">
        <v>34587</v>
      </c>
      <c r="B1449" s="43">
        <f>VLOOKUP(A1449,Database!F:H,3,)</f>
        <v>331000</v>
      </c>
      <c r="C1449" s="43">
        <f t="shared" si="44"/>
        <v>-8000</v>
      </c>
      <c r="D1449" s="43">
        <f>VLOOKUP(A1449,Database!F:H,2,)</f>
        <v>2633000</v>
      </c>
      <c r="E1449" s="43">
        <f t="shared" si="45"/>
        <v>-12000</v>
      </c>
    </row>
    <row r="1450" spans="1:5" x14ac:dyDescent="0.2">
      <c r="A1450" s="42">
        <v>34594</v>
      </c>
      <c r="B1450" s="43">
        <f>VLOOKUP(A1450,Database!F:H,3,)</f>
        <v>326000</v>
      </c>
      <c r="C1450" s="43">
        <f t="shared" si="44"/>
        <v>-5000</v>
      </c>
      <c r="D1450" s="43">
        <f>VLOOKUP(A1450,Database!F:H,2,)</f>
        <v>2638000</v>
      </c>
      <c r="E1450" s="43">
        <f t="shared" si="45"/>
        <v>5000</v>
      </c>
    </row>
    <row r="1451" spans="1:5" x14ac:dyDescent="0.2">
      <c r="A1451" s="42">
        <v>34601</v>
      </c>
      <c r="B1451" s="43">
        <f>VLOOKUP(A1451,Database!F:H,3,)</f>
        <v>325000</v>
      </c>
      <c r="C1451" s="43">
        <f t="shared" si="44"/>
        <v>-1000</v>
      </c>
      <c r="D1451" s="43">
        <f>VLOOKUP(A1451,Database!F:H,2,)</f>
        <v>2601000</v>
      </c>
      <c r="E1451" s="43">
        <f t="shared" si="45"/>
        <v>-37000</v>
      </c>
    </row>
    <row r="1452" spans="1:5" x14ac:dyDescent="0.2">
      <c r="A1452" s="42">
        <v>34608</v>
      </c>
      <c r="B1452" s="43">
        <f>VLOOKUP(A1452,Database!F:H,3,)</f>
        <v>330000</v>
      </c>
      <c r="C1452" s="43">
        <f t="shared" si="44"/>
        <v>5000</v>
      </c>
      <c r="D1452" s="43">
        <f>VLOOKUP(A1452,Database!F:H,2,)</f>
        <v>2597000</v>
      </c>
      <c r="E1452" s="43">
        <f t="shared" si="45"/>
        <v>-4000</v>
      </c>
    </row>
    <row r="1453" spans="1:5" x14ac:dyDescent="0.2">
      <c r="A1453" s="42">
        <v>34615</v>
      </c>
      <c r="B1453" s="43">
        <f>VLOOKUP(A1453,Database!F:H,3,)</f>
        <v>341000</v>
      </c>
      <c r="C1453" s="43">
        <f t="shared" si="44"/>
        <v>11000</v>
      </c>
      <c r="D1453" s="43">
        <f>VLOOKUP(A1453,Database!F:H,2,)</f>
        <v>2561000</v>
      </c>
      <c r="E1453" s="43">
        <f t="shared" si="45"/>
        <v>-36000</v>
      </c>
    </row>
    <row r="1454" spans="1:5" x14ac:dyDescent="0.2">
      <c r="A1454" s="42">
        <v>34622</v>
      </c>
      <c r="B1454" s="43">
        <f>VLOOKUP(A1454,Database!F:H,3,)</f>
        <v>335000</v>
      </c>
      <c r="C1454" s="43">
        <f t="shared" si="44"/>
        <v>-6000</v>
      </c>
      <c r="D1454" s="43">
        <f>VLOOKUP(A1454,Database!F:H,2,)</f>
        <v>2620000</v>
      </c>
      <c r="E1454" s="43">
        <f t="shared" si="45"/>
        <v>59000</v>
      </c>
    </row>
    <row r="1455" spans="1:5" x14ac:dyDescent="0.2">
      <c r="A1455" s="42">
        <v>34629</v>
      </c>
      <c r="B1455" s="43">
        <f>VLOOKUP(A1455,Database!F:H,3,)</f>
        <v>330000</v>
      </c>
      <c r="C1455" s="43">
        <f t="shared" si="44"/>
        <v>-5000</v>
      </c>
      <c r="D1455" s="43">
        <f>VLOOKUP(A1455,Database!F:H,2,)</f>
        <v>2556000</v>
      </c>
      <c r="E1455" s="43">
        <f t="shared" si="45"/>
        <v>-64000</v>
      </c>
    </row>
    <row r="1456" spans="1:5" x14ac:dyDescent="0.2">
      <c r="A1456" s="42">
        <v>34636</v>
      </c>
      <c r="B1456" s="43">
        <f>VLOOKUP(A1456,Database!F:H,3,)</f>
        <v>331000</v>
      </c>
      <c r="C1456" s="43">
        <f t="shared" si="44"/>
        <v>1000</v>
      </c>
      <c r="D1456" s="43">
        <f>VLOOKUP(A1456,Database!F:H,2,)</f>
        <v>2536000</v>
      </c>
      <c r="E1456" s="43">
        <f t="shared" si="45"/>
        <v>-20000</v>
      </c>
    </row>
    <row r="1457" spans="1:5" x14ac:dyDescent="0.2">
      <c r="A1457" s="42">
        <v>34643</v>
      </c>
      <c r="B1457" s="43">
        <f>VLOOKUP(A1457,Database!F:H,3,)</f>
        <v>328000</v>
      </c>
      <c r="C1457" s="43">
        <f t="shared" si="44"/>
        <v>-3000</v>
      </c>
      <c r="D1457" s="43">
        <f>VLOOKUP(A1457,Database!F:H,2,)</f>
        <v>2538000</v>
      </c>
      <c r="E1457" s="43">
        <f t="shared" si="45"/>
        <v>2000</v>
      </c>
    </row>
    <row r="1458" spans="1:5" x14ac:dyDescent="0.2">
      <c r="A1458" s="42">
        <v>34650</v>
      </c>
      <c r="B1458" s="43">
        <f>VLOOKUP(A1458,Database!F:H,3,)</f>
        <v>329000</v>
      </c>
      <c r="C1458" s="43">
        <f t="shared" si="44"/>
        <v>1000</v>
      </c>
      <c r="D1458" s="43">
        <f>VLOOKUP(A1458,Database!F:H,2,)</f>
        <v>2528000</v>
      </c>
      <c r="E1458" s="43">
        <f t="shared" si="45"/>
        <v>-10000</v>
      </c>
    </row>
    <row r="1459" spans="1:5" x14ac:dyDescent="0.2">
      <c r="A1459" s="42">
        <v>34657</v>
      </c>
      <c r="B1459" s="43">
        <f>VLOOKUP(A1459,Database!F:H,3,)</f>
        <v>326000</v>
      </c>
      <c r="C1459" s="43">
        <f t="shared" si="44"/>
        <v>-3000</v>
      </c>
      <c r="D1459" s="43">
        <f>VLOOKUP(A1459,Database!F:H,2,)</f>
        <v>2533000</v>
      </c>
      <c r="E1459" s="43">
        <f t="shared" si="45"/>
        <v>5000</v>
      </c>
    </row>
    <row r="1460" spans="1:5" x14ac:dyDescent="0.2">
      <c r="A1460" s="42">
        <v>34664</v>
      </c>
      <c r="B1460" s="43">
        <f>VLOOKUP(A1460,Database!F:H,3,)</f>
        <v>329000</v>
      </c>
      <c r="C1460" s="43">
        <f t="shared" si="44"/>
        <v>3000</v>
      </c>
      <c r="D1460" s="43">
        <f>VLOOKUP(A1460,Database!F:H,2,)</f>
        <v>2530000</v>
      </c>
      <c r="E1460" s="43">
        <f t="shared" si="45"/>
        <v>-3000</v>
      </c>
    </row>
    <row r="1461" spans="1:5" x14ac:dyDescent="0.2">
      <c r="A1461" s="42">
        <v>34671</v>
      </c>
      <c r="B1461" s="43">
        <f>VLOOKUP(A1461,Database!F:H,3,)</f>
        <v>324000</v>
      </c>
      <c r="C1461" s="43">
        <f t="shared" si="44"/>
        <v>-5000</v>
      </c>
      <c r="D1461" s="43">
        <f>VLOOKUP(A1461,Database!F:H,2,)</f>
        <v>2513000</v>
      </c>
      <c r="E1461" s="43">
        <f t="shared" si="45"/>
        <v>-17000</v>
      </c>
    </row>
    <row r="1462" spans="1:5" x14ac:dyDescent="0.2">
      <c r="A1462" s="42">
        <v>34678</v>
      </c>
      <c r="B1462" s="43">
        <f>VLOOKUP(A1462,Database!F:H,3,)</f>
        <v>329000</v>
      </c>
      <c r="C1462" s="43">
        <f t="shared" si="44"/>
        <v>5000</v>
      </c>
      <c r="D1462" s="43">
        <f>VLOOKUP(A1462,Database!F:H,2,)</f>
        <v>2508000</v>
      </c>
      <c r="E1462" s="43">
        <f t="shared" si="45"/>
        <v>-5000</v>
      </c>
    </row>
    <row r="1463" spans="1:5" x14ac:dyDescent="0.2">
      <c r="A1463" s="42">
        <v>34685</v>
      </c>
      <c r="B1463" s="43">
        <f>VLOOKUP(A1463,Database!F:H,3,)</f>
        <v>330000</v>
      </c>
      <c r="C1463" s="43">
        <f t="shared" si="44"/>
        <v>1000</v>
      </c>
      <c r="D1463" s="43">
        <f>VLOOKUP(A1463,Database!F:H,2,)</f>
        <v>2557000</v>
      </c>
      <c r="E1463" s="43">
        <f t="shared" si="45"/>
        <v>49000</v>
      </c>
    </row>
    <row r="1464" spans="1:5" x14ac:dyDescent="0.2">
      <c r="A1464" s="42">
        <v>34692</v>
      </c>
      <c r="B1464" s="43">
        <f>VLOOKUP(A1464,Database!F:H,3,)</f>
        <v>314000</v>
      </c>
      <c r="C1464" s="43">
        <f t="shared" si="44"/>
        <v>-16000</v>
      </c>
      <c r="D1464" s="43">
        <f>VLOOKUP(A1464,Database!F:H,2,)</f>
        <v>2567000</v>
      </c>
      <c r="E1464" s="43">
        <f t="shared" si="45"/>
        <v>10000</v>
      </c>
    </row>
    <row r="1465" spans="1:5" x14ac:dyDescent="0.2">
      <c r="A1465" s="42">
        <v>34699</v>
      </c>
      <c r="B1465" s="43">
        <f>VLOOKUP(A1465,Database!F:H,3,)</f>
        <v>319000</v>
      </c>
      <c r="C1465" s="43">
        <f t="shared" si="44"/>
        <v>5000</v>
      </c>
      <c r="D1465" s="43">
        <f>VLOOKUP(A1465,Database!F:H,2,)</f>
        <v>2499000</v>
      </c>
      <c r="E1465" s="43">
        <f t="shared" si="45"/>
        <v>-68000</v>
      </c>
    </row>
    <row r="1466" spans="1:5" x14ac:dyDescent="0.2">
      <c r="A1466" s="42">
        <v>34706</v>
      </c>
      <c r="B1466" s="43">
        <f>VLOOKUP(A1466,Database!F:H,3,)</f>
        <v>338000</v>
      </c>
      <c r="C1466" s="43">
        <f t="shared" si="44"/>
        <v>19000</v>
      </c>
      <c r="D1466" s="43">
        <f>VLOOKUP(A1466,Database!F:H,2,)</f>
        <v>2486000</v>
      </c>
      <c r="E1466" s="43">
        <f t="shared" si="45"/>
        <v>-13000</v>
      </c>
    </row>
    <row r="1467" spans="1:5" x14ac:dyDescent="0.2">
      <c r="A1467" s="42">
        <v>34713</v>
      </c>
      <c r="B1467" s="43">
        <f>VLOOKUP(A1467,Database!F:H,3,)</f>
        <v>347000</v>
      </c>
      <c r="C1467" s="43">
        <f t="shared" si="44"/>
        <v>9000</v>
      </c>
      <c r="D1467" s="43">
        <f>VLOOKUP(A1467,Database!F:H,2,)</f>
        <v>2559000</v>
      </c>
      <c r="E1467" s="43">
        <f t="shared" si="45"/>
        <v>73000</v>
      </c>
    </row>
    <row r="1468" spans="1:5" x14ac:dyDescent="0.2">
      <c r="A1468" s="42">
        <v>34720</v>
      </c>
      <c r="B1468" s="43">
        <f>VLOOKUP(A1468,Database!F:H,3,)</f>
        <v>325000</v>
      </c>
      <c r="C1468" s="43">
        <f t="shared" si="44"/>
        <v>-22000</v>
      </c>
      <c r="D1468" s="43">
        <f>VLOOKUP(A1468,Database!F:H,2,)</f>
        <v>2473000</v>
      </c>
      <c r="E1468" s="43">
        <f t="shared" si="45"/>
        <v>-86000</v>
      </c>
    </row>
    <row r="1469" spans="1:5" x14ac:dyDescent="0.2">
      <c r="A1469" s="42">
        <v>34727</v>
      </c>
      <c r="B1469" s="43">
        <f>VLOOKUP(A1469,Database!F:H,3,)</f>
        <v>324000</v>
      </c>
      <c r="C1469" s="43">
        <f t="shared" si="44"/>
        <v>-1000</v>
      </c>
      <c r="D1469" s="43">
        <f>VLOOKUP(A1469,Database!F:H,2,)</f>
        <v>2532000</v>
      </c>
      <c r="E1469" s="43">
        <f t="shared" si="45"/>
        <v>59000</v>
      </c>
    </row>
    <row r="1470" spans="1:5" x14ac:dyDescent="0.2">
      <c r="A1470" s="42">
        <v>34734</v>
      </c>
      <c r="B1470" s="43">
        <f>VLOOKUP(A1470,Database!F:H,3,)</f>
        <v>324000</v>
      </c>
      <c r="C1470" s="43">
        <f t="shared" si="44"/>
        <v>0</v>
      </c>
      <c r="D1470" s="43">
        <f>VLOOKUP(A1470,Database!F:H,2,)</f>
        <v>2501000</v>
      </c>
      <c r="E1470" s="43">
        <f t="shared" si="45"/>
        <v>-31000</v>
      </c>
    </row>
    <row r="1471" spans="1:5" x14ac:dyDescent="0.2">
      <c r="A1471" s="42">
        <v>34741</v>
      </c>
      <c r="B1471" s="43">
        <f>VLOOKUP(A1471,Database!F:H,3,)</f>
        <v>348000</v>
      </c>
      <c r="C1471" s="43">
        <f t="shared" si="44"/>
        <v>24000</v>
      </c>
      <c r="D1471" s="43">
        <f>VLOOKUP(A1471,Database!F:H,2,)</f>
        <v>2515000</v>
      </c>
      <c r="E1471" s="43">
        <f t="shared" si="45"/>
        <v>14000</v>
      </c>
    </row>
    <row r="1472" spans="1:5" x14ac:dyDescent="0.2">
      <c r="A1472" s="42">
        <v>34748</v>
      </c>
      <c r="B1472" s="43">
        <f>VLOOKUP(A1472,Database!F:H,3,)</f>
        <v>343000</v>
      </c>
      <c r="C1472" s="43">
        <f t="shared" si="44"/>
        <v>-5000</v>
      </c>
      <c r="D1472" s="43">
        <f>VLOOKUP(A1472,Database!F:H,2,)</f>
        <v>2541000</v>
      </c>
      <c r="E1472" s="43">
        <f t="shared" si="45"/>
        <v>26000</v>
      </c>
    </row>
    <row r="1473" spans="1:5" x14ac:dyDescent="0.2">
      <c r="A1473" s="42">
        <v>34755</v>
      </c>
      <c r="B1473" s="43">
        <f>VLOOKUP(A1473,Database!F:H,3,)</f>
        <v>336000</v>
      </c>
      <c r="C1473" s="43">
        <f t="shared" si="44"/>
        <v>-7000</v>
      </c>
      <c r="D1473" s="43">
        <f>VLOOKUP(A1473,Database!F:H,2,)</f>
        <v>2533000</v>
      </c>
      <c r="E1473" s="43">
        <f t="shared" si="45"/>
        <v>-8000</v>
      </c>
    </row>
    <row r="1474" spans="1:5" x14ac:dyDescent="0.2">
      <c r="A1474" s="42">
        <v>34762</v>
      </c>
      <c r="B1474" s="43">
        <f>VLOOKUP(A1474,Database!F:H,3,)</f>
        <v>339000</v>
      </c>
      <c r="C1474" s="43">
        <f t="shared" si="44"/>
        <v>3000</v>
      </c>
      <c r="D1474" s="43">
        <f>VLOOKUP(A1474,Database!F:H,2,)</f>
        <v>2518000</v>
      </c>
      <c r="E1474" s="43">
        <f t="shared" si="45"/>
        <v>-15000</v>
      </c>
    </row>
    <row r="1475" spans="1:5" x14ac:dyDescent="0.2">
      <c r="A1475" s="42">
        <v>34769</v>
      </c>
      <c r="B1475" s="43">
        <f>VLOOKUP(A1475,Database!F:H,3,)</f>
        <v>347000</v>
      </c>
      <c r="C1475" s="43">
        <f t="shared" si="44"/>
        <v>8000</v>
      </c>
      <c r="D1475" s="43">
        <f>VLOOKUP(A1475,Database!F:H,2,)</f>
        <v>2564000</v>
      </c>
      <c r="E1475" s="43">
        <f t="shared" si="45"/>
        <v>46000</v>
      </c>
    </row>
    <row r="1476" spans="1:5" x14ac:dyDescent="0.2">
      <c r="A1476" s="42">
        <v>34776</v>
      </c>
      <c r="B1476" s="43">
        <f>VLOOKUP(A1476,Database!F:H,3,)</f>
        <v>343000</v>
      </c>
      <c r="C1476" s="43">
        <f t="shared" si="44"/>
        <v>-4000</v>
      </c>
      <c r="D1476" s="43">
        <f>VLOOKUP(A1476,Database!F:H,2,)</f>
        <v>2513000</v>
      </c>
      <c r="E1476" s="43">
        <f t="shared" si="45"/>
        <v>-51000</v>
      </c>
    </row>
    <row r="1477" spans="1:5" x14ac:dyDescent="0.2">
      <c r="A1477" s="42">
        <v>34783</v>
      </c>
      <c r="B1477" s="43">
        <f>VLOOKUP(A1477,Database!F:H,3,)</f>
        <v>332000</v>
      </c>
      <c r="C1477" s="43">
        <f t="shared" si="44"/>
        <v>-11000</v>
      </c>
      <c r="D1477" s="43">
        <f>VLOOKUP(A1477,Database!F:H,2,)</f>
        <v>2530000</v>
      </c>
      <c r="E1477" s="43">
        <f t="shared" si="45"/>
        <v>17000</v>
      </c>
    </row>
    <row r="1478" spans="1:5" x14ac:dyDescent="0.2">
      <c r="A1478" s="42">
        <v>34790</v>
      </c>
      <c r="B1478" s="43">
        <f>VLOOKUP(A1478,Database!F:H,3,)</f>
        <v>335000</v>
      </c>
      <c r="C1478" s="43">
        <f t="shared" si="44"/>
        <v>3000</v>
      </c>
      <c r="D1478" s="43">
        <f>VLOOKUP(A1478,Database!F:H,2,)</f>
        <v>2484000</v>
      </c>
      <c r="E1478" s="43">
        <f t="shared" si="45"/>
        <v>-46000</v>
      </c>
    </row>
    <row r="1479" spans="1:5" x14ac:dyDescent="0.2">
      <c r="A1479" s="42">
        <v>34797</v>
      </c>
      <c r="B1479" s="43">
        <f>VLOOKUP(A1479,Database!F:H,3,)</f>
        <v>347000</v>
      </c>
      <c r="C1479" s="43">
        <f t="shared" si="44"/>
        <v>12000</v>
      </c>
      <c r="D1479" s="43">
        <f>VLOOKUP(A1479,Database!F:H,2,)</f>
        <v>2500000</v>
      </c>
      <c r="E1479" s="43">
        <f t="shared" si="45"/>
        <v>16000</v>
      </c>
    </row>
    <row r="1480" spans="1:5" x14ac:dyDescent="0.2">
      <c r="A1480" s="42">
        <v>34804</v>
      </c>
      <c r="B1480" s="43">
        <f>VLOOKUP(A1480,Database!F:H,3,)</f>
        <v>355000</v>
      </c>
      <c r="C1480" s="43">
        <f t="shared" ref="C1480:C1543" si="46">B1480-B1479</f>
        <v>8000</v>
      </c>
      <c r="D1480" s="43">
        <f>VLOOKUP(A1480,Database!F:H,2,)</f>
        <v>2505000</v>
      </c>
      <c r="E1480" s="43">
        <f t="shared" ref="E1480:E1543" si="47">D1480-D1479</f>
        <v>5000</v>
      </c>
    </row>
    <row r="1481" spans="1:5" x14ac:dyDescent="0.2">
      <c r="A1481" s="42">
        <v>34811</v>
      </c>
      <c r="B1481" s="43">
        <f>VLOOKUP(A1481,Database!F:H,3,)</f>
        <v>349000</v>
      </c>
      <c r="C1481" s="43">
        <f t="shared" si="46"/>
        <v>-6000</v>
      </c>
      <c r="D1481" s="43">
        <f>VLOOKUP(A1481,Database!F:H,2,)</f>
        <v>2569000</v>
      </c>
      <c r="E1481" s="43">
        <f t="shared" si="47"/>
        <v>64000</v>
      </c>
    </row>
    <row r="1482" spans="1:5" x14ac:dyDescent="0.2">
      <c r="A1482" s="42">
        <v>34818</v>
      </c>
      <c r="B1482" s="43">
        <f>VLOOKUP(A1482,Database!F:H,3,)</f>
        <v>365000</v>
      </c>
      <c r="C1482" s="43">
        <f t="shared" si="46"/>
        <v>16000</v>
      </c>
      <c r="D1482" s="43">
        <f>VLOOKUP(A1482,Database!F:H,2,)</f>
        <v>2539000</v>
      </c>
      <c r="E1482" s="43">
        <f t="shared" si="47"/>
        <v>-30000</v>
      </c>
    </row>
    <row r="1483" spans="1:5" x14ac:dyDescent="0.2">
      <c r="A1483" s="42">
        <v>34825</v>
      </c>
      <c r="B1483" s="43">
        <f>VLOOKUP(A1483,Database!F:H,3,)</f>
        <v>364000</v>
      </c>
      <c r="C1483" s="43">
        <f t="shared" si="46"/>
        <v>-1000</v>
      </c>
      <c r="D1483" s="43">
        <f>VLOOKUP(A1483,Database!F:H,2,)</f>
        <v>2535000</v>
      </c>
      <c r="E1483" s="43">
        <f t="shared" si="47"/>
        <v>-4000</v>
      </c>
    </row>
    <row r="1484" spans="1:5" x14ac:dyDescent="0.2">
      <c r="A1484" s="42">
        <v>34832</v>
      </c>
      <c r="B1484" s="43">
        <f>VLOOKUP(A1484,Database!F:H,3,)</f>
        <v>366000</v>
      </c>
      <c r="C1484" s="43">
        <f t="shared" si="46"/>
        <v>2000</v>
      </c>
      <c r="D1484" s="43">
        <f>VLOOKUP(A1484,Database!F:H,2,)</f>
        <v>2567000</v>
      </c>
      <c r="E1484" s="43">
        <f t="shared" si="47"/>
        <v>32000</v>
      </c>
    </row>
    <row r="1485" spans="1:5" x14ac:dyDescent="0.2">
      <c r="A1485" s="42">
        <v>34839</v>
      </c>
      <c r="B1485" s="43">
        <f>VLOOKUP(A1485,Database!F:H,3,)</f>
        <v>377000</v>
      </c>
      <c r="C1485" s="43">
        <f t="shared" si="46"/>
        <v>11000</v>
      </c>
      <c r="D1485" s="43">
        <f>VLOOKUP(A1485,Database!F:H,2,)</f>
        <v>2616000</v>
      </c>
      <c r="E1485" s="43">
        <f t="shared" si="47"/>
        <v>49000</v>
      </c>
    </row>
    <row r="1486" spans="1:5" x14ac:dyDescent="0.2">
      <c r="A1486" s="42">
        <v>34846</v>
      </c>
      <c r="B1486" s="43">
        <f>VLOOKUP(A1486,Database!F:H,3,)</f>
        <v>374000</v>
      </c>
      <c r="C1486" s="43">
        <f t="shared" si="46"/>
        <v>-3000</v>
      </c>
      <c r="D1486" s="43">
        <f>VLOOKUP(A1486,Database!F:H,2,)</f>
        <v>2574000</v>
      </c>
      <c r="E1486" s="43">
        <f t="shared" si="47"/>
        <v>-42000</v>
      </c>
    </row>
    <row r="1487" spans="1:5" x14ac:dyDescent="0.2">
      <c r="A1487" s="42">
        <v>34853</v>
      </c>
      <c r="B1487" s="43">
        <f>VLOOKUP(A1487,Database!F:H,3,)</f>
        <v>362000</v>
      </c>
      <c r="C1487" s="43">
        <f t="shared" si="46"/>
        <v>-12000</v>
      </c>
      <c r="D1487" s="43">
        <f>VLOOKUP(A1487,Database!F:H,2,)</f>
        <v>2608000</v>
      </c>
      <c r="E1487" s="43">
        <f t="shared" si="47"/>
        <v>34000</v>
      </c>
    </row>
    <row r="1488" spans="1:5" x14ac:dyDescent="0.2">
      <c r="A1488" s="42">
        <v>34860</v>
      </c>
      <c r="B1488" s="43">
        <f>VLOOKUP(A1488,Database!F:H,3,)</f>
        <v>367000</v>
      </c>
      <c r="C1488" s="43">
        <f t="shared" si="46"/>
        <v>5000</v>
      </c>
      <c r="D1488" s="43">
        <f>VLOOKUP(A1488,Database!F:H,2,)</f>
        <v>2614000</v>
      </c>
      <c r="E1488" s="43">
        <f t="shared" si="47"/>
        <v>6000</v>
      </c>
    </row>
    <row r="1489" spans="1:5" x14ac:dyDescent="0.2">
      <c r="A1489" s="42">
        <v>34867</v>
      </c>
      <c r="B1489" s="43">
        <f>VLOOKUP(A1489,Database!F:H,3,)</f>
        <v>378000</v>
      </c>
      <c r="C1489" s="43">
        <f t="shared" si="46"/>
        <v>11000</v>
      </c>
      <c r="D1489" s="43">
        <f>VLOOKUP(A1489,Database!F:H,2,)</f>
        <v>2603000</v>
      </c>
      <c r="E1489" s="43">
        <f t="shared" si="47"/>
        <v>-11000</v>
      </c>
    </row>
    <row r="1490" spans="1:5" x14ac:dyDescent="0.2">
      <c r="A1490" s="42">
        <v>34874</v>
      </c>
      <c r="B1490" s="43">
        <f>VLOOKUP(A1490,Database!F:H,3,)</f>
        <v>358000</v>
      </c>
      <c r="C1490" s="43">
        <f t="shared" si="46"/>
        <v>-20000</v>
      </c>
      <c r="D1490" s="43">
        <f>VLOOKUP(A1490,Database!F:H,2,)</f>
        <v>2602000</v>
      </c>
      <c r="E1490" s="43">
        <f t="shared" si="47"/>
        <v>-1000</v>
      </c>
    </row>
    <row r="1491" spans="1:5" x14ac:dyDescent="0.2">
      <c r="A1491" s="42">
        <v>34881</v>
      </c>
      <c r="B1491" s="43">
        <f>VLOOKUP(A1491,Database!F:H,3,)</f>
        <v>355000</v>
      </c>
      <c r="C1491" s="43">
        <f t="shared" si="46"/>
        <v>-3000</v>
      </c>
      <c r="D1491" s="43">
        <f>VLOOKUP(A1491,Database!F:H,2,)</f>
        <v>2596000</v>
      </c>
      <c r="E1491" s="43">
        <f t="shared" si="47"/>
        <v>-6000</v>
      </c>
    </row>
    <row r="1492" spans="1:5" x14ac:dyDescent="0.2">
      <c r="A1492" s="42">
        <v>34888</v>
      </c>
      <c r="B1492" s="43">
        <f>VLOOKUP(A1492,Database!F:H,3,)</f>
        <v>372000</v>
      </c>
      <c r="C1492" s="43">
        <f t="shared" si="46"/>
        <v>17000</v>
      </c>
      <c r="D1492" s="43">
        <f>VLOOKUP(A1492,Database!F:H,2,)</f>
        <v>2651000</v>
      </c>
      <c r="E1492" s="43">
        <f t="shared" si="47"/>
        <v>55000</v>
      </c>
    </row>
    <row r="1493" spans="1:5" x14ac:dyDescent="0.2">
      <c r="A1493" s="42">
        <v>34895</v>
      </c>
      <c r="B1493" s="43">
        <f>VLOOKUP(A1493,Database!F:H,3,)</f>
        <v>389000</v>
      </c>
      <c r="C1493" s="43">
        <f t="shared" si="46"/>
        <v>17000</v>
      </c>
      <c r="D1493" s="43">
        <f>VLOOKUP(A1493,Database!F:H,2,)</f>
        <v>2677000</v>
      </c>
      <c r="E1493" s="43">
        <f t="shared" si="47"/>
        <v>26000</v>
      </c>
    </row>
    <row r="1494" spans="1:5" x14ac:dyDescent="0.2">
      <c r="A1494" s="42">
        <v>34902</v>
      </c>
      <c r="B1494" s="43">
        <f>VLOOKUP(A1494,Database!F:H,3,)</f>
        <v>390000</v>
      </c>
      <c r="C1494" s="43">
        <f t="shared" si="46"/>
        <v>1000</v>
      </c>
      <c r="D1494" s="43">
        <f>VLOOKUP(A1494,Database!F:H,2,)</f>
        <v>2605000</v>
      </c>
      <c r="E1494" s="43">
        <f t="shared" si="47"/>
        <v>-72000</v>
      </c>
    </row>
    <row r="1495" spans="1:5" x14ac:dyDescent="0.2">
      <c r="A1495" s="42">
        <v>34909</v>
      </c>
      <c r="B1495" s="43">
        <f>VLOOKUP(A1495,Database!F:H,3,)</f>
        <v>351000</v>
      </c>
      <c r="C1495" s="43">
        <f t="shared" si="46"/>
        <v>-39000</v>
      </c>
      <c r="D1495" s="43">
        <f>VLOOKUP(A1495,Database!F:H,2,)</f>
        <v>2585000</v>
      </c>
      <c r="E1495" s="43">
        <f t="shared" si="47"/>
        <v>-20000</v>
      </c>
    </row>
    <row r="1496" spans="1:5" x14ac:dyDescent="0.2">
      <c r="A1496" s="42">
        <v>34916</v>
      </c>
      <c r="B1496" s="43">
        <f>VLOOKUP(A1496,Database!F:H,3,)</f>
        <v>351000</v>
      </c>
      <c r="C1496" s="43">
        <f t="shared" si="46"/>
        <v>0</v>
      </c>
      <c r="D1496" s="43">
        <f>VLOOKUP(A1496,Database!F:H,2,)</f>
        <v>2592000</v>
      </c>
      <c r="E1496" s="43">
        <f t="shared" si="47"/>
        <v>7000</v>
      </c>
    </row>
    <row r="1497" spans="1:5" x14ac:dyDescent="0.2">
      <c r="A1497" s="42">
        <v>34923</v>
      </c>
      <c r="B1497" s="43">
        <f>VLOOKUP(A1497,Database!F:H,3,)</f>
        <v>353000</v>
      </c>
      <c r="C1497" s="43">
        <f t="shared" si="46"/>
        <v>2000</v>
      </c>
      <c r="D1497" s="43">
        <f>VLOOKUP(A1497,Database!F:H,2,)</f>
        <v>2612000</v>
      </c>
      <c r="E1497" s="43">
        <f t="shared" si="47"/>
        <v>20000</v>
      </c>
    </row>
    <row r="1498" spans="1:5" x14ac:dyDescent="0.2">
      <c r="A1498" s="42">
        <v>34930</v>
      </c>
      <c r="B1498" s="43">
        <f>VLOOKUP(A1498,Database!F:H,3,)</f>
        <v>362000</v>
      </c>
      <c r="C1498" s="43">
        <f t="shared" si="46"/>
        <v>9000</v>
      </c>
      <c r="D1498" s="43">
        <f>VLOOKUP(A1498,Database!F:H,2,)</f>
        <v>2615000</v>
      </c>
      <c r="E1498" s="43">
        <f t="shared" si="47"/>
        <v>3000</v>
      </c>
    </row>
    <row r="1499" spans="1:5" x14ac:dyDescent="0.2">
      <c r="A1499" s="42">
        <v>34937</v>
      </c>
      <c r="B1499" s="43">
        <f>VLOOKUP(A1499,Database!F:H,3,)</f>
        <v>359000</v>
      </c>
      <c r="C1499" s="43">
        <f t="shared" si="46"/>
        <v>-3000</v>
      </c>
      <c r="D1499" s="43">
        <f>VLOOKUP(A1499,Database!F:H,2,)</f>
        <v>2610000</v>
      </c>
      <c r="E1499" s="43">
        <f t="shared" si="47"/>
        <v>-5000</v>
      </c>
    </row>
    <row r="1500" spans="1:5" x14ac:dyDescent="0.2">
      <c r="A1500" s="42">
        <v>34944</v>
      </c>
      <c r="B1500" s="43">
        <f>VLOOKUP(A1500,Database!F:H,3,)</f>
        <v>355000</v>
      </c>
      <c r="C1500" s="43">
        <f t="shared" si="46"/>
        <v>-4000</v>
      </c>
      <c r="D1500" s="43">
        <f>VLOOKUP(A1500,Database!F:H,2,)</f>
        <v>2613000</v>
      </c>
      <c r="E1500" s="43">
        <f t="shared" si="47"/>
        <v>3000</v>
      </c>
    </row>
    <row r="1501" spans="1:5" x14ac:dyDescent="0.2">
      <c r="A1501" s="42">
        <v>34951</v>
      </c>
      <c r="B1501" s="43">
        <f>VLOOKUP(A1501,Database!F:H,3,)</f>
        <v>371000</v>
      </c>
      <c r="C1501" s="43">
        <f t="shared" si="46"/>
        <v>16000</v>
      </c>
      <c r="D1501" s="43">
        <f>VLOOKUP(A1501,Database!F:H,2,)</f>
        <v>2636000</v>
      </c>
      <c r="E1501" s="43">
        <f t="shared" si="47"/>
        <v>23000</v>
      </c>
    </row>
    <row r="1502" spans="1:5" x14ac:dyDescent="0.2">
      <c r="A1502" s="42">
        <v>34958</v>
      </c>
      <c r="B1502" s="43">
        <f>VLOOKUP(A1502,Database!F:H,3,)</f>
        <v>376000</v>
      </c>
      <c r="C1502" s="43">
        <f t="shared" si="46"/>
        <v>5000</v>
      </c>
      <c r="D1502" s="43">
        <f>VLOOKUP(A1502,Database!F:H,2,)</f>
        <v>2650000</v>
      </c>
      <c r="E1502" s="43">
        <f t="shared" si="47"/>
        <v>14000</v>
      </c>
    </row>
    <row r="1503" spans="1:5" x14ac:dyDescent="0.2">
      <c r="A1503" s="42">
        <v>34965</v>
      </c>
      <c r="B1503" s="43">
        <f>VLOOKUP(A1503,Database!F:H,3,)</f>
        <v>353000</v>
      </c>
      <c r="C1503" s="43">
        <f t="shared" si="46"/>
        <v>-23000</v>
      </c>
      <c r="D1503" s="43">
        <f>VLOOKUP(A1503,Database!F:H,2,)</f>
        <v>2626000</v>
      </c>
      <c r="E1503" s="43">
        <f t="shared" si="47"/>
        <v>-24000</v>
      </c>
    </row>
    <row r="1504" spans="1:5" x14ac:dyDescent="0.2">
      <c r="A1504" s="42">
        <v>34972</v>
      </c>
      <c r="B1504" s="43">
        <f>VLOOKUP(A1504,Database!F:H,3,)</f>
        <v>355000</v>
      </c>
      <c r="C1504" s="43">
        <f t="shared" si="46"/>
        <v>2000</v>
      </c>
      <c r="D1504" s="43">
        <f>VLOOKUP(A1504,Database!F:H,2,)</f>
        <v>2609000</v>
      </c>
      <c r="E1504" s="43">
        <f t="shared" si="47"/>
        <v>-17000</v>
      </c>
    </row>
    <row r="1505" spans="1:5" x14ac:dyDescent="0.2">
      <c r="A1505" s="42">
        <v>34979</v>
      </c>
      <c r="B1505" s="43">
        <f>VLOOKUP(A1505,Database!F:H,3,)</f>
        <v>374000</v>
      </c>
      <c r="C1505" s="43">
        <f t="shared" si="46"/>
        <v>19000</v>
      </c>
      <c r="D1505" s="43">
        <f>VLOOKUP(A1505,Database!F:H,2,)</f>
        <v>2651000</v>
      </c>
      <c r="E1505" s="43">
        <f t="shared" si="47"/>
        <v>42000</v>
      </c>
    </row>
    <row r="1506" spans="1:5" x14ac:dyDescent="0.2">
      <c r="A1506" s="42">
        <v>34986</v>
      </c>
      <c r="B1506" s="43">
        <f>VLOOKUP(A1506,Database!F:H,3,)</f>
        <v>369000</v>
      </c>
      <c r="C1506" s="43">
        <f t="shared" si="46"/>
        <v>-5000</v>
      </c>
      <c r="D1506" s="43">
        <f>VLOOKUP(A1506,Database!F:H,2,)</f>
        <v>2688000</v>
      </c>
      <c r="E1506" s="43">
        <f t="shared" si="47"/>
        <v>37000</v>
      </c>
    </row>
    <row r="1507" spans="1:5" x14ac:dyDescent="0.2">
      <c r="A1507" s="42">
        <v>34993</v>
      </c>
      <c r="B1507" s="43">
        <f>VLOOKUP(A1507,Database!F:H,3,)</f>
        <v>366000</v>
      </c>
      <c r="C1507" s="43">
        <f t="shared" si="46"/>
        <v>-3000</v>
      </c>
      <c r="D1507" s="43">
        <f>VLOOKUP(A1507,Database!F:H,2,)</f>
        <v>2640000</v>
      </c>
      <c r="E1507" s="43">
        <f t="shared" si="47"/>
        <v>-48000</v>
      </c>
    </row>
    <row r="1508" spans="1:5" x14ac:dyDescent="0.2">
      <c r="A1508" s="42">
        <v>35000</v>
      </c>
      <c r="B1508" s="43">
        <f>VLOOKUP(A1508,Database!F:H,3,)</f>
        <v>377000</v>
      </c>
      <c r="C1508" s="43">
        <f t="shared" si="46"/>
        <v>11000</v>
      </c>
      <c r="D1508" s="43">
        <f>VLOOKUP(A1508,Database!F:H,2,)</f>
        <v>2674000</v>
      </c>
      <c r="E1508" s="43">
        <f t="shared" si="47"/>
        <v>34000</v>
      </c>
    </row>
    <row r="1509" spans="1:5" x14ac:dyDescent="0.2">
      <c r="A1509" s="42">
        <v>35007</v>
      </c>
      <c r="B1509" s="43">
        <f>VLOOKUP(A1509,Database!F:H,3,)</f>
        <v>380000</v>
      </c>
      <c r="C1509" s="43">
        <f t="shared" si="46"/>
        <v>3000</v>
      </c>
      <c r="D1509" s="43">
        <f>VLOOKUP(A1509,Database!F:H,2,)</f>
        <v>2649000</v>
      </c>
      <c r="E1509" s="43">
        <f t="shared" si="47"/>
        <v>-25000</v>
      </c>
    </row>
    <row r="1510" spans="1:5" x14ac:dyDescent="0.2">
      <c r="A1510" s="42">
        <v>35014</v>
      </c>
      <c r="B1510" s="43">
        <f>VLOOKUP(A1510,Database!F:H,3,)</f>
        <v>370000</v>
      </c>
      <c r="C1510" s="43">
        <f t="shared" si="46"/>
        <v>-10000</v>
      </c>
      <c r="D1510" s="43">
        <f>VLOOKUP(A1510,Database!F:H,2,)</f>
        <v>2674000</v>
      </c>
      <c r="E1510" s="43">
        <f t="shared" si="47"/>
        <v>25000</v>
      </c>
    </row>
    <row r="1511" spans="1:5" x14ac:dyDescent="0.2">
      <c r="A1511" s="42">
        <v>35021</v>
      </c>
      <c r="B1511" s="43">
        <f>VLOOKUP(A1511,Database!F:H,3,)</f>
        <v>379000</v>
      </c>
      <c r="C1511" s="43">
        <f t="shared" si="46"/>
        <v>9000</v>
      </c>
      <c r="D1511" s="43">
        <f>VLOOKUP(A1511,Database!F:H,2,)</f>
        <v>2653000</v>
      </c>
      <c r="E1511" s="43">
        <f t="shared" si="47"/>
        <v>-21000</v>
      </c>
    </row>
    <row r="1512" spans="1:5" x14ac:dyDescent="0.2">
      <c r="A1512" s="42">
        <v>35028</v>
      </c>
      <c r="B1512" s="43">
        <f>VLOOKUP(A1512,Database!F:H,3,)</f>
        <v>379000</v>
      </c>
      <c r="C1512" s="43">
        <f t="shared" si="46"/>
        <v>0</v>
      </c>
      <c r="D1512" s="43">
        <f>VLOOKUP(A1512,Database!F:H,2,)</f>
        <v>2712000</v>
      </c>
      <c r="E1512" s="43">
        <f t="shared" si="47"/>
        <v>59000</v>
      </c>
    </row>
    <row r="1513" spans="1:5" x14ac:dyDescent="0.2">
      <c r="A1513" s="42">
        <v>35035</v>
      </c>
      <c r="B1513" s="43">
        <f>VLOOKUP(A1513,Database!F:H,3,)</f>
        <v>373000</v>
      </c>
      <c r="C1513" s="43">
        <f t="shared" si="46"/>
        <v>-6000</v>
      </c>
      <c r="D1513" s="43">
        <f>VLOOKUP(A1513,Database!F:H,2,)</f>
        <v>2623000</v>
      </c>
      <c r="E1513" s="43">
        <f t="shared" si="47"/>
        <v>-89000</v>
      </c>
    </row>
    <row r="1514" spans="1:5" x14ac:dyDescent="0.2">
      <c r="A1514" s="42">
        <v>35042</v>
      </c>
      <c r="B1514" s="43">
        <f>VLOOKUP(A1514,Database!F:H,3,)</f>
        <v>346000</v>
      </c>
      <c r="C1514" s="43">
        <f t="shared" si="46"/>
        <v>-27000</v>
      </c>
      <c r="D1514" s="43">
        <f>VLOOKUP(A1514,Database!F:H,2,)</f>
        <v>2629000</v>
      </c>
      <c r="E1514" s="43">
        <f t="shared" si="47"/>
        <v>6000</v>
      </c>
    </row>
    <row r="1515" spans="1:5" x14ac:dyDescent="0.2">
      <c r="A1515" s="42">
        <v>35049</v>
      </c>
      <c r="B1515" s="43">
        <f>VLOOKUP(A1515,Database!F:H,3,)</f>
        <v>373000</v>
      </c>
      <c r="C1515" s="43">
        <f t="shared" si="46"/>
        <v>27000</v>
      </c>
      <c r="D1515" s="43">
        <f>VLOOKUP(A1515,Database!F:H,2,)</f>
        <v>2631000</v>
      </c>
      <c r="E1515" s="43">
        <f t="shared" si="47"/>
        <v>2000</v>
      </c>
    </row>
    <row r="1516" spans="1:5" x14ac:dyDescent="0.2">
      <c r="A1516" s="42">
        <v>35056</v>
      </c>
      <c r="B1516" s="43">
        <f>VLOOKUP(A1516,Database!F:H,3,)</f>
        <v>374000</v>
      </c>
      <c r="C1516" s="43">
        <f t="shared" si="46"/>
        <v>1000</v>
      </c>
      <c r="D1516" s="43">
        <f>VLOOKUP(A1516,Database!F:H,2,)</f>
        <v>2622000</v>
      </c>
      <c r="E1516" s="43">
        <f t="shared" si="47"/>
        <v>-9000</v>
      </c>
    </row>
    <row r="1517" spans="1:5" x14ac:dyDescent="0.2">
      <c r="A1517" s="42">
        <v>35063</v>
      </c>
      <c r="B1517" s="43">
        <f>VLOOKUP(A1517,Database!F:H,3,)</f>
        <v>359000</v>
      </c>
      <c r="C1517" s="43">
        <f t="shared" si="46"/>
        <v>-15000</v>
      </c>
      <c r="D1517" s="43">
        <f>VLOOKUP(A1517,Database!F:H,2,)</f>
        <v>2558000</v>
      </c>
      <c r="E1517" s="43">
        <f t="shared" si="47"/>
        <v>-64000</v>
      </c>
    </row>
    <row r="1518" spans="1:5" x14ac:dyDescent="0.2">
      <c r="A1518" s="42">
        <v>35070</v>
      </c>
      <c r="B1518" s="43">
        <f>VLOOKUP(A1518,Database!F:H,3,)</f>
        <v>361000</v>
      </c>
      <c r="C1518" s="43">
        <f t="shared" si="46"/>
        <v>2000</v>
      </c>
      <c r="D1518" s="43">
        <f>VLOOKUP(A1518,Database!F:H,2,)</f>
        <v>2549000</v>
      </c>
      <c r="E1518" s="43">
        <f t="shared" si="47"/>
        <v>-9000</v>
      </c>
    </row>
    <row r="1519" spans="1:5" x14ac:dyDescent="0.2">
      <c r="A1519" s="42">
        <v>35077</v>
      </c>
      <c r="B1519" s="43">
        <f>VLOOKUP(A1519,Database!F:H,3,)</f>
        <v>333000</v>
      </c>
      <c r="C1519" s="43">
        <f t="shared" si="46"/>
        <v>-28000</v>
      </c>
      <c r="D1519" s="43">
        <f>VLOOKUP(A1519,Database!F:H,2,)</f>
        <v>2702000</v>
      </c>
      <c r="E1519" s="43">
        <f t="shared" si="47"/>
        <v>153000</v>
      </c>
    </row>
    <row r="1520" spans="1:5" x14ac:dyDescent="0.2">
      <c r="A1520" s="42">
        <v>35084</v>
      </c>
      <c r="B1520" s="43">
        <f>VLOOKUP(A1520,Database!F:H,3,)</f>
        <v>415000</v>
      </c>
      <c r="C1520" s="43">
        <f t="shared" si="46"/>
        <v>82000</v>
      </c>
      <c r="D1520" s="43">
        <f>VLOOKUP(A1520,Database!F:H,2,)</f>
        <v>2707000</v>
      </c>
      <c r="E1520" s="43">
        <f t="shared" si="47"/>
        <v>5000</v>
      </c>
    </row>
    <row r="1521" spans="1:5" x14ac:dyDescent="0.2">
      <c r="A1521" s="42">
        <v>35091</v>
      </c>
      <c r="B1521" s="43">
        <f>VLOOKUP(A1521,Database!F:H,3,)</f>
        <v>387000</v>
      </c>
      <c r="C1521" s="43">
        <f t="shared" si="46"/>
        <v>-28000</v>
      </c>
      <c r="D1521" s="43">
        <f>VLOOKUP(A1521,Database!F:H,2,)</f>
        <v>2637000</v>
      </c>
      <c r="E1521" s="43">
        <f t="shared" si="47"/>
        <v>-70000</v>
      </c>
    </row>
    <row r="1522" spans="1:5" x14ac:dyDescent="0.2">
      <c r="A1522" s="42">
        <v>35098</v>
      </c>
      <c r="B1522" s="43">
        <f>VLOOKUP(A1522,Database!F:H,3,)</f>
        <v>374000</v>
      </c>
      <c r="C1522" s="43">
        <f t="shared" si="46"/>
        <v>-13000</v>
      </c>
      <c r="D1522" s="43">
        <f>VLOOKUP(A1522,Database!F:H,2,)</f>
        <v>2750000</v>
      </c>
      <c r="E1522" s="43">
        <f t="shared" si="47"/>
        <v>113000</v>
      </c>
    </row>
    <row r="1523" spans="1:5" x14ac:dyDescent="0.2">
      <c r="A1523" s="42">
        <v>35105</v>
      </c>
      <c r="B1523" s="43">
        <f>VLOOKUP(A1523,Database!F:H,3,)</f>
        <v>387000</v>
      </c>
      <c r="C1523" s="43">
        <f t="shared" si="46"/>
        <v>13000</v>
      </c>
      <c r="D1523" s="43">
        <f>VLOOKUP(A1523,Database!F:H,2,)</f>
        <v>2672000</v>
      </c>
      <c r="E1523" s="43">
        <f t="shared" si="47"/>
        <v>-78000</v>
      </c>
    </row>
    <row r="1524" spans="1:5" x14ac:dyDescent="0.2">
      <c r="A1524" s="42">
        <v>35112</v>
      </c>
      <c r="B1524" s="43">
        <f>VLOOKUP(A1524,Database!F:H,3,)</f>
        <v>383000</v>
      </c>
      <c r="C1524" s="43">
        <f t="shared" si="46"/>
        <v>-4000</v>
      </c>
      <c r="D1524" s="43">
        <f>VLOOKUP(A1524,Database!F:H,2,)</f>
        <v>2694000</v>
      </c>
      <c r="E1524" s="43">
        <f t="shared" si="47"/>
        <v>22000</v>
      </c>
    </row>
    <row r="1525" spans="1:5" x14ac:dyDescent="0.2">
      <c r="A1525" s="42">
        <v>35119</v>
      </c>
      <c r="B1525" s="43">
        <f>VLOOKUP(A1525,Database!F:H,3,)</f>
        <v>365000</v>
      </c>
      <c r="C1525" s="43">
        <f t="shared" si="46"/>
        <v>-18000</v>
      </c>
      <c r="D1525" s="43">
        <f>VLOOKUP(A1525,Database!F:H,2,)</f>
        <v>2655000</v>
      </c>
      <c r="E1525" s="43">
        <f t="shared" si="47"/>
        <v>-39000</v>
      </c>
    </row>
    <row r="1526" spans="1:5" x14ac:dyDescent="0.2">
      <c r="A1526" s="42">
        <v>35126</v>
      </c>
      <c r="B1526" s="43">
        <f>VLOOKUP(A1526,Database!F:H,3,)</f>
        <v>368000</v>
      </c>
      <c r="C1526" s="43">
        <f t="shared" si="46"/>
        <v>3000</v>
      </c>
      <c r="D1526" s="43">
        <f>VLOOKUP(A1526,Database!F:H,2,)</f>
        <v>2688000</v>
      </c>
      <c r="E1526" s="43">
        <f t="shared" si="47"/>
        <v>33000</v>
      </c>
    </row>
    <row r="1527" spans="1:5" x14ac:dyDescent="0.2">
      <c r="A1527" s="42">
        <v>35133</v>
      </c>
      <c r="B1527" s="43">
        <f>VLOOKUP(A1527,Database!F:H,3,)</f>
        <v>361000</v>
      </c>
      <c r="C1527" s="43">
        <f t="shared" si="46"/>
        <v>-7000</v>
      </c>
      <c r="D1527" s="43">
        <f>VLOOKUP(A1527,Database!F:H,2,)</f>
        <v>2647000</v>
      </c>
      <c r="E1527" s="43">
        <f t="shared" si="47"/>
        <v>-41000</v>
      </c>
    </row>
    <row r="1528" spans="1:5" x14ac:dyDescent="0.2">
      <c r="A1528" s="42">
        <v>35140</v>
      </c>
      <c r="B1528" s="43">
        <f>VLOOKUP(A1528,Database!F:H,3,)</f>
        <v>384000</v>
      </c>
      <c r="C1528" s="43">
        <f t="shared" si="46"/>
        <v>23000</v>
      </c>
      <c r="D1528" s="43">
        <f>VLOOKUP(A1528,Database!F:H,2,)</f>
        <v>2677000</v>
      </c>
      <c r="E1528" s="43">
        <f t="shared" si="47"/>
        <v>30000</v>
      </c>
    </row>
    <row r="1529" spans="1:5" x14ac:dyDescent="0.2">
      <c r="A1529" s="42">
        <v>35147</v>
      </c>
      <c r="B1529" s="43">
        <f>VLOOKUP(A1529,Database!F:H,3,)</f>
        <v>426000</v>
      </c>
      <c r="C1529" s="43">
        <f t="shared" si="46"/>
        <v>42000</v>
      </c>
      <c r="D1529" s="43">
        <f>VLOOKUP(A1529,Database!F:H,2,)</f>
        <v>2738000</v>
      </c>
      <c r="E1529" s="43">
        <f t="shared" si="47"/>
        <v>61000</v>
      </c>
    </row>
    <row r="1530" spans="1:5" x14ac:dyDescent="0.2">
      <c r="A1530" s="42">
        <v>35154</v>
      </c>
      <c r="B1530" s="43">
        <f>VLOOKUP(A1530,Database!F:H,3,)</f>
        <v>393000</v>
      </c>
      <c r="C1530" s="43">
        <f t="shared" si="46"/>
        <v>-33000</v>
      </c>
      <c r="D1530" s="43">
        <f>VLOOKUP(A1530,Database!F:H,2,)</f>
        <v>2675000</v>
      </c>
      <c r="E1530" s="43">
        <f t="shared" si="47"/>
        <v>-63000</v>
      </c>
    </row>
    <row r="1531" spans="1:5" x14ac:dyDescent="0.2">
      <c r="A1531" s="42">
        <v>35161</v>
      </c>
      <c r="B1531" s="43">
        <f>VLOOKUP(A1531,Database!F:H,3,)</f>
        <v>369000</v>
      </c>
      <c r="C1531" s="43">
        <f t="shared" si="46"/>
        <v>-24000</v>
      </c>
      <c r="D1531" s="43">
        <f>VLOOKUP(A1531,Database!F:H,2,)</f>
        <v>2648000</v>
      </c>
      <c r="E1531" s="43">
        <f t="shared" si="47"/>
        <v>-27000</v>
      </c>
    </row>
    <row r="1532" spans="1:5" x14ac:dyDescent="0.2">
      <c r="A1532" s="42">
        <v>35168</v>
      </c>
      <c r="B1532" s="43">
        <f>VLOOKUP(A1532,Database!F:H,3,)</f>
        <v>357000</v>
      </c>
      <c r="C1532" s="43">
        <f t="shared" si="46"/>
        <v>-12000</v>
      </c>
      <c r="D1532" s="43">
        <f>VLOOKUP(A1532,Database!F:H,2,)</f>
        <v>2657000</v>
      </c>
      <c r="E1532" s="43">
        <f t="shared" si="47"/>
        <v>9000</v>
      </c>
    </row>
    <row r="1533" spans="1:5" x14ac:dyDescent="0.2">
      <c r="A1533" s="42">
        <v>35175</v>
      </c>
      <c r="B1533" s="43">
        <f>VLOOKUP(A1533,Database!F:H,3,)</f>
        <v>368000</v>
      </c>
      <c r="C1533" s="43">
        <f t="shared" si="46"/>
        <v>11000</v>
      </c>
      <c r="D1533" s="43">
        <f>VLOOKUP(A1533,Database!F:H,2,)</f>
        <v>2620000</v>
      </c>
      <c r="E1533" s="43">
        <f t="shared" si="47"/>
        <v>-37000</v>
      </c>
    </row>
    <row r="1534" spans="1:5" x14ac:dyDescent="0.2">
      <c r="A1534" s="42">
        <v>35182</v>
      </c>
      <c r="B1534" s="43">
        <f>VLOOKUP(A1534,Database!F:H,3,)</f>
        <v>343000</v>
      </c>
      <c r="C1534" s="43">
        <f t="shared" si="46"/>
        <v>-25000</v>
      </c>
      <c r="D1534" s="43">
        <f>VLOOKUP(A1534,Database!F:H,2,)</f>
        <v>2609000</v>
      </c>
      <c r="E1534" s="43">
        <f t="shared" si="47"/>
        <v>-11000</v>
      </c>
    </row>
    <row r="1535" spans="1:5" x14ac:dyDescent="0.2">
      <c r="A1535" s="42">
        <v>35189</v>
      </c>
      <c r="B1535" s="43">
        <f>VLOOKUP(A1535,Database!F:H,3,)</f>
        <v>338000</v>
      </c>
      <c r="C1535" s="43">
        <f t="shared" si="46"/>
        <v>-5000</v>
      </c>
      <c r="D1535" s="43">
        <f>VLOOKUP(A1535,Database!F:H,2,)</f>
        <v>2602000</v>
      </c>
      <c r="E1535" s="43">
        <f t="shared" si="47"/>
        <v>-7000</v>
      </c>
    </row>
    <row r="1536" spans="1:5" x14ac:dyDescent="0.2">
      <c r="A1536" s="42">
        <v>35196</v>
      </c>
      <c r="B1536" s="43">
        <f>VLOOKUP(A1536,Database!F:H,3,)</f>
        <v>352000</v>
      </c>
      <c r="C1536" s="43">
        <f t="shared" si="46"/>
        <v>14000</v>
      </c>
      <c r="D1536" s="43">
        <f>VLOOKUP(A1536,Database!F:H,2,)</f>
        <v>2586000</v>
      </c>
      <c r="E1536" s="43">
        <f t="shared" si="47"/>
        <v>-16000</v>
      </c>
    </row>
    <row r="1537" spans="1:5" x14ac:dyDescent="0.2">
      <c r="A1537" s="42">
        <v>35203</v>
      </c>
      <c r="B1537" s="43">
        <f>VLOOKUP(A1537,Database!F:H,3,)</f>
        <v>345000</v>
      </c>
      <c r="C1537" s="43">
        <f t="shared" si="46"/>
        <v>-7000</v>
      </c>
      <c r="D1537" s="43">
        <f>VLOOKUP(A1537,Database!F:H,2,)</f>
        <v>2584000</v>
      </c>
      <c r="E1537" s="43">
        <f t="shared" si="47"/>
        <v>-2000</v>
      </c>
    </row>
    <row r="1538" spans="1:5" x14ac:dyDescent="0.2">
      <c r="A1538" s="42">
        <v>35210</v>
      </c>
      <c r="B1538" s="43">
        <f>VLOOKUP(A1538,Database!F:H,3,)</f>
        <v>343000</v>
      </c>
      <c r="C1538" s="43">
        <f t="shared" si="46"/>
        <v>-2000</v>
      </c>
      <c r="D1538" s="43">
        <f>VLOOKUP(A1538,Database!F:H,2,)</f>
        <v>2590000</v>
      </c>
      <c r="E1538" s="43">
        <f t="shared" si="47"/>
        <v>6000</v>
      </c>
    </row>
    <row r="1539" spans="1:5" x14ac:dyDescent="0.2">
      <c r="A1539" s="42">
        <v>35217</v>
      </c>
      <c r="B1539" s="43">
        <f>VLOOKUP(A1539,Database!F:H,3,)</f>
        <v>340000</v>
      </c>
      <c r="C1539" s="43">
        <f t="shared" si="46"/>
        <v>-3000</v>
      </c>
      <c r="D1539" s="43">
        <f>VLOOKUP(A1539,Database!F:H,2,)</f>
        <v>2553000</v>
      </c>
      <c r="E1539" s="43">
        <f t="shared" si="47"/>
        <v>-37000</v>
      </c>
    </row>
    <row r="1540" spans="1:5" x14ac:dyDescent="0.2">
      <c r="A1540" s="42">
        <v>35224</v>
      </c>
      <c r="B1540" s="43">
        <f>VLOOKUP(A1540,Database!F:H,3,)</f>
        <v>351000</v>
      </c>
      <c r="C1540" s="43">
        <f t="shared" si="46"/>
        <v>11000</v>
      </c>
      <c r="D1540" s="43">
        <f>VLOOKUP(A1540,Database!F:H,2,)</f>
        <v>2521000</v>
      </c>
      <c r="E1540" s="43">
        <f t="shared" si="47"/>
        <v>-32000</v>
      </c>
    </row>
    <row r="1541" spans="1:5" x14ac:dyDescent="0.2">
      <c r="A1541" s="42">
        <v>35231</v>
      </c>
      <c r="B1541" s="43">
        <f>VLOOKUP(A1541,Database!F:H,3,)</f>
        <v>342000</v>
      </c>
      <c r="C1541" s="43">
        <f t="shared" si="46"/>
        <v>-9000</v>
      </c>
      <c r="D1541" s="43">
        <f>VLOOKUP(A1541,Database!F:H,2,)</f>
        <v>2560000</v>
      </c>
      <c r="E1541" s="43">
        <f t="shared" si="47"/>
        <v>39000</v>
      </c>
    </row>
    <row r="1542" spans="1:5" x14ac:dyDescent="0.2">
      <c r="A1542" s="42">
        <v>35238</v>
      </c>
      <c r="B1542" s="43">
        <f>VLOOKUP(A1542,Database!F:H,3,)</f>
        <v>341000</v>
      </c>
      <c r="C1542" s="43">
        <f t="shared" si="46"/>
        <v>-1000</v>
      </c>
      <c r="D1542" s="43">
        <f>VLOOKUP(A1542,Database!F:H,2,)</f>
        <v>2550000</v>
      </c>
      <c r="E1542" s="43">
        <f t="shared" si="47"/>
        <v>-10000</v>
      </c>
    </row>
    <row r="1543" spans="1:5" x14ac:dyDescent="0.2">
      <c r="A1543" s="42">
        <v>35245</v>
      </c>
      <c r="B1543" s="43">
        <f>VLOOKUP(A1543,Database!F:H,3,)</f>
        <v>337000</v>
      </c>
      <c r="C1543" s="43">
        <f t="shared" si="46"/>
        <v>-4000</v>
      </c>
      <c r="D1543" s="43">
        <f>VLOOKUP(A1543,Database!F:H,2,)</f>
        <v>2556000</v>
      </c>
      <c r="E1543" s="43">
        <f t="shared" si="47"/>
        <v>6000</v>
      </c>
    </row>
    <row r="1544" spans="1:5" x14ac:dyDescent="0.2">
      <c r="A1544" s="42">
        <v>35252</v>
      </c>
      <c r="B1544" s="43">
        <f>VLOOKUP(A1544,Database!F:H,3,)</f>
        <v>342000</v>
      </c>
      <c r="C1544" s="43">
        <f t="shared" ref="C1544:C1607" si="48">B1544-B1543</f>
        <v>5000</v>
      </c>
      <c r="D1544" s="43">
        <f>VLOOKUP(A1544,Database!F:H,2,)</f>
        <v>2501000</v>
      </c>
      <c r="E1544" s="43">
        <f t="shared" ref="E1544:E1607" si="49">D1544-D1543</f>
        <v>-55000</v>
      </c>
    </row>
    <row r="1545" spans="1:5" x14ac:dyDescent="0.2">
      <c r="A1545" s="42">
        <v>35259</v>
      </c>
      <c r="B1545" s="43">
        <f>VLOOKUP(A1545,Database!F:H,3,)</f>
        <v>347000</v>
      </c>
      <c r="C1545" s="43">
        <f t="shared" si="48"/>
        <v>5000</v>
      </c>
      <c r="D1545" s="43">
        <f>VLOOKUP(A1545,Database!F:H,2,)</f>
        <v>2495000</v>
      </c>
      <c r="E1545" s="43">
        <f t="shared" si="49"/>
        <v>-6000</v>
      </c>
    </row>
    <row r="1546" spans="1:5" x14ac:dyDescent="0.2">
      <c r="A1546" s="42">
        <v>35266</v>
      </c>
      <c r="B1546" s="43">
        <f>VLOOKUP(A1546,Database!F:H,3,)</f>
        <v>332000</v>
      </c>
      <c r="C1546" s="43">
        <f t="shared" si="48"/>
        <v>-15000</v>
      </c>
      <c r="D1546" s="43">
        <f>VLOOKUP(A1546,Database!F:H,2,)</f>
        <v>2492000</v>
      </c>
      <c r="E1546" s="43">
        <f t="shared" si="49"/>
        <v>-3000</v>
      </c>
    </row>
    <row r="1547" spans="1:5" x14ac:dyDescent="0.2">
      <c r="A1547" s="42">
        <v>35273</v>
      </c>
      <c r="B1547" s="43">
        <f>VLOOKUP(A1547,Database!F:H,3,)</f>
        <v>327000</v>
      </c>
      <c r="C1547" s="43">
        <f t="shared" si="48"/>
        <v>-5000</v>
      </c>
      <c r="D1547" s="43">
        <f>VLOOKUP(A1547,Database!F:H,2,)</f>
        <v>2472000</v>
      </c>
      <c r="E1547" s="43">
        <f t="shared" si="49"/>
        <v>-20000</v>
      </c>
    </row>
    <row r="1548" spans="1:5" x14ac:dyDescent="0.2">
      <c r="A1548" s="42">
        <v>35280</v>
      </c>
      <c r="B1548" s="43">
        <f>VLOOKUP(A1548,Database!F:H,3,)</f>
        <v>326000</v>
      </c>
      <c r="C1548" s="43">
        <f t="shared" si="48"/>
        <v>-1000</v>
      </c>
      <c r="D1548" s="43">
        <f>VLOOKUP(A1548,Database!F:H,2,)</f>
        <v>2476000</v>
      </c>
      <c r="E1548" s="43">
        <f t="shared" si="49"/>
        <v>4000</v>
      </c>
    </row>
    <row r="1549" spans="1:5" x14ac:dyDescent="0.2">
      <c r="A1549" s="42">
        <v>35287</v>
      </c>
      <c r="B1549" s="43">
        <f>VLOOKUP(A1549,Database!F:H,3,)</f>
        <v>331000</v>
      </c>
      <c r="C1549" s="43">
        <f t="shared" si="48"/>
        <v>5000</v>
      </c>
      <c r="D1549" s="43">
        <f>VLOOKUP(A1549,Database!F:H,2,)</f>
        <v>2492000</v>
      </c>
      <c r="E1549" s="43">
        <f t="shared" si="49"/>
        <v>16000</v>
      </c>
    </row>
    <row r="1550" spans="1:5" x14ac:dyDescent="0.2">
      <c r="A1550" s="42">
        <v>35294</v>
      </c>
      <c r="B1550" s="43">
        <f>VLOOKUP(A1550,Database!F:H,3,)</f>
        <v>336000</v>
      </c>
      <c r="C1550" s="43">
        <f t="shared" si="48"/>
        <v>5000</v>
      </c>
      <c r="D1550" s="43">
        <f>VLOOKUP(A1550,Database!F:H,2,)</f>
        <v>2495000</v>
      </c>
      <c r="E1550" s="43">
        <f t="shared" si="49"/>
        <v>3000</v>
      </c>
    </row>
    <row r="1551" spans="1:5" x14ac:dyDescent="0.2">
      <c r="A1551" s="42">
        <v>35301</v>
      </c>
      <c r="B1551" s="43">
        <f>VLOOKUP(A1551,Database!F:H,3,)</f>
        <v>337000</v>
      </c>
      <c r="C1551" s="43">
        <f t="shared" si="48"/>
        <v>1000</v>
      </c>
      <c r="D1551" s="43">
        <f>VLOOKUP(A1551,Database!F:H,2,)</f>
        <v>2493000</v>
      </c>
      <c r="E1551" s="43">
        <f t="shared" si="49"/>
        <v>-2000</v>
      </c>
    </row>
    <row r="1552" spans="1:5" x14ac:dyDescent="0.2">
      <c r="A1552" s="42">
        <v>35308</v>
      </c>
      <c r="B1552" s="43">
        <f>VLOOKUP(A1552,Database!F:H,3,)</f>
        <v>329000</v>
      </c>
      <c r="C1552" s="43">
        <f t="shared" si="48"/>
        <v>-8000</v>
      </c>
      <c r="D1552" s="43">
        <f>VLOOKUP(A1552,Database!F:H,2,)</f>
        <v>2516000</v>
      </c>
      <c r="E1552" s="43">
        <f t="shared" si="49"/>
        <v>23000</v>
      </c>
    </row>
    <row r="1553" spans="1:5" x14ac:dyDescent="0.2">
      <c r="A1553" s="42">
        <v>35315</v>
      </c>
      <c r="B1553" s="43">
        <f>VLOOKUP(A1553,Database!F:H,3,)</f>
        <v>333000</v>
      </c>
      <c r="C1553" s="43">
        <f t="shared" si="48"/>
        <v>4000</v>
      </c>
      <c r="D1553" s="43">
        <f>VLOOKUP(A1553,Database!F:H,2,)</f>
        <v>2443000</v>
      </c>
      <c r="E1553" s="43">
        <f t="shared" si="49"/>
        <v>-73000</v>
      </c>
    </row>
    <row r="1554" spans="1:5" x14ac:dyDescent="0.2">
      <c r="A1554" s="42">
        <v>35322</v>
      </c>
      <c r="B1554" s="43">
        <f>VLOOKUP(A1554,Database!F:H,3,)</f>
        <v>338000</v>
      </c>
      <c r="C1554" s="43">
        <f t="shared" si="48"/>
        <v>5000</v>
      </c>
      <c r="D1554" s="43">
        <f>VLOOKUP(A1554,Database!F:H,2,)</f>
        <v>2486000</v>
      </c>
      <c r="E1554" s="43">
        <f t="shared" si="49"/>
        <v>43000</v>
      </c>
    </row>
    <row r="1555" spans="1:5" x14ac:dyDescent="0.2">
      <c r="A1555" s="42">
        <v>35329</v>
      </c>
      <c r="B1555" s="43">
        <f>VLOOKUP(A1555,Database!F:H,3,)</f>
        <v>352000</v>
      </c>
      <c r="C1555" s="43">
        <f t="shared" si="48"/>
        <v>14000</v>
      </c>
      <c r="D1555" s="43">
        <f>VLOOKUP(A1555,Database!F:H,2,)</f>
        <v>2484000</v>
      </c>
      <c r="E1555" s="43">
        <f t="shared" si="49"/>
        <v>-2000</v>
      </c>
    </row>
    <row r="1556" spans="1:5" x14ac:dyDescent="0.2">
      <c r="A1556" s="42">
        <v>35336</v>
      </c>
      <c r="B1556" s="43">
        <f>VLOOKUP(A1556,Database!F:H,3,)</f>
        <v>348000</v>
      </c>
      <c r="C1556" s="43">
        <f t="shared" si="48"/>
        <v>-4000</v>
      </c>
      <c r="D1556" s="43">
        <f>VLOOKUP(A1556,Database!F:H,2,)</f>
        <v>2479000</v>
      </c>
      <c r="E1556" s="43">
        <f t="shared" si="49"/>
        <v>-5000</v>
      </c>
    </row>
    <row r="1557" spans="1:5" x14ac:dyDescent="0.2">
      <c r="A1557" s="42">
        <v>35343</v>
      </c>
      <c r="B1557" s="43">
        <f>VLOOKUP(A1557,Database!F:H,3,)</f>
        <v>335000</v>
      </c>
      <c r="C1557" s="43">
        <f t="shared" si="48"/>
        <v>-13000</v>
      </c>
      <c r="D1557" s="43">
        <f>VLOOKUP(A1557,Database!F:H,2,)</f>
        <v>2496000</v>
      </c>
      <c r="E1557" s="43">
        <f t="shared" si="49"/>
        <v>17000</v>
      </c>
    </row>
    <row r="1558" spans="1:5" x14ac:dyDescent="0.2">
      <c r="A1558" s="42">
        <v>35350</v>
      </c>
      <c r="B1558" s="43">
        <f>VLOOKUP(A1558,Database!F:H,3,)</f>
        <v>334000</v>
      </c>
      <c r="C1558" s="43">
        <f t="shared" si="48"/>
        <v>-1000</v>
      </c>
      <c r="D1558" s="43">
        <f>VLOOKUP(A1558,Database!F:H,2,)</f>
        <v>2422000</v>
      </c>
      <c r="E1558" s="43">
        <f t="shared" si="49"/>
        <v>-74000</v>
      </c>
    </row>
    <row r="1559" spans="1:5" x14ac:dyDescent="0.2">
      <c r="A1559" s="42">
        <v>35357</v>
      </c>
      <c r="B1559" s="43">
        <f>VLOOKUP(A1559,Database!F:H,3,)</f>
        <v>335000</v>
      </c>
      <c r="C1559" s="43">
        <f t="shared" si="48"/>
        <v>1000</v>
      </c>
      <c r="D1559" s="43">
        <f>VLOOKUP(A1559,Database!F:H,2,)</f>
        <v>2449000</v>
      </c>
      <c r="E1559" s="43">
        <f t="shared" si="49"/>
        <v>27000</v>
      </c>
    </row>
    <row r="1560" spans="1:5" x14ac:dyDescent="0.2">
      <c r="A1560" s="42">
        <v>35364</v>
      </c>
      <c r="B1560" s="43">
        <f>VLOOKUP(A1560,Database!F:H,3,)</f>
        <v>352000</v>
      </c>
      <c r="C1560" s="43">
        <f t="shared" si="48"/>
        <v>17000</v>
      </c>
      <c r="D1560" s="43">
        <f>VLOOKUP(A1560,Database!F:H,2,)</f>
        <v>2474000</v>
      </c>
      <c r="E1560" s="43">
        <f t="shared" si="49"/>
        <v>25000</v>
      </c>
    </row>
    <row r="1561" spans="1:5" x14ac:dyDescent="0.2">
      <c r="A1561" s="42">
        <v>35371</v>
      </c>
      <c r="B1561" s="43">
        <f>VLOOKUP(A1561,Database!F:H,3,)</f>
        <v>334000</v>
      </c>
      <c r="C1561" s="43">
        <f t="shared" si="48"/>
        <v>-18000</v>
      </c>
      <c r="D1561" s="43">
        <f>VLOOKUP(A1561,Database!F:H,2,)</f>
        <v>2452000</v>
      </c>
      <c r="E1561" s="43">
        <f t="shared" si="49"/>
        <v>-22000</v>
      </c>
    </row>
    <row r="1562" spans="1:5" x14ac:dyDescent="0.2">
      <c r="A1562" s="42">
        <v>35378</v>
      </c>
      <c r="B1562" s="43">
        <f>VLOOKUP(A1562,Database!F:H,3,)</f>
        <v>327000</v>
      </c>
      <c r="C1562" s="43">
        <f t="shared" si="48"/>
        <v>-7000</v>
      </c>
      <c r="D1562" s="43">
        <f>VLOOKUP(A1562,Database!F:H,2,)</f>
        <v>2475000</v>
      </c>
      <c r="E1562" s="43">
        <f t="shared" si="49"/>
        <v>23000</v>
      </c>
    </row>
    <row r="1563" spans="1:5" x14ac:dyDescent="0.2">
      <c r="A1563" s="42">
        <v>35385</v>
      </c>
      <c r="B1563" s="43">
        <f>VLOOKUP(A1563,Database!F:H,3,)</f>
        <v>342000</v>
      </c>
      <c r="C1563" s="43">
        <f t="shared" si="48"/>
        <v>15000</v>
      </c>
      <c r="D1563" s="43">
        <f>VLOOKUP(A1563,Database!F:H,2,)</f>
        <v>2406000</v>
      </c>
      <c r="E1563" s="43">
        <f t="shared" si="49"/>
        <v>-69000</v>
      </c>
    </row>
    <row r="1564" spans="1:5" x14ac:dyDescent="0.2">
      <c r="A1564" s="42">
        <v>35392</v>
      </c>
      <c r="B1564" s="43">
        <f>VLOOKUP(A1564,Database!F:H,3,)</f>
        <v>347000</v>
      </c>
      <c r="C1564" s="43">
        <f t="shared" si="48"/>
        <v>5000</v>
      </c>
      <c r="D1564" s="43">
        <f>VLOOKUP(A1564,Database!F:H,2,)</f>
        <v>2350000</v>
      </c>
      <c r="E1564" s="43">
        <f t="shared" si="49"/>
        <v>-56000</v>
      </c>
    </row>
    <row r="1565" spans="1:5" x14ac:dyDescent="0.2">
      <c r="A1565" s="42">
        <v>35399</v>
      </c>
      <c r="B1565" s="43">
        <f>VLOOKUP(A1565,Database!F:H,3,)</f>
        <v>332000</v>
      </c>
      <c r="C1565" s="43">
        <f t="shared" si="48"/>
        <v>-15000</v>
      </c>
      <c r="D1565" s="43">
        <f>VLOOKUP(A1565,Database!F:H,2,)</f>
        <v>2460000</v>
      </c>
      <c r="E1565" s="43">
        <f t="shared" si="49"/>
        <v>110000</v>
      </c>
    </row>
    <row r="1566" spans="1:5" x14ac:dyDescent="0.2">
      <c r="A1566" s="42">
        <v>35406</v>
      </c>
      <c r="B1566" s="43">
        <f>VLOOKUP(A1566,Database!F:H,3,)</f>
        <v>355000</v>
      </c>
      <c r="C1566" s="43">
        <f t="shared" si="48"/>
        <v>23000</v>
      </c>
      <c r="D1566" s="43">
        <f>VLOOKUP(A1566,Database!F:H,2,)</f>
        <v>2484000</v>
      </c>
      <c r="E1566" s="43">
        <f t="shared" si="49"/>
        <v>24000</v>
      </c>
    </row>
    <row r="1567" spans="1:5" x14ac:dyDescent="0.2">
      <c r="A1567" s="42">
        <v>35413</v>
      </c>
      <c r="B1567" s="43">
        <f>VLOOKUP(A1567,Database!F:H,3,)</f>
        <v>352000</v>
      </c>
      <c r="C1567" s="43">
        <f t="shared" si="48"/>
        <v>-3000</v>
      </c>
      <c r="D1567" s="43">
        <f>VLOOKUP(A1567,Database!F:H,2,)</f>
        <v>2464000</v>
      </c>
      <c r="E1567" s="43">
        <f t="shared" si="49"/>
        <v>-20000</v>
      </c>
    </row>
    <row r="1568" spans="1:5" x14ac:dyDescent="0.2">
      <c r="A1568" s="42">
        <v>35420</v>
      </c>
      <c r="B1568" s="43">
        <f>VLOOKUP(A1568,Database!F:H,3,)</f>
        <v>350000</v>
      </c>
      <c r="C1568" s="43">
        <f t="shared" si="48"/>
        <v>-2000</v>
      </c>
      <c r="D1568" s="43">
        <f>VLOOKUP(A1568,Database!F:H,2,)</f>
        <v>2506000</v>
      </c>
      <c r="E1568" s="43">
        <f t="shared" si="49"/>
        <v>42000</v>
      </c>
    </row>
    <row r="1569" spans="1:5" x14ac:dyDescent="0.2">
      <c r="A1569" s="42">
        <v>35427</v>
      </c>
      <c r="B1569" s="43">
        <f>VLOOKUP(A1569,Database!F:H,3,)</f>
        <v>357000</v>
      </c>
      <c r="C1569" s="43">
        <f t="shared" si="48"/>
        <v>7000</v>
      </c>
      <c r="D1569" s="43">
        <f>VLOOKUP(A1569,Database!F:H,2,)</f>
        <v>2497000</v>
      </c>
      <c r="E1569" s="43">
        <f t="shared" si="49"/>
        <v>-9000</v>
      </c>
    </row>
    <row r="1570" spans="1:5" x14ac:dyDescent="0.2">
      <c r="A1570" s="42">
        <v>35434</v>
      </c>
      <c r="B1570" s="43">
        <f>VLOOKUP(A1570,Database!F:H,3,)</f>
        <v>347000</v>
      </c>
      <c r="C1570" s="43">
        <f t="shared" si="48"/>
        <v>-10000</v>
      </c>
      <c r="D1570" s="43">
        <f>VLOOKUP(A1570,Database!F:H,2,)</f>
        <v>2552000</v>
      </c>
      <c r="E1570" s="43">
        <f t="shared" si="49"/>
        <v>55000</v>
      </c>
    </row>
    <row r="1571" spans="1:5" x14ac:dyDescent="0.2">
      <c r="A1571" s="42">
        <v>35441</v>
      </c>
      <c r="B1571" s="43">
        <f>VLOOKUP(A1571,Database!F:H,3,)</f>
        <v>324000</v>
      </c>
      <c r="C1571" s="43">
        <f t="shared" si="48"/>
        <v>-23000</v>
      </c>
      <c r="D1571" s="43">
        <f>VLOOKUP(A1571,Database!F:H,2,)</f>
        <v>2473000</v>
      </c>
      <c r="E1571" s="43">
        <f t="shared" si="49"/>
        <v>-79000</v>
      </c>
    </row>
    <row r="1572" spans="1:5" x14ac:dyDescent="0.2">
      <c r="A1572" s="42">
        <v>35448</v>
      </c>
      <c r="B1572" s="43">
        <f>VLOOKUP(A1572,Database!F:H,3,)</f>
        <v>345000</v>
      </c>
      <c r="C1572" s="43">
        <f t="shared" si="48"/>
        <v>21000</v>
      </c>
      <c r="D1572" s="43">
        <f>VLOOKUP(A1572,Database!F:H,2,)</f>
        <v>2434000</v>
      </c>
      <c r="E1572" s="43">
        <f t="shared" si="49"/>
        <v>-39000</v>
      </c>
    </row>
    <row r="1573" spans="1:5" x14ac:dyDescent="0.2">
      <c r="A1573" s="42">
        <v>35455</v>
      </c>
      <c r="B1573" s="43">
        <f>VLOOKUP(A1573,Database!F:H,3,)</f>
        <v>340000</v>
      </c>
      <c r="C1573" s="43">
        <f t="shared" si="48"/>
        <v>-5000</v>
      </c>
      <c r="D1573" s="43">
        <f>VLOOKUP(A1573,Database!F:H,2,)</f>
        <v>2492000</v>
      </c>
      <c r="E1573" s="43">
        <f t="shared" si="49"/>
        <v>58000</v>
      </c>
    </row>
    <row r="1574" spans="1:5" x14ac:dyDescent="0.2">
      <c r="A1574" s="42">
        <v>35462</v>
      </c>
      <c r="B1574" s="43">
        <f>VLOOKUP(A1574,Database!F:H,3,)</f>
        <v>333000</v>
      </c>
      <c r="C1574" s="43">
        <f t="shared" si="48"/>
        <v>-7000</v>
      </c>
      <c r="D1574" s="43">
        <f>VLOOKUP(A1574,Database!F:H,2,)</f>
        <v>2403000</v>
      </c>
      <c r="E1574" s="43">
        <f t="shared" si="49"/>
        <v>-89000</v>
      </c>
    </row>
    <row r="1575" spans="1:5" x14ac:dyDescent="0.2">
      <c r="A1575" s="42">
        <v>35469</v>
      </c>
      <c r="B1575" s="43">
        <f>VLOOKUP(A1575,Database!F:H,3,)</f>
        <v>315000</v>
      </c>
      <c r="C1575" s="43">
        <f t="shared" si="48"/>
        <v>-18000</v>
      </c>
      <c r="D1575" s="43">
        <f>VLOOKUP(A1575,Database!F:H,2,)</f>
        <v>2436000</v>
      </c>
      <c r="E1575" s="43">
        <f t="shared" si="49"/>
        <v>33000</v>
      </c>
    </row>
    <row r="1576" spans="1:5" x14ac:dyDescent="0.2">
      <c r="A1576" s="42">
        <v>35476</v>
      </c>
      <c r="B1576" s="43">
        <f>VLOOKUP(A1576,Database!F:H,3,)</f>
        <v>313000</v>
      </c>
      <c r="C1576" s="43">
        <f t="shared" si="48"/>
        <v>-2000</v>
      </c>
      <c r="D1576" s="43">
        <f>VLOOKUP(A1576,Database!F:H,2,)</f>
        <v>2407000</v>
      </c>
      <c r="E1576" s="43">
        <f t="shared" si="49"/>
        <v>-29000</v>
      </c>
    </row>
    <row r="1577" spans="1:5" x14ac:dyDescent="0.2">
      <c r="A1577" s="42">
        <v>35483</v>
      </c>
      <c r="B1577" s="43">
        <f>VLOOKUP(A1577,Database!F:H,3,)</f>
        <v>322000</v>
      </c>
      <c r="C1577" s="43">
        <f t="shared" si="48"/>
        <v>9000</v>
      </c>
      <c r="D1577" s="43">
        <f>VLOOKUP(A1577,Database!F:H,2,)</f>
        <v>2414000</v>
      </c>
      <c r="E1577" s="43">
        <f t="shared" si="49"/>
        <v>7000</v>
      </c>
    </row>
    <row r="1578" spans="1:5" x14ac:dyDescent="0.2">
      <c r="A1578" s="42">
        <v>35490</v>
      </c>
      <c r="B1578" s="43">
        <f>VLOOKUP(A1578,Database!F:H,3,)</f>
        <v>321000</v>
      </c>
      <c r="C1578" s="43">
        <f t="shared" si="48"/>
        <v>-1000</v>
      </c>
      <c r="D1578" s="43">
        <f>VLOOKUP(A1578,Database!F:H,2,)</f>
        <v>2370000</v>
      </c>
      <c r="E1578" s="43">
        <f t="shared" si="49"/>
        <v>-44000</v>
      </c>
    </row>
    <row r="1579" spans="1:5" x14ac:dyDescent="0.2">
      <c r="A1579" s="42">
        <v>35497</v>
      </c>
      <c r="B1579" s="43">
        <f>VLOOKUP(A1579,Database!F:H,3,)</f>
        <v>317000</v>
      </c>
      <c r="C1579" s="43">
        <f t="shared" si="48"/>
        <v>-4000</v>
      </c>
      <c r="D1579" s="43">
        <f>VLOOKUP(A1579,Database!F:H,2,)</f>
        <v>2371000</v>
      </c>
      <c r="E1579" s="43">
        <f t="shared" si="49"/>
        <v>1000</v>
      </c>
    </row>
    <row r="1580" spans="1:5" x14ac:dyDescent="0.2">
      <c r="A1580" s="42">
        <v>35504</v>
      </c>
      <c r="B1580" s="43">
        <f>VLOOKUP(A1580,Database!F:H,3,)</f>
        <v>319000</v>
      </c>
      <c r="C1580" s="43">
        <f t="shared" si="48"/>
        <v>2000</v>
      </c>
      <c r="D1580" s="43">
        <f>VLOOKUP(A1580,Database!F:H,2,)</f>
        <v>2344000</v>
      </c>
      <c r="E1580" s="43">
        <f t="shared" si="49"/>
        <v>-27000</v>
      </c>
    </row>
    <row r="1581" spans="1:5" x14ac:dyDescent="0.2">
      <c r="A1581" s="42">
        <v>35511</v>
      </c>
      <c r="B1581" s="43">
        <f>VLOOKUP(A1581,Database!F:H,3,)</f>
        <v>315000</v>
      </c>
      <c r="C1581" s="43">
        <f t="shared" si="48"/>
        <v>-4000</v>
      </c>
      <c r="D1581" s="43">
        <f>VLOOKUP(A1581,Database!F:H,2,)</f>
        <v>2322000</v>
      </c>
      <c r="E1581" s="43">
        <f t="shared" si="49"/>
        <v>-22000</v>
      </c>
    </row>
    <row r="1582" spans="1:5" x14ac:dyDescent="0.2">
      <c r="A1582" s="42">
        <v>35518</v>
      </c>
      <c r="B1582" s="43">
        <f>VLOOKUP(A1582,Database!F:H,3,)</f>
        <v>325000</v>
      </c>
      <c r="C1582" s="43">
        <f t="shared" si="48"/>
        <v>10000</v>
      </c>
      <c r="D1582" s="43">
        <f>VLOOKUP(A1582,Database!F:H,2,)</f>
        <v>2331000</v>
      </c>
      <c r="E1582" s="43">
        <f t="shared" si="49"/>
        <v>9000</v>
      </c>
    </row>
    <row r="1583" spans="1:5" x14ac:dyDescent="0.2">
      <c r="A1583" s="42">
        <v>35525</v>
      </c>
      <c r="B1583" s="43">
        <f>VLOOKUP(A1583,Database!F:H,3,)</f>
        <v>325000</v>
      </c>
      <c r="C1583" s="43">
        <f t="shared" si="48"/>
        <v>0</v>
      </c>
      <c r="D1583" s="43">
        <f>VLOOKUP(A1583,Database!F:H,2,)</f>
        <v>2359000</v>
      </c>
      <c r="E1583" s="43">
        <f t="shared" si="49"/>
        <v>28000</v>
      </c>
    </row>
    <row r="1584" spans="1:5" x14ac:dyDescent="0.2">
      <c r="A1584" s="42">
        <v>35532</v>
      </c>
      <c r="B1584" s="43">
        <f>VLOOKUP(A1584,Database!F:H,3,)</f>
        <v>330000</v>
      </c>
      <c r="C1584" s="43">
        <f t="shared" si="48"/>
        <v>5000</v>
      </c>
      <c r="D1584" s="43">
        <f>VLOOKUP(A1584,Database!F:H,2,)</f>
        <v>2307000</v>
      </c>
      <c r="E1584" s="43">
        <f t="shared" si="49"/>
        <v>-52000</v>
      </c>
    </row>
    <row r="1585" spans="1:5" x14ac:dyDescent="0.2">
      <c r="A1585" s="42">
        <v>35539</v>
      </c>
      <c r="B1585" s="43">
        <f>VLOOKUP(A1585,Database!F:H,3,)</f>
        <v>316000</v>
      </c>
      <c r="C1585" s="43">
        <f t="shared" si="48"/>
        <v>-14000</v>
      </c>
      <c r="D1585" s="43">
        <f>VLOOKUP(A1585,Database!F:H,2,)</f>
        <v>2304000</v>
      </c>
      <c r="E1585" s="43">
        <f t="shared" si="49"/>
        <v>-3000</v>
      </c>
    </row>
    <row r="1586" spans="1:5" x14ac:dyDescent="0.2">
      <c r="A1586" s="42">
        <v>35546</v>
      </c>
      <c r="B1586" s="43">
        <f>VLOOKUP(A1586,Database!F:H,3,)</f>
        <v>337000</v>
      </c>
      <c r="C1586" s="43">
        <f t="shared" si="48"/>
        <v>21000</v>
      </c>
      <c r="D1586" s="43">
        <f>VLOOKUP(A1586,Database!F:H,2,)</f>
        <v>2327000</v>
      </c>
      <c r="E1586" s="43">
        <f t="shared" si="49"/>
        <v>23000</v>
      </c>
    </row>
    <row r="1587" spans="1:5" x14ac:dyDescent="0.2">
      <c r="A1587" s="42">
        <v>35553</v>
      </c>
      <c r="B1587" s="43">
        <f>VLOOKUP(A1587,Database!F:H,3,)</f>
        <v>342000</v>
      </c>
      <c r="C1587" s="43">
        <f t="shared" si="48"/>
        <v>5000</v>
      </c>
      <c r="D1587" s="43">
        <f>VLOOKUP(A1587,Database!F:H,2,)</f>
        <v>2339000</v>
      </c>
      <c r="E1587" s="43">
        <f t="shared" si="49"/>
        <v>12000</v>
      </c>
    </row>
    <row r="1588" spans="1:5" x14ac:dyDescent="0.2">
      <c r="A1588" s="42">
        <v>35560</v>
      </c>
      <c r="B1588" s="43">
        <f>VLOOKUP(A1588,Database!F:H,3,)</f>
        <v>318000</v>
      </c>
      <c r="C1588" s="43">
        <f t="shared" si="48"/>
        <v>-24000</v>
      </c>
      <c r="D1588" s="43">
        <f>VLOOKUP(A1588,Database!F:H,2,)</f>
        <v>2318000</v>
      </c>
      <c r="E1588" s="43">
        <f t="shared" si="49"/>
        <v>-21000</v>
      </c>
    </row>
    <row r="1589" spans="1:5" x14ac:dyDescent="0.2">
      <c r="A1589" s="42">
        <v>35567</v>
      </c>
      <c r="B1589" s="43">
        <f>VLOOKUP(A1589,Database!F:H,3,)</f>
        <v>322000</v>
      </c>
      <c r="C1589" s="43">
        <f t="shared" si="48"/>
        <v>4000</v>
      </c>
      <c r="D1589" s="43">
        <f>VLOOKUP(A1589,Database!F:H,2,)</f>
        <v>2276000</v>
      </c>
      <c r="E1589" s="43">
        <f t="shared" si="49"/>
        <v>-42000</v>
      </c>
    </row>
    <row r="1590" spans="1:5" x14ac:dyDescent="0.2">
      <c r="A1590" s="42">
        <v>35574</v>
      </c>
      <c r="B1590" s="43">
        <f>VLOOKUP(A1590,Database!F:H,3,)</f>
        <v>316000</v>
      </c>
      <c r="C1590" s="43">
        <f t="shared" si="48"/>
        <v>-6000</v>
      </c>
      <c r="D1590" s="43">
        <f>VLOOKUP(A1590,Database!F:H,2,)</f>
        <v>2274000</v>
      </c>
      <c r="E1590" s="43">
        <f t="shared" si="49"/>
        <v>-2000</v>
      </c>
    </row>
    <row r="1591" spans="1:5" x14ac:dyDescent="0.2">
      <c r="A1591" s="42">
        <v>35581</v>
      </c>
      <c r="B1591" s="43">
        <f>VLOOKUP(A1591,Database!F:H,3,)</f>
        <v>321000</v>
      </c>
      <c r="C1591" s="43">
        <f t="shared" si="48"/>
        <v>5000</v>
      </c>
      <c r="D1591" s="43">
        <f>VLOOKUP(A1591,Database!F:H,2,)</f>
        <v>2307000</v>
      </c>
      <c r="E1591" s="43">
        <f t="shared" si="49"/>
        <v>33000</v>
      </c>
    </row>
    <row r="1592" spans="1:5" x14ac:dyDescent="0.2">
      <c r="A1592" s="42">
        <v>35588</v>
      </c>
      <c r="B1592" s="43">
        <f>VLOOKUP(A1592,Database!F:H,3,)</f>
        <v>329000</v>
      </c>
      <c r="C1592" s="43">
        <f t="shared" si="48"/>
        <v>8000</v>
      </c>
      <c r="D1592" s="43">
        <f>VLOOKUP(A1592,Database!F:H,2,)</f>
        <v>2276000</v>
      </c>
      <c r="E1592" s="43">
        <f t="shared" si="49"/>
        <v>-31000</v>
      </c>
    </row>
    <row r="1593" spans="1:5" x14ac:dyDescent="0.2">
      <c r="A1593" s="42">
        <v>35595</v>
      </c>
      <c r="B1593" s="43">
        <f>VLOOKUP(A1593,Database!F:H,3,)</f>
        <v>335000</v>
      </c>
      <c r="C1593" s="43">
        <f t="shared" si="48"/>
        <v>6000</v>
      </c>
      <c r="D1593" s="43">
        <f>VLOOKUP(A1593,Database!F:H,2,)</f>
        <v>2265000</v>
      </c>
      <c r="E1593" s="43">
        <f t="shared" si="49"/>
        <v>-11000</v>
      </c>
    </row>
    <row r="1594" spans="1:5" x14ac:dyDescent="0.2">
      <c r="A1594" s="42">
        <v>35602</v>
      </c>
      <c r="B1594" s="43">
        <f>VLOOKUP(A1594,Database!F:H,3,)</f>
        <v>316000</v>
      </c>
      <c r="C1594" s="43">
        <f t="shared" si="48"/>
        <v>-19000</v>
      </c>
      <c r="D1594" s="43">
        <f>VLOOKUP(A1594,Database!F:H,2,)</f>
        <v>2303000</v>
      </c>
      <c r="E1594" s="43">
        <f t="shared" si="49"/>
        <v>38000</v>
      </c>
    </row>
    <row r="1595" spans="1:5" x14ac:dyDescent="0.2">
      <c r="A1595" s="42">
        <v>35609</v>
      </c>
      <c r="B1595" s="43">
        <f>VLOOKUP(A1595,Database!F:H,3,)</f>
        <v>322000</v>
      </c>
      <c r="C1595" s="43">
        <f t="shared" si="48"/>
        <v>6000</v>
      </c>
      <c r="D1595" s="43">
        <f>VLOOKUP(A1595,Database!F:H,2,)</f>
        <v>2338000</v>
      </c>
      <c r="E1595" s="43">
        <f t="shared" si="49"/>
        <v>35000</v>
      </c>
    </row>
    <row r="1596" spans="1:5" x14ac:dyDescent="0.2">
      <c r="A1596" s="42">
        <v>35616</v>
      </c>
      <c r="B1596" s="43">
        <f>VLOOKUP(A1596,Database!F:H,3,)</f>
        <v>346000</v>
      </c>
      <c r="C1596" s="43">
        <f t="shared" si="48"/>
        <v>24000</v>
      </c>
      <c r="D1596" s="43">
        <f>VLOOKUP(A1596,Database!F:H,2,)</f>
        <v>2289000</v>
      </c>
      <c r="E1596" s="43">
        <f t="shared" si="49"/>
        <v>-49000</v>
      </c>
    </row>
    <row r="1597" spans="1:5" x14ac:dyDescent="0.2">
      <c r="A1597" s="42">
        <v>35623</v>
      </c>
      <c r="B1597" s="43">
        <f>VLOOKUP(A1597,Database!F:H,3,)</f>
        <v>328000</v>
      </c>
      <c r="C1597" s="43">
        <f t="shared" si="48"/>
        <v>-18000</v>
      </c>
      <c r="D1597" s="43">
        <f>VLOOKUP(A1597,Database!F:H,2,)</f>
        <v>2262000</v>
      </c>
      <c r="E1597" s="43">
        <f t="shared" si="49"/>
        <v>-27000</v>
      </c>
    </row>
    <row r="1598" spans="1:5" x14ac:dyDescent="0.2">
      <c r="A1598" s="42">
        <v>35630</v>
      </c>
      <c r="B1598" s="43">
        <f>VLOOKUP(A1598,Database!F:H,3,)</f>
        <v>301000</v>
      </c>
      <c r="C1598" s="43">
        <f t="shared" si="48"/>
        <v>-27000</v>
      </c>
      <c r="D1598" s="43">
        <f>VLOOKUP(A1598,Database!F:H,2,)</f>
        <v>2268000</v>
      </c>
      <c r="E1598" s="43">
        <f t="shared" si="49"/>
        <v>6000</v>
      </c>
    </row>
    <row r="1599" spans="1:5" x14ac:dyDescent="0.2">
      <c r="A1599" s="42">
        <v>35637</v>
      </c>
      <c r="B1599" s="43">
        <f>VLOOKUP(A1599,Database!F:H,3,)</f>
        <v>306000</v>
      </c>
      <c r="C1599" s="43">
        <f t="shared" si="48"/>
        <v>5000</v>
      </c>
      <c r="D1599" s="43">
        <f>VLOOKUP(A1599,Database!F:H,2,)</f>
        <v>2259000</v>
      </c>
      <c r="E1599" s="43">
        <f t="shared" si="49"/>
        <v>-9000</v>
      </c>
    </row>
    <row r="1600" spans="1:5" x14ac:dyDescent="0.2">
      <c r="A1600" s="42">
        <v>35644</v>
      </c>
      <c r="B1600" s="43">
        <f>VLOOKUP(A1600,Database!F:H,3,)</f>
        <v>320000</v>
      </c>
      <c r="C1600" s="43">
        <f t="shared" si="48"/>
        <v>14000</v>
      </c>
      <c r="D1600" s="43">
        <f>VLOOKUP(A1600,Database!F:H,2,)</f>
        <v>2235000</v>
      </c>
      <c r="E1600" s="43">
        <f t="shared" si="49"/>
        <v>-24000</v>
      </c>
    </row>
    <row r="1601" spans="1:5" x14ac:dyDescent="0.2">
      <c r="A1601" s="42">
        <v>35651</v>
      </c>
      <c r="B1601" s="43">
        <f>VLOOKUP(A1601,Database!F:H,3,)</f>
        <v>329000</v>
      </c>
      <c r="C1601" s="43">
        <f t="shared" si="48"/>
        <v>9000</v>
      </c>
      <c r="D1601" s="43">
        <f>VLOOKUP(A1601,Database!F:H,2,)</f>
        <v>2270000</v>
      </c>
      <c r="E1601" s="43">
        <f t="shared" si="49"/>
        <v>35000</v>
      </c>
    </row>
    <row r="1602" spans="1:5" x14ac:dyDescent="0.2">
      <c r="A1602" s="42">
        <v>35658</v>
      </c>
      <c r="B1602" s="43">
        <f>VLOOKUP(A1602,Database!F:H,3,)</f>
        <v>343000</v>
      </c>
      <c r="C1602" s="43">
        <f t="shared" si="48"/>
        <v>14000</v>
      </c>
      <c r="D1602" s="43">
        <f>VLOOKUP(A1602,Database!F:H,2,)</f>
        <v>2290000</v>
      </c>
      <c r="E1602" s="43">
        <f t="shared" si="49"/>
        <v>20000</v>
      </c>
    </row>
    <row r="1603" spans="1:5" x14ac:dyDescent="0.2">
      <c r="A1603" s="42">
        <v>35665</v>
      </c>
      <c r="B1603" s="43">
        <f>VLOOKUP(A1603,Database!F:H,3,)</f>
        <v>327000</v>
      </c>
      <c r="C1603" s="43">
        <f t="shared" si="48"/>
        <v>-16000</v>
      </c>
      <c r="D1603" s="43">
        <f>VLOOKUP(A1603,Database!F:H,2,)</f>
        <v>2283000</v>
      </c>
      <c r="E1603" s="43">
        <f t="shared" si="49"/>
        <v>-7000</v>
      </c>
    </row>
    <row r="1604" spans="1:5" x14ac:dyDescent="0.2">
      <c r="A1604" s="42">
        <v>35672</v>
      </c>
      <c r="B1604" s="43">
        <f>VLOOKUP(A1604,Database!F:H,3,)</f>
        <v>332000</v>
      </c>
      <c r="C1604" s="43">
        <f t="shared" si="48"/>
        <v>5000</v>
      </c>
      <c r="D1604" s="43">
        <f>VLOOKUP(A1604,Database!F:H,2,)</f>
        <v>2284000</v>
      </c>
      <c r="E1604" s="43">
        <f t="shared" si="49"/>
        <v>1000</v>
      </c>
    </row>
    <row r="1605" spans="1:5" x14ac:dyDescent="0.2">
      <c r="A1605" s="42">
        <v>35679</v>
      </c>
      <c r="B1605" s="43">
        <f>VLOOKUP(A1605,Database!F:H,3,)</f>
        <v>313000</v>
      </c>
      <c r="C1605" s="43">
        <f t="shared" si="48"/>
        <v>-19000</v>
      </c>
      <c r="D1605" s="43">
        <f>VLOOKUP(A1605,Database!F:H,2,)</f>
        <v>2265000</v>
      </c>
      <c r="E1605" s="43">
        <f t="shared" si="49"/>
        <v>-19000</v>
      </c>
    </row>
    <row r="1606" spans="1:5" x14ac:dyDescent="0.2">
      <c r="A1606" s="42">
        <v>35686</v>
      </c>
      <c r="B1606" s="43">
        <f>VLOOKUP(A1606,Database!F:H,3,)</f>
        <v>314000</v>
      </c>
      <c r="C1606" s="43">
        <f t="shared" si="48"/>
        <v>1000</v>
      </c>
      <c r="D1606" s="43">
        <f>VLOOKUP(A1606,Database!F:H,2,)</f>
        <v>2200000</v>
      </c>
      <c r="E1606" s="43">
        <f t="shared" si="49"/>
        <v>-65000</v>
      </c>
    </row>
    <row r="1607" spans="1:5" x14ac:dyDescent="0.2">
      <c r="A1607" s="42">
        <v>35693</v>
      </c>
      <c r="B1607" s="43">
        <f>VLOOKUP(A1607,Database!F:H,3,)</f>
        <v>317000</v>
      </c>
      <c r="C1607" s="43">
        <f t="shared" si="48"/>
        <v>3000</v>
      </c>
      <c r="D1607" s="43">
        <f>VLOOKUP(A1607,Database!F:H,2,)</f>
        <v>2241000</v>
      </c>
      <c r="E1607" s="43">
        <f t="shared" si="49"/>
        <v>41000</v>
      </c>
    </row>
    <row r="1608" spans="1:5" x14ac:dyDescent="0.2">
      <c r="A1608" s="42">
        <v>35700</v>
      </c>
      <c r="B1608" s="43">
        <f>VLOOKUP(A1608,Database!F:H,3,)</f>
        <v>317000</v>
      </c>
      <c r="C1608" s="43">
        <f t="shared" ref="C1608:C1671" si="50">B1608-B1607</f>
        <v>0</v>
      </c>
      <c r="D1608" s="43">
        <f>VLOOKUP(A1608,Database!F:H,2,)</f>
        <v>2233000</v>
      </c>
      <c r="E1608" s="43">
        <f t="shared" ref="E1608:E1671" si="51">D1608-D1607</f>
        <v>-8000</v>
      </c>
    </row>
    <row r="1609" spans="1:5" x14ac:dyDescent="0.2">
      <c r="A1609" s="42">
        <v>35707</v>
      </c>
      <c r="B1609" s="43">
        <f>VLOOKUP(A1609,Database!F:H,3,)</f>
        <v>311000</v>
      </c>
      <c r="C1609" s="43">
        <f t="shared" si="50"/>
        <v>-6000</v>
      </c>
      <c r="D1609" s="43">
        <f>VLOOKUP(A1609,Database!F:H,2,)</f>
        <v>2239000</v>
      </c>
      <c r="E1609" s="43">
        <f t="shared" si="51"/>
        <v>6000</v>
      </c>
    </row>
    <row r="1610" spans="1:5" x14ac:dyDescent="0.2">
      <c r="A1610" s="42">
        <v>35714</v>
      </c>
      <c r="B1610" s="43">
        <f>VLOOKUP(A1610,Database!F:H,3,)</f>
        <v>305000</v>
      </c>
      <c r="C1610" s="43">
        <f t="shared" si="50"/>
        <v>-6000</v>
      </c>
      <c r="D1610" s="43">
        <f>VLOOKUP(A1610,Database!F:H,2,)</f>
        <v>2213000</v>
      </c>
      <c r="E1610" s="43">
        <f t="shared" si="51"/>
        <v>-26000</v>
      </c>
    </row>
    <row r="1611" spans="1:5" x14ac:dyDescent="0.2">
      <c r="A1611" s="42">
        <v>35721</v>
      </c>
      <c r="B1611" s="43">
        <f>VLOOKUP(A1611,Database!F:H,3,)</f>
        <v>318000</v>
      </c>
      <c r="C1611" s="43">
        <f t="shared" si="50"/>
        <v>13000</v>
      </c>
      <c r="D1611" s="43">
        <f>VLOOKUP(A1611,Database!F:H,2,)</f>
        <v>2182000</v>
      </c>
      <c r="E1611" s="43">
        <f t="shared" si="51"/>
        <v>-31000</v>
      </c>
    </row>
    <row r="1612" spans="1:5" x14ac:dyDescent="0.2">
      <c r="A1612" s="42">
        <v>35728</v>
      </c>
      <c r="B1612" s="43">
        <f>VLOOKUP(A1612,Database!F:H,3,)</f>
        <v>306000</v>
      </c>
      <c r="C1612" s="43">
        <f t="shared" si="50"/>
        <v>-12000</v>
      </c>
      <c r="D1612" s="43">
        <f>VLOOKUP(A1612,Database!F:H,2,)</f>
        <v>2228000</v>
      </c>
      <c r="E1612" s="43">
        <f t="shared" si="51"/>
        <v>46000</v>
      </c>
    </row>
    <row r="1613" spans="1:5" x14ac:dyDescent="0.2">
      <c r="A1613" s="42">
        <v>35735</v>
      </c>
      <c r="B1613" s="43">
        <f>VLOOKUP(A1613,Database!F:H,3,)</f>
        <v>313000</v>
      </c>
      <c r="C1613" s="43">
        <f t="shared" si="50"/>
        <v>7000</v>
      </c>
      <c r="D1613" s="43">
        <f>VLOOKUP(A1613,Database!F:H,2,)</f>
        <v>2201000</v>
      </c>
      <c r="E1613" s="43">
        <f t="shared" si="51"/>
        <v>-27000</v>
      </c>
    </row>
    <row r="1614" spans="1:5" x14ac:dyDescent="0.2">
      <c r="A1614" s="42">
        <v>35742</v>
      </c>
      <c r="B1614" s="43">
        <f>VLOOKUP(A1614,Database!F:H,3,)</f>
        <v>308000</v>
      </c>
      <c r="C1614" s="43">
        <f t="shared" si="50"/>
        <v>-5000</v>
      </c>
      <c r="D1614" s="43">
        <f>VLOOKUP(A1614,Database!F:H,2,)</f>
        <v>2207000</v>
      </c>
      <c r="E1614" s="43">
        <f t="shared" si="51"/>
        <v>6000</v>
      </c>
    </row>
    <row r="1615" spans="1:5" x14ac:dyDescent="0.2">
      <c r="A1615" s="42">
        <v>35749</v>
      </c>
      <c r="B1615" s="43">
        <f>VLOOKUP(A1615,Database!F:H,3,)</f>
        <v>325000</v>
      </c>
      <c r="C1615" s="43">
        <f t="shared" si="50"/>
        <v>17000</v>
      </c>
      <c r="D1615" s="43">
        <f>VLOOKUP(A1615,Database!F:H,2,)</f>
        <v>2209000</v>
      </c>
      <c r="E1615" s="43">
        <f t="shared" si="51"/>
        <v>2000</v>
      </c>
    </row>
    <row r="1616" spans="1:5" x14ac:dyDescent="0.2">
      <c r="A1616" s="42">
        <v>35756</v>
      </c>
      <c r="B1616" s="43">
        <f>VLOOKUP(A1616,Database!F:H,3,)</f>
        <v>309000</v>
      </c>
      <c r="C1616" s="43">
        <f t="shared" si="50"/>
        <v>-16000</v>
      </c>
      <c r="D1616" s="43">
        <f>VLOOKUP(A1616,Database!F:H,2,)</f>
        <v>2216000</v>
      </c>
      <c r="E1616" s="43">
        <f t="shared" si="51"/>
        <v>7000</v>
      </c>
    </row>
    <row r="1617" spans="1:5" x14ac:dyDescent="0.2">
      <c r="A1617" s="42">
        <v>35763</v>
      </c>
      <c r="B1617" s="43">
        <f>VLOOKUP(A1617,Database!F:H,3,)</f>
        <v>318000</v>
      </c>
      <c r="C1617" s="43">
        <f t="shared" si="50"/>
        <v>9000</v>
      </c>
      <c r="D1617" s="43">
        <f>VLOOKUP(A1617,Database!F:H,2,)</f>
        <v>2242000</v>
      </c>
      <c r="E1617" s="43">
        <f t="shared" si="51"/>
        <v>26000</v>
      </c>
    </row>
    <row r="1618" spans="1:5" x14ac:dyDescent="0.2">
      <c r="A1618" s="42">
        <v>35770</v>
      </c>
      <c r="B1618" s="43">
        <f>VLOOKUP(A1618,Database!F:H,3,)</f>
        <v>317000</v>
      </c>
      <c r="C1618" s="43">
        <f t="shared" si="50"/>
        <v>-1000</v>
      </c>
      <c r="D1618" s="43">
        <f>VLOOKUP(A1618,Database!F:H,2,)</f>
        <v>2230000</v>
      </c>
      <c r="E1618" s="43">
        <f t="shared" si="51"/>
        <v>-12000</v>
      </c>
    </row>
    <row r="1619" spans="1:5" x14ac:dyDescent="0.2">
      <c r="A1619" s="42">
        <v>35777</v>
      </c>
      <c r="B1619" s="43">
        <f>VLOOKUP(A1619,Database!F:H,3,)</f>
        <v>323000</v>
      </c>
      <c r="C1619" s="43">
        <f t="shared" si="50"/>
        <v>6000</v>
      </c>
      <c r="D1619" s="43">
        <f>VLOOKUP(A1619,Database!F:H,2,)</f>
        <v>2231000</v>
      </c>
      <c r="E1619" s="43">
        <f t="shared" si="51"/>
        <v>1000</v>
      </c>
    </row>
    <row r="1620" spans="1:5" x14ac:dyDescent="0.2">
      <c r="A1620" s="42">
        <v>35784</v>
      </c>
      <c r="B1620" s="43">
        <f>VLOOKUP(A1620,Database!F:H,3,)</f>
        <v>310000</v>
      </c>
      <c r="C1620" s="43">
        <f t="shared" si="50"/>
        <v>-13000</v>
      </c>
      <c r="D1620" s="43">
        <f>VLOOKUP(A1620,Database!F:H,2,)</f>
        <v>2189000</v>
      </c>
      <c r="E1620" s="43">
        <f t="shared" si="51"/>
        <v>-42000</v>
      </c>
    </row>
    <row r="1621" spans="1:5" x14ac:dyDescent="0.2">
      <c r="A1621" s="42">
        <v>35791</v>
      </c>
      <c r="B1621" s="43">
        <f>VLOOKUP(A1621,Database!F:H,3,)</f>
        <v>303000</v>
      </c>
      <c r="C1621" s="43">
        <f t="shared" si="50"/>
        <v>-7000</v>
      </c>
      <c r="D1621" s="43">
        <f>VLOOKUP(A1621,Database!F:H,2,)</f>
        <v>2291000</v>
      </c>
      <c r="E1621" s="43">
        <f t="shared" si="51"/>
        <v>102000</v>
      </c>
    </row>
    <row r="1622" spans="1:5" x14ac:dyDescent="0.2">
      <c r="A1622" s="42">
        <v>35798</v>
      </c>
      <c r="B1622" s="43">
        <f>VLOOKUP(A1622,Database!F:H,3,)</f>
        <v>312000</v>
      </c>
      <c r="C1622" s="43">
        <f t="shared" si="50"/>
        <v>9000</v>
      </c>
      <c r="D1622" s="43">
        <f>VLOOKUP(A1622,Database!F:H,2,)</f>
        <v>2369000</v>
      </c>
      <c r="E1622" s="43">
        <f t="shared" si="51"/>
        <v>78000</v>
      </c>
    </row>
    <row r="1623" spans="1:5" x14ac:dyDescent="0.2">
      <c r="A1623" s="42">
        <v>35805</v>
      </c>
      <c r="B1623" s="43">
        <f>VLOOKUP(A1623,Database!F:H,3,)</f>
        <v>331000</v>
      </c>
      <c r="C1623" s="43">
        <f t="shared" si="50"/>
        <v>19000</v>
      </c>
      <c r="D1623" s="43">
        <f>VLOOKUP(A1623,Database!F:H,2,)</f>
        <v>2291000</v>
      </c>
      <c r="E1623" s="43">
        <f t="shared" si="51"/>
        <v>-78000</v>
      </c>
    </row>
    <row r="1624" spans="1:5" x14ac:dyDescent="0.2">
      <c r="A1624" s="42">
        <v>35812</v>
      </c>
      <c r="B1624" s="43">
        <f>VLOOKUP(A1624,Database!F:H,3,)</f>
        <v>341000</v>
      </c>
      <c r="C1624" s="43">
        <f t="shared" si="50"/>
        <v>10000</v>
      </c>
      <c r="D1624" s="43">
        <f>VLOOKUP(A1624,Database!F:H,2,)</f>
        <v>2241000</v>
      </c>
      <c r="E1624" s="43">
        <f t="shared" si="51"/>
        <v>-50000</v>
      </c>
    </row>
    <row r="1625" spans="1:5" x14ac:dyDescent="0.2">
      <c r="A1625" s="42">
        <v>35819</v>
      </c>
      <c r="B1625" s="43">
        <f>VLOOKUP(A1625,Database!F:H,3,)</f>
        <v>307000</v>
      </c>
      <c r="C1625" s="43">
        <f t="shared" si="50"/>
        <v>-34000</v>
      </c>
      <c r="D1625" s="43">
        <f>VLOOKUP(A1625,Database!F:H,2,)</f>
        <v>2275000</v>
      </c>
      <c r="E1625" s="43">
        <f t="shared" si="51"/>
        <v>34000</v>
      </c>
    </row>
    <row r="1626" spans="1:5" x14ac:dyDescent="0.2">
      <c r="A1626" s="42">
        <v>35826</v>
      </c>
      <c r="B1626" s="43">
        <f>VLOOKUP(A1626,Database!F:H,3,)</f>
        <v>315000</v>
      </c>
      <c r="C1626" s="43">
        <f t="shared" si="50"/>
        <v>8000</v>
      </c>
      <c r="D1626" s="43">
        <f>VLOOKUP(A1626,Database!F:H,2,)</f>
        <v>2200000</v>
      </c>
      <c r="E1626" s="43">
        <f t="shared" si="51"/>
        <v>-75000</v>
      </c>
    </row>
    <row r="1627" spans="1:5" x14ac:dyDescent="0.2">
      <c r="A1627" s="42">
        <v>35833</v>
      </c>
      <c r="B1627" s="43">
        <f>VLOOKUP(A1627,Database!F:H,3,)</f>
        <v>311000</v>
      </c>
      <c r="C1627" s="43">
        <f t="shared" si="50"/>
        <v>-4000</v>
      </c>
      <c r="D1627" s="43">
        <f>VLOOKUP(A1627,Database!F:H,2,)</f>
        <v>2253000</v>
      </c>
      <c r="E1627" s="43">
        <f t="shared" si="51"/>
        <v>53000</v>
      </c>
    </row>
    <row r="1628" spans="1:5" x14ac:dyDescent="0.2">
      <c r="A1628" s="42">
        <v>35840</v>
      </c>
      <c r="B1628" s="43">
        <f>VLOOKUP(A1628,Database!F:H,3,)</f>
        <v>321000</v>
      </c>
      <c r="C1628" s="43">
        <f t="shared" si="50"/>
        <v>10000</v>
      </c>
      <c r="D1628" s="43">
        <f>VLOOKUP(A1628,Database!F:H,2,)</f>
        <v>2227000</v>
      </c>
      <c r="E1628" s="43">
        <f t="shared" si="51"/>
        <v>-26000</v>
      </c>
    </row>
    <row r="1629" spans="1:5" x14ac:dyDescent="0.2">
      <c r="A1629" s="42">
        <v>35847</v>
      </c>
      <c r="B1629" s="43">
        <f>VLOOKUP(A1629,Database!F:H,3,)</f>
        <v>327000</v>
      </c>
      <c r="C1629" s="43">
        <f t="shared" si="50"/>
        <v>6000</v>
      </c>
      <c r="D1629" s="43">
        <f>VLOOKUP(A1629,Database!F:H,2,)</f>
        <v>2208000</v>
      </c>
      <c r="E1629" s="43">
        <f t="shared" si="51"/>
        <v>-19000</v>
      </c>
    </row>
    <row r="1630" spans="1:5" x14ac:dyDescent="0.2">
      <c r="A1630" s="42">
        <v>35854</v>
      </c>
      <c r="B1630" s="43">
        <f>VLOOKUP(A1630,Database!F:H,3,)</f>
        <v>317000</v>
      </c>
      <c r="C1630" s="43">
        <f t="shared" si="50"/>
        <v>-10000</v>
      </c>
      <c r="D1630" s="43">
        <f>VLOOKUP(A1630,Database!F:H,2,)</f>
        <v>2209000</v>
      </c>
      <c r="E1630" s="43">
        <f t="shared" si="51"/>
        <v>1000</v>
      </c>
    </row>
    <row r="1631" spans="1:5" x14ac:dyDescent="0.2">
      <c r="A1631" s="42">
        <v>35861</v>
      </c>
      <c r="B1631" s="43">
        <f>VLOOKUP(A1631,Database!F:H,3,)</f>
        <v>308000</v>
      </c>
      <c r="C1631" s="43">
        <f t="shared" si="50"/>
        <v>-9000</v>
      </c>
      <c r="D1631" s="43">
        <f>VLOOKUP(A1631,Database!F:H,2,)</f>
        <v>2208000</v>
      </c>
      <c r="E1631" s="43">
        <f t="shared" si="51"/>
        <v>-1000</v>
      </c>
    </row>
    <row r="1632" spans="1:5" x14ac:dyDescent="0.2">
      <c r="A1632" s="42">
        <v>35868</v>
      </c>
      <c r="B1632" s="43">
        <f>VLOOKUP(A1632,Database!F:H,3,)</f>
        <v>319000</v>
      </c>
      <c r="C1632" s="43">
        <f t="shared" si="50"/>
        <v>11000</v>
      </c>
      <c r="D1632" s="43">
        <f>VLOOKUP(A1632,Database!F:H,2,)</f>
        <v>2237000</v>
      </c>
      <c r="E1632" s="43">
        <f t="shared" si="51"/>
        <v>29000</v>
      </c>
    </row>
    <row r="1633" spans="1:5" x14ac:dyDescent="0.2">
      <c r="A1633" s="42">
        <v>35875</v>
      </c>
      <c r="B1633" s="43">
        <f>VLOOKUP(A1633,Database!F:H,3,)</f>
        <v>321000</v>
      </c>
      <c r="C1633" s="43">
        <f t="shared" si="50"/>
        <v>2000</v>
      </c>
      <c r="D1633" s="43">
        <f>VLOOKUP(A1633,Database!F:H,2,)</f>
        <v>2227000</v>
      </c>
      <c r="E1633" s="43">
        <f t="shared" si="51"/>
        <v>-10000</v>
      </c>
    </row>
    <row r="1634" spans="1:5" x14ac:dyDescent="0.2">
      <c r="A1634" s="42">
        <v>35882</v>
      </c>
      <c r="B1634" s="43">
        <f>VLOOKUP(A1634,Database!F:H,3,)</f>
        <v>312000</v>
      </c>
      <c r="C1634" s="43">
        <f t="shared" si="50"/>
        <v>-9000</v>
      </c>
      <c r="D1634" s="43">
        <f>VLOOKUP(A1634,Database!F:H,2,)</f>
        <v>2215000</v>
      </c>
      <c r="E1634" s="43">
        <f t="shared" si="51"/>
        <v>-12000</v>
      </c>
    </row>
    <row r="1635" spans="1:5" x14ac:dyDescent="0.2">
      <c r="A1635" s="42">
        <v>35889</v>
      </c>
      <c r="B1635" s="43">
        <f>VLOOKUP(A1635,Database!F:H,3,)</f>
        <v>312000</v>
      </c>
      <c r="C1635" s="43">
        <f t="shared" si="50"/>
        <v>0</v>
      </c>
      <c r="D1635" s="43">
        <f>VLOOKUP(A1635,Database!F:H,2,)</f>
        <v>2166000</v>
      </c>
      <c r="E1635" s="43">
        <f t="shared" si="51"/>
        <v>-49000</v>
      </c>
    </row>
    <row r="1636" spans="1:5" x14ac:dyDescent="0.2">
      <c r="A1636" s="42">
        <v>35896</v>
      </c>
      <c r="B1636" s="43">
        <f>VLOOKUP(A1636,Database!F:H,3,)</f>
        <v>304000</v>
      </c>
      <c r="C1636" s="43">
        <f t="shared" si="50"/>
        <v>-8000</v>
      </c>
      <c r="D1636" s="43">
        <f>VLOOKUP(A1636,Database!F:H,2,)</f>
        <v>2202000</v>
      </c>
      <c r="E1636" s="43">
        <f t="shared" si="51"/>
        <v>36000</v>
      </c>
    </row>
    <row r="1637" spans="1:5" x14ac:dyDescent="0.2">
      <c r="A1637" s="42">
        <v>35903</v>
      </c>
      <c r="B1637" s="43">
        <f>VLOOKUP(A1637,Database!F:H,3,)</f>
        <v>317000</v>
      </c>
      <c r="C1637" s="43">
        <f t="shared" si="50"/>
        <v>13000</v>
      </c>
      <c r="D1637" s="43">
        <f>VLOOKUP(A1637,Database!F:H,2,)</f>
        <v>2210000</v>
      </c>
      <c r="E1637" s="43">
        <f t="shared" si="51"/>
        <v>8000</v>
      </c>
    </row>
    <row r="1638" spans="1:5" x14ac:dyDescent="0.2">
      <c r="A1638" s="42">
        <v>35910</v>
      </c>
      <c r="B1638" s="43">
        <f>VLOOKUP(A1638,Database!F:H,3,)</f>
        <v>311000</v>
      </c>
      <c r="C1638" s="43">
        <f t="shared" si="50"/>
        <v>-6000</v>
      </c>
      <c r="D1638" s="43">
        <f>VLOOKUP(A1638,Database!F:H,2,)</f>
        <v>2152000</v>
      </c>
      <c r="E1638" s="43">
        <f t="shared" si="51"/>
        <v>-58000</v>
      </c>
    </row>
    <row r="1639" spans="1:5" x14ac:dyDescent="0.2">
      <c r="A1639" s="42">
        <v>35917</v>
      </c>
      <c r="B1639" s="43">
        <f>VLOOKUP(A1639,Database!F:H,3,)</f>
        <v>304000</v>
      </c>
      <c r="C1639" s="43">
        <f t="shared" si="50"/>
        <v>-7000</v>
      </c>
      <c r="D1639" s="43">
        <f>VLOOKUP(A1639,Database!F:H,2,)</f>
        <v>2135000</v>
      </c>
      <c r="E1639" s="43">
        <f t="shared" si="51"/>
        <v>-17000</v>
      </c>
    </row>
    <row r="1640" spans="1:5" x14ac:dyDescent="0.2">
      <c r="A1640" s="42">
        <v>35924</v>
      </c>
      <c r="B1640" s="43">
        <f>VLOOKUP(A1640,Database!F:H,3,)</f>
        <v>306000</v>
      </c>
      <c r="C1640" s="43">
        <f t="shared" si="50"/>
        <v>2000</v>
      </c>
      <c r="D1640" s="43">
        <f>VLOOKUP(A1640,Database!F:H,2,)</f>
        <v>2140000</v>
      </c>
      <c r="E1640" s="43">
        <f t="shared" si="51"/>
        <v>5000</v>
      </c>
    </row>
    <row r="1641" spans="1:5" x14ac:dyDescent="0.2">
      <c r="A1641" s="42">
        <v>35931</v>
      </c>
      <c r="B1641" s="43">
        <f>VLOOKUP(A1641,Database!F:H,3,)</f>
        <v>315000</v>
      </c>
      <c r="C1641" s="43">
        <f t="shared" si="50"/>
        <v>9000</v>
      </c>
      <c r="D1641" s="43">
        <f>VLOOKUP(A1641,Database!F:H,2,)</f>
        <v>2118000</v>
      </c>
      <c r="E1641" s="43">
        <f t="shared" si="51"/>
        <v>-22000</v>
      </c>
    </row>
    <row r="1642" spans="1:5" x14ac:dyDescent="0.2">
      <c r="A1642" s="42">
        <v>35938</v>
      </c>
      <c r="B1642" s="43">
        <f>VLOOKUP(A1642,Database!F:H,3,)</f>
        <v>309000</v>
      </c>
      <c r="C1642" s="43">
        <f t="shared" si="50"/>
        <v>-6000</v>
      </c>
      <c r="D1642" s="43">
        <f>VLOOKUP(A1642,Database!F:H,2,)</f>
        <v>2134000</v>
      </c>
      <c r="E1642" s="43">
        <f t="shared" si="51"/>
        <v>16000</v>
      </c>
    </row>
    <row r="1643" spans="1:5" x14ac:dyDescent="0.2">
      <c r="A1643" s="42">
        <v>35945</v>
      </c>
      <c r="B1643" s="43">
        <f>VLOOKUP(A1643,Database!F:H,3,)</f>
        <v>322000</v>
      </c>
      <c r="C1643" s="43">
        <f t="shared" si="50"/>
        <v>13000</v>
      </c>
      <c r="D1643" s="43">
        <f>VLOOKUP(A1643,Database!F:H,2,)</f>
        <v>2146000</v>
      </c>
      <c r="E1643" s="43">
        <f t="shared" si="51"/>
        <v>12000</v>
      </c>
    </row>
    <row r="1644" spans="1:5" x14ac:dyDescent="0.2">
      <c r="A1644" s="42">
        <v>35952</v>
      </c>
      <c r="B1644" s="43">
        <f>VLOOKUP(A1644,Database!F:H,3,)</f>
        <v>306000</v>
      </c>
      <c r="C1644" s="43">
        <f t="shared" si="50"/>
        <v>-16000</v>
      </c>
      <c r="D1644" s="43">
        <f>VLOOKUP(A1644,Database!F:H,2,)</f>
        <v>2122000</v>
      </c>
      <c r="E1644" s="43">
        <f t="shared" si="51"/>
        <v>-24000</v>
      </c>
    </row>
    <row r="1645" spans="1:5" x14ac:dyDescent="0.2">
      <c r="A1645" s="42">
        <v>35959</v>
      </c>
      <c r="B1645" s="43">
        <f>VLOOKUP(A1645,Database!F:H,3,)</f>
        <v>321000</v>
      </c>
      <c r="C1645" s="43">
        <f t="shared" si="50"/>
        <v>15000</v>
      </c>
      <c r="D1645" s="43">
        <f>VLOOKUP(A1645,Database!F:H,2,)</f>
        <v>2159000</v>
      </c>
      <c r="E1645" s="43">
        <f t="shared" si="51"/>
        <v>37000</v>
      </c>
    </row>
    <row r="1646" spans="1:5" x14ac:dyDescent="0.2">
      <c r="A1646" s="42">
        <v>35966</v>
      </c>
      <c r="B1646" s="43">
        <f>VLOOKUP(A1646,Database!F:H,3,)</f>
        <v>349000</v>
      </c>
      <c r="C1646" s="43">
        <f t="shared" si="50"/>
        <v>28000</v>
      </c>
      <c r="D1646" s="43">
        <f>VLOOKUP(A1646,Database!F:H,2,)</f>
        <v>2188000</v>
      </c>
      <c r="E1646" s="43">
        <f t="shared" si="51"/>
        <v>29000</v>
      </c>
    </row>
    <row r="1647" spans="1:5" x14ac:dyDescent="0.2">
      <c r="A1647" s="42">
        <v>35973</v>
      </c>
      <c r="B1647" s="43">
        <f>VLOOKUP(A1647,Database!F:H,3,)</f>
        <v>376000</v>
      </c>
      <c r="C1647" s="43">
        <f t="shared" si="50"/>
        <v>27000</v>
      </c>
      <c r="D1647" s="43">
        <f>VLOOKUP(A1647,Database!F:H,2,)</f>
        <v>2388000</v>
      </c>
      <c r="E1647" s="43">
        <f t="shared" si="51"/>
        <v>200000</v>
      </c>
    </row>
    <row r="1648" spans="1:5" x14ac:dyDescent="0.2">
      <c r="A1648" s="42">
        <v>35980</v>
      </c>
      <c r="B1648" s="43">
        <f>VLOOKUP(A1648,Database!F:H,3,)</f>
        <v>362000</v>
      </c>
      <c r="C1648" s="43">
        <f t="shared" si="50"/>
        <v>-14000</v>
      </c>
      <c r="D1648" s="43">
        <f>VLOOKUP(A1648,Database!F:H,2,)</f>
        <v>2290000</v>
      </c>
      <c r="E1648" s="43">
        <f t="shared" si="51"/>
        <v>-98000</v>
      </c>
    </row>
    <row r="1649" spans="1:5" x14ac:dyDescent="0.2">
      <c r="A1649" s="42">
        <v>35987</v>
      </c>
      <c r="B1649" s="43">
        <f>VLOOKUP(A1649,Database!F:H,3,)</f>
        <v>320000</v>
      </c>
      <c r="C1649" s="43">
        <f t="shared" si="50"/>
        <v>-42000</v>
      </c>
      <c r="D1649" s="43">
        <f>VLOOKUP(A1649,Database!F:H,2,)</f>
        <v>2323000</v>
      </c>
      <c r="E1649" s="43">
        <f t="shared" si="51"/>
        <v>33000</v>
      </c>
    </row>
    <row r="1650" spans="1:5" x14ac:dyDescent="0.2">
      <c r="A1650" s="42">
        <v>35994</v>
      </c>
      <c r="B1650" s="43">
        <f>VLOOKUP(A1650,Database!F:H,3,)</f>
        <v>315000</v>
      </c>
      <c r="C1650" s="43">
        <f t="shared" si="50"/>
        <v>-5000</v>
      </c>
      <c r="D1650" s="43">
        <f>VLOOKUP(A1650,Database!F:H,2,)</f>
        <v>2339000</v>
      </c>
      <c r="E1650" s="43">
        <f t="shared" si="51"/>
        <v>16000</v>
      </c>
    </row>
    <row r="1651" spans="1:5" x14ac:dyDescent="0.2">
      <c r="A1651" s="42">
        <v>36001</v>
      </c>
      <c r="B1651" s="43">
        <f>VLOOKUP(A1651,Database!F:H,3,)</f>
        <v>335000</v>
      </c>
      <c r="C1651" s="43">
        <f t="shared" si="50"/>
        <v>20000</v>
      </c>
      <c r="D1651" s="43">
        <f>VLOOKUP(A1651,Database!F:H,2,)</f>
        <v>2383000</v>
      </c>
      <c r="E1651" s="43">
        <f t="shared" si="51"/>
        <v>44000</v>
      </c>
    </row>
    <row r="1652" spans="1:5" x14ac:dyDescent="0.2">
      <c r="A1652" s="42">
        <v>36008</v>
      </c>
      <c r="B1652" s="43">
        <f>VLOOKUP(A1652,Database!F:H,3,)</f>
        <v>327000</v>
      </c>
      <c r="C1652" s="43">
        <f t="shared" si="50"/>
        <v>-8000</v>
      </c>
      <c r="D1652" s="43">
        <f>VLOOKUP(A1652,Database!F:H,2,)</f>
        <v>2336000</v>
      </c>
      <c r="E1652" s="43">
        <f t="shared" si="51"/>
        <v>-47000</v>
      </c>
    </row>
    <row r="1653" spans="1:5" x14ac:dyDescent="0.2">
      <c r="A1653" s="42">
        <v>36015</v>
      </c>
      <c r="B1653" s="43">
        <f>VLOOKUP(A1653,Database!F:H,3,)</f>
        <v>316000</v>
      </c>
      <c r="C1653" s="43">
        <f t="shared" si="50"/>
        <v>-11000</v>
      </c>
      <c r="D1653" s="43">
        <f>VLOOKUP(A1653,Database!F:H,2,)</f>
        <v>2258000</v>
      </c>
      <c r="E1653" s="43">
        <f t="shared" si="51"/>
        <v>-78000</v>
      </c>
    </row>
    <row r="1654" spans="1:5" x14ac:dyDescent="0.2">
      <c r="A1654" s="42">
        <v>36022</v>
      </c>
      <c r="B1654" s="43">
        <f>VLOOKUP(A1654,Database!F:H,3,)</f>
        <v>308000</v>
      </c>
      <c r="C1654" s="43">
        <f t="shared" si="50"/>
        <v>-8000</v>
      </c>
      <c r="D1654" s="43">
        <f>VLOOKUP(A1654,Database!F:H,2,)</f>
        <v>2210000</v>
      </c>
      <c r="E1654" s="43">
        <f t="shared" si="51"/>
        <v>-48000</v>
      </c>
    </row>
    <row r="1655" spans="1:5" x14ac:dyDescent="0.2">
      <c r="A1655" s="42">
        <v>36029</v>
      </c>
      <c r="B1655" s="43">
        <f>VLOOKUP(A1655,Database!F:H,3,)</f>
        <v>302000</v>
      </c>
      <c r="C1655" s="43">
        <f t="shared" si="50"/>
        <v>-6000</v>
      </c>
      <c r="D1655" s="43">
        <f>VLOOKUP(A1655,Database!F:H,2,)</f>
        <v>2202000</v>
      </c>
      <c r="E1655" s="43">
        <f t="shared" si="51"/>
        <v>-8000</v>
      </c>
    </row>
    <row r="1656" spans="1:5" x14ac:dyDescent="0.2">
      <c r="A1656" s="42">
        <v>36036</v>
      </c>
      <c r="B1656" s="43">
        <f>VLOOKUP(A1656,Database!F:H,3,)</f>
        <v>310000</v>
      </c>
      <c r="C1656" s="43">
        <f t="shared" si="50"/>
        <v>8000</v>
      </c>
      <c r="D1656" s="43">
        <f>VLOOKUP(A1656,Database!F:H,2,)</f>
        <v>2182000</v>
      </c>
      <c r="E1656" s="43">
        <f t="shared" si="51"/>
        <v>-20000</v>
      </c>
    </row>
    <row r="1657" spans="1:5" x14ac:dyDescent="0.2">
      <c r="A1657" s="42">
        <v>36043</v>
      </c>
      <c r="B1657" s="43">
        <f>VLOOKUP(A1657,Database!F:H,3,)</f>
        <v>313000</v>
      </c>
      <c r="C1657" s="43">
        <f t="shared" si="50"/>
        <v>3000</v>
      </c>
      <c r="D1657" s="43">
        <f>VLOOKUP(A1657,Database!F:H,2,)</f>
        <v>2160000</v>
      </c>
      <c r="E1657" s="43">
        <f t="shared" si="51"/>
        <v>-22000</v>
      </c>
    </row>
    <row r="1658" spans="1:5" x14ac:dyDescent="0.2">
      <c r="A1658" s="42">
        <v>36050</v>
      </c>
      <c r="B1658" s="43">
        <f>VLOOKUP(A1658,Database!F:H,3,)</f>
        <v>304000</v>
      </c>
      <c r="C1658" s="43">
        <f t="shared" si="50"/>
        <v>-9000</v>
      </c>
      <c r="D1658" s="43">
        <f>VLOOKUP(A1658,Database!F:H,2,)</f>
        <v>2190000</v>
      </c>
      <c r="E1658" s="43">
        <f t="shared" si="51"/>
        <v>30000</v>
      </c>
    </row>
    <row r="1659" spans="1:5" x14ac:dyDescent="0.2">
      <c r="A1659" s="42">
        <v>36057</v>
      </c>
      <c r="B1659" s="43">
        <f>VLOOKUP(A1659,Database!F:H,3,)</f>
        <v>305000</v>
      </c>
      <c r="C1659" s="43">
        <f t="shared" si="50"/>
        <v>1000</v>
      </c>
      <c r="D1659" s="43">
        <f>VLOOKUP(A1659,Database!F:H,2,)</f>
        <v>2114000</v>
      </c>
      <c r="E1659" s="43">
        <f t="shared" si="51"/>
        <v>-76000</v>
      </c>
    </row>
    <row r="1660" spans="1:5" x14ac:dyDescent="0.2">
      <c r="A1660" s="42">
        <v>36064</v>
      </c>
      <c r="B1660" s="43">
        <f>VLOOKUP(A1660,Database!F:H,3,)</f>
        <v>294000</v>
      </c>
      <c r="C1660" s="43">
        <f t="shared" si="50"/>
        <v>-11000</v>
      </c>
      <c r="D1660" s="43">
        <f>VLOOKUP(A1660,Database!F:H,2,)</f>
        <v>2148000</v>
      </c>
      <c r="E1660" s="43">
        <f t="shared" si="51"/>
        <v>34000</v>
      </c>
    </row>
    <row r="1661" spans="1:5" x14ac:dyDescent="0.2">
      <c r="A1661" s="42">
        <v>36071</v>
      </c>
      <c r="B1661" s="43">
        <f>VLOOKUP(A1661,Database!F:H,3,)</f>
        <v>302000</v>
      </c>
      <c r="C1661" s="43">
        <f t="shared" si="50"/>
        <v>8000</v>
      </c>
      <c r="D1661" s="43">
        <f>VLOOKUP(A1661,Database!F:H,2,)</f>
        <v>2156000</v>
      </c>
      <c r="E1661" s="43">
        <f t="shared" si="51"/>
        <v>8000</v>
      </c>
    </row>
    <row r="1662" spans="1:5" x14ac:dyDescent="0.2">
      <c r="A1662" s="42">
        <v>36078</v>
      </c>
      <c r="B1662" s="43">
        <f>VLOOKUP(A1662,Database!F:H,3,)</f>
        <v>316000</v>
      </c>
      <c r="C1662" s="43">
        <f t="shared" si="50"/>
        <v>14000</v>
      </c>
      <c r="D1662" s="43">
        <f>VLOOKUP(A1662,Database!F:H,2,)</f>
        <v>2167000</v>
      </c>
      <c r="E1662" s="43">
        <f t="shared" si="51"/>
        <v>11000</v>
      </c>
    </row>
    <row r="1663" spans="1:5" x14ac:dyDescent="0.2">
      <c r="A1663" s="42">
        <v>36085</v>
      </c>
      <c r="B1663" s="43">
        <f>VLOOKUP(A1663,Database!F:H,3,)</f>
        <v>318000</v>
      </c>
      <c r="C1663" s="43">
        <f t="shared" si="50"/>
        <v>2000</v>
      </c>
      <c r="D1663" s="43">
        <f>VLOOKUP(A1663,Database!F:H,2,)</f>
        <v>2168000</v>
      </c>
      <c r="E1663" s="43">
        <f t="shared" si="51"/>
        <v>1000</v>
      </c>
    </row>
    <row r="1664" spans="1:5" x14ac:dyDescent="0.2">
      <c r="A1664" s="42">
        <v>36092</v>
      </c>
      <c r="B1664" s="43">
        <f>VLOOKUP(A1664,Database!F:H,3,)</f>
        <v>309000</v>
      </c>
      <c r="C1664" s="43">
        <f t="shared" si="50"/>
        <v>-9000</v>
      </c>
      <c r="D1664" s="43">
        <f>VLOOKUP(A1664,Database!F:H,2,)</f>
        <v>2169000</v>
      </c>
      <c r="E1664" s="43">
        <f t="shared" si="51"/>
        <v>1000</v>
      </c>
    </row>
    <row r="1665" spans="1:5" x14ac:dyDescent="0.2">
      <c r="A1665" s="42">
        <v>36099</v>
      </c>
      <c r="B1665" s="43">
        <f>VLOOKUP(A1665,Database!F:H,3,)</f>
        <v>308000</v>
      </c>
      <c r="C1665" s="43">
        <f t="shared" si="50"/>
        <v>-1000</v>
      </c>
      <c r="D1665" s="43">
        <f>VLOOKUP(A1665,Database!F:H,2,)</f>
        <v>2162000</v>
      </c>
      <c r="E1665" s="43">
        <f t="shared" si="51"/>
        <v>-7000</v>
      </c>
    </row>
    <row r="1666" spans="1:5" x14ac:dyDescent="0.2">
      <c r="A1666" s="42">
        <v>36106</v>
      </c>
      <c r="B1666" s="43">
        <f>VLOOKUP(A1666,Database!F:H,3,)</f>
        <v>316000</v>
      </c>
      <c r="C1666" s="43">
        <f t="shared" si="50"/>
        <v>8000</v>
      </c>
      <c r="D1666" s="43">
        <f>VLOOKUP(A1666,Database!F:H,2,)</f>
        <v>2195000</v>
      </c>
      <c r="E1666" s="43">
        <f t="shared" si="51"/>
        <v>33000</v>
      </c>
    </row>
    <row r="1667" spans="1:5" x14ac:dyDescent="0.2">
      <c r="A1667" s="42">
        <v>36113</v>
      </c>
      <c r="B1667" s="43">
        <f>VLOOKUP(A1667,Database!F:H,3,)</f>
        <v>334000</v>
      </c>
      <c r="C1667" s="43">
        <f t="shared" si="50"/>
        <v>18000</v>
      </c>
      <c r="D1667" s="43">
        <f>VLOOKUP(A1667,Database!F:H,2,)</f>
        <v>2177000</v>
      </c>
      <c r="E1667" s="43">
        <f t="shared" si="51"/>
        <v>-18000</v>
      </c>
    </row>
    <row r="1668" spans="1:5" x14ac:dyDescent="0.2">
      <c r="A1668" s="42">
        <v>36120</v>
      </c>
      <c r="B1668" s="43">
        <f>VLOOKUP(A1668,Database!F:H,3,)</f>
        <v>304000</v>
      </c>
      <c r="C1668" s="43">
        <f t="shared" si="50"/>
        <v>-30000</v>
      </c>
      <c r="D1668" s="43">
        <f>VLOOKUP(A1668,Database!F:H,2,)</f>
        <v>2207000</v>
      </c>
      <c r="E1668" s="43">
        <f t="shared" si="51"/>
        <v>30000</v>
      </c>
    </row>
    <row r="1669" spans="1:5" x14ac:dyDescent="0.2">
      <c r="A1669" s="42">
        <v>36127</v>
      </c>
      <c r="B1669" s="43">
        <f>VLOOKUP(A1669,Database!F:H,3,)</f>
        <v>310000</v>
      </c>
      <c r="C1669" s="43">
        <f t="shared" si="50"/>
        <v>6000</v>
      </c>
      <c r="D1669" s="43">
        <f>VLOOKUP(A1669,Database!F:H,2,)</f>
        <v>2236000</v>
      </c>
      <c r="E1669" s="43">
        <f t="shared" si="51"/>
        <v>29000</v>
      </c>
    </row>
    <row r="1670" spans="1:5" x14ac:dyDescent="0.2">
      <c r="A1670" s="42">
        <v>36134</v>
      </c>
      <c r="B1670" s="43">
        <f>VLOOKUP(A1670,Database!F:H,3,)</f>
        <v>326000</v>
      </c>
      <c r="C1670" s="43">
        <f t="shared" si="50"/>
        <v>16000</v>
      </c>
      <c r="D1670" s="43">
        <f>VLOOKUP(A1670,Database!F:H,2,)</f>
        <v>2239000</v>
      </c>
      <c r="E1670" s="43">
        <f t="shared" si="51"/>
        <v>3000</v>
      </c>
    </row>
    <row r="1671" spans="1:5" x14ac:dyDescent="0.2">
      <c r="A1671" s="42">
        <v>36141</v>
      </c>
      <c r="B1671" s="43">
        <f>VLOOKUP(A1671,Database!F:H,3,)</f>
        <v>305000</v>
      </c>
      <c r="C1671" s="43">
        <f t="shared" si="50"/>
        <v>-21000</v>
      </c>
      <c r="D1671" s="43">
        <f>VLOOKUP(A1671,Database!F:H,2,)</f>
        <v>2205000</v>
      </c>
      <c r="E1671" s="43">
        <f t="shared" si="51"/>
        <v>-34000</v>
      </c>
    </row>
    <row r="1672" spans="1:5" x14ac:dyDescent="0.2">
      <c r="A1672" s="42">
        <v>36148</v>
      </c>
      <c r="B1672" s="43">
        <f>VLOOKUP(A1672,Database!F:H,3,)</f>
        <v>297000</v>
      </c>
      <c r="C1672" s="43">
        <f t="shared" ref="C1672:C1735" si="52">B1672-B1671</f>
        <v>-8000</v>
      </c>
      <c r="D1672" s="43">
        <f>VLOOKUP(A1672,Database!F:H,2,)</f>
        <v>2171000</v>
      </c>
      <c r="E1672" s="43">
        <f t="shared" ref="E1672:E1735" si="53">D1672-D1671</f>
        <v>-34000</v>
      </c>
    </row>
    <row r="1673" spans="1:5" x14ac:dyDescent="0.2">
      <c r="A1673" s="42">
        <v>36155</v>
      </c>
      <c r="B1673" s="43">
        <f>VLOOKUP(A1673,Database!F:H,3,)</f>
        <v>336000</v>
      </c>
      <c r="C1673" s="43">
        <f t="shared" si="52"/>
        <v>39000</v>
      </c>
      <c r="D1673" s="43">
        <f>VLOOKUP(A1673,Database!F:H,2,)</f>
        <v>2266000</v>
      </c>
      <c r="E1673" s="43">
        <f t="shared" si="53"/>
        <v>95000</v>
      </c>
    </row>
    <row r="1674" spans="1:5" x14ac:dyDescent="0.2">
      <c r="A1674" s="42">
        <v>36162</v>
      </c>
      <c r="B1674" s="43">
        <f>VLOOKUP(A1674,Database!F:H,3,)</f>
        <v>331000</v>
      </c>
      <c r="C1674" s="43">
        <f t="shared" si="52"/>
        <v>-5000</v>
      </c>
      <c r="D1674" s="43">
        <f>VLOOKUP(A1674,Database!F:H,2,)</f>
        <v>2303000</v>
      </c>
      <c r="E1674" s="43">
        <f t="shared" si="53"/>
        <v>37000</v>
      </c>
    </row>
    <row r="1675" spans="1:5" x14ac:dyDescent="0.2">
      <c r="A1675" s="42">
        <v>36169</v>
      </c>
      <c r="B1675" s="43">
        <f>VLOOKUP(A1675,Database!F:H,3,)</f>
        <v>345000</v>
      </c>
      <c r="C1675" s="43">
        <f t="shared" si="52"/>
        <v>14000</v>
      </c>
      <c r="D1675" s="43">
        <f>VLOOKUP(A1675,Database!F:H,2,)</f>
        <v>2289000</v>
      </c>
      <c r="E1675" s="43">
        <f t="shared" si="53"/>
        <v>-14000</v>
      </c>
    </row>
    <row r="1676" spans="1:5" x14ac:dyDescent="0.2">
      <c r="A1676" s="42">
        <v>36176</v>
      </c>
      <c r="B1676" s="43">
        <f>VLOOKUP(A1676,Database!F:H,3,)</f>
        <v>339000</v>
      </c>
      <c r="C1676" s="43">
        <f t="shared" si="52"/>
        <v>-6000</v>
      </c>
      <c r="D1676" s="43">
        <f>VLOOKUP(A1676,Database!F:H,2,)</f>
        <v>2316000</v>
      </c>
      <c r="E1676" s="43">
        <f t="shared" si="53"/>
        <v>27000</v>
      </c>
    </row>
    <row r="1677" spans="1:5" x14ac:dyDescent="0.2">
      <c r="A1677" s="42">
        <v>36183</v>
      </c>
      <c r="B1677" s="43">
        <f>VLOOKUP(A1677,Database!F:H,3,)</f>
        <v>311000</v>
      </c>
      <c r="C1677" s="43">
        <f t="shared" si="52"/>
        <v>-28000</v>
      </c>
      <c r="D1677" s="43">
        <f>VLOOKUP(A1677,Database!F:H,2,)</f>
        <v>2269000</v>
      </c>
      <c r="E1677" s="43">
        <f t="shared" si="53"/>
        <v>-47000</v>
      </c>
    </row>
    <row r="1678" spans="1:5" x14ac:dyDescent="0.2">
      <c r="A1678" s="42">
        <v>36190</v>
      </c>
      <c r="B1678" s="43">
        <f>VLOOKUP(A1678,Database!F:H,3,)</f>
        <v>305000</v>
      </c>
      <c r="C1678" s="43">
        <f t="shared" si="52"/>
        <v>-6000</v>
      </c>
      <c r="D1678" s="43">
        <f>VLOOKUP(A1678,Database!F:H,2,)</f>
        <v>2259000</v>
      </c>
      <c r="E1678" s="43">
        <f t="shared" si="53"/>
        <v>-10000</v>
      </c>
    </row>
    <row r="1679" spans="1:5" x14ac:dyDescent="0.2">
      <c r="A1679" s="42">
        <v>36197</v>
      </c>
      <c r="B1679" s="43">
        <f>VLOOKUP(A1679,Database!F:H,3,)</f>
        <v>291000</v>
      </c>
      <c r="C1679" s="43">
        <f t="shared" si="52"/>
        <v>-14000</v>
      </c>
      <c r="D1679" s="43">
        <f>VLOOKUP(A1679,Database!F:H,2,)</f>
        <v>2253000</v>
      </c>
      <c r="E1679" s="43">
        <f t="shared" si="53"/>
        <v>-6000</v>
      </c>
    </row>
    <row r="1680" spans="1:5" x14ac:dyDescent="0.2">
      <c r="A1680" s="42">
        <v>36204</v>
      </c>
      <c r="B1680" s="43">
        <f>VLOOKUP(A1680,Database!F:H,3,)</f>
        <v>312000</v>
      </c>
      <c r="C1680" s="43">
        <f t="shared" si="52"/>
        <v>21000</v>
      </c>
      <c r="D1680" s="43">
        <f>VLOOKUP(A1680,Database!F:H,2,)</f>
        <v>2253000</v>
      </c>
      <c r="E1680" s="43">
        <f t="shared" si="53"/>
        <v>0</v>
      </c>
    </row>
    <row r="1681" spans="1:5" x14ac:dyDescent="0.2">
      <c r="A1681" s="42">
        <v>36211</v>
      </c>
      <c r="B1681" s="43">
        <f>VLOOKUP(A1681,Database!F:H,3,)</f>
        <v>302000</v>
      </c>
      <c r="C1681" s="43">
        <f t="shared" si="52"/>
        <v>-10000</v>
      </c>
      <c r="D1681" s="43">
        <f>VLOOKUP(A1681,Database!F:H,2,)</f>
        <v>2237000</v>
      </c>
      <c r="E1681" s="43">
        <f t="shared" si="53"/>
        <v>-16000</v>
      </c>
    </row>
    <row r="1682" spans="1:5" x14ac:dyDescent="0.2">
      <c r="A1682" s="42">
        <v>36218</v>
      </c>
      <c r="B1682" s="43">
        <f>VLOOKUP(A1682,Database!F:H,3,)</f>
        <v>301000</v>
      </c>
      <c r="C1682" s="43">
        <f t="shared" si="52"/>
        <v>-1000</v>
      </c>
      <c r="D1682" s="43">
        <f>VLOOKUP(A1682,Database!F:H,2,)</f>
        <v>2219000</v>
      </c>
      <c r="E1682" s="43">
        <f t="shared" si="53"/>
        <v>-18000</v>
      </c>
    </row>
    <row r="1683" spans="1:5" x14ac:dyDescent="0.2">
      <c r="A1683" s="42">
        <v>36225</v>
      </c>
      <c r="B1683" s="43">
        <f>VLOOKUP(A1683,Database!F:H,3,)</f>
        <v>300000</v>
      </c>
      <c r="C1683" s="43">
        <f t="shared" si="52"/>
        <v>-1000</v>
      </c>
      <c r="D1683" s="43">
        <f>VLOOKUP(A1683,Database!F:H,2,)</f>
        <v>2238000</v>
      </c>
      <c r="E1683" s="43">
        <f t="shared" si="53"/>
        <v>19000</v>
      </c>
    </row>
    <row r="1684" spans="1:5" x14ac:dyDescent="0.2">
      <c r="A1684" s="42">
        <v>36232</v>
      </c>
      <c r="B1684" s="43">
        <f>VLOOKUP(A1684,Database!F:H,3,)</f>
        <v>308000</v>
      </c>
      <c r="C1684" s="43">
        <f t="shared" si="52"/>
        <v>8000</v>
      </c>
      <c r="D1684" s="43">
        <f>VLOOKUP(A1684,Database!F:H,2,)</f>
        <v>2232000</v>
      </c>
      <c r="E1684" s="43">
        <f t="shared" si="53"/>
        <v>-6000</v>
      </c>
    </row>
    <row r="1685" spans="1:5" x14ac:dyDescent="0.2">
      <c r="A1685" s="42">
        <v>36239</v>
      </c>
      <c r="B1685" s="43">
        <f>VLOOKUP(A1685,Database!F:H,3,)</f>
        <v>305000</v>
      </c>
      <c r="C1685" s="43">
        <f t="shared" si="52"/>
        <v>-3000</v>
      </c>
      <c r="D1685" s="43">
        <f>VLOOKUP(A1685,Database!F:H,2,)</f>
        <v>2247000</v>
      </c>
      <c r="E1685" s="43">
        <f t="shared" si="53"/>
        <v>15000</v>
      </c>
    </row>
    <row r="1686" spans="1:5" x14ac:dyDescent="0.2">
      <c r="A1686" s="42">
        <v>36246</v>
      </c>
      <c r="B1686" s="43">
        <f>VLOOKUP(A1686,Database!F:H,3,)</f>
        <v>298000</v>
      </c>
      <c r="C1686" s="43">
        <f t="shared" si="52"/>
        <v>-7000</v>
      </c>
      <c r="D1686" s="43">
        <f>VLOOKUP(A1686,Database!F:H,2,)</f>
        <v>2191000</v>
      </c>
      <c r="E1686" s="43">
        <f t="shared" si="53"/>
        <v>-56000</v>
      </c>
    </row>
    <row r="1687" spans="1:5" x14ac:dyDescent="0.2">
      <c r="A1687" s="42">
        <v>36253</v>
      </c>
      <c r="B1687" s="43">
        <f>VLOOKUP(A1687,Database!F:H,3,)</f>
        <v>310000</v>
      </c>
      <c r="C1687" s="43">
        <f t="shared" si="52"/>
        <v>12000</v>
      </c>
      <c r="D1687" s="43">
        <f>VLOOKUP(A1687,Database!F:H,2,)</f>
        <v>2280000</v>
      </c>
      <c r="E1687" s="43">
        <f t="shared" si="53"/>
        <v>89000</v>
      </c>
    </row>
    <row r="1688" spans="1:5" x14ac:dyDescent="0.2">
      <c r="A1688" s="42">
        <v>36260</v>
      </c>
      <c r="B1688" s="43">
        <f>VLOOKUP(A1688,Database!F:H,3,)</f>
        <v>319000</v>
      </c>
      <c r="C1688" s="43">
        <f t="shared" si="52"/>
        <v>9000</v>
      </c>
      <c r="D1688" s="43">
        <f>VLOOKUP(A1688,Database!F:H,2,)</f>
        <v>2247000</v>
      </c>
      <c r="E1688" s="43">
        <f t="shared" si="53"/>
        <v>-33000</v>
      </c>
    </row>
    <row r="1689" spans="1:5" x14ac:dyDescent="0.2">
      <c r="A1689" s="42">
        <v>36267</v>
      </c>
      <c r="B1689" s="43">
        <f>VLOOKUP(A1689,Database!F:H,3,)</f>
        <v>314000</v>
      </c>
      <c r="C1689" s="43">
        <f t="shared" si="52"/>
        <v>-5000</v>
      </c>
      <c r="D1689" s="43">
        <f>VLOOKUP(A1689,Database!F:H,2,)</f>
        <v>2230000</v>
      </c>
      <c r="E1689" s="43">
        <f t="shared" si="53"/>
        <v>-17000</v>
      </c>
    </row>
    <row r="1690" spans="1:5" x14ac:dyDescent="0.2">
      <c r="A1690" s="42">
        <v>36274</v>
      </c>
      <c r="B1690" s="43">
        <f>VLOOKUP(A1690,Database!F:H,3,)</f>
        <v>291000</v>
      </c>
      <c r="C1690" s="43">
        <f t="shared" si="52"/>
        <v>-23000</v>
      </c>
      <c r="D1690" s="43">
        <f>VLOOKUP(A1690,Database!F:H,2,)</f>
        <v>2193000</v>
      </c>
      <c r="E1690" s="43">
        <f t="shared" si="53"/>
        <v>-37000</v>
      </c>
    </row>
    <row r="1691" spans="1:5" x14ac:dyDescent="0.2">
      <c r="A1691" s="42">
        <v>36281</v>
      </c>
      <c r="B1691" s="43">
        <f>VLOOKUP(A1691,Database!F:H,3,)</f>
        <v>296000</v>
      </c>
      <c r="C1691" s="43">
        <f t="shared" si="52"/>
        <v>5000</v>
      </c>
      <c r="D1691" s="43">
        <f>VLOOKUP(A1691,Database!F:H,2,)</f>
        <v>2226000</v>
      </c>
      <c r="E1691" s="43">
        <f t="shared" si="53"/>
        <v>33000</v>
      </c>
    </row>
    <row r="1692" spans="1:5" x14ac:dyDescent="0.2">
      <c r="A1692" s="42">
        <v>36288</v>
      </c>
      <c r="B1692" s="43">
        <f>VLOOKUP(A1692,Database!F:H,3,)</f>
        <v>310000</v>
      </c>
      <c r="C1692" s="43">
        <f t="shared" si="52"/>
        <v>14000</v>
      </c>
      <c r="D1692" s="43">
        <f>VLOOKUP(A1692,Database!F:H,2,)</f>
        <v>2200000</v>
      </c>
      <c r="E1692" s="43">
        <f t="shared" si="53"/>
        <v>-26000</v>
      </c>
    </row>
    <row r="1693" spans="1:5" x14ac:dyDescent="0.2">
      <c r="A1693" s="42">
        <v>36295</v>
      </c>
      <c r="B1693" s="43">
        <f>VLOOKUP(A1693,Database!F:H,3,)</f>
        <v>301000</v>
      </c>
      <c r="C1693" s="43">
        <f t="shared" si="52"/>
        <v>-9000</v>
      </c>
      <c r="D1693" s="43">
        <f>VLOOKUP(A1693,Database!F:H,2,)</f>
        <v>2232000</v>
      </c>
      <c r="E1693" s="43">
        <f t="shared" si="53"/>
        <v>32000</v>
      </c>
    </row>
    <row r="1694" spans="1:5" x14ac:dyDescent="0.2">
      <c r="A1694" s="42">
        <v>36302</v>
      </c>
      <c r="B1694" s="43">
        <f>VLOOKUP(A1694,Database!F:H,3,)</f>
        <v>298000</v>
      </c>
      <c r="C1694" s="43">
        <f t="shared" si="52"/>
        <v>-3000</v>
      </c>
      <c r="D1694" s="43">
        <f>VLOOKUP(A1694,Database!F:H,2,)</f>
        <v>2223000</v>
      </c>
      <c r="E1694" s="43">
        <f t="shared" si="53"/>
        <v>-9000</v>
      </c>
    </row>
    <row r="1695" spans="1:5" x14ac:dyDescent="0.2">
      <c r="A1695" s="42">
        <v>36309</v>
      </c>
      <c r="B1695" s="43">
        <f>VLOOKUP(A1695,Database!F:H,3,)</f>
        <v>303000</v>
      </c>
      <c r="C1695" s="43">
        <f t="shared" si="52"/>
        <v>5000</v>
      </c>
      <c r="D1695" s="43">
        <f>VLOOKUP(A1695,Database!F:H,2,)</f>
        <v>2191000</v>
      </c>
      <c r="E1695" s="43">
        <f t="shared" si="53"/>
        <v>-32000</v>
      </c>
    </row>
    <row r="1696" spans="1:5" x14ac:dyDescent="0.2">
      <c r="A1696" s="42">
        <v>36316</v>
      </c>
      <c r="B1696" s="43">
        <f>VLOOKUP(A1696,Database!F:H,3,)</f>
        <v>303000</v>
      </c>
      <c r="C1696" s="43">
        <f t="shared" si="52"/>
        <v>0</v>
      </c>
      <c r="D1696" s="43">
        <f>VLOOKUP(A1696,Database!F:H,2,)</f>
        <v>2194000</v>
      </c>
      <c r="E1696" s="43">
        <f t="shared" si="53"/>
        <v>3000</v>
      </c>
    </row>
    <row r="1697" spans="1:5" x14ac:dyDescent="0.2">
      <c r="A1697" s="42">
        <v>36323</v>
      </c>
      <c r="B1697" s="43">
        <f>VLOOKUP(A1697,Database!F:H,3,)</f>
        <v>290000</v>
      </c>
      <c r="C1697" s="43">
        <f t="shared" si="52"/>
        <v>-13000</v>
      </c>
      <c r="D1697" s="43">
        <f>VLOOKUP(A1697,Database!F:H,2,)</f>
        <v>2215000</v>
      </c>
      <c r="E1697" s="43">
        <f t="shared" si="53"/>
        <v>21000</v>
      </c>
    </row>
    <row r="1698" spans="1:5" x14ac:dyDescent="0.2">
      <c r="A1698" s="42">
        <v>36330</v>
      </c>
      <c r="B1698" s="43">
        <f>VLOOKUP(A1698,Database!F:H,3,)</f>
        <v>292000</v>
      </c>
      <c r="C1698" s="43">
        <f t="shared" si="52"/>
        <v>2000</v>
      </c>
      <c r="D1698" s="43">
        <f>VLOOKUP(A1698,Database!F:H,2,)</f>
        <v>2183000</v>
      </c>
      <c r="E1698" s="43">
        <f t="shared" si="53"/>
        <v>-32000</v>
      </c>
    </row>
    <row r="1699" spans="1:5" x14ac:dyDescent="0.2">
      <c r="A1699" s="42">
        <v>36337</v>
      </c>
      <c r="B1699" s="43">
        <f>VLOOKUP(A1699,Database!F:H,3,)</f>
        <v>291000</v>
      </c>
      <c r="C1699" s="43">
        <f t="shared" si="52"/>
        <v>-1000</v>
      </c>
      <c r="D1699" s="43">
        <f>VLOOKUP(A1699,Database!F:H,2,)</f>
        <v>2177000</v>
      </c>
      <c r="E1699" s="43">
        <f t="shared" si="53"/>
        <v>-6000</v>
      </c>
    </row>
    <row r="1700" spans="1:5" x14ac:dyDescent="0.2">
      <c r="A1700" s="42">
        <v>36344</v>
      </c>
      <c r="B1700" s="43">
        <f>VLOOKUP(A1700,Database!F:H,3,)</f>
        <v>287000</v>
      </c>
      <c r="C1700" s="43">
        <f t="shared" si="52"/>
        <v>-4000</v>
      </c>
      <c r="D1700" s="43">
        <f>VLOOKUP(A1700,Database!F:H,2,)</f>
        <v>2202000</v>
      </c>
      <c r="E1700" s="43">
        <f t="shared" si="53"/>
        <v>25000</v>
      </c>
    </row>
    <row r="1701" spans="1:5" x14ac:dyDescent="0.2">
      <c r="A1701" s="42">
        <v>36351</v>
      </c>
      <c r="B1701" s="43">
        <f>VLOOKUP(A1701,Database!F:H,3,)</f>
        <v>288000</v>
      </c>
      <c r="C1701" s="43">
        <f t="shared" si="52"/>
        <v>1000</v>
      </c>
      <c r="D1701" s="43">
        <f>VLOOKUP(A1701,Database!F:H,2,)</f>
        <v>2171000</v>
      </c>
      <c r="E1701" s="43">
        <f t="shared" si="53"/>
        <v>-31000</v>
      </c>
    </row>
    <row r="1702" spans="1:5" x14ac:dyDescent="0.2">
      <c r="A1702" s="42">
        <v>36358</v>
      </c>
      <c r="B1702" s="43">
        <f>VLOOKUP(A1702,Database!F:H,3,)</f>
        <v>309000</v>
      </c>
      <c r="C1702" s="43">
        <f t="shared" si="52"/>
        <v>21000</v>
      </c>
      <c r="D1702" s="43">
        <f>VLOOKUP(A1702,Database!F:H,2,)</f>
        <v>2226000</v>
      </c>
      <c r="E1702" s="43">
        <f t="shared" si="53"/>
        <v>55000</v>
      </c>
    </row>
    <row r="1703" spans="1:5" x14ac:dyDescent="0.2">
      <c r="A1703" s="42">
        <v>36365</v>
      </c>
      <c r="B1703" s="43">
        <f>VLOOKUP(A1703,Database!F:H,3,)</f>
        <v>306000</v>
      </c>
      <c r="C1703" s="43">
        <f t="shared" si="52"/>
        <v>-3000</v>
      </c>
      <c r="D1703" s="43">
        <f>VLOOKUP(A1703,Database!F:H,2,)</f>
        <v>2203000</v>
      </c>
      <c r="E1703" s="43">
        <f t="shared" si="53"/>
        <v>-23000</v>
      </c>
    </row>
    <row r="1704" spans="1:5" x14ac:dyDescent="0.2">
      <c r="A1704" s="42">
        <v>36372</v>
      </c>
      <c r="B1704" s="43">
        <f>VLOOKUP(A1704,Database!F:H,3,)</f>
        <v>300000</v>
      </c>
      <c r="C1704" s="43">
        <f t="shared" si="52"/>
        <v>-6000</v>
      </c>
      <c r="D1704" s="43">
        <f>VLOOKUP(A1704,Database!F:H,2,)</f>
        <v>2164000</v>
      </c>
      <c r="E1704" s="43">
        <f t="shared" si="53"/>
        <v>-39000</v>
      </c>
    </row>
    <row r="1705" spans="1:5" x14ac:dyDescent="0.2">
      <c r="A1705" s="42">
        <v>36379</v>
      </c>
      <c r="B1705" s="43">
        <f>VLOOKUP(A1705,Database!F:H,3,)</f>
        <v>295000</v>
      </c>
      <c r="C1705" s="43">
        <f t="shared" si="52"/>
        <v>-5000</v>
      </c>
      <c r="D1705" s="43">
        <f>VLOOKUP(A1705,Database!F:H,2,)</f>
        <v>2192000</v>
      </c>
      <c r="E1705" s="43">
        <f t="shared" si="53"/>
        <v>28000</v>
      </c>
    </row>
    <row r="1706" spans="1:5" x14ac:dyDescent="0.2">
      <c r="A1706" s="42">
        <v>36386</v>
      </c>
      <c r="B1706" s="43">
        <f>VLOOKUP(A1706,Database!F:H,3,)</f>
        <v>292000</v>
      </c>
      <c r="C1706" s="43">
        <f t="shared" si="52"/>
        <v>-3000</v>
      </c>
      <c r="D1706" s="43">
        <f>VLOOKUP(A1706,Database!F:H,2,)</f>
        <v>2176000</v>
      </c>
      <c r="E1706" s="43">
        <f t="shared" si="53"/>
        <v>-16000</v>
      </c>
    </row>
    <row r="1707" spans="1:5" x14ac:dyDescent="0.2">
      <c r="A1707" s="42">
        <v>36393</v>
      </c>
      <c r="B1707" s="43">
        <f>VLOOKUP(A1707,Database!F:H,3,)</f>
        <v>286000</v>
      </c>
      <c r="C1707" s="43">
        <f t="shared" si="52"/>
        <v>-6000</v>
      </c>
      <c r="D1707" s="43">
        <f>VLOOKUP(A1707,Database!F:H,2,)</f>
        <v>2185000</v>
      </c>
      <c r="E1707" s="43">
        <f t="shared" si="53"/>
        <v>9000</v>
      </c>
    </row>
    <row r="1708" spans="1:5" x14ac:dyDescent="0.2">
      <c r="A1708" s="42">
        <v>36400</v>
      </c>
      <c r="B1708" s="43">
        <f>VLOOKUP(A1708,Database!F:H,3,)</f>
        <v>290000</v>
      </c>
      <c r="C1708" s="43">
        <f t="shared" si="52"/>
        <v>4000</v>
      </c>
      <c r="D1708" s="43">
        <f>VLOOKUP(A1708,Database!F:H,2,)</f>
        <v>2168000</v>
      </c>
      <c r="E1708" s="43">
        <f t="shared" si="53"/>
        <v>-17000</v>
      </c>
    </row>
    <row r="1709" spans="1:5" x14ac:dyDescent="0.2">
      <c r="A1709" s="42">
        <v>36407</v>
      </c>
      <c r="B1709" s="43">
        <f>VLOOKUP(A1709,Database!F:H,3,)</f>
        <v>290000</v>
      </c>
      <c r="C1709" s="43">
        <f t="shared" si="52"/>
        <v>0</v>
      </c>
      <c r="D1709" s="43">
        <f>VLOOKUP(A1709,Database!F:H,2,)</f>
        <v>2157000</v>
      </c>
      <c r="E1709" s="43">
        <f t="shared" si="53"/>
        <v>-11000</v>
      </c>
    </row>
    <row r="1710" spans="1:5" x14ac:dyDescent="0.2">
      <c r="A1710" s="42">
        <v>36414</v>
      </c>
      <c r="B1710" s="43">
        <f>VLOOKUP(A1710,Database!F:H,3,)</f>
        <v>281000</v>
      </c>
      <c r="C1710" s="43">
        <f t="shared" si="52"/>
        <v>-9000</v>
      </c>
      <c r="D1710" s="43">
        <f>VLOOKUP(A1710,Database!F:H,2,)</f>
        <v>2163000</v>
      </c>
      <c r="E1710" s="43">
        <f t="shared" si="53"/>
        <v>6000</v>
      </c>
    </row>
    <row r="1711" spans="1:5" x14ac:dyDescent="0.2">
      <c r="A1711" s="42">
        <v>36421</v>
      </c>
      <c r="B1711" s="43">
        <f>VLOOKUP(A1711,Database!F:H,3,)</f>
        <v>281000</v>
      </c>
      <c r="C1711" s="43">
        <f t="shared" si="52"/>
        <v>0</v>
      </c>
      <c r="D1711" s="43">
        <f>VLOOKUP(A1711,Database!F:H,2,)</f>
        <v>2170000</v>
      </c>
      <c r="E1711" s="43">
        <f t="shared" si="53"/>
        <v>7000</v>
      </c>
    </row>
    <row r="1712" spans="1:5" x14ac:dyDescent="0.2">
      <c r="A1712" s="42">
        <v>36428</v>
      </c>
      <c r="B1712" s="43">
        <f>VLOOKUP(A1712,Database!F:H,3,)</f>
        <v>306000</v>
      </c>
      <c r="C1712" s="43">
        <f t="shared" si="52"/>
        <v>25000</v>
      </c>
      <c r="D1712" s="43">
        <f>VLOOKUP(A1712,Database!F:H,2,)</f>
        <v>2158000</v>
      </c>
      <c r="E1712" s="43">
        <f t="shared" si="53"/>
        <v>-12000</v>
      </c>
    </row>
    <row r="1713" spans="1:5" x14ac:dyDescent="0.2">
      <c r="A1713" s="42">
        <v>36435</v>
      </c>
      <c r="B1713" s="43">
        <f>VLOOKUP(A1713,Database!F:H,3,)</f>
        <v>309000</v>
      </c>
      <c r="C1713" s="43">
        <f t="shared" si="52"/>
        <v>3000</v>
      </c>
      <c r="D1713" s="43">
        <f>VLOOKUP(A1713,Database!F:H,2,)</f>
        <v>2139000</v>
      </c>
      <c r="E1713" s="43">
        <f t="shared" si="53"/>
        <v>-19000</v>
      </c>
    </row>
    <row r="1714" spans="1:5" x14ac:dyDescent="0.2">
      <c r="A1714" s="42">
        <v>36442</v>
      </c>
      <c r="B1714" s="43">
        <f>VLOOKUP(A1714,Database!F:H,3,)</f>
        <v>291000</v>
      </c>
      <c r="C1714" s="43">
        <f t="shared" si="52"/>
        <v>-18000</v>
      </c>
      <c r="D1714" s="43">
        <f>VLOOKUP(A1714,Database!F:H,2,)</f>
        <v>2105000</v>
      </c>
      <c r="E1714" s="43">
        <f t="shared" si="53"/>
        <v>-34000</v>
      </c>
    </row>
    <row r="1715" spans="1:5" x14ac:dyDescent="0.2">
      <c r="A1715" s="42">
        <v>36449</v>
      </c>
      <c r="B1715" s="43">
        <f>VLOOKUP(A1715,Database!F:H,3,)</f>
        <v>287000</v>
      </c>
      <c r="C1715" s="43">
        <f t="shared" si="52"/>
        <v>-4000</v>
      </c>
      <c r="D1715" s="43">
        <f>VLOOKUP(A1715,Database!F:H,2,)</f>
        <v>2102000</v>
      </c>
      <c r="E1715" s="43">
        <f t="shared" si="53"/>
        <v>-3000</v>
      </c>
    </row>
    <row r="1716" spans="1:5" x14ac:dyDescent="0.2">
      <c r="A1716" s="42">
        <v>36456</v>
      </c>
      <c r="B1716" s="43">
        <f>VLOOKUP(A1716,Database!F:H,3,)</f>
        <v>280000</v>
      </c>
      <c r="C1716" s="43">
        <f t="shared" si="52"/>
        <v>-7000</v>
      </c>
      <c r="D1716" s="43">
        <f>VLOOKUP(A1716,Database!F:H,2,)</f>
        <v>2086000</v>
      </c>
      <c r="E1716" s="43">
        <f t="shared" si="53"/>
        <v>-16000</v>
      </c>
    </row>
    <row r="1717" spans="1:5" x14ac:dyDescent="0.2">
      <c r="A1717" s="42">
        <v>36463</v>
      </c>
      <c r="B1717" s="43">
        <f>VLOOKUP(A1717,Database!F:H,3,)</f>
        <v>285000</v>
      </c>
      <c r="C1717" s="43">
        <f t="shared" si="52"/>
        <v>5000</v>
      </c>
      <c r="D1717" s="43">
        <f>VLOOKUP(A1717,Database!F:H,2,)</f>
        <v>2082000</v>
      </c>
      <c r="E1717" s="43">
        <f t="shared" si="53"/>
        <v>-4000</v>
      </c>
    </row>
    <row r="1718" spans="1:5" x14ac:dyDescent="0.2">
      <c r="A1718" s="42">
        <v>36470</v>
      </c>
      <c r="B1718" s="43">
        <f>VLOOKUP(A1718,Database!F:H,3,)</f>
        <v>282000</v>
      </c>
      <c r="C1718" s="43">
        <f t="shared" si="52"/>
        <v>-3000</v>
      </c>
      <c r="D1718" s="43">
        <f>VLOOKUP(A1718,Database!F:H,2,)</f>
        <v>2099000</v>
      </c>
      <c r="E1718" s="43">
        <f t="shared" si="53"/>
        <v>17000</v>
      </c>
    </row>
    <row r="1719" spans="1:5" x14ac:dyDescent="0.2">
      <c r="A1719" s="42">
        <v>36477</v>
      </c>
      <c r="B1719" s="43">
        <f>VLOOKUP(A1719,Database!F:H,3,)</f>
        <v>281000</v>
      </c>
      <c r="C1719" s="43">
        <f t="shared" si="52"/>
        <v>-1000</v>
      </c>
      <c r="D1719" s="43">
        <f>VLOOKUP(A1719,Database!F:H,2,)</f>
        <v>2035000</v>
      </c>
      <c r="E1719" s="43">
        <f t="shared" si="53"/>
        <v>-64000</v>
      </c>
    </row>
    <row r="1720" spans="1:5" x14ac:dyDescent="0.2">
      <c r="A1720" s="42">
        <v>36484</v>
      </c>
      <c r="B1720" s="43">
        <f>VLOOKUP(A1720,Database!F:H,3,)</f>
        <v>276000</v>
      </c>
      <c r="C1720" s="43">
        <f t="shared" si="52"/>
        <v>-5000</v>
      </c>
      <c r="D1720" s="43">
        <f>VLOOKUP(A1720,Database!F:H,2,)</f>
        <v>2111000</v>
      </c>
      <c r="E1720" s="43">
        <f t="shared" si="53"/>
        <v>76000</v>
      </c>
    </row>
    <row r="1721" spans="1:5" x14ac:dyDescent="0.2">
      <c r="A1721" s="42">
        <v>36491</v>
      </c>
      <c r="B1721" s="43">
        <f>VLOOKUP(A1721,Database!F:H,3,)</f>
        <v>288000</v>
      </c>
      <c r="C1721" s="43">
        <f t="shared" si="52"/>
        <v>12000</v>
      </c>
      <c r="D1721" s="43">
        <f>VLOOKUP(A1721,Database!F:H,2,)</f>
        <v>2098000</v>
      </c>
      <c r="E1721" s="43">
        <f t="shared" si="53"/>
        <v>-13000</v>
      </c>
    </row>
    <row r="1722" spans="1:5" x14ac:dyDescent="0.2">
      <c r="A1722" s="42">
        <v>36498</v>
      </c>
      <c r="B1722" s="43">
        <f>VLOOKUP(A1722,Database!F:H,3,)</f>
        <v>287000</v>
      </c>
      <c r="C1722" s="43">
        <f t="shared" si="52"/>
        <v>-1000</v>
      </c>
      <c r="D1722" s="43">
        <f>VLOOKUP(A1722,Database!F:H,2,)</f>
        <v>2094000</v>
      </c>
      <c r="E1722" s="43">
        <f t="shared" si="53"/>
        <v>-4000</v>
      </c>
    </row>
    <row r="1723" spans="1:5" x14ac:dyDescent="0.2">
      <c r="A1723" s="42">
        <v>36505</v>
      </c>
      <c r="B1723" s="43">
        <f>VLOOKUP(A1723,Database!F:H,3,)</f>
        <v>272000</v>
      </c>
      <c r="C1723" s="43">
        <f t="shared" si="52"/>
        <v>-15000</v>
      </c>
      <c r="D1723" s="43">
        <f>VLOOKUP(A1723,Database!F:H,2,)</f>
        <v>2070000</v>
      </c>
      <c r="E1723" s="43">
        <f t="shared" si="53"/>
        <v>-24000</v>
      </c>
    </row>
    <row r="1724" spans="1:5" x14ac:dyDescent="0.2">
      <c r="A1724" s="42">
        <v>36512</v>
      </c>
      <c r="B1724" s="43">
        <f>VLOOKUP(A1724,Database!F:H,3,)</f>
        <v>287000</v>
      </c>
      <c r="C1724" s="43">
        <f t="shared" si="52"/>
        <v>15000</v>
      </c>
      <c r="D1724" s="43">
        <f>VLOOKUP(A1724,Database!F:H,2,)</f>
        <v>2123000</v>
      </c>
      <c r="E1724" s="43">
        <f t="shared" si="53"/>
        <v>53000</v>
      </c>
    </row>
    <row r="1725" spans="1:5" x14ac:dyDescent="0.2">
      <c r="A1725" s="42">
        <v>36519</v>
      </c>
      <c r="B1725" s="43">
        <f>VLOOKUP(A1725,Database!F:H,3,)</f>
        <v>268000</v>
      </c>
      <c r="C1725" s="43">
        <f t="shared" si="52"/>
        <v>-19000</v>
      </c>
      <c r="D1725" s="43">
        <f>VLOOKUP(A1725,Database!F:H,2,)</f>
        <v>2102000</v>
      </c>
      <c r="E1725" s="43">
        <f t="shared" si="53"/>
        <v>-21000</v>
      </c>
    </row>
    <row r="1726" spans="1:5" x14ac:dyDescent="0.2">
      <c r="A1726" s="42">
        <v>36526</v>
      </c>
      <c r="B1726" s="43">
        <f>VLOOKUP(A1726,Database!F:H,3,)</f>
        <v>286000</v>
      </c>
      <c r="C1726" s="43">
        <f t="shared" si="52"/>
        <v>18000</v>
      </c>
      <c r="D1726" s="43">
        <f>VLOOKUP(A1726,Database!F:H,2,)</f>
        <v>2102000</v>
      </c>
      <c r="E1726" s="43">
        <f t="shared" si="53"/>
        <v>0</v>
      </c>
    </row>
    <row r="1727" spans="1:5" x14ac:dyDescent="0.2">
      <c r="A1727" s="42">
        <v>36533</v>
      </c>
      <c r="B1727" s="43">
        <f>VLOOKUP(A1727,Database!F:H,3,)</f>
        <v>298000</v>
      </c>
      <c r="C1727" s="43">
        <f t="shared" si="52"/>
        <v>12000</v>
      </c>
      <c r="D1727" s="43">
        <f>VLOOKUP(A1727,Database!F:H,2,)</f>
        <v>2107000</v>
      </c>
      <c r="E1727" s="43">
        <f t="shared" si="53"/>
        <v>5000</v>
      </c>
    </row>
    <row r="1728" spans="1:5" x14ac:dyDescent="0.2">
      <c r="A1728" s="42">
        <v>36540</v>
      </c>
      <c r="B1728" s="43">
        <f>VLOOKUP(A1728,Database!F:H,3,)</f>
        <v>289000</v>
      </c>
      <c r="C1728" s="43">
        <f t="shared" si="52"/>
        <v>-9000</v>
      </c>
      <c r="D1728" s="43">
        <f>VLOOKUP(A1728,Database!F:H,2,)</f>
        <v>2115000</v>
      </c>
      <c r="E1728" s="43">
        <f t="shared" si="53"/>
        <v>8000</v>
      </c>
    </row>
    <row r="1729" spans="1:5" x14ac:dyDescent="0.2">
      <c r="A1729" s="42">
        <v>36547</v>
      </c>
      <c r="B1729" s="43">
        <f>VLOOKUP(A1729,Database!F:H,3,)</f>
        <v>284000</v>
      </c>
      <c r="C1729" s="43">
        <f t="shared" si="52"/>
        <v>-5000</v>
      </c>
      <c r="D1729" s="43">
        <f>VLOOKUP(A1729,Database!F:H,2,)</f>
        <v>2061000</v>
      </c>
      <c r="E1729" s="43">
        <f t="shared" si="53"/>
        <v>-54000</v>
      </c>
    </row>
    <row r="1730" spans="1:5" x14ac:dyDescent="0.2">
      <c r="A1730" s="42">
        <v>36554</v>
      </c>
      <c r="B1730" s="43">
        <f>VLOOKUP(A1730,Database!F:H,3,)</f>
        <v>285000</v>
      </c>
      <c r="C1730" s="43">
        <f t="shared" si="52"/>
        <v>1000</v>
      </c>
      <c r="D1730" s="43">
        <f>VLOOKUP(A1730,Database!F:H,2,)</f>
        <v>2164000</v>
      </c>
      <c r="E1730" s="43">
        <f t="shared" si="53"/>
        <v>103000</v>
      </c>
    </row>
    <row r="1731" spans="1:5" x14ac:dyDescent="0.2">
      <c r="A1731" s="42">
        <v>36561</v>
      </c>
      <c r="B1731" s="43">
        <f>VLOOKUP(A1731,Database!F:H,3,)</f>
        <v>312000</v>
      </c>
      <c r="C1731" s="43">
        <f t="shared" si="52"/>
        <v>27000</v>
      </c>
      <c r="D1731" s="43">
        <f>VLOOKUP(A1731,Database!F:H,2,)</f>
        <v>2160000</v>
      </c>
      <c r="E1731" s="43">
        <f t="shared" si="53"/>
        <v>-4000</v>
      </c>
    </row>
    <row r="1732" spans="1:5" x14ac:dyDescent="0.2">
      <c r="A1732" s="42">
        <v>36568</v>
      </c>
      <c r="B1732" s="43">
        <f>VLOOKUP(A1732,Database!F:H,3,)</f>
        <v>300000</v>
      </c>
      <c r="C1732" s="43">
        <f t="shared" si="52"/>
        <v>-12000</v>
      </c>
      <c r="D1732" s="43">
        <f>VLOOKUP(A1732,Database!F:H,2,)</f>
        <v>2141000</v>
      </c>
      <c r="E1732" s="43">
        <f t="shared" si="53"/>
        <v>-19000</v>
      </c>
    </row>
    <row r="1733" spans="1:5" x14ac:dyDescent="0.2">
      <c r="A1733" s="42">
        <v>36575</v>
      </c>
      <c r="B1733" s="43">
        <f>VLOOKUP(A1733,Database!F:H,3,)</f>
        <v>283000</v>
      </c>
      <c r="C1733" s="43">
        <f t="shared" si="52"/>
        <v>-17000</v>
      </c>
      <c r="D1733" s="43">
        <f>VLOOKUP(A1733,Database!F:H,2,)</f>
        <v>2132000</v>
      </c>
      <c r="E1733" s="43">
        <f t="shared" si="53"/>
        <v>-9000</v>
      </c>
    </row>
    <row r="1734" spans="1:5" x14ac:dyDescent="0.2">
      <c r="A1734" s="42">
        <v>36582</v>
      </c>
      <c r="B1734" s="43">
        <f>VLOOKUP(A1734,Database!F:H,3,)</f>
        <v>280000</v>
      </c>
      <c r="C1734" s="43">
        <f t="shared" si="52"/>
        <v>-3000</v>
      </c>
      <c r="D1734" s="43">
        <f>VLOOKUP(A1734,Database!F:H,2,)</f>
        <v>2157000</v>
      </c>
      <c r="E1734" s="43">
        <f t="shared" si="53"/>
        <v>25000</v>
      </c>
    </row>
    <row r="1735" spans="1:5" x14ac:dyDescent="0.2">
      <c r="A1735" s="42">
        <v>36589</v>
      </c>
      <c r="B1735" s="43">
        <f>VLOOKUP(A1735,Database!F:H,3,)</f>
        <v>286000</v>
      </c>
      <c r="C1735" s="43">
        <f t="shared" si="52"/>
        <v>6000</v>
      </c>
      <c r="D1735" s="43">
        <f>VLOOKUP(A1735,Database!F:H,2,)</f>
        <v>2098000</v>
      </c>
      <c r="E1735" s="43">
        <f t="shared" si="53"/>
        <v>-59000</v>
      </c>
    </row>
    <row r="1736" spans="1:5" x14ac:dyDescent="0.2">
      <c r="A1736" s="42">
        <v>36596</v>
      </c>
      <c r="B1736" s="43">
        <f>VLOOKUP(A1736,Database!F:H,3,)</f>
        <v>270000</v>
      </c>
      <c r="C1736" s="43">
        <f t="shared" ref="C1736:C1799" si="54">B1736-B1735</f>
        <v>-16000</v>
      </c>
      <c r="D1736" s="43">
        <f>VLOOKUP(A1736,Database!F:H,2,)</f>
        <v>2099000</v>
      </c>
      <c r="E1736" s="43">
        <f t="shared" ref="E1736:E1799" si="55">D1736-D1735</f>
        <v>1000</v>
      </c>
    </row>
    <row r="1737" spans="1:5" x14ac:dyDescent="0.2">
      <c r="A1737" s="42">
        <v>36603</v>
      </c>
      <c r="B1737" s="43">
        <f>VLOOKUP(A1737,Database!F:H,3,)</f>
        <v>271000</v>
      </c>
      <c r="C1737" s="43">
        <f t="shared" si="54"/>
        <v>1000</v>
      </c>
      <c r="D1737" s="43">
        <f>VLOOKUP(A1737,Database!F:H,2,)</f>
        <v>2051000</v>
      </c>
      <c r="E1737" s="43">
        <f t="shared" si="55"/>
        <v>-48000</v>
      </c>
    </row>
    <row r="1738" spans="1:5" x14ac:dyDescent="0.2">
      <c r="A1738" s="42">
        <v>36610</v>
      </c>
      <c r="B1738" s="43">
        <f>VLOOKUP(A1738,Database!F:H,3,)</f>
        <v>272000</v>
      </c>
      <c r="C1738" s="43">
        <f t="shared" si="54"/>
        <v>1000</v>
      </c>
      <c r="D1738" s="43">
        <f>VLOOKUP(A1738,Database!F:H,2,)</f>
        <v>2068000</v>
      </c>
      <c r="E1738" s="43">
        <f t="shared" si="55"/>
        <v>17000</v>
      </c>
    </row>
    <row r="1739" spans="1:5" x14ac:dyDescent="0.2">
      <c r="A1739" s="42">
        <v>36617</v>
      </c>
      <c r="B1739" s="43">
        <f>VLOOKUP(A1739,Database!F:H,3,)</f>
        <v>266000</v>
      </c>
      <c r="C1739" s="43">
        <f t="shared" si="54"/>
        <v>-6000</v>
      </c>
      <c r="D1739" s="43">
        <f>VLOOKUP(A1739,Database!F:H,2,)</f>
        <v>2026000</v>
      </c>
      <c r="E1739" s="43">
        <f t="shared" si="55"/>
        <v>-42000</v>
      </c>
    </row>
    <row r="1740" spans="1:5" x14ac:dyDescent="0.2">
      <c r="A1740" s="42">
        <v>36624</v>
      </c>
      <c r="B1740" s="43">
        <f>VLOOKUP(A1740,Database!F:H,3,)</f>
        <v>268000</v>
      </c>
      <c r="C1740" s="43">
        <f t="shared" si="54"/>
        <v>2000</v>
      </c>
      <c r="D1740" s="43">
        <f>VLOOKUP(A1740,Database!F:H,2,)</f>
        <v>2027000</v>
      </c>
      <c r="E1740" s="43">
        <f t="shared" si="55"/>
        <v>1000</v>
      </c>
    </row>
    <row r="1741" spans="1:5" x14ac:dyDescent="0.2">
      <c r="A1741" s="42">
        <v>36631</v>
      </c>
      <c r="B1741" s="43">
        <f>VLOOKUP(A1741,Database!F:H,3,)</f>
        <v>259000</v>
      </c>
      <c r="C1741" s="43">
        <f t="shared" si="54"/>
        <v>-9000</v>
      </c>
      <c r="D1741" s="43">
        <f>VLOOKUP(A1741,Database!F:H,2,)</f>
        <v>1962000</v>
      </c>
      <c r="E1741" s="43">
        <f t="shared" si="55"/>
        <v>-65000</v>
      </c>
    </row>
    <row r="1742" spans="1:5" x14ac:dyDescent="0.2">
      <c r="A1742" s="42">
        <v>36638</v>
      </c>
      <c r="B1742" s="43">
        <f>VLOOKUP(A1742,Database!F:H,3,)</f>
        <v>274000</v>
      </c>
      <c r="C1742" s="43">
        <f t="shared" si="54"/>
        <v>15000</v>
      </c>
      <c r="D1742" s="43">
        <f>VLOOKUP(A1742,Database!F:H,2,)</f>
        <v>2035000</v>
      </c>
      <c r="E1742" s="43">
        <f t="shared" si="55"/>
        <v>73000</v>
      </c>
    </row>
    <row r="1743" spans="1:5" x14ac:dyDescent="0.2">
      <c r="A1743" s="42">
        <v>36645</v>
      </c>
      <c r="B1743" s="43">
        <f>VLOOKUP(A1743,Database!F:H,3,)</f>
        <v>291000</v>
      </c>
      <c r="C1743" s="43">
        <f t="shared" si="54"/>
        <v>17000</v>
      </c>
      <c r="D1743" s="43">
        <f>VLOOKUP(A1743,Database!F:H,2,)</f>
        <v>2027000</v>
      </c>
      <c r="E1743" s="43">
        <f t="shared" si="55"/>
        <v>-8000</v>
      </c>
    </row>
    <row r="1744" spans="1:5" x14ac:dyDescent="0.2">
      <c r="A1744" s="42">
        <v>36652</v>
      </c>
      <c r="B1744" s="43">
        <f>VLOOKUP(A1744,Database!F:H,3,)</f>
        <v>293000</v>
      </c>
      <c r="C1744" s="43">
        <f t="shared" si="54"/>
        <v>2000</v>
      </c>
      <c r="D1744" s="43">
        <f>VLOOKUP(A1744,Database!F:H,2,)</f>
        <v>1991000</v>
      </c>
      <c r="E1744" s="43">
        <f t="shared" si="55"/>
        <v>-36000</v>
      </c>
    </row>
    <row r="1745" spans="1:5" x14ac:dyDescent="0.2">
      <c r="A1745" s="42">
        <v>36659</v>
      </c>
      <c r="B1745" s="43">
        <f>VLOOKUP(A1745,Database!F:H,3,)</f>
        <v>276000</v>
      </c>
      <c r="C1745" s="43">
        <f t="shared" si="54"/>
        <v>-17000</v>
      </c>
      <c r="D1745" s="43">
        <f>VLOOKUP(A1745,Database!F:H,2,)</f>
        <v>1982000</v>
      </c>
      <c r="E1745" s="43">
        <f t="shared" si="55"/>
        <v>-9000</v>
      </c>
    </row>
    <row r="1746" spans="1:5" x14ac:dyDescent="0.2">
      <c r="A1746" s="42">
        <v>36666</v>
      </c>
      <c r="B1746" s="43">
        <f>VLOOKUP(A1746,Database!F:H,3,)</f>
        <v>280000</v>
      </c>
      <c r="C1746" s="43">
        <f t="shared" si="54"/>
        <v>4000</v>
      </c>
      <c r="D1746" s="43">
        <f>VLOOKUP(A1746,Database!F:H,2,)</f>
        <v>1998000</v>
      </c>
      <c r="E1746" s="43">
        <f t="shared" si="55"/>
        <v>16000</v>
      </c>
    </row>
    <row r="1747" spans="1:5" x14ac:dyDescent="0.2">
      <c r="A1747" s="42">
        <v>36673</v>
      </c>
      <c r="B1747" s="43">
        <f>VLOOKUP(A1747,Database!F:H,3,)</f>
        <v>280000</v>
      </c>
      <c r="C1747" s="43">
        <f t="shared" si="54"/>
        <v>0</v>
      </c>
      <c r="D1747" s="43">
        <f>VLOOKUP(A1747,Database!F:H,2,)</f>
        <v>1987000</v>
      </c>
      <c r="E1747" s="43">
        <f t="shared" si="55"/>
        <v>-11000</v>
      </c>
    </row>
    <row r="1748" spans="1:5" x14ac:dyDescent="0.2">
      <c r="A1748" s="42">
        <v>36680</v>
      </c>
      <c r="B1748" s="43">
        <f>VLOOKUP(A1748,Database!F:H,3,)</f>
        <v>290000</v>
      </c>
      <c r="C1748" s="43">
        <f t="shared" si="54"/>
        <v>10000</v>
      </c>
      <c r="D1748" s="43">
        <f>VLOOKUP(A1748,Database!F:H,2,)</f>
        <v>2019000</v>
      </c>
      <c r="E1748" s="43">
        <f t="shared" si="55"/>
        <v>32000</v>
      </c>
    </row>
    <row r="1749" spans="1:5" x14ac:dyDescent="0.2">
      <c r="A1749" s="42">
        <v>36687</v>
      </c>
      <c r="B1749" s="43">
        <f>VLOOKUP(A1749,Database!F:H,3,)</f>
        <v>284000</v>
      </c>
      <c r="C1749" s="43">
        <f t="shared" si="54"/>
        <v>-6000</v>
      </c>
      <c r="D1749" s="43">
        <f>VLOOKUP(A1749,Database!F:H,2,)</f>
        <v>2020000</v>
      </c>
      <c r="E1749" s="43">
        <f t="shared" si="55"/>
        <v>1000</v>
      </c>
    </row>
    <row r="1750" spans="1:5" x14ac:dyDescent="0.2">
      <c r="A1750" s="42">
        <v>36694</v>
      </c>
      <c r="B1750" s="43">
        <f>VLOOKUP(A1750,Database!F:H,3,)</f>
        <v>294000</v>
      </c>
      <c r="C1750" s="43">
        <f t="shared" si="54"/>
        <v>10000</v>
      </c>
      <c r="D1750" s="43">
        <f>VLOOKUP(A1750,Database!F:H,2,)</f>
        <v>2041000</v>
      </c>
      <c r="E1750" s="43">
        <f t="shared" si="55"/>
        <v>21000</v>
      </c>
    </row>
    <row r="1751" spans="1:5" x14ac:dyDescent="0.2">
      <c r="A1751" s="42">
        <v>36701</v>
      </c>
      <c r="B1751" s="43">
        <f>VLOOKUP(A1751,Database!F:H,3,)</f>
        <v>296000</v>
      </c>
      <c r="C1751" s="43">
        <f t="shared" si="54"/>
        <v>2000</v>
      </c>
      <c r="D1751" s="43">
        <f>VLOOKUP(A1751,Database!F:H,2,)</f>
        <v>2033000</v>
      </c>
      <c r="E1751" s="43">
        <f t="shared" si="55"/>
        <v>-8000</v>
      </c>
    </row>
    <row r="1752" spans="1:5" x14ac:dyDescent="0.2">
      <c r="A1752" s="42">
        <v>36708</v>
      </c>
      <c r="B1752" s="43">
        <f>VLOOKUP(A1752,Database!F:H,3,)</f>
        <v>281000</v>
      </c>
      <c r="C1752" s="43">
        <f t="shared" si="54"/>
        <v>-15000</v>
      </c>
      <c r="D1752" s="43">
        <f>VLOOKUP(A1752,Database!F:H,2,)</f>
        <v>2052000</v>
      </c>
      <c r="E1752" s="43">
        <f t="shared" si="55"/>
        <v>19000</v>
      </c>
    </row>
    <row r="1753" spans="1:5" x14ac:dyDescent="0.2">
      <c r="A1753" s="42">
        <v>36715</v>
      </c>
      <c r="B1753" s="43">
        <f>VLOOKUP(A1753,Database!F:H,3,)</f>
        <v>293000</v>
      </c>
      <c r="C1753" s="43">
        <f t="shared" si="54"/>
        <v>12000</v>
      </c>
      <c r="D1753" s="43">
        <f>VLOOKUP(A1753,Database!F:H,2,)</f>
        <v>2099000</v>
      </c>
      <c r="E1753" s="43">
        <f t="shared" si="55"/>
        <v>47000</v>
      </c>
    </row>
    <row r="1754" spans="1:5" x14ac:dyDescent="0.2">
      <c r="A1754" s="42">
        <v>36722</v>
      </c>
      <c r="B1754" s="43">
        <f>VLOOKUP(A1754,Database!F:H,3,)</f>
        <v>303000</v>
      </c>
      <c r="C1754" s="43">
        <f t="shared" si="54"/>
        <v>10000</v>
      </c>
      <c r="D1754" s="43">
        <f>VLOOKUP(A1754,Database!F:H,2,)</f>
        <v>2122000</v>
      </c>
      <c r="E1754" s="43">
        <f t="shared" si="55"/>
        <v>23000</v>
      </c>
    </row>
    <row r="1755" spans="1:5" x14ac:dyDescent="0.2">
      <c r="A1755" s="42">
        <v>36729</v>
      </c>
      <c r="B1755" s="43">
        <f>VLOOKUP(A1755,Database!F:H,3,)</f>
        <v>300000</v>
      </c>
      <c r="C1755" s="43">
        <f t="shared" si="54"/>
        <v>-3000</v>
      </c>
      <c r="D1755" s="43">
        <f>VLOOKUP(A1755,Database!F:H,2,)</f>
        <v>2070000</v>
      </c>
      <c r="E1755" s="43">
        <f t="shared" si="55"/>
        <v>-52000</v>
      </c>
    </row>
    <row r="1756" spans="1:5" x14ac:dyDescent="0.2">
      <c r="A1756" s="42">
        <v>36736</v>
      </c>
      <c r="B1756" s="43">
        <f>VLOOKUP(A1756,Database!F:H,3,)</f>
        <v>298000</v>
      </c>
      <c r="C1756" s="43">
        <f t="shared" si="54"/>
        <v>-2000</v>
      </c>
      <c r="D1756" s="43">
        <f>VLOOKUP(A1756,Database!F:H,2,)</f>
        <v>2085000</v>
      </c>
      <c r="E1756" s="43">
        <f t="shared" si="55"/>
        <v>15000</v>
      </c>
    </row>
    <row r="1757" spans="1:5" x14ac:dyDescent="0.2">
      <c r="A1757" s="42">
        <v>36743</v>
      </c>
      <c r="B1757" s="43">
        <f>VLOOKUP(A1757,Database!F:H,3,)</f>
        <v>306000</v>
      </c>
      <c r="C1757" s="43">
        <f t="shared" si="54"/>
        <v>8000</v>
      </c>
      <c r="D1757" s="43">
        <f>VLOOKUP(A1757,Database!F:H,2,)</f>
        <v>2096000</v>
      </c>
      <c r="E1757" s="43">
        <f t="shared" si="55"/>
        <v>11000</v>
      </c>
    </row>
    <row r="1758" spans="1:5" x14ac:dyDescent="0.2">
      <c r="A1758" s="42">
        <v>36750</v>
      </c>
      <c r="B1758" s="43">
        <f>VLOOKUP(A1758,Database!F:H,3,)</f>
        <v>315000</v>
      </c>
      <c r="C1758" s="43">
        <f t="shared" si="54"/>
        <v>9000</v>
      </c>
      <c r="D1758" s="43">
        <f>VLOOKUP(A1758,Database!F:H,2,)</f>
        <v>2109000</v>
      </c>
      <c r="E1758" s="43">
        <f t="shared" si="55"/>
        <v>13000</v>
      </c>
    </row>
    <row r="1759" spans="1:5" x14ac:dyDescent="0.2">
      <c r="A1759" s="42">
        <v>36757</v>
      </c>
      <c r="B1759" s="43">
        <f>VLOOKUP(A1759,Database!F:H,3,)</f>
        <v>318000</v>
      </c>
      <c r="C1759" s="43">
        <f t="shared" si="54"/>
        <v>3000</v>
      </c>
      <c r="D1759" s="43">
        <f>VLOOKUP(A1759,Database!F:H,2,)</f>
        <v>2145000</v>
      </c>
      <c r="E1759" s="43">
        <f t="shared" si="55"/>
        <v>36000</v>
      </c>
    </row>
    <row r="1760" spans="1:5" x14ac:dyDescent="0.2">
      <c r="A1760" s="42">
        <v>36764</v>
      </c>
      <c r="B1760" s="43">
        <f>VLOOKUP(A1760,Database!F:H,3,)</f>
        <v>312000</v>
      </c>
      <c r="C1760" s="43">
        <f t="shared" si="54"/>
        <v>-6000</v>
      </c>
      <c r="D1760" s="43">
        <f>VLOOKUP(A1760,Database!F:H,2,)</f>
        <v>2119000</v>
      </c>
      <c r="E1760" s="43">
        <f t="shared" si="55"/>
        <v>-26000</v>
      </c>
    </row>
    <row r="1761" spans="1:5" x14ac:dyDescent="0.2">
      <c r="A1761" s="42">
        <v>36771</v>
      </c>
      <c r="B1761" s="43">
        <f>VLOOKUP(A1761,Database!F:H,3,)</f>
        <v>301000</v>
      </c>
      <c r="C1761" s="43">
        <f t="shared" si="54"/>
        <v>-11000</v>
      </c>
      <c r="D1761" s="43">
        <f>VLOOKUP(A1761,Database!F:H,2,)</f>
        <v>2169000</v>
      </c>
      <c r="E1761" s="43">
        <f t="shared" si="55"/>
        <v>50000</v>
      </c>
    </row>
    <row r="1762" spans="1:5" x14ac:dyDescent="0.2">
      <c r="A1762" s="42">
        <v>36778</v>
      </c>
      <c r="B1762" s="43">
        <f>VLOOKUP(A1762,Database!F:H,3,)</f>
        <v>309000</v>
      </c>
      <c r="C1762" s="43">
        <f t="shared" si="54"/>
        <v>8000</v>
      </c>
      <c r="D1762" s="43">
        <f>VLOOKUP(A1762,Database!F:H,2,)</f>
        <v>2139000</v>
      </c>
      <c r="E1762" s="43">
        <f t="shared" si="55"/>
        <v>-30000</v>
      </c>
    </row>
    <row r="1763" spans="1:5" x14ac:dyDescent="0.2">
      <c r="A1763" s="42">
        <v>36785</v>
      </c>
      <c r="B1763" s="43">
        <f>VLOOKUP(A1763,Database!F:H,3,)</f>
        <v>311000</v>
      </c>
      <c r="C1763" s="43">
        <f t="shared" si="54"/>
        <v>2000</v>
      </c>
      <c r="D1763" s="43">
        <f>VLOOKUP(A1763,Database!F:H,2,)</f>
        <v>2115000</v>
      </c>
      <c r="E1763" s="43">
        <f t="shared" si="55"/>
        <v>-24000</v>
      </c>
    </row>
    <row r="1764" spans="1:5" x14ac:dyDescent="0.2">
      <c r="A1764" s="42">
        <v>36792</v>
      </c>
      <c r="B1764" s="43">
        <f>VLOOKUP(A1764,Database!F:H,3,)</f>
        <v>288000</v>
      </c>
      <c r="C1764" s="43">
        <f t="shared" si="54"/>
        <v>-23000</v>
      </c>
      <c r="D1764" s="43">
        <f>VLOOKUP(A1764,Database!F:H,2,)</f>
        <v>2098000</v>
      </c>
      <c r="E1764" s="43">
        <f t="shared" si="55"/>
        <v>-17000</v>
      </c>
    </row>
    <row r="1765" spans="1:5" x14ac:dyDescent="0.2">
      <c r="A1765" s="42">
        <v>36799</v>
      </c>
      <c r="B1765" s="43">
        <f>VLOOKUP(A1765,Database!F:H,3,)</f>
        <v>292000</v>
      </c>
      <c r="C1765" s="43">
        <f t="shared" si="54"/>
        <v>4000</v>
      </c>
      <c r="D1765" s="43">
        <f>VLOOKUP(A1765,Database!F:H,2,)</f>
        <v>2077000</v>
      </c>
      <c r="E1765" s="43">
        <f t="shared" si="55"/>
        <v>-21000</v>
      </c>
    </row>
    <row r="1766" spans="1:5" x14ac:dyDescent="0.2">
      <c r="A1766" s="42">
        <v>36806</v>
      </c>
      <c r="B1766" s="43">
        <f>VLOOKUP(A1766,Database!F:H,3,)</f>
        <v>309000</v>
      </c>
      <c r="C1766" s="43">
        <f t="shared" si="54"/>
        <v>17000</v>
      </c>
      <c r="D1766" s="43">
        <f>VLOOKUP(A1766,Database!F:H,2,)</f>
        <v>2133000</v>
      </c>
      <c r="E1766" s="43">
        <f t="shared" si="55"/>
        <v>56000</v>
      </c>
    </row>
    <row r="1767" spans="1:5" x14ac:dyDescent="0.2">
      <c r="A1767" s="42">
        <v>36813</v>
      </c>
      <c r="B1767" s="43">
        <f>VLOOKUP(A1767,Database!F:H,3,)</f>
        <v>299000</v>
      </c>
      <c r="C1767" s="43">
        <f t="shared" si="54"/>
        <v>-10000</v>
      </c>
      <c r="D1767" s="43">
        <f>VLOOKUP(A1767,Database!F:H,2,)</f>
        <v>2124000</v>
      </c>
      <c r="E1767" s="43">
        <f t="shared" si="55"/>
        <v>-9000</v>
      </c>
    </row>
    <row r="1768" spans="1:5" x14ac:dyDescent="0.2">
      <c r="A1768" s="42">
        <v>36820</v>
      </c>
      <c r="B1768" s="43">
        <f>VLOOKUP(A1768,Database!F:H,3,)</f>
        <v>295000</v>
      </c>
      <c r="C1768" s="43">
        <f t="shared" si="54"/>
        <v>-4000</v>
      </c>
      <c r="D1768" s="43">
        <f>VLOOKUP(A1768,Database!F:H,2,)</f>
        <v>2082000</v>
      </c>
      <c r="E1768" s="43">
        <f t="shared" si="55"/>
        <v>-42000</v>
      </c>
    </row>
    <row r="1769" spans="1:5" x14ac:dyDescent="0.2">
      <c r="A1769" s="42">
        <v>36827</v>
      </c>
      <c r="B1769" s="43">
        <f>VLOOKUP(A1769,Database!F:H,3,)</f>
        <v>301000</v>
      </c>
      <c r="C1769" s="43">
        <f t="shared" si="54"/>
        <v>6000</v>
      </c>
      <c r="D1769" s="43">
        <f>VLOOKUP(A1769,Database!F:H,2,)</f>
        <v>2126000</v>
      </c>
      <c r="E1769" s="43">
        <f t="shared" si="55"/>
        <v>44000</v>
      </c>
    </row>
    <row r="1770" spans="1:5" x14ac:dyDescent="0.2">
      <c r="A1770" s="42">
        <v>36834</v>
      </c>
      <c r="B1770" s="43">
        <f>VLOOKUP(A1770,Database!F:H,3,)</f>
        <v>331000</v>
      </c>
      <c r="C1770" s="43">
        <f t="shared" si="54"/>
        <v>30000</v>
      </c>
      <c r="D1770" s="43">
        <f>VLOOKUP(A1770,Database!F:H,2,)</f>
        <v>2110000</v>
      </c>
      <c r="E1770" s="43">
        <f t="shared" si="55"/>
        <v>-16000</v>
      </c>
    </row>
    <row r="1771" spans="1:5" x14ac:dyDescent="0.2">
      <c r="A1771" s="42">
        <v>36841</v>
      </c>
      <c r="B1771" s="43">
        <f>VLOOKUP(A1771,Database!F:H,3,)</f>
        <v>318000</v>
      </c>
      <c r="C1771" s="43">
        <f t="shared" si="54"/>
        <v>-13000</v>
      </c>
      <c r="D1771" s="43">
        <f>VLOOKUP(A1771,Database!F:H,2,)</f>
        <v>2161000</v>
      </c>
      <c r="E1771" s="43">
        <f t="shared" si="55"/>
        <v>51000</v>
      </c>
    </row>
    <row r="1772" spans="1:5" x14ac:dyDescent="0.2">
      <c r="A1772" s="42">
        <v>36848</v>
      </c>
      <c r="B1772" s="43">
        <f>VLOOKUP(A1772,Database!F:H,3,)</f>
        <v>332000</v>
      </c>
      <c r="C1772" s="43">
        <f t="shared" si="54"/>
        <v>14000</v>
      </c>
      <c r="D1772" s="43">
        <f>VLOOKUP(A1772,Database!F:H,2,)</f>
        <v>2279000</v>
      </c>
      <c r="E1772" s="43">
        <f t="shared" si="55"/>
        <v>118000</v>
      </c>
    </row>
    <row r="1773" spans="1:5" x14ac:dyDescent="0.2">
      <c r="A1773" s="42">
        <v>36855</v>
      </c>
      <c r="B1773" s="43">
        <f>VLOOKUP(A1773,Database!F:H,3,)</f>
        <v>356000</v>
      </c>
      <c r="C1773" s="43">
        <f t="shared" si="54"/>
        <v>24000</v>
      </c>
      <c r="D1773" s="43">
        <f>VLOOKUP(A1773,Database!F:H,2,)</f>
        <v>2295000</v>
      </c>
      <c r="E1773" s="43">
        <f t="shared" si="55"/>
        <v>16000</v>
      </c>
    </row>
    <row r="1774" spans="1:5" x14ac:dyDescent="0.2">
      <c r="A1774" s="42">
        <v>36862</v>
      </c>
      <c r="B1774" s="43">
        <f>VLOOKUP(A1774,Database!F:H,3,)</f>
        <v>338000</v>
      </c>
      <c r="C1774" s="43">
        <f t="shared" si="54"/>
        <v>-18000</v>
      </c>
      <c r="D1774" s="43">
        <f>VLOOKUP(A1774,Database!F:H,2,)</f>
        <v>2229000</v>
      </c>
      <c r="E1774" s="43">
        <f t="shared" si="55"/>
        <v>-66000</v>
      </c>
    </row>
    <row r="1775" spans="1:5" x14ac:dyDescent="0.2">
      <c r="A1775" s="42">
        <v>36869</v>
      </c>
      <c r="B1775" s="43">
        <f>VLOOKUP(A1775,Database!F:H,3,)</f>
        <v>321000</v>
      </c>
      <c r="C1775" s="43">
        <f t="shared" si="54"/>
        <v>-17000</v>
      </c>
      <c r="D1775" s="43">
        <f>VLOOKUP(A1775,Database!F:H,2,)</f>
        <v>2263000</v>
      </c>
      <c r="E1775" s="43">
        <f t="shared" si="55"/>
        <v>34000</v>
      </c>
    </row>
    <row r="1776" spans="1:5" x14ac:dyDescent="0.2">
      <c r="A1776" s="42">
        <v>36876</v>
      </c>
      <c r="B1776" s="43">
        <f>VLOOKUP(A1776,Database!F:H,3,)</f>
        <v>354000</v>
      </c>
      <c r="C1776" s="43">
        <f t="shared" si="54"/>
        <v>33000</v>
      </c>
      <c r="D1776" s="43">
        <f>VLOOKUP(A1776,Database!F:H,2,)</f>
        <v>2322000</v>
      </c>
      <c r="E1776" s="43">
        <f t="shared" si="55"/>
        <v>59000</v>
      </c>
    </row>
    <row r="1777" spans="1:5" x14ac:dyDescent="0.2">
      <c r="A1777" s="42">
        <v>36883</v>
      </c>
      <c r="B1777" s="43">
        <f>VLOOKUP(A1777,Database!F:H,3,)</f>
        <v>364000</v>
      </c>
      <c r="C1777" s="43">
        <f t="shared" si="54"/>
        <v>10000</v>
      </c>
      <c r="D1777" s="43">
        <f>VLOOKUP(A1777,Database!F:H,2,)</f>
        <v>2340000</v>
      </c>
      <c r="E1777" s="43">
        <f t="shared" si="55"/>
        <v>18000</v>
      </c>
    </row>
    <row r="1778" spans="1:5" x14ac:dyDescent="0.2">
      <c r="A1778" s="42">
        <v>36890</v>
      </c>
      <c r="B1778" s="43">
        <f>VLOOKUP(A1778,Database!F:H,3,)</f>
        <v>353000</v>
      </c>
      <c r="C1778" s="43">
        <f t="shared" si="54"/>
        <v>-11000</v>
      </c>
      <c r="D1778" s="43">
        <f>VLOOKUP(A1778,Database!F:H,2,)</f>
        <v>2378000</v>
      </c>
      <c r="E1778" s="43">
        <f t="shared" si="55"/>
        <v>38000</v>
      </c>
    </row>
    <row r="1779" spans="1:5" x14ac:dyDescent="0.2">
      <c r="A1779" s="42">
        <v>36897</v>
      </c>
      <c r="B1779" s="43">
        <f>VLOOKUP(A1779,Database!F:H,3,)</f>
        <v>337000</v>
      </c>
      <c r="C1779" s="43">
        <f t="shared" si="54"/>
        <v>-16000</v>
      </c>
      <c r="D1779" s="43">
        <f>VLOOKUP(A1779,Database!F:H,2,)</f>
        <v>2357000</v>
      </c>
      <c r="E1779" s="43">
        <f t="shared" si="55"/>
        <v>-21000</v>
      </c>
    </row>
    <row r="1780" spans="1:5" x14ac:dyDescent="0.2">
      <c r="A1780" s="42">
        <v>36904</v>
      </c>
      <c r="B1780" s="43">
        <f>VLOOKUP(A1780,Database!F:H,3,)</f>
        <v>318000</v>
      </c>
      <c r="C1780" s="43">
        <f t="shared" si="54"/>
        <v>-19000</v>
      </c>
      <c r="D1780" s="43">
        <f>VLOOKUP(A1780,Database!F:H,2,)</f>
        <v>2367000</v>
      </c>
      <c r="E1780" s="43">
        <f t="shared" si="55"/>
        <v>10000</v>
      </c>
    </row>
    <row r="1781" spans="1:5" x14ac:dyDescent="0.2">
      <c r="A1781" s="42">
        <v>36911</v>
      </c>
      <c r="B1781" s="43">
        <f>VLOOKUP(A1781,Database!F:H,3,)</f>
        <v>343000</v>
      </c>
      <c r="C1781" s="43">
        <f t="shared" si="54"/>
        <v>25000</v>
      </c>
      <c r="D1781" s="43">
        <f>VLOOKUP(A1781,Database!F:H,2,)</f>
        <v>2419000</v>
      </c>
      <c r="E1781" s="43">
        <f t="shared" si="55"/>
        <v>52000</v>
      </c>
    </row>
    <row r="1782" spans="1:5" x14ac:dyDescent="0.2">
      <c r="A1782" s="42">
        <v>36918</v>
      </c>
      <c r="B1782" s="43">
        <f>VLOOKUP(A1782,Database!F:H,3,)</f>
        <v>362000</v>
      </c>
      <c r="C1782" s="43">
        <f t="shared" si="54"/>
        <v>19000</v>
      </c>
      <c r="D1782" s="43">
        <f>VLOOKUP(A1782,Database!F:H,2,)</f>
        <v>2440000</v>
      </c>
      <c r="E1782" s="43">
        <f t="shared" si="55"/>
        <v>21000</v>
      </c>
    </row>
    <row r="1783" spans="1:5" x14ac:dyDescent="0.2">
      <c r="A1783" s="42">
        <v>36925</v>
      </c>
      <c r="B1783" s="43">
        <f>VLOOKUP(A1783,Database!F:H,3,)</f>
        <v>376000</v>
      </c>
      <c r="C1783" s="43">
        <f t="shared" si="54"/>
        <v>14000</v>
      </c>
      <c r="D1783" s="43">
        <f>VLOOKUP(A1783,Database!F:H,2,)</f>
        <v>2489000</v>
      </c>
      <c r="E1783" s="43">
        <f t="shared" si="55"/>
        <v>49000</v>
      </c>
    </row>
    <row r="1784" spans="1:5" x14ac:dyDescent="0.2">
      <c r="A1784" s="42">
        <v>36932</v>
      </c>
      <c r="B1784" s="43">
        <f>VLOOKUP(A1784,Database!F:H,3,)</f>
        <v>365000</v>
      </c>
      <c r="C1784" s="43">
        <f t="shared" si="54"/>
        <v>-11000</v>
      </c>
      <c r="D1784" s="43">
        <f>VLOOKUP(A1784,Database!F:H,2,)</f>
        <v>2435000</v>
      </c>
      <c r="E1784" s="43">
        <f t="shared" si="55"/>
        <v>-54000</v>
      </c>
    </row>
    <row r="1785" spans="1:5" x14ac:dyDescent="0.2">
      <c r="A1785" s="42">
        <v>36939</v>
      </c>
      <c r="B1785" s="43">
        <f>VLOOKUP(A1785,Database!F:H,3,)</f>
        <v>358000</v>
      </c>
      <c r="C1785" s="43">
        <f t="shared" si="54"/>
        <v>-7000</v>
      </c>
      <c r="D1785" s="43">
        <f>VLOOKUP(A1785,Database!F:H,2,)</f>
        <v>2516000</v>
      </c>
      <c r="E1785" s="43">
        <f t="shared" si="55"/>
        <v>81000</v>
      </c>
    </row>
    <row r="1786" spans="1:5" x14ac:dyDescent="0.2">
      <c r="A1786" s="42">
        <v>36946</v>
      </c>
      <c r="B1786" s="43">
        <f>VLOOKUP(A1786,Database!F:H,3,)</f>
        <v>386000</v>
      </c>
      <c r="C1786" s="43">
        <f t="shared" si="54"/>
        <v>28000</v>
      </c>
      <c r="D1786" s="43">
        <f>VLOOKUP(A1786,Database!F:H,2,)</f>
        <v>2506000</v>
      </c>
      <c r="E1786" s="43">
        <f t="shared" si="55"/>
        <v>-10000</v>
      </c>
    </row>
    <row r="1787" spans="1:5" x14ac:dyDescent="0.2">
      <c r="A1787" s="42">
        <v>36953</v>
      </c>
      <c r="B1787" s="43">
        <f>VLOOKUP(A1787,Database!F:H,3,)</f>
        <v>384000</v>
      </c>
      <c r="C1787" s="43">
        <f t="shared" si="54"/>
        <v>-2000</v>
      </c>
      <c r="D1787" s="43">
        <f>VLOOKUP(A1787,Database!F:H,2,)</f>
        <v>2558000</v>
      </c>
      <c r="E1787" s="43">
        <f t="shared" si="55"/>
        <v>52000</v>
      </c>
    </row>
    <row r="1788" spans="1:5" x14ac:dyDescent="0.2">
      <c r="A1788" s="42">
        <v>36960</v>
      </c>
      <c r="B1788" s="43">
        <f>VLOOKUP(A1788,Database!F:H,3,)</f>
        <v>393000</v>
      </c>
      <c r="C1788" s="43">
        <f t="shared" si="54"/>
        <v>9000</v>
      </c>
      <c r="D1788" s="43">
        <f>VLOOKUP(A1788,Database!F:H,2,)</f>
        <v>2557000</v>
      </c>
      <c r="E1788" s="43">
        <f t="shared" si="55"/>
        <v>-1000</v>
      </c>
    </row>
    <row r="1789" spans="1:5" x14ac:dyDescent="0.2">
      <c r="A1789" s="42">
        <v>36967</v>
      </c>
      <c r="B1789" s="43">
        <f>VLOOKUP(A1789,Database!F:H,3,)</f>
        <v>393000</v>
      </c>
      <c r="C1789" s="43">
        <f t="shared" si="54"/>
        <v>0</v>
      </c>
      <c r="D1789" s="43">
        <f>VLOOKUP(A1789,Database!F:H,2,)</f>
        <v>2605000</v>
      </c>
      <c r="E1789" s="43">
        <f t="shared" si="55"/>
        <v>48000</v>
      </c>
    </row>
    <row r="1790" spans="1:5" x14ac:dyDescent="0.2">
      <c r="A1790" s="42">
        <v>36974</v>
      </c>
      <c r="B1790" s="43">
        <f>VLOOKUP(A1790,Database!F:H,3,)</f>
        <v>378000</v>
      </c>
      <c r="C1790" s="43">
        <f t="shared" si="54"/>
        <v>-15000</v>
      </c>
      <c r="D1790" s="43">
        <f>VLOOKUP(A1790,Database!F:H,2,)</f>
        <v>2587000</v>
      </c>
      <c r="E1790" s="43">
        <f t="shared" si="55"/>
        <v>-18000</v>
      </c>
    </row>
    <row r="1791" spans="1:5" x14ac:dyDescent="0.2">
      <c r="A1791" s="42">
        <v>36981</v>
      </c>
      <c r="B1791" s="43">
        <f>VLOOKUP(A1791,Database!F:H,3,)</f>
        <v>388000</v>
      </c>
      <c r="C1791" s="43">
        <f t="shared" si="54"/>
        <v>10000</v>
      </c>
      <c r="D1791" s="43">
        <f>VLOOKUP(A1791,Database!F:H,2,)</f>
        <v>2620000</v>
      </c>
      <c r="E1791" s="43">
        <f t="shared" si="55"/>
        <v>33000</v>
      </c>
    </row>
    <row r="1792" spans="1:5" x14ac:dyDescent="0.2">
      <c r="A1792" s="42">
        <v>36988</v>
      </c>
      <c r="B1792" s="43">
        <f>VLOOKUP(A1792,Database!F:H,3,)</f>
        <v>398000</v>
      </c>
      <c r="C1792" s="43">
        <f t="shared" si="54"/>
        <v>10000</v>
      </c>
      <c r="D1792" s="43">
        <f>VLOOKUP(A1792,Database!F:H,2,)</f>
        <v>2582000</v>
      </c>
      <c r="E1792" s="43">
        <f t="shared" si="55"/>
        <v>-38000</v>
      </c>
    </row>
    <row r="1793" spans="1:5" x14ac:dyDescent="0.2">
      <c r="A1793" s="42">
        <v>36995</v>
      </c>
      <c r="B1793" s="43">
        <f>VLOOKUP(A1793,Database!F:H,3,)</f>
        <v>383000</v>
      </c>
      <c r="C1793" s="43">
        <f t="shared" si="54"/>
        <v>-15000</v>
      </c>
      <c r="D1793" s="43">
        <f>VLOOKUP(A1793,Database!F:H,2,)</f>
        <v>2742000</v>
      </c>
      <c r="E1793" s="43">
        <f t="shared" si="55"/>
        <v>160000</v>
      </c>
    </row>
    <row r="1794" spans="1:5" x14ac:dyDescent="0.2">
      <c r="A1794" s="42">
        <v>37002</v>
      </c>
      <c r="B1794" s="43">
        <f>VLOOKUP(A1794,Database!F:H,3,)</f>
        <v>400000</v>
      </c>
      <c r="C1794" s="43">
        <f t="shared" si="54"/>
        <v>17000</v>
      </c>
      <c r="D1794" s="43">
        <f>VLOOKUP(A1794,Database!F:H,2,)</f>
        <v>2737000</v>
      </c>
      <c r="E1794" s="43">
        <f t="shared" si="55"/>
        <v>-5000</v>
      </c>
    </row>
    <row r="1795" spans="1:5" x14ac:dyDescent="0.2">
      <c r="A1795" s="42">
        <v>37009</v>
      </c>
      <c r="B1795" s="43">
        <f>VLOOKUP(A1795,Database!F:H,3,)</f>
        <v>406000</v>
      </c>
      <c r="C1795" s="43">
        <f t="shared" si="54"/>
        <v>6000</v>
      </c>
      <c r="D1795" s="43">
        <f>VLOOKUP(A1795,Database!F:H,2,)</f>
        <v>2728000</v>
      </c>
      <c r="E1795" s="43">
        <f t="shared" si="55"/>
        <v>-9000</v>
      </c>
    </row>
    <row r="1796" spans="1:5" x14ac:dyDescent="0.2">
      <c r="A1796" s="42">
        <v>37016</v>
      </c>
      <c r="B1796" s="43">
        <f>VLOOKUP(A1796,Database!F:H,3,)</f>
        <v>381000</v>
      </c>
      <c r="C1796" s="43">
        <f t="shared" si="54"/>
        <v>-25000</v>
      </c>
      <c r="D1796" s="43">
        <f>VLOOKUP(A1796,Database!F:H,2,)</f>
        <v>2732000</v>
      </c>
      <c r="E1796" s="43">
        <f t="shared" si="55"/>
        <v>4000</v>
      </c>
    </row>
    <row r="1797" spans="1:5" x14ac:dyDescent="0.2">
      <c r="A1797" s="42">
        <v>37023</v>
      </c>
      <c r="B1797" s="43">
        <f>VLOOKUP(A1797,Database!F:H,3,)</f>
        <v>390000</v>
      </c>
      <c r="C1797" s="43">
        <f t="shared" si="54"/>
        <v>9000</v>
      </c>
      <c r="D1797" s="43">
        <f>VLOOKUP(A1797,Database!F:H,2,)</f>
        <v>2800000</v>
      </c>
      <c r="E1797" s="43">
        <f t="shared" si="55"/>
        <v>68000</v>
      </c>
    </row>
    <row r="1798" spans="1:5" x14ac:dyDescent="0.2">
      <c r="A1798" s="42">
        <v>37030</v>
      </c>
      <c r="B1798" s="43">
        <f>VLOOKUP(A1798,Database!F:H,3,)</f>
        <v>402000</v>
      </c>
      <c r="C1798" s="43">
        <f t="shared" si="54"/>
        <v>12000</v>
      </c>
      <c r="D1798" s="43">
        <f>VLOOKUP(A1798,Database!F:H,2,)</f>
        <v>2819000</v>
      </c>
      <c r="E1798" s="43">
        <f t="shared" si="55"/>
        <v>19000</v>
      </c>
    </row>
    <row r="1799" spans="1:5" x14ac:dyDescent="0.2">
      <c r="A1799" s="42">
        <v>37037</v>
      </c>
      <c r="B1799" s="43">
        <f>VLOOKUP(A1799,Database!F:H,3,)</f>
        <v>405000</v>
      </c>
      <c r="C1799" s="43">
        <f t="shared" si="54"/>
        <v>3000</v>
      </c>
      <c r="D1799" s="43">
        <f>VLOOKUP(A1799,Database!F:H,2,)</f>
        <v>2926000</v>
      </c>
      <c r="E1799" s="43">
        <f t="shared" si="55"/>
        <v>107000</v>
      </c>
    </row>
    <row r="1800" spans="1:5" x14ac:dyDescent="0.2">
      <c r="A1800" s="42">
        <v>37044</v>
      </c>
      <c r="B1800" s="43">
        <f>VLOOKUP(A1800,Database!F:H,3,)</f>
        <v>406000</v>
      </c>
      <c r="C1800" s="43">
        <f t="shared" ref="C1800:C1863" si="56">B1800-B1799</f>
        <v>1000</v>
      </c>
      <c r="D1800" s="43">
        <f>VLOOKUP(A1800,Database!F:H,2,)</f>
        <v>2919000</v>
      </c>
      <c r="E1800" s="43">
        <f t="shared" ref="E1800:E1863" si="57">D1800-D1799</f>
        <v>-7000</v>
      </c>
    </row>
    <row r="1801" spans="1:5" x14ac:dyDescent="0.2">
      <c r="A1801" s="42">
        <v>37051</v>
      </c>
      <c r="B1801" s="43">
        <f>VLOOKUP(A1801,Database!F:H,3,)</f>
        <v>411000</v>
      </c>
      <c r="C1801" s="43">
        <f t="shared" si="56"/>
        <v>5000</v>
      </c>
      <c r="D1801" s="43">
        <f>VLOOKUP(A1801,Database!F:H,2,)</f>
        <v>2948000</v>
      </c>
      <c r="E1801" s="43">
        <f t="shared" si="57"/>
        <v>29000</v>
      </c>
    </row>
    <row r="1802" spans="1:5" x14ac:dyDescent="0.2">
      <c r="A1802" s="42">
        <v>37058</v>
      </c>
      <c r="B1802" s="43">
        <f>VLOOKUP(A1802,Database!F:H,3,)</f>
        <v>394000</v>
      </c>
      <c r="C1802" s="43">
        <f t="shared" si="56"/>
        <v>-17000</v>
      </c>
      <c r="D1802" s="43">
        <f>VLOOKUP(A1802,Database!F:H,2,)</f>
        <v>2939000</v>
      </c>
      <c r="E1802" s="43">
        <f t="shared" si="57"/>
        <v>-9000</v>
      </c>
    </row>
    <row r="1803" spans="1:5" x14ac:dyDescent="0.2">
      <c r="A1803" s="42">
        <v>37065</v>
      </c>
      <c r="B1803" s="43">
        <f>VLOOKUP(A1803,Database!F:H,3,)</f>
        <v>381000</v>
      </c>
      <c r="C1803" s="43">
        <f t="shared" si="56"/>
        <v>-13000</v>
      </c>
      <c r="D1803" s="43">
        <f>VLOOKUP(A1803,Database!F:H,2,)</f>
        <v>2972000</v>
      </c>
      <c r="E1803" s="43">
        <f t="shared" si="57"/>
        <v>33000</v>
      </c>
    </row>
    <row r="1804" spans="1:5" x14ac:dyDescent="0.2">
      <c r="A1804" s="42">
        <v>37072</v>
      </c>
      <c r="B1804" s="43">
        <f>VLOOKUP(A1804,Database!F:H,3,)</f>
        <v>394000</v>
      </c>
      <c r="C1804" s="43">
        <f t="shared" si="56"/>
        <v>13000</v>
      </c>
      <c r="D1804" s="43">
        <f>VLOOKUP(A1804,Database!F:H,2,)</f>
        <v>2959000</v>
      </c>
      <c r="E1804" s="43">
        <f t="shared" si="57"/>
        <v>-13000</v>
      </c>
    </row>
    <row r="1805" spans="1:5" x14ac:dyDescent="0.2">
      <c r="A1805" s="42">
        <v>37079</v>
      </c>
      <c r="B1805" s="43">
        <f>VLOOKUP(A1805,Database!F:H,3,)</f>
        <v>401000</v>
      </c>
      <c r="C1805" s="43">
        <f t="shared" si="56"/>
        <v>7000</v>
      </c>
      <c r="D1805" s="43">
        <f>VLOOKUP(A1805,Database!F:H,2,)</f>
        <v>3063000</v>
      </c>
      <c r="E1805" s="43">
        <f t="shared" si="57"/>
        <v>104000</v>
      </c>
    </row>
    <row r="1806" spans="1:5" x14ac:dyDescent="0.2">
      <c r="A1806" s="42">
        <v>37086</v>
      </c>
      <c r="B1806" s="43">
        <f>VLOOKUP(A1806,Database!F:H,3,)</f>
        <v>405000</v>
      </c>
      <c r="C1806" s="43">
        <f t="shared" si="56"/>
        <v>4000</v>
      </c>
      <c r="D1806" s="43">
        <f>VLOOKUP(A1806,Database!F:H,2,)</f>
        <v>3029000</v>
      </c>
      <c r="E1806" s="43">
        <f t="shared" si="57"/>
        <v>-34000</v>
      </c>
    </row>
    <row r="1807" spans="1:5" x14ac:dyDescent="0.2">
      <c r="A1807" s="42">
        <v>37093</v>
      </c>
      <c r="B1807" s="43">
        <f>VLOOKUP(A1807,Database!F:H,3,)</f>
        <v>398000</v>
      </c>
      <c r="C1807" s="43">
        <f t="shared" si="56"/>
        <v>-7000</v>
      </c>
      <c r="D1807" s="43">
        <f>VLOOKUP(A1807,Database!F:H,2,)</f>
        <v>2975000</v>
      </c>
      <c r="E1807" s="43">
        <f t="shared" si="57"/>
        <v>-54000</v>
      </c>
    </row>
    <row r="1808" spans="1:5" x14ac:dyDescent="0.2">
      <c r="A1808" s="42">
        <v>37100</v>
      </c>
      <c r="B1808" s="43">
        <f>VLOOKUP(A1808,Database!F:H,3,)</f>
        <v>388000</v>
      </c>
      <c r="C1808" s="43">
        <f t="shared" si="56"/>
        <v>-10000</v>
      </c>
      <c r="D1808" s="43">
        <f>VLOOKUP(A1808,Database!F:H,2,)</f>
        <v>3056000</v>
      </c>
      <c r="E1808" s="43">
        <f t="shared" si="57"/>
        <v>81000</v>
      </c>
    </row>
    <row r="1809" spans="1:5" x14ac:dyDescent="0.2">
      <c r="A1809" s="42">
        <v>37107</v>
      </c>
      <c r="B1809" s="43">
        <f>VLOOKUP(A1809,Database!F:H,3,)</f>
        <v>401000</v>
      </c>
      <c r="C1809" s="43">
        <f t="shared" si="56"/>
        <v>13000</v>
      </c>
      <c r="D1809" s="43">
        <f>VLOOKUP(A1809,Database!F:H,2,)</f>
        <v>3079000</v>
      </c>
      <c r="E1809" s="43">
        <f t="shared" si="57"/>
        <v>23000</v>
      </c>
    </row>
    <row r="1810" spans="1:5" x14ac:dyDescent="0.2">
      <c r="A1810" s="42">
        <v>37114</v>
      </c>
      <c r="B1810" s="43">
        <f>VLOOKUP(A1810,Database!F:H,3,)</f>
        <v>394000</v>
      </c>
      <c r="C1810" s="43">
        <f t="shared" si="56"/>
        <v>-7000</v>
      </c>
      <c r="D1810" s="43">
        <f>VLOOKUP(A1810,Database!F:H,2,)</f>
        <v>3125000</v>
      </c>
      <c r="E1810" s="43">
        <f t="shared" si="57"/>
        <v>46000</v>
      </c>
    </row>
    <row r="1811" spans="1:5" x14ac:dyDescent="0.2">
      <c r="A1811" s="42">
        <v>37121</v>
      </c>
      <c r="B1811" s="43">
        <f>VLOOKUP(A1811,Database!F:H,3,)</f>
        <v>402000</v>
      </c>
      <c r="C1811" s="43">
        <f t="shared" si="56"/>
        <v>8000</v>
      </c>
      <c r="D1811" s="43">
        <f>VLOOKUP(A1811,Database!F:H,2,)</f>
        <v>3113000</v>
      </c>
      <c r="E1811" s="43">
        <f t="shared" si="57"/>
        <v>-12000</v>
      </c>
    </row>
    <row r="1812" spans="1:5" x14ac:dyDescent="0.2">
      <c r="A1812" s="42">
        <v>37128</v>
      </c>
      <c r="B1812" s="43">
        <f>VLOOKUP(A1812,Database!F:H,3,)</f>
        <v>395000</v>
      </c>
      <c r="C1812" s="43">
        <f t="shared" si="56"/>
        <v>-7000</v>
      </c>
      <c r="D1812" s="43">
        <f>VLOOKUP(A1812,Database!F:H,2,)</f>
        <v>3163000</v>
      </c>
      <c r="E1812" s="43">
        <f t="shared" si="57"/>
        <v>50000</v>
      </c>
    </row>
    <row r="1813" spans="1:5" x14ac:dyDescent="0.2">
      <c r="A1813" s="42">
        <v>37135</v>
      </c>
      <c r="B1813" s="43">
        <f>VLOOKUP(A1813,Database!F:H,3,)</f>
        <v>402000</v>
      </c>
      <c r="C1813" s="43">
        <f t="shared" si="56"/>
        <v>7000</v>
      </c>
      <c r="D1813" s="43">
        <f>VLOOKUP(A1813,Database!F:H,2,)</f>
        <v>3213000</v>
      </c>
      <c r="E1813" s="43">
        <f t="shared" si="57"/>
        <v>50000</v>
      </c>
    </row>
    <row r="1814" spans="1:5" x14ac:dyDescent="0.2">
      <c r="A1814" s="42">
        <v>37142</v>
      </c>
      <c r="B1814" s="43">
        <f>VLOOKUP(A1814,Database!F:H,3,)</f>
        <v>408000</v>
      </c>
      <c r="C1814" s="43">
        <f t="shared" si="56"/>
        <v>6000</v>
      </c>
      <c r="D1814" s="43">
        <f>VLOOKUP(A1814,Database!F:H,2,)</f>
        <v>3197000</v>
      </c>
      <c r="E1814" s="43">
        <f t="shared" si="57"/>
        <v>-16000</v>
      </c>
    </row>
    <row r="1815" spans="1:5" x14ac:dyDescent="0.2">
      <c r="A1815" s="42">
        <v>37149</v>
      </c>
      <c r="B1815" s="43">
        <f>VLOOKUP(A1815,Database!F:H,3,)</f>
        <v>395000</v>
      </c>
      <c r="C1815" s="43">
        <f t="shared" si="56"/>
        <v>-13000</v>
      </c>
      <c r="D1815" s="43">
        <f>VLOOKUP(A1815,Database!F:H,2,)</f>
        <v>3214000</v>
      </c>
      <c r="E1815" s="43">
        <f t="shared" si="57"/>
        <v>17000</v>
      </c>
    </row>
    <row r="1816" spans="1:5" x14ac:dyDescent="0.2">
      <c r="A1816" s="42">
        <v>37156</v>
      </c>
      <c r="B1816" s="43">
        <f>VLOOKUP(A1816,Database!F:H,3,)</f>
        <v>453000</v>
      </c>
      <c r="C1816" s="43">
        <f t="shared" si="56"/>
        <v>58000</v>
      </c>
      <c r="D1816" s="43">
        <f>VLOOKUP(A1816,Database!F:H,2,)</f>
        <v>3302000</v>
      </c>
      <c r="E1816" s="43">
        <f t="shared" si="57"/>
        <v>88000</v>
      </c>
    </row>
    <row r="1817" spans="1:5" x14ac:dyDescent="0.2">
      <c r="A1817" s="42">
        <v>37163</v>
      </c>
      <c r="B1817" s="43">
        <f>VLOOKUP(A1817,Database!F:H,3,)</f>
        <v>517000</v>
      </c>
      <c r="C1817" s="43">
        <f t="shared" si="56"/>
        <v>64000</v>
      </c>
      <c r="D1817" s="43">
        <f>VLOOKUP(A1817,Database!F:H,2,)</f>
        <v>3385000</v>
      </c>
      <c r="E1817" s="43">
        <f t="shared" si="57"/>
        <v>83000</v>
      </c>
    </row>
    <row r="1818" spans="1:5" x14ac:dyDescent="0.2">
      <c r="A1818" s="42">
        <v>37170</v>
      </c>
      <c r="B1818" s="43">
        <f>VLOOKUP(A1818,Database!F:H,3,)</f>
        <v>476000</v>
      </c>
      <c r="C1818" s="43">
        <f t="shared" si="56"/>
        <v>-41000</v>
      </c>
      <c r="D1818" s="43">
        <f>VLOOKUP(A1818,Database!F:H,2,)</f>
        <v>3432000</v>
      </c>
      <c r="E1818" s="43">
        <f t="shared" si="57"/>
        <v>47000</v>
      </c>
    </row>
    <row r="1819" spans="1:5" x14ac:dyDescent="0.2">
      <c r="A1819" s="42">
        <v>37177</v>
      </c>
      <c r="B1819" s="43">
        <f>VLOOKUP(A1819,Database!F:H,3,)</f>
        <v>482000</v>
      </c>
      <c r="C1819" s="43">
        <f t="shared" si="56"/>
        <v>6000</v>
      </c>
      <c r="D1819" s="43">
        <f>VLOOKUP(A1819,Database!F:H,2,)</f>
        <v>3521000</v>
      </c>
      <c r="E1819" s="43">
        <f t="shared" si="57"/>
        <v>89000</v>
      </c>
    </row>
    <row r="1820" spans="1:5" x14ac:dyDescent="0.2">
      <c r="A1820" s="42">
        <v>37184</v>
      </c>
      <c r="B1820" s="43">
        <f>VLOOKUP(A1820,Database!F:H,3,)</f>
        <v>482000</v>
      </c>
      <c r="C1820" s="43">
        <f t="shared" si="56"/>
        <v>0</v>
      </c>
      <c r="D1820" s="43">
        <f>VLOOKUP(A1820,Database!F:H,2,)</f>
        <v>3557000</v>
      </c>
      <c r="E1820" s="43">
        <f t="shared" si="57"/>
        <v>36000</v>
      </c>
    </row>
    <row r="1821" spans="1:5" x14ac:dyDescent="0.2">
      <c r="A1821" s="42">
        <v>37191</v>
      </c>
      <c r="B1821" s="43">
        <f>VLOOKUP(A1821,Database!F:H,3,)</f>
        <v>483000</v>
      </c>
      <c r="C1821" s="43">
        <f t="shared" si="56"/>
        <v>1000</v>
      </c>
      <c r="D1821" s="43">
        <f>VLOOKUP(A1821,Database!F:H,2,)</f>
        <v>3600000</v>
      </c>
      <c r="E1821" s="43">
        <f t="shared" si="57"/>
        <v>43000</v>
      </c>
    </row>
    <row r="1822" spans="1:5" x14ac:dyDescent="0.2">
      <c r="A1822" s="42">
        <v>37198</v>
      </c>
      <c r="B1822" s="43">
        <f>VLOOKUP(A1822,Database!F:H,3,)</f>
        <v>440000</v>
      </c>
      <c r="C1822" s="43">
        <f t="shared" si="56"/>
        <v>-43000</v>
      </c>
      <c r="D1822" s="43">
        <f>VLOOKUP(A1822,Database!F:H,2,)</f>
        <v>3616000</v>
      </c>
      <c r="E1822" s="43">
        <f t="shared" si="57"/>
        <v>16000</v>
      </c>
    </row>
    <row r="1823" spans="1:5" x14ac:dyDescent="0.2">
      <c r="A1823" s="42">
        <v>37205</v>
      </c>
      <c r="B1823" s="43">
        <f>VLOOKUP(A1823,Database!F:H,3,)</f>
        <v>428000</v>
      </c>
      <c r="C1823" s="43">
        <f t="shared" si="56"/>
        <v>-12000</v>
      </c>
      <c r="D1823" s="43">
        <f>VLOOKUP(A1823,Database!F:H,2,)</f>
        <v>3627000</v>
      </c>
      <c r="E1823" s="43">
        <f t="shared" si="57"/>
        <v>11000</v>
      </c>
    </row>
    <row r="1824" spans="1:5" x14ac:dyDescent="0.2">
      <c r="A1824" s="42">
        <v>37212</v>
      </c>
      <c r="B1824" s="43">
        <f>VLOOKUP(A1824,Database!F:H,3,)</f>
        <v>431000</v>
      </c>
      <c r="C1824" s="43">
        <f t="shared" si="56"/>
        <v>3000</v>
      </c>
      <c r="D1824" s="43">
        <f>VLOOKUP(A1824,Database!F:H,2,)</f>
        <v>3790000</v>
      </c>
      <c r="E1824" s="43">
        <f t="shared" si="57"/>
        <v>163000</v>
      </c>
    </row>
    <row r="1825" spans="1:5" x14ac:dyDescent="0.2">
      <c r="A1825" s="42">
        <v>37219</v>
      </c>
      <c r="B1825" s="43">
        <f>VLOOKUP(A1825,Database!F:H,3,)</f>
        <v>491000</v>
      </c>
      <c r="C1825" s="43">
        <f t="shared" si="56"/>
        <v>60000</v>
      </c>
      <c r="D1825" s="43">
        <f>VLOOKUP(A1825,Database!F:H,2,)</f>
        <v>3593000</v>
      </c>
      <c r="E1825" s="43">
        <f t="shared" si="57"/>
        <v>-197000</v>
      </c>
    </row>
    <row r="1826" spans="1:5" x14ac:dyDescent="0.2">
      <c r="A1826" s="42">
        <v>37226</v>
      </c>
      <c r="B1826" s="43">
        <f>VLOOKUP(A1826,Database!F:H,3,)</f>
        <v>465000</v>
      </c>
      <c r="C1826" s="43">
        <f t="shared" si="56"/>
        <v>-26000</v>
      </c>
      <c r="D1826" s="43">
        <f>VLOOKUP(A1826,Database!F:H,2,)</f>
        <v>3619000</v>
      </c>
      <c r="E1826" s="43">
        <f t="shared" si="57"/>
        <v>26000</v>
      </c>
    </row>
    <row r="1827" spans="1:5" x14ac:dyDescent="0.2">
      <c r="A1827" s="42">
        <v>37233</v>
      </c>
      <c r="B1827" s="43">
        <f>VLOOKUP(A1827,Database!F:H,3,)</f>
        <v>393000</v>
      </c>
      <c r="C1827" s="43">
        <f t="shared" si="56"/>
        <v>-72000</v>
      </c>
      <c r="D1827" s="43">
        <f>VLOOKUP(A1827,Database!F:H,2,)</f>
        <v>3626000</v>
      </c>
      <c r="E1827" s="43">
        <f t="shared" si="57"/>
        <v>7000</v>
      </c>
    </row>
    <row r="1828" spans="1:5" x14ac:dyDescent="0.2">
      <c r="A1828" s="42">
        <v>37240</v>
      </c>
      <c r="B1828" s="43">
        <f>VLOOKUP(A1828,Database!F:H,3,)</f>
        <v>389000</v>
      </c>
      <c r="C1828" s="43">
        <f t="shared" si="56"/>
        <v>-4000</v>
      </c>
      <c r="D1828" s="43">
        <f>VLOOKUP(A1828,Database!F:H,2,)</f>
        <v>3637000</v>
      </c>
      <c r="E1828" s="43">
        <f t="shared" si="57"/>
        <v>11000</v>
      </c>
    </row>
    <row r="1829" spans="1:5" x14ac:dyDescent="0.2">
      <c r="A1829" s="42">
        <v>37247</v>
      </c>
      <c r="B1829" s="43">
        <f>VLOOKUP(A1829,Database!F:H,3,)</f>
        <v>416000</v>
      </c>
      <c r="C1829" s="43">
        <f t="shared" si="56"/>
        <v>27000</v>
      </c>
      <c r="D1829" s="43">
        <f>VLOOKUP(A1829,Database!F:H,2,)</f>
        <v>3591000</v>
      </c>
      <c r="E1829" s="43">
        <f t="shared" si="57"/>
        <v>-46000</v>
      </c>
    </row>
    <row r="1830" spans="1:5" x14ac:dyDescent="0.2">
      <c r="A1830" s="42">
        <v>37254</v>
      </c>
      <c r="B1830" s="43">
        <f>VLOOKUP(A1830,Database!F:H,3,)</f>
        <v>421000</v>
      </c>
      <c r="C1830" s="43">
        <f t="shared" si="56"/>
        <v>5000</v>
      </c>
      <c r="D1830" s="43">
        <f>VLOOKUP(A1830,Database!F:H,2,)</f>
        <v>3474000</v>
      </c>
      <c r="E1830" s="43">
        <f t="shared" si="57"/>
        <v>-117000</v>
      </c>
    </row>
    <row r="1831" spans="1:5" x14ac:dyDescent="0.2">
      <c r="A1831" s="42">
        <v>37261</v>
      </c>
      <c r="B1831" s="43">
        <f>VLOOKUP(A1831,Database!F:H,3,)</f>
        <v>397000</v>
      </c>
      <c r="C1831" s="43">
        <f t="shared" si="56"/>
        <v>-24000</v>
      </c>
      <c r="D1831" s="43">
        <f>VLOOKUP(A1831,Database!F:H,2,)</f>
        <v>3587000</v>
      </c>
      <c r="E1831" s="43">
        <f t="shared" si="57"/>
        <v>113000</v>
      </c>
    </row>
    <row r="1832" spans="1:5" x14ac:dyDescent="0.2">
      <c r="A1832" s="42">
        <v>37268</v>
      </c>
      <c r="B1832" s="43">
        <f>VLOOKUP(A1832,Database!F:H,3,)</f>
        <v>418000</v>
      </c>
      <c r="C1832" s="43">
        <f t="shared" si="56"/>
        <v>21000</v>
      </c>
      <c r="D1832" s="43">
        <f>VLOOKUP(A1832,Database!F:H,2,)</f>
        <v>3500000</v>
      </c>
      <c r="E1832" s="43">
        <f t="shared" si="57"/>
        <v>-87000</v>
      </c>
    </row>
    <row r="1833" spans="1:5" x14ac:dyDescent="0.2">
      <c r="A1833" s="42">
        <v>37275</v>
      </c>
      <c r="B1833" s="43">
        <f>VLOOKUP(A1833,Database!F:H,3,)</f>
        <v>405000</v>
      </c>
      <c r="C1833" s="43">
        <f t="shared" si="56"/>
        <v>-13000</v>
      </c>
      <c r="D1833" s="43">
        <f>VLOOKUP(A1833,Database!F:H,2,)</f>
        <v>3557000</v>
      </c>
      <c r="E1833" s="43">
        <f t="shared" si="57"/>
        <v>57000</v>
      </c>
    </row>
    <row r="1834" spans="1:5" x14ac:dyDescent="0.2">
      <c r="A1834" s="42">
        <v>37282</v>
      </c>
      <c r="B1834" s="43">
        <f>VLOOKUP(A1834,Database!F:H,3,)</f>
        <v>414000</v>
      </c>
      <c r="C1834" s="43">
        <f t="shared" si="56"/>
        <v>9000</v>
      </c>
      <c r="D1834" s="43">
        <f>VLOOKUP(A1834,Database!F:H,2,)</f>
        <v>3558000</v>
      </c>
      <c r="E1834" s="43">
        <f t="shared" si="57"/>
        <v>1000</v>
      </c>
    </row>
    <row r="1835" spans="1:5" x14ac:dyDescent="0.2">
      <c r="A1835" s="42">
        <v>37289</v>
      </c>
      <c r="B1835" s="43">
        <f>VLOOKUP(A1835,Database!F:H,3,)</f>
        <v>404000</v>
      </c>
      <c r="C1835" s="43">
        <f t="shared" si="56"/>
        <v>-10000</v>
      </c>
      <c r="D1835" s="43">
        <f>VLOOKUP(A1835,Database!F:H,2,)</f>
        <v>3537000</v>
      </c>
      <c r="E1835" s="43">
        <f t="shared" si="57"/>
        <v>-21000</v>
      </c>
    </row>
    <row r="1836" spans="1:5" x14ac:dyDescent="0.2">
      <c r="A1836" s="42">
        <v>37296</v>
      </c>
      <c r="B1836" s="43">
        <f>VLOOKUP(A1836,Database!F:H,3,)</f>
        <v>397000</v>
      </c>
      <c r="C1836" s="43">
        <f t="shared" si="56"/>
        <v>-7000</v>
      </c>
      <c r="D1836" s="43">
        <f>VLOOKUP(A1836,Database!F:H,2,)</f>
        <v>3562000</v>
      </c>
      <c r="E1836" s="43">
        <f t="shared" si="57"/>
        <v>25000</v>
      </c>
    </row>
    <row r="1837" spans="1:5" x14ac:dyDescent="0.2">
      <c r="A1837" s="42">
        <v>37303</v>
      </c>
      <c r="B1837" s="43">
        <f>VLOOKUP(A1837,Database!F:H,3,)</f>
        <v>397000</v>
      </c>
      <c r="C1837" s="43">
        <f t="shared" si="56"/>
        <v>0</v>
      </c>
      <c r="D1837" s="43">
        <f>VLOOKUP(A1837,Database!F:H,2,)</f>
        <v>3580000</v>
      </c>
      <c r="E1837" s="43">
        <f t="shared" si="57"/>
        <v>18000</v>
      </c>
    </row>
    <row r="1838" spans="1:5" x14ac:dyDescent="0.2">
      <c r="A1838" s="42">
        <v>37310</v>
      </c>
      <c r="B1838" s="43">
        <f>VLOOKUP(A1838,Database!F:H,3,)</f>
        <v>398000</v>
      </c>
      <c r="C1838" s="43">
        <f t="shared" si="56"/>
        <v>1000</v>
      </c>
      <c r="D1838" s="43">
        <f>VLOOKUP(A1838,Database!F:H,2,)</f>
        <v>3538000</v>
      </c>
      <c r="E1838" s="43">
        <f t="shared" si="57"/>
        <v>-42000</v>
      </c>
    </row>
    <row r="1839" spans="1:5" x14ac:dyDescent="0.2">
      <c r="A1839" s="42">
        <v>37317</v>
      </c>
      <c r="B1839" s="43">
        <f>VLOOKUP(A1839,Database!F:H,3,)</f>
        <v>392000</v>
      </c>
      <c r="C1839" s="43">
        <f t="shared" si="56"/>
        <v>-6000</v>
      </c>
      <c r="D1839" s="43">
        <f>VLOOKUP(A1839,Database!F:H,2,)</f>
        <v>3567000</v>
      </c>
      <c r="E1839" s="43">
        <f t="shared" si="57"/>
        <v>29000</v>
      </c>
    </row>
    <row r="1840" spans="1:5" x14ac:dyDescent="0.2">
      <c r="A1840" s="42">
        <v>37324</v>
      </c>
      <c r="B1840" s="43">
        <f>VLOOKUP(A1840,Database!F:H,3,)</f>
        <v>399000</v>
      </c>
      <c r="C1840" s="43">
        <f t="shared" si="56"/>
        <v>7000</v>
      </c>
      <c r="D1840" s="43">
        <f>VLOOKUP(A1840,Database!F:H,2,)</f>
        <v>3567000</v>
      </c>
      <c r="E1840" s="43">
        <f t="shared" si="57"/>
        <v>0</v>
      </c>
    </row>
    <row r="1841" spans="1:5" x14ac:dyDescent="0.2">
      <c r="A1841" s="42">
        <v>37331</v>
      </c>
      <c r="B1841" s="43">
        <f>VLOOKUP(A1841,Database!F:H,3,)</f>
        <v>392000</v>
      </c>
      <c r="C1841" s="43">
        <f t="shared" si="56"/>
        <v>-7000</v>
      </c>
      <c r="D1841" s="43">
        <f>VLOOKUP(A1841,Database!F:H,2,)</f>
        <v>3598000</v>
      </c>
      <c r="E1841" s="43">
        <f t="shared" si="57"/>
        <v>31000</v>
      </c>
    </row>
    <row r="1842" spans="1:5" x14ac:dyDescent="0.2">
      <c r="A1842" s="42">
        <v>37338</v>
      </c>
      <c r="B1842" s="43">
        <f>VLOOKUP(A1842,Database!F:H,3,)</f>
        <v>415000</v>
      </c>
      <c r="C1842" s="43">
        <f t="shared" si="56"/>
        <v>23000</v>
      </c>
      <c r="D1842" s="43">
        <f>VLOOKUP(A1842,Database!F:H,2,)</f>
        <v>3599000</v>
      </c>
      <c r="E1842" s="43">
        <f t="shared" si="57"/>
        <v>1000</v>
      </c>
    </row>
    <row r="1843" spans="1:5" x14ac:dyDescent="0.2">
      <c r="A1843" s="42">
        <v>37345</v>
      </c>
      <c r="B1843" s="43">
        <f>VLOOKUP(A1843,Database!F:H,3,)</f>
        <v>479000</v>
      </c>
      <c r="C1843" s="43">
        <f t="shared" si="56"/>
        <v>64000</v>
      </c>
      <c r="D1843" s="43">
        <f>VLOOKUP(A1843,Database!F:H,2,)</f>
        <v>3723000</v>
      </c>
      <c r="E1843" s="43">
        <f t="shared" si="57"/>
        <v>124000</v>
      </c>
    </row>
    <row r="1844" spans="1:5" x14ac:dyDescent="0.2">
      <c r="A1844" s="42">
        <v>37352</v>
      </c>
      <c r="B1844" s="43">
        <f>VLOOKUP(A1844,Database!F:H,3,)</f>
        <v>445000</v>
      </c>
      <c r="C1844" s="43">
        <f t="shared" si="56"/>
        <v>-34000</v>
      </c>
      <c r="D1844" s="43">
        <f>VLOOKUP(A1844,Database!F:H,2,)</f>
        <v>3732000</v>
      </c>
      <c r="E1844" s="43">
        <f t="shared" si="57"/>
        <v>9000</v>
      </c>
    </row>
    <row r="1845" spans="1:5" x14ac:dyDescent="0.2">
      <c r="A1845" s="42">
        <v>37359</v>
      </c>
      <c r="B1845" s="43">
        <f>VLOOKUP(A1845,Database!F:H,3,)</f>
        <v>442000</v>
      </c>
      <c r="C1845" s="43">
        <f t="shared" si="56"/>
        <v>-3000</v>
      </c>
      <c r="D1845" s="43">
        <f>VLOOKUP(A1845,Database!F:H,2,)</f>
        <v>3650000</v>
      </c>
      <c r="E1845" s="43">
        <f t="shared" si="57"/>
        <v>-82000</v>
      </c>
    </row>
    <row r="1846" spans="1:5" x14ac:dyDescent="0.2">
      <c r="A1846" s="42">
        <v>37366</v>
      </c>
      <c r="B1846" s="43">
        <f>VLOOKUP(A1846,Database!F:H,3,)</f>
        <v>416000</v>
      </c>
      <c r="C1846" s="43">
        <f t="shared" si="56"/>
        <v>-26000</v>
      </c>
      <c r="D1846" s="43">
        <f>VLOOKUP(A1846,Database!F:H,2,)</f>
        <v>3675000</v>
      </c>
      <c r="E1846" s="43">
        <f t="shared" si="57"/>
        <v>25000</v>
      </c>
    </row>
    <row r="1847" spans="1:5" x14ac:dyDescent="0.2">
      <c r="A1847" s="42">
        <v>37373</v>
      </c>
      <c r="B1847" s="43">
        <f>VLOOKUP(A1847,Database!F:H,3,)</f>
        <v>414000</v>
      </c>
      <c r="C1847" s="43">
        <f t="shared" si="56"/>
        <v>-2000</v>
      </c>
      <c r="D1847" s="43">
        <f>VLOOKUP(A1847,Database!F:H,2,)</f>
        <v>3700000</v>
      </c>
      <c r="E1847" s="43">
        <f t="shared" si="57"/>
        <v>25000</v>
      </c>
    </row>
    <row r="1848" spans="1:5" x14ac:dyDescent="0.2">
      <c r="A1848" s="42">
        <v>37380</v>
      </c>
      <c r="B1848" s="43">
        <f>VLOOKUP(A1848,Database!F:H,3,)</f>
        <v>409000</v>
      </c>
      <c r="C1848" s="43">
        <f t="shared" si="56"/>
        <v>-5000</v>
      </c>
      <c r="D1848" s="43">
        <f>VLOOKUP(A1848,Database!F:H,2,)</f>
        <v>3712000</v>
      </c>
      <c r="E1848" s="43">
        <f t="shared" si="57"/>
        <v>12000</v>
      </c>
    </row>
    <row r="1849" spans="1:5" x14ac:dyDescent="0.2">
      <c r="A1849" s="42">
        <v>37387</v>
      </c>
      <c r="B1849" s="43">
        <f>VLOOKUP(A1849,Database!F:H,3,)</f>
        <v>413000</v>
      </c>
      <c r="C1849" s="43">
        <f t="shared" si="56"/>
        <v>4000</v>
      </c>
      <c r="D1849" s="43">
        <f>VLOOKUP(A1849,Database!F:H,2,)</f>
        <v>3729000</v>
      </c>
      <c r="E1849" s="43">
        <f t="shared" si="57"/>
        <v>17000</v>
      </c>
    </row>
    <row r="1850" spans="1:5" x14ac:dyDescent="0.2">
      <c r="A1850" s="42">
        <v>37394</v>
      </c>
      <c r="B1850" s="43">
        <f>VLOOKUP(A1850,Database!F:H,3,)</f>
        <v>411000</v>
      </c>
      <c r="C1850" s="43">
        <f t="shared" si="56"/>
        <v>-2000</v>
      </c>
      <c r="D1850" s="43">
        <f>VLOOKUP(A1850,Database!F:H,2,)</f>
        <v>3695000</v>
      </c>
      <c r="E1850" s="43">
        <f t="shared" si="57"/>
        <v>-34000</v>
      </c>
    </row>
    <row r="1851" spans="1:5" x14ac:dyDescent="0.2">
      <c r="A1851" s="42">
        <v>37401</v>
      </c>
      <c r="B1851" s="43">
        <f>VLOOKUP(A1851,Database!F:H,3,)</f>
        <v>403000</v>
      </c>
      <c r="C1851" s="43">
        <f t="shared" si="56"/>
        <v>-8000</v>
      </c>
      <c r="D1851" s="43">
        <f>VLOOKUP(A1851,Database!F:H,2,)</f>
        <v>3712000</v>
      </c>
      <c r="E1851" s="43">
        <f t="shared" si="57"/>
        <v>17000</v>
      </c>
    </row>
    <row r="1852" spans="1:5" x14ac:dyDescent="0.2">
      <c r="A1852" s="42">
        <v>37408</v>
      </c>
      <c r="B1852" s="43">
        <f>VLOOKUP(A1852,Database!F:H,3,)</f>
        <v>378000</v>
      </c>
      <c r="C1852" s="43">
        <f t="shared" si="56"/>
        <v>-25000</v>
      </c>
      <c r="D1852" s="43">
        <f>VLOOKUP(A1852,Database!F:H,2,)</f>
        <v>3664000</v>
      </c>
      <c r="E1852" s="43">
        <f t="shared" si="57"/>
        <v>-48000</v>
      </c>
    </row>
    <row r="1853" spans="1:5" x14ac:dyDescent="0.2">
      <c r="A1853" s="42">
        <v>37415</v>
      </c>
      <c r="B1853" s="43">
        <f>VLOOKUP(A1853,Database!F:H,3,)</f>
        <v>388000</v>
      </c>
      <c r="C1853" s="43">
        <f t="shared" si="56"/>
        <v>10000</v>
      </c>
      <c r="D1853" s="43">
        <f>VLOOKUP(A1853,Database!F:H,2,)</f>
        <v>3681000</v>
      </c>
      <c r="E1853" s="43">
        <f t="shared" si="57"/>
        <v>17000</v>
      </c>
    </row>
    <row r="1854" spans="1:5" x14ac:dyDescent="0.2">
      <c r="A1854" s="42">
        <v>37422</v>
      </c>
      <c r="B1854" s="43">
        <f>VLOOKUP(A1854,Database!F:H,3,)</f>
        <v>396000</v>
      </c>
      <c r="C1854" s="43">
        <f t="shared" si="56"/>
        <v>8000</v>
      </c>
      <c r="D1854" s="43">
        <f>VLOOKUP(A1854,Database!F:H,2,)</f>
        <v>3604000</v>
      </c>
      <c r="E1854" s="43">
        <f t="shared" si="57"/>
        <v>-77000</v>
      </c>
    </row>
    <row r="1855" spans="1:5" x14ac:dyDescent="0.2">
      <c r="A1855" s="42">
        <v>37429</v>
      </c>
      <c r="B1855" s="43">
        <f>VLOOKUP(A1855,Database!F:H,3,)</f>
        <v>388000</v>
      </c>
      <c r="C1855" s="43">
        <f t="shared" si="56"/>
        <v>-8000</v>
      </c>
      <c r="D1855" s="43">
        <f>VLOOKUP(A1855,Database!F:H,2,)</f>
        <v>3639000</v>
      </c>
      <c r="E1855" s="43">
        <f t="shared" si="57"/>
        <v>35000</v>
      </c>
    </row>
    <row r="1856" spans="1:5" x14ac:dyDescent="0.2">
      <c r="A1856" s="42">
        <v>37436</v>
      </c>
      <c r="B1856" s="43">
        <f>VLOOKUP(A1856,Database!F:H,3,)</f>
        <v>386000</v>
      </c>
      <c r="C1856" s="43">
        <f t="shared" si="56"/>
        <v>-2000</v>
      </c>
      <c r="D1856" s="43">
        <f>VLOOKUP(A1856,Database!F:H,2,)</f>
        <v>3588000</v>
      </c>
      <c r="E1856" s="43">
        <f t="shared" si="57"/>
        <v>-51000</v>
      </c>
    </row>
    <row r="1857" spans="1:5" x14ac:dyDescent="0.2">
      <c r="A1857" s="42">
        <v>37443</v>
      </c>
      <c r="B1857" s="43">
        <f>VLOOKUP(A1857,Database!F:H,3,)</f>
        <v>391000</v>
      </c>
      <c r="C1857" s="43">
        <f t="shared" si="56"/>
        <v>5000</v>
      </c>
      <c r="D1857" s="43">
        <f>VLOOKUP(A1857,Database!F:H,2,)</f>
        <v>3554000</v>
      </c>
      <c r="E1857" s="43">
        <f t="shared" si="57"/>
        <v>-34000</v>
      </c>
    </row>
    <row r="1858" spans="1:5" x14ac:dyDescent="0.2">
      <c r="A1858" s="42">
        <v>37450</v>
      </c>
      <c r="B1858" s="43">
        <f>VLOOKUP(A1858,Database!F:H,3,)</f>
        <v>384000</v>
      </c>
      <c r="C1858" s="43">
        <f t="shared" si="56"/>
        <v>-7000</v>
      </c>
      <c r="D1858" s="43">
        <f>VLOOKUP(A1858,Database!F:H,2,)</f>
        <v>3495000</v>
      </c>
      <c r="E1858" s="43">
        <f t="shared" si="57"/>
        <v>-59000</v>
      </c>
    </row>
    <row r="1859" spans="1:5" x14ac:dyDescent="0.2">
      <c r="A1859" s="42">
        <v>37457</v>
      </c>
      <c r="B1859" s="43">
        <f>VLOOKUP(A1859,Database!F:H,3,)</f>
        <v>379000</v>
      </c>
      <c r="C1859" s="43">
        <f t="shared" si="56"/>
        <v>-5000</v>
      </c>
      <c r="D1859" s="43">
        <f>VLOOKUP(A1859,Database!F:H,2,)</f>
        <v>3473000</v>
      </c>
      <c r="E1859" s="43">
        <f t="shared" si="57"/>
        <v>-22000</v>
      </c>
    </row>
    <row r="1860" spans="1:5" x14ac:dyDescent="0.2">
      <c r="A1860" s="42">
        <v>37464</v>
      </c>
      <c r="B1860" s="43">
        <f>VLOOKUP(A1860,Database!F:H,3,)</f>
        <v>390000</v>
      </c>
      <c r="C1860" s="43">
        <f t="shared" si="56"/>
        <v>11000</v>
      </c>
      <c r="D1860" s="43">
        <f>VLOOKUP(A1860,Database!F:H,2,)</f>
        <v>3495000</v>
      </c>
      <c r="E1860" s="43">
        <f t="shared" si="57"/>
        <v>22000</v>
      </c>
    </row>
    <row r="1861" spans="1:5" x14ac:dyDescent="0.2">
      <c r="A1861" s="42">
        <v>37471</v>
      </c>
      <c r="B1861" s="43">
        <f>VLOOKUP(A1861,Database!F:H,3,)</f>
        <v>388000</v>
      </c>
      <c r="C1861" s="43">
        <f t="shared" si="56"/>
        <v>-2000</v>
      </c>
      <c r="D1861" s="43">
        <f>VLOOKUP(A1861,Database!F:H,2,)</f>
        <v>3498000</v>
      </c>
      <c r="E1861" s="43">
        <f t="shared" si="57"/>
        <v>3000</v>
      </c>
    </row>
    <row r="1862" spans="1:5" x14ac:dyDescent="0.2">
      <c r="A1862" s="42">
        <v>37478</v>
      </c>
      <c r="B1862" s="43">
        <f>VLOOKUP(A1862,Database!F:H,3,)</f>
        <v>389000</v>
      </c>
      <c r="C1862" s="43">
        <f t="shared" si="56"/>
        <v>1000</v>
      </c>
      <c r="D1862" s="43">
        <f>VLOOKUP(A1862,Database!F:H,2,)</f>
        <v>3485000</v>
      </c>
      <c r="E1862" s="43">
        <f t="shared" si="57"/>
        <v>-13000</v>
      </c>
    </row>
    <row r="1863" spans="1:5" x14ac:dyDescent="0.2">
      <c r="A1863" s="42">
        <v>37485</v>
      </c>
      <c r="B1863" s="43">
        <f>VLOOKUP(A1863,Database!F:H,3,)</f>
        <v>399000</v>
      </c>
      <c r="C1863" s="43">
        <f t="shared" si="56"/>
        <v>10000</v>
      </c>
      <c r="D1863" s="43">
        <f>VLOOKUP(A1863,Database!F:H,2,)</f>
        <v>3531000</v>
      </c>
      <c r="E1863" s="43">
        <f t="shared" si="57"/>
        <v>46000</v>
      </c>
    </row>
    <row r="1864" spans="1:5" x14ac:dyDescent="0.2">
      <c r="A1864" s="42">
        <v>37492</v>
      </c>
      <c r="B1864" s="43">
        <f>VLOOKUP(A1864,Database!F:H,3,)</f>
        <v>398000</v>
      </c>
      <c r="C1864" s="43">
        <f t="shared" ref="C1864:C1927" si="58">B1864-B1863</f>
        <v>-1000</v>
      </c>
      <c r="D1864" s="43">
        <f>VLOOKUP(A1864,Database!F:H,2,)</f>
        <v>3521000</v>
      </c>
      <c r="E1864" s="43">
        <f t="shared" ref="E1864:E1927" si="59">D1864-D1863</f>
        <v>-10000</v>
      </c>
    </row>
    <row r="1865" spans="1:5" x14ac:dyDescent="0.2">
      <c r="A1865" s="42">
        <v>37499</v>
      </c>
      <c r="B1865" s="43">
        <f>VLOOKUP(A1865,Database!F:H,3,)</f>
        <v>394000</v>
      </c>
      <c r="C1865" s="43">
        <f t="shared" si="58"/>
        <v>-4000</v>
      </c>
      <c r="D1865" s="43">
        <f>VLOOKUP(A1865,Database!F:H,2,)</f>
        <v>3549000</v>
      </c>
      <c r="E1865" s="43">
        <f t="shared" si="59"/>
        <v>28000</v>
      </c>
    </row>
    <row r="1866" spans="1:5" x14ac:dyDescent="0.2">
      <c r="A1866" s="42">
        <v>37506</v>
      </c>
      <c r="B1866" s="43">
        <f>VLOOKUP(A1866,Database!F:H,3,)</f>
        <v>416000</v>
      </c>
      <c r="C1866" s="43">
        <f t="shared" si="58"/>
        <v>22000</v>
      </c>
      <c r="D1866" s="43">
        <f>VLOOKUP(A1866,Database!F:H,2,)</f>
        <v>3532000</v>
      </c>
      <c r="E1866" s="43">
        <f t="shared" si="59"/>
        <v>-17000</v>
      </c>
    </row>
    <row r="1867" spans="1:5" x14ac:dyDescent="0.2">
      <c r="A1867" s="42">
        <v>37513</v>
      </c>
      <c r="B1867" s="43">
        <f>VLOOKUP(A1867,Database!F:H,3,)</f>
        <v>412000</v>
      </c>
      <c r="C1867" s="43">
        <f t="shared" si="58"/>
        <v>-4000</v>
      </c>
      <c r="D1867" s="43">
        <f>VLOOKUP(A1867,Database!F:H,2,)</f>
        <v>3554000</v>
      </c>
      <c r="E1867" s="43">
        <f t="shared" si="59"/>
        <v>22000</v>
      </c>
    </row>
    <row r="1868" spans="1:5" x14ac:dyDescent="0.2">
      <c r="A1868" s="42">
        <v>37520</v>
      </c>
      <c r="B1868" s="43">
        <f>VLOOKUP(A1868,Database!F:H,3,)</f>
        <v>401000</v>
      </c>
      <c r="C1868" s="43">
        <f t="shared" si="58"/>
        <v>-11000</v>
      </c>
      <c r="D1868" s="43">
        <f>VLOOKUP(A1868,Database!F:H,2,)</f>
        <v>3579000</v>
      </c>
      <c r="E1868" s="43">
        <f t="shared" si="59"/>
        <v>25000</v>
      </c>
    </row>
    <row r="1869" spans="1:5" x14ac:dyDescent="0.2">
      <c r="A1869" s="42">
        <v>37527</v>
      </c>
      <c r="B1869" s="43">
        <f>VLOOKUP(A1869,Database!F:H,3,)</f>
        <v>409000</v>
      </c>
      <c r="C1869" s="43">
        <f t="shared" si="58"/>
        <v>8000</v>
      </c>
      <c r="D1869" s="43">
        <f>VLOOKUP(A1869,Database!F:H,2,)</f>
        <v>3555000</v>
      </c>
      <c r="E1869" s="43">
        <f t="shared" si="59"/>
        <v>-24000</v>
      </c>
    </row>
    <row r="1870" spans="1:5" x14ac:dyDescent="0.2">
      <c r="A1870" s="42">
        <v>37534</v>
      </c>
      <c r="B1870" s="43">
        <f>VLOOKUP(A1870,Database!F:H,3,)</f>
        <v>404000</v>
      </c>
      <c r="C1870" s="43">
        <f t="shared" si="58"/>
        <v>-5000</v>
      </c>
      <c r="D1870" s="43">
        <f>VLOOKUP(A1870,Database!F:H,2,)</f>
        <v>3619000</v>
      </c>
      <c r="E1870" s="43">
        <f t="shared" si="59"/>
        <v>64000</v>
      </c>
    </row>
    <row r="1871" spans="1:5" x14ac:dyDescent="0.2">
      <c r="A1871" s="42">
        <v>37541</v>
      </c>
      <c r="B1871" s="43">
        <f>VLOOKUP(A1871,Database!F:H,3,)</f>
        <v>405000</v>
      </c>
      <c r="C1871" s="43">
        <f t="shared" si="58"/>
        <v>1000</v>
      </c>
      <c r="D1871" s="43">
        <f>VLOOKUP(A1871,Database!F:H,2,)</f>
        <v>3529000</v>
      </c>
      <c r="E1871" s="43">
        <f t="shared" si="59"/>
        <v>-90000</v>
      </c>
    </row>
    <row r="1872" spans="1:5" x14ac:dyDescent="0.2">
      <c r="A1872" s="42">
        <v>37548</v>
      </c>
      <c r="B1872" s="43">
        <f>VLOOKUP(A1872,Database!F:H,3,)</f>
        <v>412000</v>
      </c>
      <c r="C1872" s="43">
        <f t="shared" si="58"/>
        <v>7000</v>
      </c>
      <c r="D1872" s="43">
        <f>VLOOKUP(A1872,Database!F:H,2,)</f>
        <v>3518000</v>
      </c>
      <c r="E1872" s="43">
        <f t="shared" si="59"/>
        <v>-11000</v>
      </c>
    </row>
    <row r="1873" spans="1:5" x14ac:dyDescent="0.2">
      <c r="A1873" s="42">
        <v>37555</v>
      </c>
      <c r="B1873" s="43">
        <f>VLOOKUP(A1873,Database!F:H,3,)</f>
        <v>409000</v>
      </c>
      <c r="C1873" s="43">
        <f t="shared" si="58"/>
        <v>-3000</v>
      </c>
      <c r="D1873" s="43">
        <f>VLOOKUP(A1873,Database!F:H,2,)</f>
        <v>3557000</v>
      </c>
      <c r="E1873" s="43">
        <f t="shared" si="59"/>
        <v>39000</v>
      </c>
    </row>
    <row r="1874" spans="1:5" x14ac:dyDescent="0.2">
      <c r="A1874" s="42">
        <v>37562</v>
      </c>
      <c r="B1874" s="43">
        <f>VLOOKUP(A1874,Database!F:H,3,)</f>
        <v>405000</v>
      </c>
      <c r="C1874" s="43">
        <f t="shared" si="58"/>
        <v>-4000</v>
      </c>
      <c r="D1874" s="43">
        <f>VLOOKUP(A1874,Database!F:H,2,)</f>
        <v>3557000</v>
      </c>
      <c r="E1874" s="43">
        <f t="shared" si="59"/>
        <v>0</v>
      </c>
    </row>
    <row r="1875" spans="1:5" x14ac:dyDescent="0.2">
      <c r="A1875" s="42">
        <v>37569</v>
      </c>
      <c r="B1875" s="43">
        <f>VLOOKUP(A1875,Database!F:H,3,)</f>
        <v>400000</v>
      </c>
      <c r="C1875" s="43">
        <f t="shared" si="58"/>
        <v>-5000</v>
      </c>
      <c r="D1875" s="43">
        <f>VLOOKUP(A1875,Database!F:H,2,)</f>
        <v>3539000</v>
      </c>
      <c r="E1875" s="43">
        <f t="shared" si="59"/>
        <v>-18000</v>
      </c>
    </row>
    <row r="1876" spans="1:5" x14ac:dyDescent="0.2">
      <c r="A1876" s="42">
        <v>37576</v>
      </c>
      <c r="B1876" s="43">
        <f>VLOOKUP(A1876,Database!F:H,3,)</f>
        <v>389000</v>
      </c>
      <c r="C1876" s="43">
        <f t="shared" si="58"/>
        <v>-11000</v>
      </c>
      <c r="D1876" s="43">
        <f>VLOOKUP(A1876,Database!F:H,2,)</f>
        <v>3438000</v>
      </c>
      <c r="E1876" s="43">
        <f t="shared" si="59"/>
        <v>-101000</v>
      </c>
    </row>
    <row r="1877" spans="1:5" x14ac:dyDescent="0.2">
      <c r="A1877" s="42">
        <v>37583</v>
      </c>
      <c r="B1877" s="43">
        <f>VLOOKUP(A1877,Database!F:H,3,)</f>
        <v>390000</v>
      </c>
      <c r="C1877" s="43">
        <f t="shared" si="58"/>
        <v>1000</v>
      </c>
      <c r="D1877" s="43">
        <f>VLOOKUP(A1877,Database!F:H,2,)</f>
        <v>3474000</v>
      </c>
      <c r="E1877" s="43">
        <f t="shared" si="59"/>
        <v>36000</v>
      </c>
    </row>
    <row r="1878" spans="1:5" x14ac:dyDescent="0.2">
      <c r="A1878" s="42">
        <v>37590</v>
      </c>
      <c r="B1878" s="43">
        <f>VLOOKUP(A1878,Database!F:H,3,)</f>
        <v>377000</v>
      </c>
      <c r="C1878" s="43">
        <f t="shared" si="58"/>
        <v>-13000</v>
      </c>
      <c r="D1878" s="43">
        <f>VLOOKUP(A1878,Database!F:H,2,)</f>
        <v>3404000</v>
      </c>
      <c r="E1878" s="43">
        <f t="shared" si="59"/>
        <v>-70000</v>
      </c>
    </row>
    <row r="1879" spans="1:5" x14ac:dyDescent="0.2">
      <c r="A1879" s="42">
        <v>37597</v>
      </c>
      <c r="B1879" s="43">
        <f>VLOOKUP(A1879,Database!F:H,3,)</f>
        <v>425000</v>
      </c>
      <c r="C1879" s="43">
        <f t="shared" si="58"/>
        <v>48000</v>
      </c>
      <c r="D1879" s="43">
        <f>VLOOKUP(A1879,Database!F:H,2,)</f>
        <v>3537000</v>
      </c>
      <c r="E1879" s="43">
        <f t="shared" si="59"/>
        <v>133000</v>
      </c>
    </row>
    <row r="1880" spans="1:5" x14ac:dyDescent="0.2">
      <c r="A1880" s="42">
        <v>37604</v>
      </c>
      <c r="B1880" s="43">
        <f>VLOOKUP(A1880,Database!F:H,3,)</f>
        <v>429000</v>
      </c>
      <c r="C1880" s="43">
        <f t="shared" si="58"/>
        <v>4000</v>
      </c>
      <c r="D1880" s="43">
        <f>VLOOKUP(A1880,Database!F:H,2,)</f>
        <v>3497000</v>
      </c>
      <c r="E1880" s="43">
        <f t="shared" si="59"/>
        <v>-40000</v>
      </c>
    </row>
    <row r="1881" spans="1:5" x14ac:dyDescent="0.2">
      <c r="A1881" s="42">
        <v>37611</v>
      </c>
      <c r="B1881" s="43">
        <f>VLOOKUP(A1881,Database!F:H,3,)</f>
        <v>394000</v>
      </c>
      <c r="C1881" s="43">
        <f t="shared" si="58"/>
        <v>-35000</v>
      </c>
      <c r="D1881" s="43">
        <f>VLOOKUP(A1881,Database!F:H,2,)</f>
        <v>3435000</v>
      </c>
      <c r="E1881" s="43">
        <f t="shared" si="59"/>
        <v>-62000</v>
      </c>
    </row>
    <row r="1882" spans="1:5" x14ac:dyDescent="0.2">
      <c r="A1882" s="42">
        <v>37618</v>
      </c>
      <c r="B1882" s="43">
        <f>VLOOKUP(A1882,Database!F:H,3,)</f>
        <v>409000</v>
      </c>
      <c r="C1882" s="43">
        <f t="shared" si="58"/>
        <v>15000</v>
      </c>
      <c r="D1882" s="43">
        <f>VLOOKUP(A1882,Database!F:H,2,)</f>
        <v>3462000</v>
      </c>
      <c r="E1882" s="43">
        <f t="shared" si="59"/>
        <v>27000</v>
      </c>
    </row>
    <row r="1883" spans="1:5" x14ac:dyDescent="0.2">
      <c r="A1883" s="42">
        <v>37625</v>
      </c>
      <c r="B1883" s="43">
        <f>VLOOKUP(A1883,Database!F:H,3,)</f>
        <v>393000</v>
      </c>
      <c r="C1883" s="43">
        <f t="shared" si="58"/>
        <v>-16000</v>
      </c>
      <c r="D1883" s="43">
        <f>VLOOKUP(A1883,Database!F:H,2,)</f>
        <v>3438000</v>
      </c>
      <c r="E1883" s="43">
        <f t="shared" si="59"/>
        <v>-24000</v>
      </c>
    </row>
    <row r="1884" spans="1:5" x14ac:dyDescent="0.2">
      <c r="A1884" s="42">
        <v>37632</v>
      </c>
      <c r="B1884" s="43">
        <f>VLOOKUP(A1884,Database!F:H,3,)</f>
        <v>378000</v>
      </c>
      <c r="C1884" s="43">
        <f t="shared" si="58"/>
        <v>-15000</v>
      </c>
      <c r="D1884" s="43">
        <f>VLOOKUP(A1884,Database!F:H,2,)</f>
        <v>3388000</v>
      </c>
      <c r="E1884" s="43">
        <f t="shared" si="59"/>
        <v>-50000</v>
      </c>
    </row>
    <row r="1885" spans="1:5" x14ac:dyDescent="0.2">
      <c r="A1885" s="42">
        <v>37639</v>
      </c>
      <c r="B1885" s="43">
        <f>VLOOKUP(A1885,Database!F:H,3,)</f>
        <v>402000</v>
      </c>
      <c r="C1885" s="43">
        <f t="shared" si="58"/>
        <v>24000</v>
      </c>
      <c r="D1885" s="43">
        <f>VLOOKUP(A1885,Database!F:H,2,)</f>
        <v>3357000</v>
      </c>
      <c r="E1885" s="43">
        <f t="shared" si="59"/>
        <v>-31000</v>
      </c>
    </row>
    <row r="1886" spans="1:5" x14ac:dyDescent="0.2">
      <c r="A1886" s="42">
        <v>37646</v>
      </c>
      <c r="B1886" s="43">
        <f>VLOOKUP(A1886,Database!F:H,3,)</f>
        <v>407000</v>
      </c>
      <c r="C1886" s="43">
        <f t="shared" si="58"/>
        <v>5000</v>
      </c>
      <c r="D1886" s="43">
        <f>VLOOKUP(A1886,Database!F:H,2,)</f>
        <v>3475000</v>
      </c>
      <c r="E1886" s="43">
        <f t="shared" si="59"/>
        <v>118000</v>
      </c>
    </row>
    <row r="1887" spans="1:5" x14ac:dyDescent="0.2">
      <c r="A1887" s="42">
        <v>37653</v>
      </c>
      <c r="B1887" s="43">
        <f>VLOOKUP(A1887,Database!F:H,3,)</f>
        <v>413000</v>
      </c>
      <c r="C1887" s="43">
        <f t="shared" si="58"/>
        <v>6000</v>
      </c>
      <c r="D1887" s="43">
        <f>VLOOKUP(A1887,Database!F:H,2,)</f>
        <v>3368000</v>
      </c>
      <c r="E1887" s="43">
        <f t="shared" si="59"/>
        <v>-107000</v>
      </c>
    </row>
    <row r="1888" spans="1:5" x14ac:dyDescent="0.2">
      <c r="A1888" s="42">
        <v>37660</v>
      </c>
      <c r="B1888" s="43">
        <f>VLOOKUP(A1888,Database!F:H,3,)</f>
        <v>390000</v>
      </c>
      <c r="C1888" s="43">
        <f t="shared" si="58"/>
        <v>-23000</v>
      </c>
      <c r="D1888" s="43">
        <f>VLOOKUP(A1888,Database!F:H,2,)</f>
        <v>3457000</v>
      </c>
      <c r="E1888" s="43">
        <f t="shared" si="59"/>
        <v>89000</v>
      </c>
    </row>
    <row r="1889" spans="1:5" x14ac:dyDescent="0.2">
      <c r="A1889" s="42">
        <v>37667</v>
      </c>
      <c r="B1889" s="43">
        <f>VLOOKUP(A1889,Database!F:H,3,)</f>
        <v>420000</v>
      </c>
      <c r="C1889" s="43">
        <f t="shared" si="58"/>
        <v>30000</v>
      </c>
      <c r="D1889" s="43">
        <f>VLOOKUP(A1889,Database!F:H,2,)</f>
        <v>3423000</v>
      </c>
      <c r="E1889" s="43">
        <f t="shared" si="59"/>
        <v>-34000</v>
      </c>
    </row>
    <row r="1890" spans="1:5" x14ac:dyDescent="0.2">
      <c r="A1890" s="42">
        <v>37674</v>
      </c>
      <c r="B1890" s="43">
        <f>VLOOKUP(A1890,Database!F:H,3,)</f>
        <v>421000</v>
      </c>
      <c r="C1890" s="43">
        <f t="shared" si="58"/>
        <v>1000</v>
      </c>
      <c r="D1890" s="43">
        <f>VLOOKUP(A1890,Database!F:H,2,)</f>
        <v>3500000</v>
      </c>
      <c r="E1890" s="43">
        <f t="shared" si="59"/>
        <v>77000</v>
      </c>
    </row>
    <row r="1891" spans="1:5" x14ac:dyDescent="0.2">
      <c r="A1891" s="42">
        <v>37681</v>
      </c>
      <c r="B1891" s="43">
        <f>VLOOKUP(A1891,Database!F:H,3,)</f>
        <v>436000</v>
      </c>
      <c r="C1891" s="43">
        <f t="shared" si="58"/>
        <v>15000</v>
      </c>
      <c r="D1891" s="43">
        <f>VLOOKUP(A1891,Database!F:H,2,)</f>
        <v>3496000</v>
      </c>
      <c r="E1891" s="43">
        <f t="shared" si="59"/>
        <v>-4000</v>
      </c>
    </row>
    <row r="1892" spans="1:5" x14ac:dyDescent="0.2">
      <c r="A1892" s="42">
        <v>37688</v>
      </c>
      <c r="B1892" s="43">
        <f>VLOOKUP(A1892,Database!F:H,3,)</f>
        <v>424000</v>
      </c>
      <c r="C1892" s="43">
        <f t="shared" si="58"/>
        <v>-12000</v>
      </c>
      <c r="D1892" s="43">
        <f>VLOOKUP(A1892,Database!F:H,2,)</f>
        <v>3559000</v>
      </c>
      <c r="E1892" s="43">
        <f t="shared" si="59"/>
        <v>63000</v>
      </c>
    </row>
    <row r="1893" spans="1:5" x14ac:dyDescent="0.2">
      <c r="A1893" s="42">
        <v>37695</v>
      </c>
      <c r="B1893" s="43">
        <f>VLOOKUP(A1893,Database!F:H,3,)</f>
        <v>430000</v>
      </c>
      <c r="C1893" s="43">
        <f t="shared" si="58"/>
        <v>6000</v>
      </c>
      <c r="D1893" s="43">
        <f>VLOOKUP(A1893,Database!F:H,2,)</f>
        <v>3528000</v>
      </c>
      <c r="E1893" s="43">
        <f t="shared" si="59"/>
        <v>-31000</v>
      </c>
    </row>
    <row r="1894" spans="1:5" x14ac:dyDescent="0.2">
      <c r="A1894" s="42">
        <v>37702</v>
      </c>
      <c r="B1894" s="43">
        <f>VLOOKUP(A1894,Database!F:H,3,)</f>
        <v>411000</v>
      </c>
      <c r="C1894" s="43">
        <f t="shared" si="58"/>
        <v>-19000</v>
      </c>
      <c r="D1894" s="43">
        <f>VLOOKUP(A1894,Database!F:H,2,)</f>
        <v>3585000</v>
      </c>
      <c r="E1894" s="43">
        <f t="shared" si="59"/>
        <v>57000</v>
      </c>
    </row>
    <row r="1895" spans="1:5" x14ac:dyDescent="0.2">
      <c r="A1895" s="42">
        <v>37709</v>
      </c>
      <c r="B1895" s="43">
        <f>VLOOKUP(A1895,Database!F:H,3,)</f>
        <v>436000</v>
      </c>
      <c r="C1895" s="43">
        <f t="shared" si="58"/>
        <v>25000</v>
      </c>
      <c r="D1895" s="43">
        <f>VLOOKUP(A1895,Database!F:H,2,)</f>
        <v>3536000</v>
      </c>
      <c r="E1895" s="43">
        <f t="shared" si="59"/>
        <v>-49000</v>
      </c>
    </row>
    <row r="1896" spans="1:5" x14ac:dyDescent="0.2">
      <c r="A1896" s="42">
        <v>37716</v>
      </c>
      <c r="B1896" s="43">
        <f>VLOOKUP(A1896,Database!F:H,3,)</f>
        <v>417000</v>
      </c>
      <c r="C1896" s="43">
        <f t="shared" si="58"/>
        <v>-19000</v>
      </c>
      <c r="D1896" s="43">
        <f>VLOOKUP(A1896,Database!F:H,2,)</f>
        <v>3583000</v>
      </c>
      <c r="E1896" s="43">
        <f t="shared" si="59"/>
        <v>47000</v>
      </c>
    </row>
    <row r="1897" spans="1:5" x14ac:dyDescent="0.2">
      <c r="A1897" s="42">
        <v>37723</v>
      </c>
      <c r="B1897" s="43">
        <f>VLOOKUP(A1897,Database!F:H,3,)</f>
        <v>434000</v>
      </c>
      <c r="C1897" s="43">
        <f t="shared" si="58"/>
        <v>17000</v>
      </c>
      <c r="D1897" s="43">
        <f>VLOOKUP(A1897,Database!F:H,2,)</f>
        <v>3586000</v>
      </c>
      <c r="E1897" s="43">
        <f t="shared" si="59"/>
        <v>3000</v>
      </c>
    </row>
    <row r="1898" spans="1:5" x14ac:dyDescent="0.2">
      <c r="A1898" s="42">
        <v>37730</v>
      </c>
      <c r="B1898" s="43">
        <f>VLOOKUP(A1898,Database!F:H,3,)</f>
        <v>450000</v>
      </c>
      <c r="C1898" s="43">
        <f t="shared" si="58"/>
        <v>16000</v>
      </c>
      <c r="D1898" s="43">
        <f>VLOOKUP(A1898,Database!F:H,2,)</f>
        <v>3674000</v>
      </c>
      <c r="E1898" s="43">
        <f t="shared" si="59"/>
        <v>88000</v>
      </c>
    </row>
    <row r="1899" spans="1:5" x14ac:dyDescent="0.2">
      <c r="A1899" s="42">
        <v>37737</v>
      </c>
      <c r="B1899" s="43">
        <f>VLOOKUP(A1899,Database!F:H,3,)</f>
        <v>444000</v>
      </c>
      <c r="C1899" s="43">
        <f t="shared" si="58"/>
        <v>-6000</v>
      </c>
      <c r="D1899" s="43">
        <f>VLOOKUP(A1899,Database!F:H,2,)</f>
        <v>3676000</v>
      </c>
      <c r="E1899" s="43">
        <f t="shared" si="59"/>
        <v>2000</v>
      </c>
    </row>
    <row r="1900" spans="1:5" x14ac:dyDescent="0.2">
      <c r="A1900" s="42">
        <v>37744</v>
      </c>
      <c r="B1900" s="43">
        <f>VLOOKUP(A1900,Database!F:H,3,)</f>
        <v>428000</v>
      </c>
      <c r="C1900" s="43">
        <f t="shared" si="58"/>
        <v>-16000</v>
      </c>
      <c r="D1900" s="43">
        <f>VLOOKUP(A1900,Database!F:H,2,)</f>
        <v>3730000</v>
      </c>
      <c r="E1900" s="43">
        <f t="shared" si="59"/>
        <v>54000</v>
      </c>
    </row>
    <row r="1901" spans="1:5" x14ac:dyDescent="0.2">
      <c r="A1901" s="42">
        <v>37751</v>
      </c>
      <c r="B1901" s="43">
        <f>VLOOKUP(A1901,Database!F:H,3,)</f>
        <v>417000</v>
      </c>
      <c r="C1901" s="43">
        <f t="shared" si="58"/>
        <v>-11000</v>
      </c>
      <c r="D1901" s="43">
        <f>VLOOKUP(A1901,Database!F:H,2,)</f>
        <v>3704000</v>
      </c>
      <c r="E1901" s="43">
        <f t="shared" si="59"/>
        <v>-26000</v>
      </c>
    </row>
    <row r="1902" spans="1:5" x14ac:dyDescent="0.2">
      <c r="A1902" s="42">
        <v>37758</v>
      </c>
      <c r="B1902" s="43">
        <f>VLOOKUP(A1902,Database!F:H,3,)</f>
        <v>425000</v>
      </c>
      <c r="C1902" s="43">
        <f t="shared" si="58"/>
        <v>8000</v>
      </c>
      <c r="D1902" s="43">
        <f>VLOOKUP(A1902,Database!F:H,2,)</f>
        <v>3716000</v>
      </c>
      <c r="E1902" s="43">
        <f t="shared" si="59"/>
        <v>12000</v>
      </c>
    </row>
    <row r="1903" spans="1:5" x14ac:dyDescent="0.2">
      <c r="A1903" s="42">
        <v>37765</v>
      </c>
      <c r="B1903" s="43">
        <f>VLOOKUP(A1903,Database!F:H,3,)</f>
        <v>419000</v>
      </c>
      <c r="C1903" s="43">
        <f t="shared" si="58"/>
        <v>-6000</v>
      </c>
      <c r="D1903" s="43">
        <f>VLOOKUP(A1903,Database!F:H,2,)</f>
        <v>3672000</v>
      </c>
      <c r="E1903" s="43">
        <f t="shared" si="59"/>
        <v>-44000</v>
      </c>
    </row>
    <row r="1904" spans="1:5" x14ac:dyDescent="0.2">
      <c r="A1904" s="42">
        <v>37772</v>
      </c>
      <c r="B1904" s="43">
        <f>VLOOKUP(A1904,Database!F:H,3,)</f>
        <v>431000</v>
      </c>
      <c r="C1904" s="43">
        <f t="shared" si="58"/>
        <v>12000</v>
      </c>
      <c r="D1904" s="43">
        <f>VLOOKUP(A1904,Database!F:H,2,)</f>
        <v>3774000</v>
      </c>
      <c r="E1904" s="43">
        <f t="shared" si="59"/>
        <v>102000</v>
      </c>
    </row>
    <row r="1905" spans="1:5" x14ac:dyDescent="0.2">
      <c r="A1905" s="42">
        <v>37779</v>
      </c>
      <c r="B1905" s="43">
        <f>VLOOKUP(A1905,Database!F:H,3,)</f>
        <v>429000</v>
      </c>
      <c r="C1905" s="43">
        <f t="shared" si="58"/>
        <v>-2000</v>
      </c>
      <c r="D1905" s="43">
        <f>VLOOKUP(A1905,Database!F:H,2,)</f>
        <v>3682000</v>
      </c>
      <c r="E1905" s="43">
        <f t="shared" si="59"/>
        <v>-92000</v>
      </c>
    </row>
    <row r="1906" spans="1:5" x14ac:dyDescent="0.2">
      <c r="A1906" s="42">
        <v>37786</v>
      </c>
      <c r="B1906" s="43">
        <f>VLOOKUP(A1906,Database!F:H,3,)</f>
        <v>421000</v>
      </c>
      <c r="C1906" s="43">
        <f t="shared" si="58"/>
        <v>-8000</v>
      </c>
      <c r="D1906" s="43">
        <f>VLOOKUP(A1906,Database!F:H,2,)</f>
        <v>3695000</v>
      </c>
      <c r="E1906" s="43">
        <f t="shared" si="59"/>
        <v>13000</v>
      </c>
    </row>
    <row r="1907" spans="1:5" x14ac:dyDescent="0.2">
      <c r="A1907" s="42">
        <v>37793</v>
      </c>
      <c r="B1907" s="43">
        <f>VLOOKUP(A1907,Database!F:H,3,)</f>
        <v>408000</v>
      </c>
      <c r="C1907" s="43">
        <f t="shared" si="58"/>
        <v>-13000</v>
      </c>
      <c r="D1907" s="43">
        <f>VLOOKUP(A1907,Database!F:H,2,)</f>
        <v>3692000</v>
      </c>
      <c r="E1907" s="43">
        <f t="shared" si="59"/>
        <v>-3000</v>
      </c>
    </row>
    <row r="1908" spans="1:5" x14ac:dyDescent="0.2">
      <c r="A1908" s="42">
        <v>37800</v>
      </c>
      <c r="B1908" s="43">
        <f>VLOOKUP(A1908,Database!F:H,3,)</f>
        <v>429000</v>
      </c>
      <c r="C1908" s="43">
        <f t="shared" si="58"/>
        <v>21000</v>
      </c>
      <c r="D1908" s="43">
        <f>VLOOKUP(A1908,Database!F:H,2,)</f>
        <v>3737000</v>
      </c>
      <c r="E1908" s="43">
        <f t="shared" si="59"/>
        <v>45000</v>
      </c>
    </row>
    <row r="1909" spans="1:5" x14ac:dyDescent="0.2">
      <c r="A1909" s="42">
        <v>37807</v>
      </c>
      <c r="B1909" s="43">
        <f>VLOOKUP(A1909,Database!F:H,3,)</f>
        <v>433000</v>
      </c>
      <c r="C1909" s="43">
        <f t="shared" si="58"/>
        <v>4000</v>
      </c>
      <c r="D1909" s="43">
        <f>VLOOKUP(A1909,Database!F:H,2,)</f>
        <v>3627000</v>
      </c>
      <c r="E1909" s="43">
        <f t="shared" si="59"/>
        <v>-110000</v>
      </c>
    </row>
    <row r="1910" spans="1:5" x14ac:dyDescent="0.2">
      <c r="A1910" s="42">
        <v>37814</v>
      </c>
      <c r="B1910" s="43">
        <f>VLOOKUP(A1910,Database!F:H,3,)</f>
        <v>412000</v>
      </c>
      <c r="C1910" s="43">
        <f t="shared" si="58"/>
        <v>-21000</v>
      </c>
      <c r="D1910" s="43">
        <f>VLOOKUP(A1910,Database!F:H,2,)</f>
        <v>3599000</v>
      </c>
      <c r="E1910" s="43">
        <f t="shared" si="59"/>
        <v>-28000</v>
      </c>
    </row>
    <row r="1911" spans="1:5" x14ac:dyDescent="0.2">
      <c r="A1911" s="42">
        <v>37821</v>
      </c>
      <c r="B1911" s="43">
        <f>VLOOKUP(A1911,Database!F:H,3,)</f>
        <v>403000</v>
      </c>
      <c r="C1911" s="43">
        <f t="shared" si="58"/>
        <v>-9000</v>
      </c>
      <c r="D1911" s="43">
        <f>VLOOKUP(A1911,Database!F:H,2,)</f>
        <v>3592000</v>
      </c>
      <c r="E1911" s="43">
        <f t="shared" si="59"/>
        <v>-7000</v>
      </c>
    </row>
    <row r="1912" spans="1:5" x14ac:dyDescent="0.2">
      <c r="A1912" s="42">
        <v>37828</v>
      </c>
      <c r="B1912" s="43">
        <f>VLOOKUP(A1912,Database!F:H,3,)</f>
        <v>398000</v>
      </c>
      <c r="C1912" s="43">
        <f t="shared" si="58"/>
        <v>-5000</v>
      </c>
      <c r="D1912" s="43">
        <f>VLOOKUP(A1912,Database!F:H,2,)</f>
        <v>3647000</v>
      </c>
      <c r="E1912" s="43">
        <f t="shared" si="59"/>
        <v>55000</v>
      </c>
    </row>
    <row r="1913" spans="1:5" x14ac:dyDescent="0.2">
      <c r="A1913" s="42">
        <v>37835</v>
      </c>
      <c r="B1913" s="43">
        <f>VLOOKUP(A1913,Database!F:H,3,)</f>
        <v>401000</v>
      </c>
      <c r="C1913" s="43">
        <f t="shared" si="58"/>
        <v>3000</v>
      </c>
      <c r="D1913" s="43">
        <f>VLOOKUP(A1913,Database!F:H,2,)</f>
        <v>3601000</v>
      </c>
      <c r="E1913" s="43">
        <f t="shared" si="59"/>
        <v>-46000</v>
      </c>
    </row>
    <row r="1914" spans="1:5" x14ac:dyDescent="0.2">
      <c r="A1914" s="42">
        <v>37842</v>
      </c>
      <c r="B1914" s="43">
        <f>VLOOKUP(A1914,Database!F:H,3,)</f>
        <v>404000</v>
      </c>
      <c r="C1914" s="43">
        <f t="shared" si="58"/>
        <v>3000</v>
      </c>
      <c r="D1914" s="43">
        <f>VLOOKUP(A1914,Database!F:H,2,)</f>
        <v>3596000</v>
      </c>
      <c r="E1914" s="43">
        <f t="shared" si="59"/>
        <v>-5000</v>
      </c>
    </row>
    <row r="1915" spans="1:5" x14ac:dyDescent="0.2">
      <c r="A1915" s="42">
        <v>37849</v>
      </c>
      <c r="B1915" s="43">
        <f>VLOOKUP(A1915,Database!F:H,3,)</f>
        <v>398000</v>
      </c>
      <c r="C1915" s="43">
        <f t="shared" si="58"/>
        <v>-6000</v>
      </c>
      <c r="D1915" s="43">
        <f>VLOOKUP(A1915,Database!F:H,2,)</f>
        <v>3603000</v>
      </c>
      <c r="E1915" s="43">
        <f t="shared" si="59"/>
        <v>7000</v>
      </c>
    </row>
    <row r="1916" spans="1:5" x14ac:dyDescent="0.2">
      <c r="A1916" s="42">
        <v>37856</v>
      </c>
      <c r="B1916" s="43">
        <f>VLOOKUP(A1916,Database!F:H,3,)</f>
        <v>391000</v>
      </c>
      <c r="C1916" s="43">
        <f t="shared" si="58"/>
        <v>-7000</v>
      </c>
      <c r="D1916" s="43">
        <f>VLOOKUP(A1916,Database!F:H,2,)</f>
        <v>3574000</v>
      </c>
      <c r="E1916" s="43">
        <f t="shared" si="59"/>
        <v>-29000</v>
      </c>
    </row>
    <row r="1917" spans="1:5" x14ac:dyDescent="0.2">
      <c r="A1917" s="42">
        <v>37863</v>
      </c>
      <c r="B1917" s="43">
        <f>VLOOKUP(A1917,Database!F:H,3,)</f>
        <v>407000</v>
      </c>
      <c r="C1917" s="43">
        <f t="shared" si="58"/>
        <v>16000</v>
      </c>
      <c r="D1917" s="43">
        <f>VLOOKUP(A1917,Database!F:H,2,)</f>
        <v>3608000</v>
      </c>
      <c r="E1917" s="43">
        <f t="shared" si="59"/>
        <v>34000</v>
      </c>
    </row>
    <row r="1918" spans="1:5" x14ac:dyDescent="0.2">
      <c r="A1918" s="42">
        <v>37870</v>
      </c>
      <c r="B1918" s="43">
        <f>VLOOKUP(A1918,Database!F:H,3,)</f>
        <v>422000</v>
      </c>
      <c r="C1918" s="43">
        <f t="shared" si="58"/>
        <v>15000</v>
      </c>
      <c r="D1918" s="43">
        <f>VLOOKUP(A1918,Database!F:H,2,)</f>
        <v>3598000</v>
      </c>
      <c r="E1918" s="43">
        <f t="shared" si="59"/>
        <v>-10000</v>
      </c>
    </row>
    <row r="1919" spans="1:5" x14ac:dyDescent="0.2">
      <c r="A1919" s="42">
        <v>37877</v>
      </c>
      <c r="B1919" s="43">
        <f>VLOOKUP(A1919,Database!F:H,3,)</f>
        <v>394000</v>
      </c>
      <c r="C1919" s="43">
        <f t="shared" si="58"/>
        <v>-28000</v>
      </c>
      <c r="D1919" s="43">
        <f>VLOOKUP(A1919,Database!F:H,2,)</f>
        <v>3559000</v>
      </c>
      <c r="E1919" s="43">
        <f t="shared" si="59"/>
        <v>-39000</v>
      </c>
    </row>
    <row r="1920" spans="1:5" x14ac:dyDescent="0.2">
      <c r="A1920" s="42">
        <v>37884</v>
      </c>
      <c r="B1920" s="43">
        <f>VLOOKUP(A1920,Database!F:H,3,)</f>
        <v>379000</v>
      </c>
      <c r="C1920" s="43">
        <f t="shared" si="58"/>
        <v>-15000</v>
      </c>
      <c r="D1920" s="43">
        <f>VLOOKUP(A1920,Database!F:H,2,)</f>
        <v>3588000</v>
      </c>
      <c r="E1920" s="43">
        <f t="shared" si="59"/>
        <v>29000</v>
      </c>
    </row>
    <row r="1921" spans="1:5" x14ac:dyDescent="0.2">
      <c r="A1921" s="42">
        <v>37891</v>
      </c>
      <c r="B1921" s="43">
        <f>VLOOKUP(A1921,Database!F:H,3,)</f>
        <v>387000</v>
      </c>
      <c r="C1921" s="43">
        <f t="shared" si="58"/>
        <v>8000</v>
      </c>
      <c r="D1921" s="43">
        <f>VLOOKUP(A1921,Database!F:H,2,)</f>
        <v>3558000</v>
      </c>
      <c r="E1921" s="43">
        <f t="shared" si="59"/>
        <v>-30000</v>
      </c>
    </row>
    <row r="1922" spans="1:5" x14ac:dyDescent="0.2">
      <c r="A1922" s="42">
        <v>37898</v>
      </c>
      <c r="B1922" s="43">
        <f>VLOOKUP(A1922,Database!F:H,3,)</f>
        <v>386000</v>
      </c>
      <c r="C1922" s="43">
        <f t="shared" si="58"/>
        <v>-1000</v>
      </c>
      <c r="D1922" s="43">
        <f>VLOOKUP(A1922,Database!F:H,2,)</f>
        <v>3570000</v>
      </c>
      <c r="E1922" s="43">
        <f t="shared" si="59"/>
        <v>12000</v>
      </c>
    </row>
    <row r="1923" spans="1:5" x14ac:dyDescent="0.2">
      <c r="A1923" s="42">
        <v>37905</v>
      </c>
      <c r="B1923" s="43">
        <f>VLOOKUP(A1923,Database!F:H,3,)</f>
        <v>376000</v>
      </c>
      <c r="C1923" s="43">
        <f t="shared" si="58"/>
        <v>-10000</v>
      </c>
      <c r="D1923" s="43">
        <f>VLOOKUP(A1923,Database!F:H,2,)</f>
        <v>3468000</v>
      </c>
      <c r="E1923" s="43">
        <f t="shared" si="59"/>
        <v>-102000</v>
      </c>
    </row>
    <row r="1924" spans="1:5" x14ac:dyDescent="0.2">
      <c r="A1924" s="42">
        <v>37912</v>
      </c>
      <c r="B1924" s="43">
        <f>VLOOKUP(A1924,Database!F:H,3,)</f>
        <v>387000</v>
      </c>
      <c r="C1924" s="43">
        <f t="shared" si="58"/>
        <v>11000</v>
      </c>
      <c r="D1924" s="43">
        <f>VLOOKUP(A1924,Database!F:H,2,)</f>
        <v>3466000</v>
      </c>
      <c r="E1924" s="43">
        <f t="shared" si="59"/>
        <v>-2000</v>
      </c>
    </row>
    <row r="1925" spans="1:5" x14ac:dyDescent="0.2">
      <c r="A1925" s="42">
        <v>37919</v>
      </c>
      <c r="B1925" s="43">
        <f>VLOOKUP(A1925,Database!F:H,3,)</f>
        <v>379000</v>
      </c>
      <c r="C1925" s="43">
        <f t="shared" si="58"/>
        <v>-8000</v>
      </c>
      <c r="D1925" s="43">
        <f>VLOOKUP(A1925,Database!F:H,2,)</f>
        <v>3441000</v>
      </c>
      <c r="E1925" s="43">
        <f t="shared" si="59"/>
        <v>-25000</v>
      </c>
    </row>
    <row r="1926" spans="1:5" x14ac:dyDescent="0.2">
      <c r="A1926" s="42">
        <v>37926</v>
      </c>
      <c r="B1926" s="43">
        <f>VLOOKUP(A1926,Database!F:H,3,)</f>
        <v>363000</v>
      </c>
      <c r="C1926" s="43">
        <f t="shared" si="58"/>
        <v>-16000</v>
      </c>
      <c r="D1926" s="43">
        <f>VLOOKUP(A1926,Database!F:H,2,)</f>
        <v>3427000</v>
      </c>
      <c r="E1926" s="43">
        <f t="shared" si="59"/>
        <v>-14000</v>
      </c>
    </row>
    <row r="1927" spans="1:5" x14ac:dyDescent="0.2">
      <c r="A1927" s="42">
        <v>37933</v>
      </c>
      <c r="B1927" s="43">
        <f>VLOOKUP(A1927,Database!F:H,3,)</f>
        <v>371000</v>
      </c>
      <c r="C1927" s="43">
        <f t="shared" si="58"/>
        <v>8000</v>
      </c>
      <c r="D1927" s="43">
        <f>VLOOKUP(A1927,Database!F:H,2,)</f>
        <v>3441000</v>
      </c>
      <c r="E1927" s="43">
        <f t="shared" si="59"/>
        <v>14000</v>
      </c>
    </row>
    <row r="1928" spans="1:5" x14ac:dyDescent="0.2">
      <c r="A1928" s="42">
        <v>37940</v>
      </c>
      <c r="B1928" s="43">
        <f>VLOOKUP(A1928,Database!F:H,3,)</f>
        <v>370000</v>
      </c>
      <c r="C1928" s="43">
        <f t="shared" ref="C1928:C1991" si="60">B1928-B1927</f>
        <v>-1000</v>
      </c>
      <c r="D1928" s="43">
        <f>VLOOKUP(A1928,Database!F:H,2,)</f>
        <v>3331000</v>
      </c>
      <c r="E1928" s="43">
        <f t="shared" ref="E1928:E1991" si="61">D1928-D1927</f>
        <v>-110000</v>
      </c>
    </row>
    <row r="1929" spans="1:5" x14ac:dyDescent="0.2">
      <c r="A1929" s="42">
        <v>37947</v>
      </c>
      <c r="B1929" s="43">
        <f>VLOOKUP(A1929,Database!F:H,3,)</f>
        <v>354000</v>
      </c>
      <c r="C1929" s="43">
        <f t="shared" si="60"/>
        <v>-16000</v>
      </c>
      <c r="D1929" s="43">
        <f>VLOOKUP(A1929,Database!F:H,2,)</f>
        <v>3337000</v>
      </c>
      <c r="E1929" s="43">
        <f t="shared" si="61"/>
        <v>6000</v>
      </c>
    </row>
    <row r="1930" spans="1:5" x14ac:dyDescent="0.2">
      <c r="A1930" s="42">
        <v>37954</v>
      </c>
      <c r="B1930" s="43">
        <f>VLOOKUP(A1930,Database!F:H,3,)</f>
        <v>357000</v>
      </c>
      <c r="C1930" s="43">
        <f t="shared" si="60"/>
        <v>3000</v>
      </c>
      <c r="D1930" s="43">
        <f>VLOOKUP(A1930,Database!F:H,2,)</f>
        <v>3331000</v>
      </c>
      <c r="E1930" s="43">
        <f t="shared" si="61"/>
        <v>-6000</v>
      </c>
    </row>
    <row r="1931" spans="1:5" x14ac:dyDescent="0.2">
      <c r="A1931" s="42">
        <v>37961</v>
      </c>
      <c r="B1931" s="43">
        <f>VLOOKUP(A1931,Database!F:H,3,)</f>
        <v>367000</v>
      </c>
      <c r="C1931" s="43">
        <f t="shared" si="60"/>
        <v>10000</v>
      </c>
      <c r="D1931" s="43">
        <f>VLOOKUP(A1931,Database!F:H,2,)</f>
        <v>3318000</v>
      </c>
      <c r="E1931" s="43">
        <f t="shared" si="61"/>
        <v>-13000</v>
      </c>
    </row>
    <row r="1932" spans="1:5" x14ac:dyDescent="0.2">
      <c r="A1932" s="42">
        <v>37968</v>
      </c>
      <c r="B1932" s="43">
        <f>VLOOKUP(A1932,Database!F:H,3,)</f>
        <v>363000</v>
      </c>
      <c r="C1932" s="43">
        <f t="shared" si="60"/>
        <v>-4000</v>
      </c>
      <c r="D1932" s="43">
        <f>VLOOKUP(A1932,Database!F:H,2,)</f>
        <v>3251000</v>
      </c>
      <c r="E1932" s="43">
        <f t="shared" si="61"/>
        <v>-67000</v>
      </c>
    </row>
    <row r="1933" spans="1:5" x14ac:dyDescent="0.2">
      <c r="A1933" s="42">
        <v>37975</v>
      </c>
      <c r="B1933" s="43">
        <f>VLOOKUP(A1933,Database!F:H,3,)</f>
        <v>354000</v>
      </c>
      <c r="C1933" s="43">
        <f t="shared" si="60"/>
        <v>-9000</v>
      </c>
      <c r="D1933" s="43">
        <f>VLOOKUP(A1933,Database!F:H,2,)</f>
        <v>3254000</v>
      </c>
      <c r="E1933" s="43">
        <f t="shared" si="61"/>
        <v>3000</v>
      </c>
    </row>
    <row r="1934" spans="1:5" x14ac:dyDescent="0.2">
      <c r="A1934" s="42">
        <v>37982</v>
      </c>
      <c r="B1934" s="43">
        <f>VLOOKUP(A1934,Database!F:H,3,)</f>
        <v>349000</v>
      </c>
      <c r="C1934" s="43">
        <f t="shared" si="60"/>
        <v>-5000</v>
      </c>
      <c r="D1934" s="43">
        <f>VLOOKUP(A1934,Database!F:H,2,)</f>
        <v>3258000</v>
      </c>
      <c r="E1934" s="43">
        <f t="shared" si="61"/>
        <v>4000</v>
      </c>
    </row>
    <row r="1935" spans="1:5" x14ac:dyDescent="0.2">
      <c r="A1935" s="42">
        <v>37989</v>
      </c>
      <c r="B1935" s="43">
        <f>VLOOKUP(A1935,Database!F:H,3,)</f>
        <v>356000</v>
      </c>
      <c r="C1935" s="43">
        <f t="shared" si="60"/>
        <v>7000</v>
      </c>
      <c r="D1935" s="43">
        <f>VLOOKUP(A1935,Database!F:H,2,)</f>
        <v>3188000</v>
      </c>
      <c r="E1935" s="43">
        <f t="shared" si="61"/>
        <v>-70000</v>
      </c>
    </row>
    <row r="1936" spans="1:5" x14ac:dyDescent="0.2">
      <c r="A1936" s="42">
        <v>37996</v>
      </c>
      <c r="B1936" s="43">
        <f>VLOOKUP(A1936,Database!F:H,3,)</f>
        <v>354000</v>
      </c>
      <c r="C1936" s="43">
        <f t="shared" si="60"/>
        <v>-2000</v>
      </c>
      <c r="D1936" s="43">
        <f>VLOOKUP(A1936,Database!F:H,2,)</f>
        <v>3154000</v>
      </c>
      <c r="E1936" s="43">
        <f t="shared" si="61"/>
        <v>-34000</v>
      </c>
    </row>
    <row r="1937" spans="1:5" x14ac:dyDescent="0.2">
      <c r="A1937" s="42">
        <v>38003</v>
      </c>
      <c r="B1937" s="43">
        <f>VLOOKUP(A1937,Database!F:H,3,)</f>
        <v>362000</v>
      </c>
      <c r="C1937" s="43">
        <f t="shared" si="60"/>
        <v>8000</v>
      </c>
      <c r="D1937" s="43">
        <f>VLOOKUP(A1937,Database!F:H,2,)</f>
        <v>3139000</v>
      </c>
      <c r="E1937" s="43">
        <f t="shared" si="61"/>
        <v>-15000</v>
      </c>
    </row>
    <row r="1938" spans="1:5" x14ac:dyDescent="0.2">
      <c r="A1938" s="42">
        <v>38010</v>
      </c>
      <c r="B1938" s="43">
        <f>VLOOKUP(A1938,Database!F:H,3,)</f>
        <v>353000</v>
      </c>
      <c r="C1938" s="43">
        <f t="shared" si="60"/>
        <v>-9000</v>
      </c>
      <c r="D1938" s="43">
        <f>VLOOKUP(A1938,Database!F:H,2,)</f>
        <v>3142000</v>
      </c>
      <c r="E1938" s="43">
        <f t="shared" si="61"/>
        <v>3000</v>
      </c>
    </row>
    <row r="1939" spans="1:5" x14ac:dyDescent="0.2">
      <c r="A1939" s="42">
        <v>38017</v>
      </c>
      <c r="B1939" s="43">
        <f>VLOOKUP(A1939,Database!F:H,3,)</f>
        <v>376000</v>
      </c>
      <c r="C1939" s="43">
        <f t="shared" si="60"/>
        <v>23000</v>
      </c>
      <c r="D1939" s="43">
        <f>VLOOKUP(A1939,Database!F:H,2,)</f>
        <v>3118000</v>
      </c>
      <c r="E1939" s="43">
        <f t="shared" si="61"/>
        <v>-24000</v>
      </c>
    </row>
    <row r="1940" spans="1:5" x14ac:dyDescent="0.2">
      <c r="A1940" s="42">
        <v>38024</v>
      </c>
      <c r="B1940" s="43">
        <f>VLOOKUP(A1940,Database!F:H,3,)</f>
        <v>380000</v>
      </c>
      <c r="C1940" s="43">
        <f t="shared" si="60"/>
        <v>4000</v>
      </c>
      <c r="D1940" s="43">
        <f>VLOOKUP(A1940,Database!F:H,2,)</f>
        <v>3179000</v>
      </c>
      <c r="E1940" s="43">
        <f t="shared" si="61"/>
        <v>61000</v>
      </c>
    </row>
    <row r="1941" spans="1:5" x14ac:dyDescent="0.2">
      <c r="A1941" s="42">
        <v>38031</v>
      </c>
      <c r="B1941" s="43">
        <f>VLOOKUP(A1941,Database!F:H,3,)</f>
        <v>356000</v>
      </c>
      <c r="C1941" s="43">
        <f t="shared" si="60"/>
        <v>-24000</v>
      </c>
      <c r="D1941" s="43">
        <f>VLOOKUP(A1941,Database!F:H,2,)</f>
        <v>3131000</v>
      </c>
      <c r="E1941" s="43">
        <f t="shared" si="61"/>
        <v>-48000</v>
      </c>
    </row>
    <row r="1942" spans="1:5" x14ac:dyDescent="0.2">
      <c r="A1942" s="42">
        <v>38038</v>
      </c>
      <c r="B1942" s="43">
        <f>VLOOKUP(A1942,Database!F:H,3,)</f>
        <v>359000</v>
      </c>
      <c r="C1942" s="43">
        <f t="shared" si="60"/>
        <v>3000</v>
      </c>
      <c r="D1942" s="43">
        <f>VLOOKUP(A1942,Database!F:H,2,)</f>
        <v>3092000</v>
      </c>
      <c r="E1942" s="43">
        <f t="shared" si="61"/>
        <v>-39000</v>
      </c>
    </row>
    <row r="1943" spans="1:5" x14ac:dyDescent="0.2">
      <c r="A1943" s="42">
        <v>38045</v>
      </c>
      <c r="B1943" s="43">
        <f>VLOOKUP(A1943,Database!F:H,3,)</f>
        <v>348000</v>
      </c>
      <c r="C1943" s="43">
        <f t="shared" si="60"/>
        <v>-11000</v>
      </c>
      <c r="D1943" s="43">
        <f>VLOOKUP(A1943,Database!F:H,2,)</f>
        <v>3057000</v>
      </c>
      <c r="E1943" s="43">
        <f t="shared" si="61"/>
        <v>-35000</v>
      </c>
    </row>
    <row r="1944" spans="1:5" x14ac:dyDescent="0.2">
      <c r="A1944" s="42">
        <v>38052</v>
      </c>
      <c r="B1944" s="43">
        <f>VLOOKUP(A1944,Database!F:H,3,)</f>
        <v>344000</v>
      </c>
      <c r="C1944" s="43">
        <f t="shared" si="60"/>
        <v>-4000</v>
      </c>
      <c r="D1944" s="43">
        <f>VLOOKUP(A1944,Database!F:H,2,)</f>
        <v>3072000</v>
      </c>
      <c r="E1944" s="43">
        <f t="shared" si="61"/>
        <v>15000</v>
      </c>
    </row>
    <row r="1945" spans="1:5" x14ac:dyDescent="0.2">
      <c r="A1945" s="42">
        <v>38059</v>
      </c>
      <c r="B1945" s="43">
        <f>VLOOKUP(A1945,Database!F:H,3,)</f>
        <v>338000</v>
      </c>
      <c r="C1945" s="43">
        <f t="shared" si="60"/>
        <v>-6000</v>
      </c>
      <c r="D1945" s="43">
        <f>VLOOKUP(A1945,Database!F:H,2,)</f>
        <v>3040000</v>
      </c>
      <c r="E1945" s="43">
        <f t="shared" si="61"/>
        <v>-32000</v>
      </c>
    </row>
    <row r="1946" spans="1:5" x14ac:dyDescent="0.2">
      <c r="A1946" s="42">
        <v>38066</v>
      </c>
      <c r="B1946" s="43">
        <f>VLOOKUP(A1946,Database!F:H,3,)</f>
        <v>346000</v>
      </c>
      <c r="C1946" s="43">
        <f t="shared" si="60"/>
        <v>8000</v>
      </c>
      <c r="D1946" s="43">
        <f>VLOOKUP(A1946,Database!F:H,2,)</f>
        <v>3066000</v>
      </c>
      <c r="E1946" s="43">
        <f t="shared" si="61"/>
        <v>26000</v>
      </c>
    </row>
    <row r="1947" spans="1:5" x14ac:dyDescent="0.2">
      <c r="A1947" s="42">
        <v>38073</v>
      </c>
      <c r="B1947" s="43">
        <f>VLOOKUP(A1947,Database!F:H,3,)</f>
        <v>340000</v>
      </c>
      <c r="C1947" s="43">
        <f t="shared" si="60"/>
        <v>-6000</v>
      </c>
      <c r="D1947" s="43">
        <f>VLOOKUP(A1947,Database!F:H,2,)</f>
        <v>3007000</v>
      </c>
      <c r="E1947" s="43">
        <f t="shared" si="61"/>
        <v>-59000</v>
      </c>
    </row>
    <row r="1948" spans="1:5" x14ac:dyDescent="0.2">
      <c r="A1948" s="42">
        <v>38080</v>
      </c>
      <c r="B1948" s="43">
        <f>VLOOKUP(A1948,Database!F:H,3,)</f>
        <v>335000</v>
      </c>
      <c r="C1948" s="43">
        <f t="shared" si="60"/>
        <v>-5000</v>
      </c>
      <c r="D1948" s="43">
        <f>VLOOKUP(A1948,Database!F:H,2,)</f>
        <v>2990000</v>
      </c>
      <c r="E1948" s="43">
        <f t="shared" si="61"/>
        <v>-17000</v>
      </c>
    </row>
    <row r="1949" spans="1:5" x14ac:dyDescent="0.2">
      <c r="A1949" s="42">
        <v>38087</v>
      </c>
      <c r="B1949" s="43">
        <f>VLOOKUP(A1949,Database!F:H,3,)</f>
        <v>355000</v>
      </c>
      <c r="C1949" s="43">
        <f t="shared" si="60"/>
        <v>20000</v>
      </c>
      <c r="D1949" s="43">
        <f>VLOOKUP(A1949,Database!F:H,2,)</f>
        <v>3022000</v>
      </c>
      <c r="E1949" s="43">
        <f t="shared" si="61"/>
        <v>32000</v>
      </c>
    </row>
    <row r="1950" spans="1:5" x14ac:dyDescent="0.2">
      <c r="A1950" s="42">
        <v>38094</v>
      </c>
      <c r="B1950" s="43">
        <f>VLOOKUP(A1950,Database!F:H,3,)</f>
        <v>364000</v>
      </c>
      <c r="C1950" s="43">
        <f t="shared" si="60"/>
        <v>9000</v>
      </c>
      <c r="D1950" s="43">
        <f>VLOOKUP(A1950,Database!F:H,2,)</f>
        <v>3031000</v>
      </c>
      <c r="E1950" s="43">
        <f t="shared" si="61"/>
        <v>9000</v>
      </c>
    </row>
    <row r="1951" spans="1:5" x14ac:dyDescent="0.2">
      <c r="A1951" s="42">
        <v>38101</v>
      </c>
      <c r="B1951" s="43">
        <f>VLOOKUP(A1951,Database!F:H,3,)</f>
        <v>339000</v>
      </c>
      <c r="C1951" s="43">
        <f t="shared" si="60"/>
        <v>-25000</v>
      </c>
      <c r="D1951" s="43">
        <f>VLOOKUP(A1951,Database!F:H,2,)</f>
        <v>2960000</v>
      </c>
      <c r="E1951" s="43">
        <f t="shared" si="61"/>
        <v>-71000</v>
      </c>
    </row>
    <row r="1952" spans="1:5" x14ac:dyDescent="0.2">
      <c r="A1952" s="42">
        <v>38108</v>
      </c>
      <c r="B1952" s="43">
        <f>VLOOKUP(A1952,Database!F:H,3,)</f>
        <v>324000</v>
      </c>
      <c r="C1952" s="43">
        <f t="shared" si="60"/>
        <v>-15000</v>
      </c>
      <c r="D1952" s="43">
        <f>VLOOKUP(A1952,Database!F:H,2,)</f>
        <v>2998000</v>
      </c>
      <c r="E1952" s="43">
        <f t="shared" si="61"/>
        <v>38000</v>
      </c>
    </row>
    <row r="1953" spans="1:5" x14ac:dyDescent="0.2">
      <c r="A1953" s="42">
        <v>38115</v>
      </c>
      <c r="B1953" s="43">
        <f>VLOOKUP(A1953,Database!F:H,3,)</f>
        <v>329000</v>
      </c>
      <c r="C1953" s="43">
        <f t="shared" si="60"/>
        <v>5000</v>
      </c>
      <c r="D1953" s="43">
        <f>VLOOKUP(A1953,Database!F:H,2,)</f>
        <v>2978000</v>
      </c>
      <c r="E1953" s="43">
        <f t="shared" si="61"/>
        <v>-20000</v>
      </c>
    </row>
    <row r="1954" spans="1:5" x14ac:dyDescent="0.2">
      <c r="A1954" s="42">
        <v>38122</v>
      </c>
      <c r="B1954" s="43">
        <f>VLOOKUP(A1954,Database!F:H,3,)</f>
        <v>349000</v>
      </c>
      <c r="C1954" s="43">
        <f t="shared" si="60"/>
        <v>20000</v>
      </c>
      <c r="D1954" s="43">
        <f>VLOOKUP(A1954,Database!F:H,2,)</f>
        <v>2976000</v>
      </c>
      <c r="E1954" s="43">
        <f t="shared" si="61"/>
        <v>-2000</v>
      </c>
    </row>
    <row r="1955" spans="1:5" x14ac:dyDescent="0.2">
      <c r="A1955" s="42">
        <v>38129</v>
      </c>
      <c r="B1955" s="43">
        <f>VLOOKUP(A1955,Database!F:H,3,)</f>
        <v>342000</v>
      </c>
      <c r="C1955" s="43">
        <f t="shared" si="60"/>
        <v>-7000</v>
      </c>
      <c r="D1955" s="43">
        <f>VLOOKUP(A1955,Database!F:H,2,)</f>
        <v>3010000</v>
      </c>
      <c r="E1955" s="43">
        <f t="shared" si="61"/>
        <v>34000</v>
      </c>
    </row>
    <row r="1956" spans="1:5" x14ac:dyDescent="0.2">
      <c r="A1956" s="42">
        <v>38136</v>
      </c>
      <c r="B1956" s="43">
        <f>VLOOKUP(A1956,Database!F:H,3,)</f>
        <v>337000</v>
      </c>
      <c r="C1956" s="43">
        <f t="shared" si="60"/>
        <v>-5000</v>
      </c>
      <c r="D1956" s="43">
        <f>VLOOKUP(A1956,Database!F:H,2,)</f>
        <v>2916000</v>
      </c>
      <c r="E1956" s="43">
        <f t="shared" si="61"/>
        <v>-94000</v>
      </c>
    </row>
    <row r="1957" spans="1:5" x14ac:dyDescent="0.2">
      <c r="A1957" s="42">
        <v>38143</v>
      </c>
      <c r="B1957" s="43">
        <f>VLOOKUP(A1957,Database!F:H,3,)</f>
        <v>355000</v>
      </c>
      <c r="C1957" s="43">
        <f t="shared" si="60"/>
        <v>18000</v>
      </c>
      <c r="D1957" s="43">
        <f>VLOOKUP(A1957,Database!F:H,2,)</f>
        <v>2923000</v>
      </c>
      <c r="E1957" s="43">
        <f t="shared" si="61"/>
        <v>7000</v>
      </c>
    </row>
    <row r="1958" spans="1:5" x14ac:dyDescent="0.2">
      <c r="A1958" s="42">
        <v>38150</v>
      </c>
      <c r="B1958" s="43">
        <f>VLOOKUP(A1958,Database!F:H,3,)</f>
        <v>339000</v>
      </c>
      <c r="C1958" s="43">
        <f t="shared" si="60"/>
        <v>-16000</v>
      </c>
      <c r="D1958" s="43">
        <f>VLOOKUP(A1958,Database!F:H,2,)</f>
        <v>2990000</v>
      </c>
      <c r="E1958" s="43">
        <f t="shared" si="61"/>
        <v>67000</v>
      </c>
    </row>
    <row r="1959" spans="1:5" x14ac:dyDescent="0.2">
      <c r="A1959" s="42">
        <v>38157</v>
      </c>
      <c r="B1959" s="43">
        <f>VLOOKUP(A1959,Database!F:H,3,)</f>
        <v>354000</v>
      </c>
      <c r="C1959" s="43">
        <f t="shared" si="60"/>
        <v>15000</v>
      </c>
      <c r="D1959" s="43">
        <f>VLOOKUP(A1959,Database!F:H,2,)</f>
        <v>2973000</v>
      </c>
      <c r="E1959" s="43">
        <f t="shared" si="61"/>
        <v>-17000</v>
      </c>
    </row>
    <row r="1960" spans="1:5" x14ac:dyDescent="0.2">
      <c r="A1960" s="42">
        <v>38164</v>
      </c>
      <c r="B1960" s="43">
        <f>VLOOKUP(A1960,Database!F:H,3,)</f>
        <v>348000</v>
      </c>
      <c r="C1960" s="43">
        <f t="shared" si="60"/>
        <v>-6000</v>
      </c>
      <c r="D1960" s="43">
        <f>VLOOKUP(A1960,Database!F:H,2,)</f>
        <v>2917000</v>
      </c>
      <c r="E1960" s="43">
        <f t="shared" si="61"/>
        <v>-56000</v>
      </c>
    </row>
    <row r="1961" spans="1:5" x14ac:dyDescent="0.2">
      <c r="A1961" s="42">
        <v>38171</v>
      </c>
      <c r="B1961" s="43">
        <f>VLOOKUP(A1961,Database!F:H,3,)</f>
        <v>326000</v>
      </c>
      <c r="C1961" s="43">
        <f t="shared" si="60"/>
        <v>-22000</v>
      </c>
      <c r="D1961" s="43">
        <f>VLOOKUP(A1961,Database!F:H,2,)</f>
        <v>2948000</v>
      </c>
      <c r="E1961" s="43">
        <f t="shared" si="61"/>
        <v>31000</v>
      </c>
    </row>
    <row r="1962" spans="1:5" x14ac:dyDescent="0.2">
      <c r="A1962" s="42">
        <v>38178</v>
      </c>
      <c r="B1962" s="43">
        <f>VLOOKUP(A1962,Database!F:H,3,)</f>
        <v>345000</v>
      </c>
      <c r="C1962" s="43">
        <f t="shared" si="60"/>
        <v>19000</v>
      </c>
      <c r="D1962" s="43">
        <f>VLOOKUP(A1962,Database!F:H,2,)</f>
        <v>2852000</v>
      </c>
      <c r="E1962" s="43">
        <f t="shared" si="61"/>
        <v>-96000</v>
      </c>
    </row>
    <row r="1963" spans="1:5" x14ac:dyDescent="0.2">
      <c r="A1963" s="42">
        <v>38185</v>
      </c>
      <c r="B1963" s="43">
        <f>VLOOKUP(A1963,Database!F:H,3,)</f>
        <v>355000</v>
      </c>
      <c r="C1963" s="43">
        <f t="shared" si="60"/>
        <v>10000</v>
      </c>
      <c r="D1963" s="43">
        <f>VLOOKUP(A1963,Database!F:H,2,)</f>
        <v>2956000</v>
      </c>
      <c r="E1963" s="43">
        <f t="shared" si="61"/>
        <v>104000</v>
      </c>
    </row>
    <row r="1964" spans="1:5" x14ac:dyDescent="0.2">
      <c r="A1964" s="42">
        <v>38192</v>
      </c>
      <c r="B1964" s="43">
        <f>VLOOKUP(A1964,Database!F:H,3,)</f>
        <v>348000</v>
      </c>
      <c r="C1964" s="43">
        <f t="shared" si="60"/>
        <v>-7000</v>
      </c>
      <c r="D1964" s="43">
        <f>VLOOKUP(A1964,Database!F:H,2,)</f>
        <v>2935000</v>
      </c>
      <c r="E1964" s="43">
        <f t="shared" si="61"/>
        <v>-21000</v>
      </c>
    </row>
    <row r="1965" spans="1:5" x14ac:dyDescent="0.2">
      <c r="A1965" s="42">
        <v>38199</v>
      </c>
      <c r="B1965" s="43">
        <f>VLOOKUP(A1965,Database!F:H,3,)</f>
        <v>341000</v>
      </c>
      <c r="C1965" s="43">
        <f t="shared" si="60"/>
        <v>-7000</v>
      </c>
      <c r="D1965" s="43">
        <f>VLOOKUP(A1965,Database!F:H,2,)</f>
        <v>2894000</v>
      </c>
      <c r="E1965" s="43">
        <f t="shared" si="61"/>
        <v>-41000</v>
      </c>
    </row>
    <row r="1966" spans="1:5" x14ac:dyDescent="0.2">
      <c r="A1966" s="42">
        <v>38206</v>
      </c>
      <c r="B1966" s="43">
        <f>VLOOKUP(A1966,Database!F:H,3,)</f>
        <v>336000</v>
      </c>
      <c r="C1966" s="43">
        <f t="shared" si="60"/>
        <v>-5000</v>
      </c>
      <c r="D1966" s="43">
        <f>VLOOKUP(A1966,Database!F:H,2,)</f>
        <v>2920000</v>
      </c>
      <c r="E1966" s="43">
        <f t="shared" si="61"/>
        <v>26000</v>
      </c>
    </row>
    <row r="1967" spans="1:5" x14ac:dyDescent="0.2">
      <c r="A1967" s="42">
        <v>38213</v>
      </c>
      <c r="B1967" s="43">
        <f>VLOOKUP(A1967,Database!F:H,3,)</f>
        <v>332000</v>
      </c>
      <c r="C1967" s="43">
        <f t="shared" si="60"/>
        <v>-4000</v>
      </c>
      <c r="D1967" s="43">
        <f>VLOOKUP(A1967,Database!F:H,2,)</f>
        <v>2889000</v>
      </c>
      <c r="E1967" s="43">
        <f t="shared" si="61"/>
        <v>-31000</v>
      </c>
    </row>
    <row r="1968" spans="1:5" x14ac:dyDescent="0.2">
      <c r="A1968" s="42">
        <v>38220</v>
      </c>
      <c r="B1968" s="43">
        <f>VLOOKUP(A1968,Database!F:H,3,)</f>
        <v>343000</v>
      </c>
      <c r="C1968" s="43">
        <f t="shared" si="60"/>
        <v>11000</v>
      </c>
      <c r="D1968" s="43">
        <f>VLOOKUP(A1968,Database!F:H,2,)</f>
        <v>2877000</v>
      </c>
      <c r="E1968" s="43">
        <f t="shared" si="61"/>
        <v>-12000</v>
      </c>
    </row>
    <row r="1969" spans="1:5" x14ac:dyDescent="0.2">
      <c r="A1969" s="42">
        <v>38227</v>
      </c>
      <c r="B1969" s="43">
        <f>VLOOKUP(A1969,Database!F:H,3,)</f>
        <v>352000</v>
      </c>
      <c r="C1969" s="43">
        <f t="shared" si="60"/>
        <v>9000</v>
      </c>
      <c r="D1969" s="43">
        <f>VLOOKUP(A1969,Database!F:H,2,)</f>
        <v>2880000</v>
      </c>
      <c r="E1969" s="43">
        <f t="shared" si="61"/>
        <v>3000</v>
      </c>
    </row>
    <row r="1970" spans="1:5" x14ac:dyDescent="0.2">
      <c r="A1970" s="42">
        <v>38234</v>
      </c>
      <c r="B1970" s="43">
        <f>VLOOKUP(A1970,Database!F:H,3,)</f>
        <v>326000</v>
      </c>
      <c r="C1970" s="43">
        <f t="shared" si="60"/>
        <v>-26000</v>
      </c>
      <c r="D1970" s="43">
        <f>VLOOKUP(A1970,Database!F:H,2,)</f>
        <v>2872000</v>
      </c>
      <c r="E1970" s="43">
        <f t="shared" si="61"/>
        <v>-8000</v>
      </c>
    </row>
    <row r="1971" spans="1:5" x14ac:dyDescent="0.2">
      <c r="A1971" s="42">
        <v>38241</v>
      </c>
      <c r="B1971" s="43">
        <f>VLOOKUP(A1971,Database!F:H,3,)</f>
        <v>331000</v>
      </c>
      <c r="C1971" s="43">
        <f t="shared" si="60"/>
        <v>5000</v>
      </c>
      <c r="D1971" s="43">
        <f>VLOOKUP(A1971,Database!F:H,2,)</f>
        <v>2875000</v>
      </c>
      <c r="E1971" s="43">
        <f t="shared" si="61"/>
        <v>3000</v>
      </c>
    </row>
    <row r="1972" spans="1:5" x14ac:dyDescent="0.2">
      <c r="A1972" s="42">
        <v>38248</v>
      </c>
      <c r="B1972" s="43">
        <f>VLOOKUP(A1972,Database!F:H,3,)</f>
        <v>341000</v>
      </c>
      <c r="C1972" s="43">
        <f t="shared" si="60"/>
        <v>10000</v>
      </c>
      <c r="D1972" s="43">
        <f>VLOOKUP(A1972,Database!F:H,2,)</f>
        <v>2865000</v>
      </c>
      <c r="E1972" s="43">
        <f t="shared" si="61"/>
        <v>-10000</v>
      </c>
    </row>
    <row r="1973" spans="1:5" x14ac:dyDescent="0.2">
      <c r="A1973" s="42">
        <v>38255</v>
      </c>
      <c r="B1973" s="43">
        <f>VLOOKUP(A1973,Database!F:H,3,)</f>
        <v>351000</v>
      </c>
      <c r="C1973" s="43">
        <f t="shared" si="60"/>
        <v>10000</v>
      </c>
      <c r="D1973" s="43">
        <f>VLOOKUP(A1973,Database!F:H,2,)</f>
        <v>2839000</v>
      </c>
      <c r="E1973" s="43">
        <f t="shared" si="61"/>
        <v>-26000</v>
      </c>
    </row>
    <row r="1974" spans="1:5" x14ac:dyDescent="0.2">
      <c r="A1974" s="42">
        <v>38262</v>
      </c>
      <c r="B1974" s="43">
        <f>VLOOKUP(A1974,Database!F:H,3,)</f>
        <v>335000</v>
      </c>
      <c r="C1974" s="43">
        <f t="shared" si="60"/>
        <v>-16000</v>
      </c>
      <c r="D1974" s="43">
        <f>VLOOKUP(A1974,Database!F:H,2,)</f>
        <v>2799000</v>
      </c>
      <c r="E1974" s="43">
        <f t="shared" si="61"/>
        <v>-40000</v>
      </c>
    </row>
    <row r="1975" spans="1:5" x14ac:dyDescent="0.2">
      <c r="A1975" s="42">
        <v>38269</v>
      </c>
      <c r="B1975" s="43">
        <f>VLOOKUP(A1975,Database!F:H,3,)</f>
        <v>338000</v>
      </c>
      <c r="C1975" s="43">
        <f t="shared" si="60"/>
        <v>3000</v>
      </c>
      <c r="D1975" s="43">
        <f>VLOOKUP(A1975,Database!F:H,2,)</f>
        <v>2773000</v>
      </c>
      <c r="E1975" s="43">
        <f t="shared" si="61"/>
        <v>-26000</v>
      </c>
    </row>
    <row r="1976" spans="1:5" x14ac:dyDescent="0.2">
      <c r="A1976" s="42">
        <v>38276</v>
      </c>
      <c r="B1976" s="43">
        <f>VLOOKUP(A1976,Database!F:H,3,)</f>
        <v>327000</v>
      </c>
      <c r="C1976" s="43">
        <f t="shared" si="60"/>
        <v>-11000</v>
      </c>
      <c r="D1976" s="43">
        <f>VLOOKUP(A1976,Database!F:H,2,)</f>
        <v>2781000</v>
      </c>
      <c r="E1976" s="43">
        <f t="shared" si="61"/>
        <v>8000</v>
      </c>
    </row>
    <row r="1977" spans="1:5" x14ac:dyDescent="0.2">
      <c r="A1977" s="42">
        <v>38283</v>
      </c>
      <c r="B1977" s="43">
        <f>VLOOKUP(A1977,Database!F:H,3,)</f>
        <v>338000</v>
      </c>
      <c r="C1977" s="43">
        <f t="shared" si="60"/>
        <v>11000</v>
      </c>
      <c r="D1977" s="43">
        <f>VLOOKUP(A1977,Database!F:H,2,)</f>
        <v>2774000</v>
      </c>
      <c r="E1977" s="43">
        <f t="shared" si="61"/>
        <v>-7000</v>
      </c>
    </row>
    <row r="1978" spans="1:5" x14ac:dyDescent="0.2">
      <c r="A1978" s="42">
        <v>38290</v>
      </c>
      <c r="B1978" s="43">
        <f>VLOOKUP(A1978,Database!F:H,3,)</f>
        <v>332000</v>
      </c>
      <c r="C1978" s="43">
        <f t="shared" si="60"/>
        <v>-6000</v>
      </c>
      <c r="D1978" s="43">
        <f>VLOOKUP(A1978,Database!F:H,2,)</f>
        <v>2763000</v>
      </c>
      <c r="E1978" s="43">
        <f t="shared" si="61"/>
        <v>-11000</v>
      </c>
    </row>
    <row r="1979" spans="1:5" x14ac:dyDescent="0.2">
      <c r="A1979" s="42">
        <v>38297</v>
      </c>
      <c r="B1979" s="43">
        <f>VLOOKUP(A1979,Database!F:H,3,)</f>
        <v>330000</v>
      </c>
      <c r="C1979" s="43">
        <f t="shared" si="60"/>
        <v>-2000</v>
      </c>
      <c r="D1979" s="43">
        <f>VLOOKUP(A1979,Database!F:H,2,)</f>
        <v>2765000</v>
      </c>
      <c r="E1979" s="43">
        <f t="shared" si="61"/>
        <v>2000</v>
      </c>
    </row>
    <row r="1980" spans="1:5" x14ac:dyDescent="0.2">
      <c r="A1980" s="42">
        <v>38304</v>
      </c>
      <c r="B1980" s="43">
        <f>VLOOKUP(A1980,Database!F:H,3,)</f>
        <v>337000</v>
      </c>
      <c r="C1980" s="43">
        <f t="shared" si="60"/>
        <v>7000</v>
      </c>
      <c r="D1980" s="43">
        <f>VLOOKUP(A1980,Database!F:H,2,)</f>
        <v>2707000</v>
      </c>
      <c r="E1980" s="43">
        <f t="shared" si="61"/>
        <v>-58000</v>
      </c>
    </row>
    <row r="1981" spans="1:5" x14ac:dyDescent="0.2">
      <c r="A1981" s="42">
        <v>38311</v>
      </c>
      <c r="B1981" s="43">
        <f>VLOOKUP(A1981,Database!F:H,3,)</f>
        <v>313000</v>
      </c>
      <c r="C1981" s="43">
        <f t="shared" si="60"/>
        <v>-24000</v>
      </c>
      <c r="D1981" s="43">
        <f>VLOOKUP(A1981,Database!F:H,2,)</f>
        <v>2705000</v>
      </c>
      <c r="E1981" s="43">
        <f t="shared" si="61"/>
        <v>-2000</v>
      </c>
    </row>
    <row r="1982" spans="1:5" x14ac:dyDescent="0.2">
      <c r="A1982" s="42">
        <v>38318</v>
      </c>
      <c r="B1982" s="43">
        <f>VLOOKUP(A1982,Database!F:H,3,)</f>
        <v>335000</v>
      </c>
      <c r="C1982" s="43">
        <f t="shared" si="60"/>
        <v>22000</v>
      </c>
      <c r="D1982" s="43">
        <f>VLOOKUP(A1982,Database!F:H,2,)</f>
        <v>2761000</v>
      </c>
      <c r="E1982" s="43">
        <f t="shared" si="61"/>
        <v>56000</v>
      </c>
    </row>
    <row r="1983" spans="1:5" x14ac:dyDescent="0.2">
      <c r="A1983" s="42">
        <v>38325</v>
      </c>
      <c r="B1983" s="43">
        <f>VLOOKUP(A1983,Database!F:H,3,)</f>
        <v>343000</v>
      </c>
      <c r="C1983" s="43">
        <f t="shared" si="60"/>
        <v>8000</v>
      </c>
      <c r="D1983" s="43">
        <f>VLOOKUP(A1983,Database!F:H,2,)</f>
        <v>2725000</v>
      </c>
      <c r="E1983" s="43">
        <f t="shared" si="61"/>
        <v>-36000</v>
      </c>
    </row>
    <row r="1984" spans="1:5" x14ac:dyDescent="0.2">
      <c r="A1984" s="42">
        <v>38332</v>
      </c>
      <c r="B1984" s="43">
        <f>VLOOKUP(A1984,Database!F:H,3,)</f>
        <v>316000</v>
      </c>
      <c r="C1984" s="43">
        <f t="shared" si="60"/>
        <v>-27000</v>
      </c>
      <c r="D1984" s="43">
        <f>VLOOKUP(A1984,Database!F:H,2,)</f>
        <v>2692000</v>
      </c>
      <c r="E1984" s="43">
        <f t="shared" si="61"/>
        <v>-33000</v>
      </c>
    </row>
    <row r="1985" spans="1:5" x14ac:dyDescent="0.2">
      <c r="A1985" s="42">
        <v>38339</v>
      </c>
      <c r="B1985" s="43">
        <f>VLOOKUP(A1985,Database!F:H,3,)</f>
        <v>322000</v>
      </c>
      <c r="C1985" s="43">
        <f t="shared" si="60"/>
        <v>6000</v>
      </c>
      <c r="D1985" s="43">
        <f>VLOOKUP(A1985,Database!F:H,2,)</f>
        <v>2688000</v>
      </c>
      <c r="E1985" s="43">
        <f t="shared" si="61"/>
        <v>-4000</v>
      </c>
    </row>
    <row r="1986" spans="1:5" x14ac:dyDescent="0.2">
      <c r="A1986" s="42">
        <v>38346</v>
      </c>
      <c r="B1986" s="43">
        <f>VLOOKUP(A1986,Database!F:H,3,)</f>
        <v>320000</v>
      </c>
      <c r="C1986" s="43">
        <f t="shared" si="60"/>
        <v>-2000</v>
      </c>
      <c r="D1986" s="43">
        <f>VLOOKUP(A1986,Database!F:H,2,)</f>
        <v>2771000</v>
      </c>
      <c r="E1986" s="43">
        <f t="shared" si="61"/>
        <v>83000</v>
      </c>
    </row>
    <row r="1987" spans="1:5" x14ac:dyDescent="0.2">
      <c r="A1987" s="42">
        <v>38353</v>
      </c>
      <c r="B1987" s="43">
        <f>VLOOKUP(A1987,Database!F:H,3,)</f>
        <v>356000</v>
      </c>
      <c r="C1987" s="43">
        <f t="shared" si="60"/>
        <v>36000</v>
      </c>
      <c r="D1987" s="43">
        <f>VLOOKUP(A1987,Database!F:H,2,)</f>
        <v>2672000</v>
      </c>
      <c r="E1987" s="43">
        <f t="shared" si="61"/>
        <v>-99000</v>
      </c>
    </row>
    <row r="1988" spans="1:5" x14ac:dyDescent="0.2">
      <c r="A1988" s="42">
        <v>38360</v>
      </c>
      <c r="B1988" s="43">
        <f>VLOOKUP(A1988,Database!F:H,3,)</f>
        <v>369000</v>
      </c>
      <c r="C1988" s="43">
        <f t="shared" si="60"/>
        <v>13000</v>
      </c>
      <c r="D1988" s="43">
        <f>VLOOKUP(A1988,Database!F:H,2,)</f>
        <v>2720000</v>
      </c>
      <c r="E1988" s="43">
        <f t="shared" si="61"/>
        <v>48000</v>
      </c>
    </row>
    <row r="1989" spans="1:5" x14ac:dyDescent="0.2">
      <c r="A1989" s="42">
        <v>38367</v>
      </c>
      <c r="B1989" s="43">
        <f>VLOOKUP(A1989,Database!F:H,3,)</f>
        <v>332000</v>
      </c>
      <c r="C1989" s="43">
        <f t="shared" si="60"/>
        <v>-37000</v>
      </c>
      <c r="D1989" s="43">
        <f>VLOOKUP(A1989,Database!F:H,2,)</f>
        <v>2790000</v>
      </c>
      <c r="E1989" s="43">
        <f t="shared" si="61"/>
        <v>70000</v>
      </c>
    </row>
    <row r="1990" spans="1:5" x14ac:dyDescent="0.2">
      <c r="A1990" s="42">
        <v>38374</v>
      </c>
      <c r="B1990" s="43">
        <f>VLOOKUP(A1990,Database!F:H,3,)</f>
        <v>329000</v>
      </c>
      <c r="C1990" s="43">
        <f t="shared" si="60"/>
        <v>-3000</v>
      </c>
      <c r="D1990" s="43">
        <f>VLOOKUP(A1990,Database!F:H,2,)</f>
        <v>2706000</v>
      </c>
      <c r="E1990" s="43">
        <f t="shared" si="61"/>
        <v>-84000</v>
      </c>
    </row>
    <row r="1991" spans="1:5" x14ac:dyDescent="0.2">
      <c r="A1991" s="42">
        <v>38381</v>
      </c>
      <c r="B1991" s="43">
        <f>VLOOKUP(A1991,Database!F:H,3,)</f>
        <v>331000</v>
      </c>
      <c r="C1991" s="43">
        <f t="shared" si="60"/>
        <v>2000</v>
      </c>
      <c r="D1991" s="43">
        <f>VLOOKUP(A1991,Database!F:H,2,)</f>
        <v>2731000</v>
      </c>
      <c r="E1991" s="43">
        <f t="shared" si="61"/>
        <v>25000</v>
      </c>
    </row>
    <row r="1992" spans="1:5" x14ac:dyDescent="0.2">
      <c r="A1992" s="42">
        <v>38388</v>
      </c>
      <c r="B1992" s="43">
        <f>VLOOKUP(A1992,Database!F:H,3,)</f>
        <v>307000</v>
      </c>
      <c r="C1992" s="43">
        <f t="shared" ref="C1992:C2055" si="62">B1992-B1991</f>
        <v>-24000</v>
      </c>
      <c r="D1992" s="43">
        <f>VLOOKUP(A1992,Database!F:H,2,)</f>
        <v>2710000</v>
      </c>
      <c r="E1992" s="43">
        <f t="shared" ref="E1992:E2055" si="63">D1992-D1991</f>
        <v>-21000</v>
      </c>
    </row>
    <row r="1993" spans="1:5" x14ac:dyDescent="0.2">
      <c r="A1993" s="42">
        <v>38395</v>
      </c>
      <c r="B1993" s="43">
        <f>VLOOKUP(A1993,Database!F:H,3,)</f>
        <v>308000</v>
      </c>
      <c r="C1993" s="43">
        <f t="shared" si="62"/>
        <v>1000</v>
      </c>
      <c r="D1993" s="43">
        <f>VLOOKUP(A1993,Database!F:H,2,)</f>
        <v>2666000</v>
      </c>
      <c r="E1993" s="43">
        <f t="shared" si="63"/>
        <v>-44000</v>
      </c>
    </row>
    <row r="1994" spans="1:5" x14ac:dyDescent="0.2">
      <c r="A1994" s="42">
        <v>38402</v>
      </c>
      <c r="B1994" s="43">
        <f>VLOOKUP(A1994,Database!F:H,3,)</f>
        <v>318000</v>
      </c>
      <c r="C1994" s="43">
        <f t="shared" si="62"/>
        <v>10000</v>
      </c>
      <c r="D1994" s="43">
        <f>VLOOKUP(A1994,Database!F:H,2,)</f>
        <v>2667000</v>
      </c>
      <c r="E1994" s="43">
        <f t="shared" si="63"/>
        <v>1000</v>
      </c>
    </row>
    <row r="1995" spans="1:5" x14ac:dyDescent="0.2">
      <c r="A1995" s="42">
        <v>38409</v>
      </c>
      <c r="B1995" s="43">
        <f>VLOOKUP(A1995,Database!F:H,3,)</f>
        <v>314000</v>
      </c>
      <c r="C1995" s="43">
        <f t="shared" si="62"/>
        <v>-4000</v>
      </c>
      <c r="D1995" s="43">
        <f>VLOOKUP(A1995,Database!F:H,2,)</f>
        <v>2703000</v>
      </c>
      <c r="E1995" s="43">
        <f t="shared" si="63"/>
        <v>36000</v>
      </c>
    </row>
    <row r="1996" spans="1:5" x14ac:dyDescent="0.2">
      <c r="A1996" s="42">
        <v>38416</v>
      </c>
      <c r="B1996" s="43">
        <f>VLOOKUP(A1996,Database!F:H,3,)</f>
        <v>333000</v>
      </c>
      <c r="C1996" s="43">
        <f t="shared" si="62"/>
        <v>19000</v>
      </c>
      <c r="D1996" s="43">
        <f>VLOOKUP(A1996,Database!F:H,2,)</f>
        <v>2658000</v>
      </c>
      <c r="E1996" s="43">
        <f t="shared" si="63"/>
        <v>-45000</v>
      </c>
    </row>
    <row r="1997" spans="1:5" x14ac:dyDescent="0.2">
      <c r="A1997" s="42">
        <v>38423</v>
      </c>
      <c r="B1997" s="43">
        <f>VLOOKUP(A1997,Database!F:H,3,)</f>
        <v>324000</v>
      </c>
      <c r="C1997" s="43">
        <f t="shared" si="62"/>
        <v>-9000</v>
      </c>
      <c r="D1997" s="43">
        <f>VLOOKUP(A1997,Database!F:H,2,)</f>
        <v>2681000</v>
      </c>
      <c r="E1997" s="43">
        <f t="shared" si="63"/>
        <v>23000</v>
      </c>
    </row>
    <row r="1998" spans="1:5" x14ac:dyDescent="0.2">
      <c r="A1998" s="42">
        <v>38430</v>
      </c>
      <c r="B1998" s="43">
        <f>VLOOKUP(A1998,Database!F:H,3,)</f>
        <v>329000</v>
      </c>
      <c r="C1998" s="43">
        <f t="shared" si="62"/>
        <v>5000</v>
      </c>
      <c r="D1998" s="43">
        <f>VLOOKUP(A1998,Database!F:H,2,)</f>
        <v>2616000</v>
      </c>
      <c r="E1998" s="43">
        <f t="shared" si="63"/>
        <v>-65000</v>
      </c>
    </row>
    <row r="1999" spans="1:5" x14ac:dyDescent="0.2">
      <c r="A1999" s="42">
        <v>38437</v>
      </c>
      <c r="B1999" s="43">
        <f>VLOOKUP(A1999,Database!F:H,3,)</f>
        <v>342000</v>
      </c>
      <c r="C1999" s="43">
        <f t="shared" si="62"/>
        <v>13000</v>
      </c>
      <c r="D1999" s="43">
        <f>VLOOKUP(A1999,Database!F:H,2,)</f>
        <v>2683000</v>
      </c>
      <c r="E1999" s="43">
        <f t="shared" si="63"/>
        <v>67000</v>
      </c>
    </row>
    <row r="2000" spans="1:5" x14ac:dyDescent="0.2">
      <c r="A2000" s="42">
        <v>38444</v>
      </c>
      <c r="B2000" s="43">
        <f>VLOOKUP(A2000,Database!F:H,3,)</f>
        <v>335000</v>
      </c>
      <c r="C2000" s="43">
        <f t="shared" si="62"/>
        <v>-7000</v>
      </c>
      <c r="D2000" s="43">
        <f>VLOOKUP(A2000,Database!F:H,2,)</f>
        <v>2653000</v>
      </c>
      <c r="E2000" s="43">
        <f t="shared" si="63"/>
        <v>-30000</v>
      </c>
    </row>
    <row r="2001" spans="1:5" x14ac:dyDescent="0.2">
      <c r="A2001" s="42">
        <v>38451</v>
      </c>
      <c r="B2001" s="43">
        <f>VLOOKUP(A2001,Database!F:H,3,)</f>
        <v>323000</v>
      </c>
      <c r="C2001" s="43">
        <f t="shared" si="62"/>
        <v>-12000</v>
      </c>
      <c r="D2001" s="43">
        <f>VLOOKUP(A2001,Database!F:H,2,)</f>
        <v>2626000</v>
      </c>
      <c r="E2001" s="43">
        <f t="shared" si="63"/>
        <v>-27000</v>
      </c>
    </row>
    <row r="2002" spans="1:5" x14ac:dyDescent="0.2">
      <c r="A2002" s="42">
        <v>38458</v>
      </c>
      <c r="B2002" s="43">
        <f>VLOOKUP(A2002,Database!F:H,3,)</f>
        <v>307000</v>
      </c>
      <c r="C2002" s="43">
        <f t="shared" si="62"/>
        <v>-16000</v>
      </c>
      <c r="D2002" s="43">
        <f>VLOOKUP(A2002,Database!F:H,2,)</f>
        <v>2559000</v>
      </c>
      <c r="E2002" s="43">
        <f t="shared" si="63"/>
        <v>-67000</v>
      </c>
    </row>
    <row r="2003" spans="1:5" x14ac:dyDescent="0.2">
      <c r="A2003" s="42">
        <v>38465</v>
      </c>
      <c r="B2003" s="43">
        <f>VLOOKUP(A2003,Database!F:H,3,)</f>
        <v>317000</v>
      </c>
      <c r="C2003" s="43">
        <f t="shared" si="62"/>
        <v>10000</v>
      </c>
      <c r="D2003" s="43">
        <f>VLOOKUP(A2003,Database!F:H,2,)</f>
        <v>2588000</v>
      </c>
      <c r="E2003" s="43">
        <f t="shared" si="63"/>
        <v>29000</v>
      </c>
    </row>
    <row r="2004" spans="1:5" x14ac:dyDescent="0.2">
      <c r="A2004" s="42">
        <v>38472</v>
      </c>
      <c r="B2004" s="43">
        <f>VLOOKUP(A2004,Database!F:H,3,)</f>
        <v>334000</v>
      </c>
      <c r="C2004" s="43">
        <f t="shared" si="62"/>
        <v>17000</v>
      </c>
      <c r="D2004" s="43">
        <f>VLOOKUP(A2004,Database!F:H,2,)</f>
        <v>2596000</v>
      </c>
      <c r="E2004" s="43">
        <f t="shared" si="63"/>
        <v>8000</v>
      </c>
    </row>
    <row r="2005" spans="1:5" x14ac:dyDescent="0.2">
      <c r="A2005" s="42">
        <v>38479</v>
      </c>
      <c r="B2005" s="43">
        <f>VLOOKUP(A2005,Database!F:H,3,)</f>
        <v>327000</v>
      </c>
      <c r="C2005" s="43">
        <f t="shared" si="62"/>
        <v>-7000</v>
      </c>
      <c r="D2005" s="43">
        <f>VLOOKUP(A2005,Database!F:H,2,)</f>
        <v>2605000</v>
      </c>
      <c r="E2005" s="43">
        <f t="shared" si="63"/>
        <v>9000</v>
      </c>
    </row>
    <row r="2006" spans="1:5" x14ac:dyDescent="0.2">
      <c r="A2006" s="42">
        <v>38486</v>
      </c>
      <c r="B2006" s="43">
        <f>VLOOKUP(A2006,Database!F:H,3,)</f>
        <v>321000</v>
      </c>
      <c r="C2006" s="43">
        <f t="shared" si="62"/>
        <v>-6000</v>
      </c>
      <c r="D2006" s="43">
        <f>VLOOKUP(A2006,Database!F:H,2,)</f>
        <v>2568000</v>
      </c>
      <c r="E2006" s="43">
        <f t="shared" si="63"/>
        <v>-37000</v>
      </c>
    </row>
    <row r="2007" spans="1:5" x14ac:dyDescent="0.2">
      <c r="A2007" s="42">
        <v>38493</v>
      </c>
      <c r="B2007" s="43">
        <f>VLOOKUP(A2007,Database!F:H,3,)</f>
        <v>320000</v>
      </c>
      <c r="C2007" s="43">
        <f t="shared" si="62"/>
        <v>-1000</v>
      </c>
      <c r="D2007" s="43">
        <f>VLOOKUP(A2007,Database!F:H,2,)</f>
        <v>2595000</v>
      </c>
      <c r="E2007" s="43">
        <f t="shared" si="63"/>
        <v>27000</v>
      </c>
    </row>
    <row r="2008" spans="1:5" x14ac:dyDescent="0.2">
      <c r="A2008" s="42">
        <v>38500</v>
      </c>
      <c r="B2008" s="43">
        <f>VLOOKUP(A2008,Database!F:H,3,)</f>
        <v>340000</v>
      </c>
      <c r="C2008" s="43">
        <f t="shared" si="62"/>
        <v>20000</v>
      </c>
      <c r="D2008" s="43">
        <f>VLOOKUP(A2008,Database!F:H,2,)</f>
        <v>2577000</v>
      </c>
      <c r="E2008" s="43">
        <f t="shared" si="63"/>
        <v>-18000</v>
      </c>
    </row>
    <row r="2009" spans="1:5" x14ac:dyDescent="0.2">
      <c r="A2009" s="42">
        <v>38507</v>
      </c>
      <c r="B2009" s="43">
        <f>VLOOKUP(A2009,Database!F:H,3,)</f>
        <v>338000</v>
      </c>
      <c r="C2009" s="43">
        <f t="shared" si="62"/>
        <v>-2000</v>
      </c>
      <c r="D2009" s="43">
        <f>VLOOKUP(A2009,Database!F:H,2,)</f>
        <v>2630000</v>
      </c>
      <c r="E2009" s="43">
        <f t="shared" si="63"/>
        <v>53000</v>
      </c>
    </row>
    <row r="2010" spans="1:5" x14ac:dyDescent="0.2">
      <c r="A2010" s="42">
        <v>38514</v>
      </c>
      <c r="B2010" s="43">
        <f>VLOOKUP(A2010,Database!F:H,3,)</f>
        <v>333000</v>
      </c>
      <c r="C2010" s="43">
        <f t="shared" si="62"/>
        <v>-5000</v>
      </c>
      <c r="D2010" s="43">
        <f>VLOOKUP(A2010,Database!F:H,2,)</f>
        <v>2599000</v>
      </c>
      <c r="E2010" s="43">
        <f t="shared" si="63"/>
        <v>-31000</v>
      </c>
    </row>
    <row r="2011" spans="1:5" x14ac:dyDescent="0.2">
      <c r="A2011" s="42">
        <v>38521</v>
      </c>
      <c r="B2011" s="43">
        <f>VLOOKUP(A2011,Database!F:H,3,)</f>
        <v>321000</v>
      </c>
      <c r="C2011" s="43">
        <f t="shared" si="62"/>
        <v>-12000</v>
      </c>
      <c r="D2011" s="43">
        <f>VLOOKUP(A2011,Database!F:H,2,)</f>
        <v>2602000</v>
      </c>
      <c r="E2011" s="43">
        <f t="shared" si="63"/>
        <v>3000</v>
      </c>
    </row>
    <row r="2012" spans="1:5" x14ac:dyDescent="0.2">
      <c r="A2012" s="42">
        <v>38528</v>
      </c>
      <c r="B2012" s="43">
        <f>VLOOKUP(A2012,Database!F:H,3,)</f>
        <v>311000</v>
      </c>
      <c r="C2012" s="43">
        <f t="shared" si="62"/>
        <v>-10000</v>
      </c>
      <c r="D2012" s="43">
        <f>VLOOKUP(A2012,Database!F:H,2,)</f>
        <v>2569000</v>
      </c>
      <c r="E2012" s="43">
        <f t="shared" si="63"/>
        <v>-33000</v>
      </c>
    </row>
    <row r="2013" spans="1:5" x14ac:dyDescent="0.2">
      <c r="A2013" s="42">
        <v>38535</v>
      </c>
      <c r="B2013" s="43">
        <f>VLOOKUP(A2013,Database!F:H,3,)</f>
        <v>327000</v>
      </c>
      <c r="C2013" s="43">
        <f t="shared" si="62"/>
        <v>16000</v>
      </c>
      <c r="D2013" s="43">
        <f>VLOOKUP(A2013,Database!F:H,2,)</f>
        <v>2612000</v>
      </c>
      <c r="E2013" s="43">
        <f t="shared" si="63"/>
        <v>43000</v>
      </c>
    </row>
    <row r="2014" spans="1:5" x14ac:dyDescent="0.2">
      <c r="A2014" s="42">
        <v>38542</v>
      </c>
      <c r="B2014" s="43">
        <f>VLOOKUP(A2014,Database!F:H,3,)</f>
        <v>338000</v>
      </c>
      <c r="C2014" s="43">
        <f t="shared" si="62"/>
        <v>11000</v>
      </c>
      <c r="D2014" s="43">
        <f>VLOOKUP(A2014,Database!F:H,2,)</f>
        <v>2583000</v>
      </c>
      <c r="E2014" s="43">
        <f t="shared" si="63"/>
        <v>-29000</v>
      </c>
    </row>
    <row r="2015" spans="1:5" x14ac:dyDescent="0.2">
      <c r="A2015" s="42">
        <v>38549</v>
      </c>
      <c r="B2015" s="43">
        <f>VLOOKUP(A2015,Database!F:H,3,)</f>
        <v>323000</v>
      </c>
      <c r="C2015" s="43">
        <f t="shared" si="62"/>
        <v>-15000</v>
      </c>
      <c r="D2015" s="43">
        <f>VLOOKUP(A2015,Database!F:H,2,)</f>
        <v>2619000</v>
      </c>
      <c r="E2015" s="43">
        <f t="shared" si="63"/>
        <v>36000</v>
      </c>
    </row>
    <row r="2016" spans="1:5" x14ac:dyDescent="0.2">
      <c r="A2016" s="42">
        <v>38556</v>
      </c>
      <c r="B2016" s="43">
        <f>VLOOKUP(A2016,Database!F:H,3,)</f>
        <v>318000</v>
      </c>
      <c r="C2016" s="43">
        <f t="shared" si="62"/>
        <v>-5000</v>
      </c>
      <c r="D2016" s="43">
        <f>VLOOKUP(A2016,Database!F:H,2,)</f>
        <v>2592000</v>
      </c>
      <c r="E2016" s="43">
        <f t="shared" si="63"/>
        <v>-27000</v>
      </c>
    </row>
    <row r="2017" spans="1:5" x14ac:dyDescent="0.2">
      <c r="A2017" s="42">
        <v>38563</v>
      </c>
      <c r="B2017" s="43">
        <f>VLOOKUP(A2017,Database!F:H,3,)</f>
        <v>316000</v>
      </c>
      <c r="C2017" s="43">
        <f t="shared" si="62"/>
        <v>-2000</v>
      </c>
      <c r="D2017" s="43">
        <f>VLOOKUP(A2017,Database!F:H,2,)</f>
        <v>2570000</v>
      </c>
      <c r="E2017" s="43">
        <f t="shared" si="63"/>
        <v>-22000</v>
      </c>
    </row>
    <row r="2018" spans="1:5" x14ac:dyDescent="0.2">
      <c r="A2018" s="42">
        <v>38570</v>
      </c>
      <c r="B2018" s="43">
        <f>VLOOKUP(A2018,Database!F:H,3,)</f>
        <v>311000</v>
      </c>
      <c r="C2018" s="43">
        <f t="shared" si="62"/>
        <v>-5000</v>
      </c>
      <c r="D2018" s="43">
        <f>VLOOKUP(A2018,Database!F:H,2,)</f>
        <v>2584000</v>
      </c>
      <c r="E2018" s="43">
        <f t="shared" si="63"/>
        <v>14000</v>
      </c>
    </row>
    <row r="2019" spans="1:5" x14ac:dyDescent="0.2">
      <c r="A2019" s="42">
        <v>38577</v>
      </c>
      <c r="B2019" s="43">
        <f>VLOOKUP(A2019,Database!F:H,3,)</f>
        <v>319000</v>
      </c>
      <c r="C2019" s="43">
        <f t="shared" si="62"/>
        <v>8000</v>
      </c>
      <c r="D2019" s="43">
        <f>VLOOKUP(A2019,Database!F:H,2,)</f>
        <v>2573000</v>
      </c>
      <c r="E2019" s="43">
        <f t="shared" si="63"/>
        <v>-11000</v>
      </c>
    </row>
    <row r="2020" spans="1:5" x14ac:dyDescent="0.2">
      <c r="A2020" s="42">
        <v>38584</v>
      </c>
      <c r="B2020" s="43">
        <f>VLOOKUP(A2020,Database!F:H,3,)</f>
        <v>315000</v>
      </c>
      <c r="C2020" s="43">
        <f t="shared" si="62"/>
        <v>-4000</v>
      </c>
      <c r="D2020" s="43">
        <f>VLOOKUP(A2020,Database!F:H,2,)</f>
        <v>2598000</v>
      </c>
      <c r="E2020" s="43">
        <f t="shared" si="63"/>
        <v>25000</v>
      </c>
    </row>
    <row r="2021" spans="1:5" x14ac:dyDescent="0.2">
      <c r="A2021" s="42">
        <v>38591</v>
      </c>
      <c r="B2021" s="43">
        <f>VLOOKUP(A2021,Database!F:H,3,)</f>
        <v>318000</v>
      </c>
      <c r="C2021" s="43">
        <f t="shared" si="62"/>
        <v>3000</v>
      </c>
      <c r="D2021" s="43">
        <f>VLOOKUP(A2021,Database!F:H,2,)</f>
        <v>2568000</v>
      </c>
      <c r="E2021" s="43">
        <f t="shared" si="63"/>
        <v>-30000</v>
      </c>
    </row>
    <row r="2022" spans="1:5" x14ac:dyDescent="0.2">
      <c r="A2022" s="42">
        <v>38598</v>
      </c>
      <c r="B2022" s="43">
        <f>VLOOKUP(A2022,Database!F:H,3,)</f>
        <v>326000</v>
      </c>
      <c r="C2022" s="43">
        <f t="shared" si="62"/>
        <v>8000</v>
      </c>
      <c r="D2022" s="43">
        <f>VLOOKUP(A2022,Database!F:H,2,)</f>
        <v>2575000</v>
      </c>
      <c r="E2022" s="43">
        <f t="shared" si="63"/>
        <v>7000</v>
      </c>
    </row>
    <row r="2023" spans="1:5" x14ac:dyDescent="0.2">
      <c r="A2023" s="42">
        <v>38605</v>
      </c>
      <c r="B2023" s="43">
        <f>VLOOKUP(A2023,Database!F:H,3,)</f>
        <v>422000</v>
      </c>
      <c r="C2023" s="43">
        <f t="shared" si="62"/>
        <v>96000</v>
      </c>
      <c r="D2023" s="43">
        <f>VLOOKUP(A2023,Database!F:H,2,)</f>
        <v>2651000</v>
      </c>
      <c r="E2023" s="43">
        <f t="shared" si="63"/>
        <v>76000</v>
      </c>
    </row>
    <row r="2024" spans="1:5" x14ac:dyDescent="0.2">
      <c r="A2024" s="42">
        <v>38612</v>
      </c>
      <c r="B2024" s="43">
        <f>VLOOKUP(A2024,Database!F:H,3,)</f>
        <v>424000</v>
      </c>
      <c r="C2024" s="43">
        <f t="shared" si="62"/>
        <v>2000</v>
      </c>
      <c r="D2024" s="43">
        <f>VLOOKUP(A2024,Database!F:H,2,)</f>
        <v>2787000</v>
      </c>
      <c r="E2024" s="43">
        <f t="shared" si="63"/>
        <v>136000</v>
      </c>
    </row>
    <row r="2025" spans="1:5" x14ac:dyDescent="0.2">
      <c r="A2025" s="42">
        <v>38619</v>
      </c>
      <c r="B2025" s="43">
        <f>VLOOKUP(A2025,Database!F:H,3,)</f>
        <v>359000</v>
      </c>
      <c r="C2025" s="43">
        <f t="shared" si="62"/>
        <v>-65000</v>
      </c>
      <c r="D2025" s="43">
        <f>VLOOKUP(A2025,Database!F:H,2,)</f>
        <v>2853000</v>
      </c>
      <c r="E2025" s="43">
        <f t="shared" si="63"/>
        <v>66000</v>
      </c>
    </row>
    <row r="2026" spans="1:5" x14ac:dyDescent="0.2">
      <c r="A2026" s="42">
        <v>38626</v>
      </c>
      <c r="B2026" s="43">
        <f>VLOOKUP(A2026,Database!F:H,3,)</f>
        <v>384000</v>
      </c>
      <c r="C2026" s="43">
        <f t="shared" si="62"/>
        <v>25000</v>
      </c>
      <c r="D2026" s="43">
        <f>VLOOKUP(A2026,Database!F:H,2,)</f>
        <v>2841000</v>
      </c>
      <c r="E2026" s="43">
        <f t="shared" si="63"/>
        <v>-12000</v>
      </c>
    </row>
    <row r="2027" spans="1:5" x14ac:dyDescent="0.2">
      <c r="A2027" s="42">
        <v>38633</v>
      </c>
      <c r="B2027" s="43">
        <f>VLOOKUP(A2027,Database!F:H,3,)</f>
        <v>383000</v>
      </c>
      <c r="C2027" s="43">
        <f t="shared" si="62"/>
        <v>-1000</v>
      </c>
      <c r="D2027" s="43">
        <f>VLOOKUP(A2027,Database!F:H,2,)</f>
        <v>2831000</v>
      </c>
      <c r="E2027" s="43">
        <f t="shared" si="63"/>
        <v>-10000</v>
      </c>
    </row>
    <row r="2028" spans="1:5" x14ac:dyDescent="0.2">
      <c r="A2028" s="42">
        <v>38640</v>
      </c>
      <c r="B2028" s="43">
        <f>VLOOKUP(A2028,Database!F:H,3,)</f>
        <v>348000</v>
      </c>
      <c r="C2028" s="43">
        <f t="shared" si="62"/>
        <v>-35000</v>
      </c>
      <c r="D2028" s="43">
        <f>VLOOKUP(A2028,Database!F:H,2,)</f>
        <v>2821000</v>
      </c>
      <c r="E2028" s="43">
        <f t="shared" si="63"/>
        <v>-10000</v>
      </c>
    </row>
    <row r="2029" spans="1:5" x14ac:dyDescent="0.2">
      <c r="A2029" s="42">
        <v>38647</v>
      </c>
      <c r="B2029" s="43">
        <f>VLOOKUP(A2029,Database!F:H,3,)</f>
        <v>324000</v>
      </c>
      <c r="C2029" s="43">
        <f t="shared" si="62"/>
        <v>-24000</v>
      </c>
      <c r="D2029" s="43">
        <f>VLOOKUP(A2029,Database!F:H,2,)</f>
        <v>2772000</v>
      </c>
      <c r="E2029" s="43">
        <f t="shared" si="63"/>
        <v>-49000</v>
      </c>
    </row>
    <row r="2030" spans="1:5" x14ac:dyDescent="0.2">
      <c r="A2030" s="42">
        <v>38654</v>
      </c>
      <c r="B2030" s="43">
        <f>VLOOKUP(A2030,Database!F:H,3,)</f>
        <v>322000</v>
      </c>
      <c r="C2030" s="43">
        <f t="shared" si="62"/>
        <v>-2000</v>
      </c>
      <c r="D2030" s="43">
        <f>VLOOKUP(A2030,Database!F:H,2,)</f>
        <v>2752000</v>
      </c>
      <c r="E2030" s="43">
        <f t="shared" si="63"/>
        <v>-20000</v>
      </c>
    </row>
    <row r="2031" spans="1:5" x14ac:dyDescent="0.2">
      <c r="A2031" s="42">
        <v>38661</v>
      </c>
      <c r="B2031" s="43">
        <f>VLOOKUP(A2031,Database!F:H,3,)</f>
        <v>325000</v>
      </c>
      <c r="C2031" s="43">
        <f t="shared" si="62"/>
        <v>3000</v>
      </c>
      <c r="D2031" s="43">
        <f>VLOOKUP(A2031,Database!F:H,2,)</f>
        <v>2746000</v>
      </c>
      <c r="E2031" s="43">
        <f t="shared" si="63"/>
        <v>-6000</v>
      </c>
    </row>
    <row r="2032" spans="1:5" x14ac:dyDescent="0.2">
      <c r="A2032" s="42">
        <v>38668</v>
      </c>
      <c r="B2032" s="43">
        <f>VLOOKUP(A2032,Database!F:H,3,)</f>
        <v>309000</v>
      </c>
      <c r="C2032" s="43">
        <f t="shared" si="62"/>
        <v>-16000</v>
      </c>
      <c r="D2032" s="43">
        <f>VLOOKUP(A2032,Database!F:H,2,)</f>
        <v>2760000</v>
      </c>
      <c r="E2032" s="43">
        <f t="shared" si="63"/>
        <v>14000</v>
      </c>
    </row>
    <row r="2033" spans="1:5" x14ac:dyDescent="0.2">
      <c r="A2033" s="42">
        <v>38675</v>
      </c>
      <c r="B2033" s="43">
        <f>VLOOKUP(A2033,Database!F:H,3,)</f>
        <v>324000</v>
      </c>
      <c r="C2033" s="43">
        <f t="shared" si="62"/>
        <v>15000</v>
      </c>
      <c r="D2033" s="43">
        <f>VLOOKUP(A2033,Database!F:H,2,)</f>
        <v>2712000</v>
      </c>
      <c r="E2033" s="43">
        <f t="shared" si="63"/>
        <v>-48000</v>
      </c>
    </row>
    <row r="2034" spans="1:5" x14ac:dyDescent="0.2">
      <c r="A2034" s="42">
        <v>38682</v>
      </c>
      <c r="B2034" s="43">
        <f>VLOOKUP(A2034,Database!F:H,3,)</f>
        <v>311000</v>
      </c>
      <c r="C2034" s="43">
        <f t="shared" si="62"/>
        <v>-13000</v>
      </c>
      <c r="D2034" s="43">
        <f>VLOOKUP(A2034,Database!F:H,2,)</f>
        <v>2587000</v>
      </c>
      <c r="E2034" s="43">
        <f t="shared" si="63"/>
        <v>-125000</v>
      </c>
    </row>
    <row r="2035" spans="1:5" x14ac:dyDescent="0.2">
      <c r="A2035" s="42">
        <v>38689</v>
      </c>
      <c r="B2035" s="43">
        <f>VLOOKUP(A2035,Database!F:H,3,)</f>
        <v>321000</v>
      </c>
      <c r="C2035" s="43">
        <f t="shared" si="62"/>
        <v>10000</v>
      </c>
      <c r="D2035" s="43">
        <f>VLOOKUP(A2035,Database!F:H,2,)</f>
        <v>2589000</v>
      </c>
      <c r="E2035" s="43">
        <f t="shared" si="63"/>
        <v>2000</v>
      </c>
    </row>
    <row r="2036" spans="1:5" x14ac:dyDescent="0.2">
      <c r="A2036" s="42">
        <v>38696</v>
      </c>
      <c r="B2036" s="43">
        <f>VLOOKUP(A2036,Database!F:H,3,)</f>
        <v>327000</v>
      </c>
      <c r="C2036" s="43">
        <f t="shared" si="62"/>
        <v>6000</v>
      </c>
      <c r="D2036" s="43">
        <f>VLOOKUP(A2036,Database!F:H,2,)</f>
        <v>2620000</v>
      </c>
      <c r="E2036" s="43">
        <f t="shared" si="63"/>
        <v>31000</v>
      </c>
    </row>
    <row r="2037" spans="1:5" x14ac:dyDescent="0.2">
      <c r="A2037" s="42">
        <v>38703</v>
      </c>
      <c r="B2037" s="43">
        <f>VLOOKUP(A2037,Database!F:H,3,)</f>
        <v>312000</v>
      </c>
      <c r="C2037" s="43">
        <f t="shared" si="62"/>
        <v>-15000</v>
      </c>
      <c r="D2037" s="43">
        <f>VLOOKUP(A2037,Database!F:H,2,)</f>
        <v>2660000</v>
      </c>
      <c r="E2037" s="43">
        <f t="shared" si="63"/>
        <v>40000</v>
      </c>
    </row>
    <row r="2038" spans="1:5" x14ac:dyDescent="0.2">
      <c r="A2038" s="42">
        <v>38710</v>
      </c>
      <c r="B2038" s="43">
        <f>VLOOKUP(A2038,Database!F:H,3,)</f>
        <v>320000</v>
      </c>
      <c r="C2038" s="43">
        <f t="shared" si="62"/>
        <v>8000</v>
      </c>
      <c r="D2038" s="43">
        <f>VLOOKUP(A2038,Database!F:H,2,)</f>
        <v>2668000</v>
      </c>
      <c r="E2038" s="43">
        <f t="shared" si="63"/>
        <v>8000</v>
      </c>
    </row>
    <row r="2039" spans="1:5" x14ac:dyDescent="0.2">
      <c r="A2039" s="42">
        <v>38717</v>
      </c>
      <c r="B2039" s="43">
        <f>VLOOKUP(A2039,Database!F:H,3,)</f>
        <v>302000</v>
      </c>
      <c r="C2039" s="43">
        <f t="shared" si="62"/>
        <v>-18000</v>
      </c>
      <c r="D2039" s="43">
        <f>VLOOKUP(A2039,Database!F:H,2,)</f>
        <v>2660000</v>
      </c>
      <c r="E2039" s="43">
        <f t="shared" si="63"/>
        <v>-8000</v>
      </c>
    </row>
    <row r="2040" spans="1:5" x14ac:dyDescent="0.2">
      <c r="A2040" s="42">
        <v>38724</v>
      </c>
      <c r="B2040" s="43">
        <f>VLOOKUP(A2040,Database!F:H,3,)</f>
        <v>326000</v>
      </c>
      <c r="C2040" s="43">
        <f t="shared" si="62"/>
        <v>24000</v>
      </c>
      <c r="D2040" s="43">
        <f>VLOOKUP(A2040,Database!F:H,2,)</f>
        <v>2561000</v>
      </c>
      <c r="E2040" s="43">
        <f t="shared" si="63"/>
        <v>-99000</v>
      </c>
    </row>
    <row r="2041" spans="1:5" x14ac:dyDescent="0.2">
      <c r="A2041" s="42">
        <v>38731</v>
      </c>
      <c r="B2041" s="43">
        <f>VLOOKUP(A2041,Database!F:H,3,)</f>
        <v>285000</v>
      </c>
      <c r="C2041" s="43">
        <f t="shared" si="62"/>
        <v>-41000</v>
      </c>
      <c r="D2041" s="43">
        <f>VLOOKUP(A2041,Database!F:H,2,)</f>
        <v>2586000</v>
      </c>
      <c r="E2041" s="43">
        <f t="shared" si="63"/>
        <v>25000</v>
      </c>
    </row>
    <row r="2042" spans="1:5" x14ac:dyDescent="0.2">
      <c r="A2042" s="42">
        <v>38738</v>
      </c>
      <c r="B2042" s="43">
        <f>VLOOKUP(A2042,Database!F:H,3,)</f>
        <v>290000</v>
      </c>
      <c r="C2042" s="43">
        <f t="shared" si="62"/>
        <v>5000</v>
      </c>
      <c r="D2042" s="43">
        <f>VLOOKUP(A2042,Database!F:H,2,)</f>
        <v>2516000</v>
      </c>
      <c r="E2042" s="43">
        <f t="shared" si="63"/>
        <v>-70000</v>
      </c>
    </row>
    <row r="2043" spans="1:5" x14ac:dyDescent="0.2">
      <c r="A2043" s="42">
        <v>38745</v>
      </c>
      <c r="B2043" s="43">
        <f>VLOOKUP(A2043,Database!F:H,3,)</f>
        <v>282000</v>
      </c>
      <c r="C2043" s="43">
        <f t="shared" si="62"/>
        <v>-8000</v>
      </c>
      <c r="D2043" s="43">
        <f>VLOOKUP(A2043,Database!F:H,2,)</f>
        <v>2565000</v>
      </c>
      <c r="E2043" s="43">
        <f t="shared" si="63"/>
        <v>49000</v>
      </c>
    </row>
    <row r="2044" spans="1:5" x14ac:dyDescent="0.2">
      <c r="A2044" s="42">
        <v>38752</v>
      </c>
      <c r="B2044" s="43">
        <f>VLOOKUP(A2044,Database!F:H,3,)</f>
        <v>289000</v>
      </c>
      <c r="C2044" s="43">
        <f t="shared" si="62"/>
        <v>7000</v>
      </c>
      <c r="D2044" s="43">
        <f>VLOOKUP(A2044,Database!F:H,2,)</f>
        <v>2520000</v>
      </c>
      <c r="E2044" s="43">
        <f t="shared" si="63"/>
        <v>-45000</v>
      </c>
    </row>
    <row r="2045" spans="1:5" x14ac:dyDescent="0.2">
      <c r="A2045" s="42">
        <v>38759</v>
      </c>
      <c r="B2045" s="43">
        <f>VLOOKUP(A2045,Database!F:H,3,)</f>
        <v>298000</v>
      </c>
      <c r="C2045" s="43">
        <f t="shared" si="62"/>
        <v>9000</v>
      </c>
      <c r="D2045" s="43">
        <f>VLOOKUP(A2045,Database!F:H,2,)</f>
        <v>2517000</v>
      </c>
      <c r="E2045" s="43">
        <f t="shared" si="63"/>
        <v>-3000</v>
      </c>
    </row>
    <row r="2046" spans="1:5" x14ac:dyDescent="0.2">
      <c r="A2046" s="42">
        <v>38766</v>
      </c>
      <c r="B2046" s="43">
        <f>VLOOKUP(A2046,Database!F:H,3,)</f>
        <v>283000</v>
      </c>
      <c r="C2046" s="43">
        <f t="shared" si="62"/>
        <v>-15000</v>
      </c>
      <c r="D2046" s="43">
        <f>VLOOKUP(A2046,Database!F:H,2,)</f>
        <v>2488000</v>
      </c>
      <c r="E2046" s="43">
        <f t="shared" si="63"/>
        <v>-29000</v>
      </c>
    </row>
    <row r="2047" spans="1:5" x14ac:dyDescent="0.2">
      <c r="A2047" s="42">
        <v>38773</v>
      </c>
      <c r="B2047" s="43">
        <f>VLOOKUP(A2047,Database!F:H,3,)</f>
        <v>293000</v>
      </c>
      <c r="C2047" s="43">
        <f t="shared" si="62"/>
        <v>10000</v>
      </c>
      <c r="D2047" s="43">
        <f>VLOOKUP(A2047,Database!F:H,2,)</f>
        <v>2504000</v>
      </c>
      <c r="E2047" s="43">
        <f t="shared" si="63"/>
        <v>16000</v>
      </c>
    </row>
    <row r="2048" spans="1:5" x14ac:dyDescent="0.2">
      <c r="A2048" s="42">
        <v>38780</v>
      </c>
      <c r="B2048" s="43">
        <f>VLOOKUP(A2048,Database!F:H,3,)</f>
        <v>302000</v>
      </c>
      <c r="C2048" s="43">
        <f t="shared" si="62"/>
        <v>9000</v>
      </c>
      <c r="D2048" s="43">
        <f>VLOOKUP(A2048,Database!F:H,2,)</f>
        <v>2453000</v>
      </c>
      <c r="E2048" s="43">
        <f t="shared" si="63"/>
        <v>-51000</v>
      </c>
    </row>
    <row r="2049" spans="1:5" x14ac:dyDescent="0.2">
      <c r="A2049" s="42">
        <v>38787</v>
      </c>
      <c r="B2049" s="43">
        <f>VLOOKUP(A2049,Database!F:H,3,)</f>
        <v>307000</v>
      </c>
      <c r="C2049" s="43">
        <f t="shared" si="62"/>
        <v>5000</v>
      </c>
      <c r="D2049" s="43">
        <f>VLOOKUP(A2049,Database!F:H,2,)</f>
        <v>2474000</v>
      </c>
      <c r="E2049" s="43">
        <f t="shared" si="63"/>
        <v>21000</v>
      </c>
    </row>
    <row r="2050" spans="1:5" x14ac:dyDescent="0.2">
      <c r="A2050" s="42">
        <v>38794</v>
      </c>
      <c r="B2050" s="43">
        <f>VLOOKUP(A2050,Database!F:H,3,)</f>
        <v>303000</v>
      </c>
      <c r="C2050" s="43">
        <f t="shared" si="62"/>
        <v>-4000</v>
      </c>
      <c r="D2050" s="43">
        <f>VLOOKUP(A2050,Database!F:H,2,)</f>
        <v>2456000</v>
      </c>
      <c r="E2050" s="43">
        <f t="shared" si="63"/>
        <v>-18000</v>
      </c>
    </row>
    <row r="2051" spans="1:5" x14ac:dyDescent="0.2">
      <c r="A2051" s="42">
        <v>38801</v>
      </c>
      <c r="B2051" s="43">
        <f>VLOOKUP(A2051,Database!F:H,3,)</f>
        <v>295000</v>
      </c>
      <c r="C2051" s="43">
        <f t="shared" si="62"/>
        <v>-8000</v>
      </c>
      <c r="D2051" s="43">
        <f>VLOOKUP(A2051,Database!F:H,2,)</f>
        <v>2439000</v>
      </c>
      <c r="E2051" s="43">
        <f t="shared" si="63"/>
        <v>-17000</v>
      </c>
    </row>
    <row r="2052" spans="1:5" x14ac:dyDescent="0.2">
      <c r="A2052" s="42">
        <v>38808</v>
      </c>
      <c r="B2052" s="43">
        <f>VLOOKUP(A2052,Database!F:H,3,)</f>
        <v>291000</v>
      </c>
      <c r="C2052" s="43">
        <f t="shared" si="62"/>
        <v>-4000</v>
      </c>
      <c r="D2052" s="43">
        <f>VLOOKUP(A2052,Database!F:H,2,)</f>
        <v>2405000</v>
      </c>
      <c r="E2052" s="43">
        <f t="shared" si="63"/>
        <v>-34000</v>
      </c>
    </row>
    <row r="2053" spans="1:5" x14ac:dyDescent="0.2">
      <c r="A2053" s="42">
        <v>38815</v>
      </c>
      <c r="B2053" s="43">
        <f>VLOOKUP(A2053,Database!F:H,3,)</f>
        <v>299000</v>
      </c>
      <c r="C2053" s="43">
        <f t="shared" si="62"/>
        <v>8000</v>
      </c>
      <c r="D2053" s="43">
        <f>VLOOKUP(A2053,Database!F:H,2,)</f>
        <v>2411000</v>
      </c>
      <c r="E2053" s="43">
        <f t="shared" si="63"/>
        <v>6000</v>
      </c>
    </row>
    <row r="2054" spans="1:5" x14ac:dyDescent="0.2">
      <c r="A2054" s="42">
        <v>38822</v>
      </c>
      <c r="B2054" s="43">
        <f>VLOOKUP(A2054,Database!F:H,3,)</f>
        <v>299000</v>
      </c>
      <c r="C2054" s="43">
        <f t="shared" si="62"/>
        <v>0</v>
      </c>
      <c r="D2054" s="43">
        <f>VLOOKUP(A2054,Database!F:H,2,)</f>
        <v>2408000</v>
      </c>
      <c r="E2054" s="43">
        <f t="shared" si="63"/>
        <v>-3000</v>
      </c>
    </row>
    <row r="2055" spans="1:5" x14ac:dyDescent="0.2">
      <c r="A2055" s="42">
        <v>38829</v>
      </c>
      <c r="B2055" s="43">
        <f>VLOOKUP(A2055,Database!F:H,3,)</f>
        <v>308000</v>
      </c>
      <c r="C2055" s="43">
        <f t="shared" si="62"/>
        <v>9000</v>
      </c>
      <c r="D2055" s="43">
        <f>VLOOKUP(A2055,Database!F:H,2,)</f>
        <v>2424000</v>
      </c>
      <c r="E2055" s="43">
        <f t="shared" si="63"/>
        <v>16000</v>
      </c>
    </row>
    <row r="2056" spans="1:5" x14ac:dyDescent="0.2">
      <c r="A2056" s="42">
        <v>38836</v>
      </c>
      <c r="B2056" s="43">
        <f>VLOOKUP(A2056,Database!F:H,3,)</f>
        <v>321000</v>
      </c>
      <c r="C2056" s="43">
        <f t="shared" ref="C2056:C2119" si="64">B2056-B2055</f>
        <v>13000</v>
      </c>
      <c r="D2056" s="43">
        <f>VLOOKUP(A2056,Database!F:H,2,)</f>
        <v>2357000</v>
      </c>
      <c r="E2056" s="43">
        <f t="shared" ref="E2056:E2119" si="65">D2056-D2055</f>
        <v>-67000</v>
      </c>
    </row>
    <row r="2057" spans="1:5" x14ac:dyDescent="0.2">
      <c r="A2057" s="42">
        <v>38843</v>
      </c>
      <c r="B2057" s="43">
        <f>VLOOKUP(A2057,Database!F:H,3,)</f>
        <v>347000</v>
      </c>
      <c r="C2057" s="43">
        <f t="shared" si="64"/>
        <v>26000</v>
      </c>
      <c r="D2057" s="43">
        <f>VLOOKUP(A2057,Database!F:H,2,)</f>
        <v>2372000</v>
      </c>
      <c r="E2057" s="43">
        <f t="shared" si="65"/>
        <v>15000</v>
      </c>
    </row>
    <row r="2058" spans="1:5" x14ac:dyDescent="0.2">
      <c r="A2058" s="42">
        <v>38850</v>
      </c>
      <c r="B2058" s="43">
        <f>VLOOKUP(A2058,Database!F:H,3,)</f>
        <v>335000</v>
      </c>
      <c r="C2058" s="43">
        <f t="shared" si="64"/>
        <v>-12000</v>
      </c>
      <c r="D2058" s="43">
        <f>VLOOKUP(A2058,Database!F:H,2,)</f>
        <v>2383000</v>
      </c>
      <c r="E2058" s="43">
        <f t="shared" si="65"/>
        <v>11000</v>
      </c>
    </row>
    <row r="2059" spans="1:5" x14ac:dyDescent="0.2">
      <c r="A2059" s="42">
        <v>38857</v>
      </c>
      <c r="B2059" s="43">
        <f>VLOOKUP(A2059,Database!F:H,3,)</f>
        <v>319000</v>
      </c>
      <c r="C2059" s="43">
        <f t="shared" si="64"/>
        <v>-16000</v>
      </c>
      <c r="D2059" s="43">
        <f>VLOOKUP(A2059,Database!F:H,2,)</f>
        <v>2399000</v>
      </c>
      <c r="E2059" s="43">
        <f t="shared" si="65"/>
        <v>16000</v>
      </c>
    </row>
    <row r="2060" spans="1:5" x14ac:dyDescent="0.2">
      <c r="A2060" s="42">
        <v>38864</v>
      </c>
      <c r="B2060" s="43">
        <f>VLOOKUP(A2060,Database!F:H,3,)</f>
        <v>330000</v>
      </c>
      <c r="C2060" s="43">
        <f t="shared" si="64"/>
        <v>11000</v>
      </c>
      <c r="D2060" s="43">
        <f>VLOOKUP(A2060,Database!F:H,2,)</f>
        <v>2381000</v>
      </c>
      <c r="E2060" s="43">
        <f t="shared" si="65"/>
        <v>-18000</v>
      </c>
    </row>
    <row r="2061" spans="1:5" x14ac:dyDescent="0.2">
      <c r="A2061" s="42">
        <v>38871</v>
      </c>
      <c r="B2061" s="43">
        <f>VLOOKUP(A2061,Database!F:H,3,)</f>
        <v>307000</v>
      </c>
      <c r="C2061" s="43">
        <f t="shared" si="64"/>
        <v>-23000</v>
      </c>
      <c r="D2061" s="43">
        <f>VLOOKUP(A2061,Database!F:H,2,)</f>
        <v>2408000</v>
      </c>
      <c r="E2061" s="43">
        <f t="shared" si="65"/>
        <v>27000</v>
      </c>
    </row>
    <row r="2062" spans="1:5" x14ac:dyDescent="0.2">
      <c r="A2062" s="42">
        <v>38878</v>
      </c>
      <c r="B2062" s="43">
        <f>VLOOKUP(A2062,Database!F:H,3,)</f>
        <v>298000</v>
      </c>
      <c r="C2062" s="43">
        <f t="shared" si="64"/>
        <v>-9000</v>
      </c>
      <c r="D2062" s="43">
        <f>VLOOKUP(A2062,Database!F:H,2,)</f>
        <v>2412000</v>
      </c>
      <c r="E2062" s="43">
        <f t="shared" si="65"/>
        <v>4000</v>
      </c>
    </row>
    <row r="2063" spans="1:5" x14ac:dyDescent="0.2">
      <c r="A2063" s="42">
        <v>38885</v>
      </c>
      <c r="B2063" s="43">
        <f>VLOOKUP(A2063,Database!F:H,3,)</f>
        <v>308000</v>
      </c>
      <c r="C2063" s="43">
        <f t="shared" si="64"/>
        <v>10000</v>
      </c>
      <c r="D2063" s="43">
        <f>VLOOKUP(A2063,Database!F:H,2,)</f>
        <v>2395000</v>
      </c>
      <c r="E2063" s="43">
        <f t="shared" si="65"/>
        <v>-17000</v>
      </c>
    </row>
    <row r="2064" spans="1:5" x14ac:dyDescent="0.2">
      <c r="A2064" s="42">
        <v>38892</v>
      </c>
      <c r="B2064" s="43">
        <f>VLOOKUP(A2064,Database!F:H,3,)</f>
        <v>309000</v>
      </c>
      <c r="C2064" s="43">
        <f t="shared" si="64"/>
        <v>1000</v>
      </c>
      <c r="D2064" s="43">
        <f>VLOOKUP(A2064,Database!F:H,2,)</f>
        <v>2419000</v>
      </c>
      <c r="E2064" s="43">
        <f t="shared" si="65"/>
        <v>24000</v>
      </c>
    </row>
    <row r="2065" spans="1:5" x14ac:dyDescent="0.2">
      <c r="A2065" s="42">
        <v>38899</v>
      </c>
      <c r="B2065" s="43">
        <f>VLOOKUP(A2065,Database!F:H,3,)</f>
        <v>316000</v>
      </c>
      <c r="C2065" s="43">
        <f t="shared" si="64"/>
        <v>7000</v>
      </c>
      <c r="D2065" s="43">
        <f>VLOOKUP(A2065,Database!F:H,2,)</f>
        <v>2399000</v>
      </c>
      <c r="E2065" s="43">
        <f t="shared" si="65"/>
        <v>-20000</v>
      </c>
    </row>
    <row r="2066" spans="1:5" x14ac:dyDescent="0.2">
      <c r="A2066" s="42">
        <v>38906</v>
      </c>
      <c r="B2066" s="43">
        <f>VLOOKUP(A2066,Database!F:H,3,)</f>
        <v>343000</v>
      </c>
      <c r="C2066" s="43">
        <f t="shared" si="64"/>
        <v>27000</v>
      </c>
      <c r="D2066" s="43">
        <f>VLOOKUP(A2066,Database!F:H,2,)</f>
        <v>2491000</v>
      </c>
      <c r="E2066" s="43">
        <f t="shared" si="65"/>
        <v>92000</v>
      </c>
    </row>
    <row r="2067" spans="1:5" x14ac:dyDescent="0.2">
      <c r="A2067" s="42">
        <v>38913</v>
      </c>
      <c r="B2067" s="43">
        <f>VLOOKUP(A2067,Database!F:H,3,)</f>
        <v>318000</v>
      </c>
      <c r="C2067" s="43">
        <f t="shared" si="64"/>
        <v>-25000</v>
      </c>
      <c r="D2067" s="43">
        <f>VLOOKUP(A2067,Database!F:H,2,)</f>
        <v>2475000</v>
      </c>
      <c r="E2067" s="43">
        <f t="shared" si="65"/>
        <v>-16000</v>
      </c>
    </row>
    <row r="2068" spans="1:5" x14ac:dyDescent="0.2">
      <c r="A2068" s="42">
        <v>38920</v>
      </c>
      <c r="B2068" s="43">
        <f>VLOOKUP(A2068,Database!F:H,3,)</f>
        <v>306000</v>
      </c>
      <c r="C2068" s="43">
        <f t="shared" si="64"/>
        <v>-12000</v>
      </c>
      <c r="D2068" s="43">
        <f>VLOOKUP(A2068,Database!F:H,2,)</f>
        <v>2422000</v>
      </c>
      <c r="E2068" s="43">
        <f t="shared" si="65"/>
        <v>-53000</v>
      </c>
    </row>
    <row r="2069" spans="1:5" x14ac:dyDescent="0.2">
      <c r="A2069" s="42">
        <v>38927</v>
      </c>
      <c r="B2069" s="43">
        <f>VLOOKUP(A2069,Database!F:H,3,)</f>
        <v>311000</v>
      </c>
      <c r="C2069" s="43">
        <f t="shared" si="64"/>
        <v>5000</v>
      </c>
      <c r="D2069" s="43">
        <f>VLOOKUP(A2069,Database!F:H,2,)</f>
        <v>2460000</v>
      </c>
      <c r="E2069" s="43">
        <f t="shared" si="65"/>
        <v>38000</v>
      </c>
    </row>
    <row r="2070" spans="1:5" x14ac:dyDescent="0.2">
      <c r="A2070" s="42">
        <v>38934</v>
      </c>
      <c r="B2070" s="43">
        <f>VLOOKUP(A2070,Database!F:H,3,)</f>
        <v>318000</v>
      </c>
      <c r="C2070" s="43">
        <f t="shared" si="64"/>
        <v>7000</v>
      </c>
      <c r="D2070" s="43">
        <f>VLOOKUP(A2070,Database!F:H,2,)</f>
        <v>2477000</v>
      </c>
      <c r="E2070" s="43">
        <f t="shared" si="65"/>
        <v>17000</v>
      </c>
    </row>
    <row r="2071" spans="1:5" x14ac:dyDescent="0.2">
      <c r="A2071" s="42">
        <v>38941</v>
      </c>
      <c r="B2071" s="43">
        <f>VLOOKUP(A2071,Database!F:H,3,)</f>
        <v>310000</v>
      </c>
      <c r="C2071" s="43">
        <f t="shared" si="64"/>
        <v>-8000</v>
      </c>
      <c r="D2071" s="43">
        <f>VLOOKUP(A2071,Database!F:H,2,)</f>
        <v>2467000</v>
      </c>
      <c r="E2071" s="43">
        <f t="shared" si="65"/>
        <v>-10000</v>
      </c>
    </row>
    <row r="2072" spans="1:5" x14ac:dyDescent="0.2">
      <c r="A2072" s="42">
        <v>38948</v>
      </c>
      <c r="B2072" s="43">
        <f>VLOOKUP(A2072,Database!F:H,3,)</f>
        <v>315000</v>
      </c>
      <c r="C2072" s="43">
        <f t="shared" si="64"/>
        <v>5000</v>
      </c>
      <c r="D2072" s="43">
        <f>VLOOKUP(A2072,Database!F:H,2,)</f>
        <v>2464000</v>
      </c>
      <c r="E2072" s="43">
        <f t="shared" si="65"/>
        <v>-3000</v>
      </c>
    </row>
    <row r="2073" spans="1:5" x14ac:dyDescent="0.2">
      <c r="A2073" s="42">
        <v>38955</v>
      </c>
      <c r="B2073" s="43">
        <f>VLOOKUP(A2073,Database!F:H,3,)</f>
        <v>314000</v>
      </c>
      <c r="C2073" s="43">
        <f t="shared" si="64"/>
        <v>-1000</v>
      </c>
      <c r="D2073" s="43">
        <f>VLOOKUP(A2073,Database!F:H,2,)</f>
        <v>2457000</v>
      </c>
      <c r="E2073" s="43">
        <f t="shared" si="65"/>
        <v>-7000</v>
      </c>
    </row>
    <row r="2074" spans="1:5" x14ac:dyDescent="0.2">
      <c r="A2074" s="42">
        <v>38962</v>
      </c>
      <c r="B2074" s="43">
        <f>VLOOKUP(A2074,Database!F:H,3,)</f>
        <v>315000</v>
      </c>
      <c r="C2074" s="43">
        <f t="shared" si="64"/>
        <v>1000</v>
      </c>
      <c r="D2074" s="43">
        <f>VLOOKUP(A2074,Database!F:H,2,)</f>
        <v>2467000</v>
      </c>
      <c r="E2074" s="43">
        <f t="shared" si="65"/>
        <v>10000</v>
      </c>
    </row>
    <row r="2075" spans="1:5" x14ac:dyDescent="0.2">
      <c r="A2075" s="42">
        <v>38969</v>
      </c>
      <c r="B2075" s="43">
        <f>VLOOKUP(A2075,Database!F:H,3,)</f>
        <v>314000</v>
      </c>
      <c r="C2075" s="43">
        <f t="shared" si="64"/>
        <v>-1000</v>
      </c>
      <c r="D2075" s="43">
        <f>VLOOKUP(A2075,Database!F:H,2,)</f>
        <v>2449000</v>
      </c>
      <c r="E2075" s="43">
        <f t="shared" si="65"/>
        <v>-18000</v>
      </c>
    </row>
    <row r="2076" spans="1:5" x14ac:dyDescent="0.2">
      <c r="A2076" s="42">
        <v>38976</v>
      </c>
      <c r="B2076" s="43">
        <f>VLOOKUP(A2076,Database!F:H,3,)</f>
        <v>324000</v>
      </c>
      <c r="C2076" s="43">
        <f t="shared" si="64"/>
        <v>10000</v>
      </c>
      <c r="D2076" s="43">
        <f>VLOOKUP(A2076,Database!F:H,2,)</f>
        <v>2438000</v>
      </c>
      <c r="E2076" s="43">
        <f t="shared" si="65"/>
        <v>-11000</v>
      </c>
    </row>
    <row r="2077" spans="1:5" x14ac:dyDescent="0.2">
      <c r="A2077" s="42">
        <v>38983</v>
      </c>
      <c r="B2077" s="43">
        <f>VLOOKUP(A2077,Database!F:H,3,)</f>
        <v>319000</v>
      </c>
      <c r="C2077" s="43">
        <f t="shared" si="64"/>
        <v>-5000</v>
      </c>
      <c r="D2077" s="43">
        <f>VLOOKUP(A2077,Database!F:H,2,)</f>
        <v>2440000</v>
      </c>
      <c r="E2077" s="43">
        <f t="shared" si="65"/>
        <v>2000</v>
      </c>
    </row>
    <row r="2078" spans="1:5" x14ac:dyDescent="0.2">
      <c r="A2078" s="42">
        <v>38990</v>
      </c>
      <c r="B2078" s="43">
        <f>VLOOKUP(A2078,Database!F:H,3,)</f>
        <v>309000</v>
      </c>
      <c r="C2078" s="43">
        <f t="shared" si="64"/>
        <v>-10000</v>
      </c>
      <c r="D2078" s="43">
        <f>VLOOKUP(A2078,Database!F:H,2,)</f>
        <v>2437000</v>
      </c>
      <c r="E2078" s="43">
        <f t="shared" si="65"/>
        <v>-3000</v>
      </c>
    </row>
    <row r="2079" spans="1:5" x14ac:dyDescent="0.2">
      <c r="A2079" s="42">
        <v>38997</v>
      </c>
      <c r="B2079" s="43">
        <f>VLOOKUP(A2079,Database!F:H,3,)</f>
        <v>316000</v>
      </c>
      <c r="C2079" s="43">
        <f t="shared" si="64"/>
        <v>7000</v>
      </c>
      <c r="D2079" s="43">
        <f>VLOOKUP(A2079,Database!F:H,2,)</f>
        <v>2449000</v>
      </c>
      <c r="E2079" s="43">
        <f t="shared" si="65"/>
        <v>12000</v>
      </c>
    </row>
    <row r="2080" spans="1:5" x14ac:dyDescent="0.2">
      <c r="A2080" s="42">
        <v>39004</v>
      </c>
      <c r="B2080" s="43">
        <f>VLOOKUP(A2080,Database!F:H,3,)</f>
        <v>305000</v>
      </c>
      <c r="C2080" s="43">
        <f t="shared" si="64"/>
        <v>-11000</v>
      </c>
      <c r="D2080" s="43">
        <f>VLOOKUP(A2080,Database!F:H,2,)</f>
        <v>2459000</v>
      </c>
      <c r="E2080" s="43">
        <f t="shared" si="65"/>
        <v>10000</v>
      </c>
    </row>
    <row r="2081" spans="1:5" x14ac:dyDescent="0.2">
      <c r="A2081" s="42">
        <v>39011</v>
      </c>
      <c r="B2081" s="43">
        <f>VLOOKUP(A2081,Database!F:H,3,)</f>
        <v>313000</v>
      </c>
      <c r="C2081" s="43">
        <f t="shared" si="64"/>
        <v>8000</v>
      </c>
      <c r="D2081" s="43">
        <f>VLOOKUP(A2081,Database!F:H,2,)</f>
        <v>2428000</v>
      </c>
      <c r="E2081" s="43">
        <f t="shared" si="65"/>
        <v>-31000</v>
      </c>
    </row>
    <row r="2082" spans="1:5" x14ac:dyDescent="0.2">
      <c r="A2082" s="42">
        <v>39018</v>
      </c>
      <c r="B2082" s="43">
        <f>VLOOKUP(A2082,Database!F:H,3,)</f>
        <v>328000</v>
      </c>
      <c r="C2082" s="43">
        <f t="shared" si="64"/>
        <v>15000</v>
      </c>
      <c r="D2082" s="43">
        <f>VLOOKUP(A2082,Database!F:H,2,)</f>
        <v>2449000</v>
      </c>
      <c r="E2082" s="43">
        <f t="shared" si="65"/>
        <v>21000</v>
      </c>
    </row>
    <row r="2083" spans="1:5" x14ac:dyDescent="0.2">
      <c r="A2083" s="42">
        <v>39025</v>
      </c>
      <c r="B2083" s="43">
        <f>VLOOKUP(A2083,Database!F:H,3,)</f>
        <v>319000</v>
      </c>
      <c r="C2083" s="43">
        <f t="shared" si="64"/>
        <v>-9000</v>
      </c>
      <c r="D2083" s="43">
        <f>VLOOKUP(A2083,Database!F:H,2,)</f>
        <v>2414000</v>
      </c>
      <c r="E2083" s="43">
        <f t="shared" si="65"/>
        <v>-35000</v>
      </c>
    </row>
    <row r="2084" spans="1:5" x14ac:dyDescent="0.2">
      <c r="A2084" s="42">
        <v>39032</v>
      </c>
      <c r="B2084" s="43">
        <f>VLOOKUP(A2084,Database!F:H,3,)</f>
        <v>311000</v>
      </c>
      <c r="C2084" s="43">
        <f t="shared" si="64"/>
        <v>-8000</v>
      </c>
      <c r="D2084" s="43">
        <f>VLOOKUP(A2084,Database!F:H,2,)</f>
        <v>2467000</v>
      </c>
      <c r="E2084" s="43">
        <f t="shared" si="65"/>
        <v>53000</v>
      </c>
    </row>
    <row r="2085" spans="1:5" x14ac:dyDescent="0.2">
      <c r="A2085" s="42">
        <v>39039</v>
      </c>
      <c r="B2085" s="43">
        <f>VLOOKUP(A2085,Database!F:H,3,)</f>
        <v>326000</v>
      </c>
      <c r="C2085" s="43">
        <f t="shared" si="64"/>
        <v>15000</v>
      </c>
      <c r="D2085" s="43">
        <f>VLOOKUP(A2085,Database!F:H,2,)</f>
        <v>2506000</v>
      </c>
      <c r="E2085" s="43">
        <f t="shared" si="65"/>
        <v>39000</v>
      </c>
    </row>
    <row r="2086" spans="1:5" x14ac:dyDescent="0.2">
      <c r="A2086" s="42">
        <v>39046</v>
      </c>
      <c r="B2086" s="43">
        <f>VLOOKUP(A2086,Database!F:H,3,)</f>
        <v>349000</v>
      </c>
      <c r="C2086" s="43">
        <f t="shared" si="64"/>
        <v>23000</v>
      </c>
      <c r="D2086" s="43">
        <f>VLOOKUP(A2086,Database!F:H,2,)</f>
        <v>2517000</v>
      </c>
      <c r="E2086" s="43">
        <f t="shared" si="65"/>
        <v>11000</v>
      </c>
    </row>
    <row r="2087" spans="1:5" x14ac:dyDescent="0.2">
      <c r="A2087" s="42">
        <v>39053</v>
      </c>
      <c r="B2087" s="43">
        <f>VLOOKUP(A2087,Database!F:H,3,)</f>
        <v>327000</v>
      </c>
      <c r="C2087" s="43">
        <f t="shared" si="64"/>
        <v>-22000</v>
      </c>
      <c r="D2087" s="43">
        <f>VLOOKUP(A2087,Database!F:H,2,)</f>
        <v>2472000</v>
      </c>
      <c r="E2087" s="43">
        <f t="shared" si="65"/>
        <v>-45000</v>
      </c>
    </row>
    <row r="2088" spans="1:5" x14ac:dyDescent="0.2">
      <c r="A2088" s="42">
        <v>39060</v>
      </c>
      <c r="B2088" s="43">
        <f>VLOOKUP(A2088,Database!F:H,3,)</f>
        <v>311000</v>
      </c>
      <c r="C2088" s="43">
        <f t="shared" si="64"/>
        <v>-16000</v>
      </c>
      <c r="D2088" s="43">
        <f>VLOOKUP(A2088,Database!F:H,2,)</f>
        <v>2517000</v>
      </c>
      <c r="E2088" s="43">
        <f t="shared" si="65"/>
        <v>45000</v>
      </c>
    </row>
    <row r="2089" spans="1:5" x14ac:dyDescent="0.2">
      <c r="A2089" s="42">
        <v>39067</v>
      </c>
      <c r="B2089" s="43">
        <f>VLOOKUP(A2089,Database!F:H,3,)</f>
        <v>318000</v>
      </c>
      <c r="C2089" s="43">
        <f t="shared" si="64"/>
        <v>7000</v>
      </c>
      <c r="D2089" s="43">
        <f>VLOOKUP(A2089,Database!F:H,2,)</f>
        <v>2513000</v>
      </c>
      <c r="E2089" s="43">
        <f t="shared" si="65"/>
        <v>-4000</v>
      </c>
    </row>
    <row r="2090" spans="1:5" x14ac:dyDescent="0.2">
      <c r="A2090" s="42">
        <v>39074</v>
      </c>
      <c r="B2090" s="43">
        <f>VLOOKUP(A2090,Database!F:H,3,)</f>
        <v>323000</v>
      </c>
      <c r="C2090" s="43">
        <f t="shared" si="64"/>
        <v>5000</v>
      </c>
      <c r="D2090" s="43">
        <f>VLOOKUP(A2090,Database!F:H,2,)</f>
        <v>2449000</v>
      </c>
      <c r="E2090" s="43">
        <f t="shared" si="65"/>
        <v>-64000</v>
      </c>
    </row>
    <row r="2091" spans="1:5" x14ac:dyDescent="0.2">
      <c r="A2091" s="42">
        <v>39081</v>
      </c>
      <c r="B2091" s="43">
        <f>VLOOKUP(A2091,Database!F:H,3,)</f>
        <v>341000</v>
      </c>
      <c r="C2091" s="43">
        <f t="shared" si="64"/>
        <v>18000</v>
      </c>
      <c r="D2091" s="43">
        <f>VLOOKUP(A2091,Database!F:H,2,)</f>
        <v>2455000</v>
      </c>
      <c r="E2091" s="43">
        <f t="shared" si="65"/>
        <v>6000</v>
      </c>
    </row>
    <row r="2092" spans="1:5" x14ac:dyDescent="0.2">
      <c r="A2092" s="42">
        <v>39088</v>
      </c>
      <c r="B2092" s="43">
        <f>VLOOKUP(A2092,Database!F:H,3,)</f>
        <v>330000</v>
      </c>
      <c r="C2092" s="43">
        <f t="shared" si="64"/>
        <v>-11000</v>
      </c>
      <c r="D2092" s="43">
        <f>VLOOKUP(A2092,Database!F:H,2,)</f>
        <v>2518000</v>
      </c>
      <c r="E2092" s="43">
        <f t="shared" si="65"/>
        <v>63000</v>
      </c>
    </row>
    <row r="2093" spans="1:5" x14ac:dyDescent="0.2">
      <c r="A2093" s="42">
        <v>39095</v>
      </c>
      <c r="B2093" s="43">
        <f>VLOOKUP(A2093,Database!F:H,3,)</f>
        <v>296000</v>
      </c>
      <c r="C2093" s="43">
        <f t="shared" si="64"/>
        <v>-34000</v>
      </c>
      <c r="D2093" s="43">
        <f>VLOOKUP(A2093,Database!F:H,2,)</f>
        <v>2507000</v>
      </c>
      <c r="E2093" s="43">
        <f t="shared" si="65"/>
        <v>-11000</v>
      </c>
    </row>
    <row r="2094" spans="1:5" x14ac:dyDescent="0.2">
      <c r="A2094" s="42">
        <v>39102</v>
      </c>
      <c r="B2094" s="43">
        <f>VLOOKUP(A2094,Database!F:H,3,)</f>
        <v>335000</v>
      </c>
      <c r="C2094" s="43">
        <f t="shared" si="64"/>
        <v>39000</v>
      </c>
      <c r="D2094" s="43">
        <f>VLOOKUP(A2094,Database!F:H,2,)</f>
        <v>2552000</v>
      </c>
      <c r="E2094" s="43">
        <f t="shared" si="65"/>
        <v>45000</v>
      </c>
    </row>
    <row r="2095" spans="1:5" x14ac:dyDescent="0.2">
      <c r="A2095" s="42">
        <v>39109</v>
      </c>
      <c r="B2095" s="43">
        <f>VLOOKUP(A2095,Database!F:H,3,)</f>
        <v>308000</v>
      </c>
      <c r="C2095" s="43">
        <f t="shared" si="64"/>
        <v>-27000</v>
      </c>
      <c r="D2095" s="43">
        <f>VLOOKUP(A2095,Database!F:H,2,)</f>
        <v>2520000</v>
      </c>
      <c r="E2095" s="43">
        <f t="shared" si="65"/>
        <v>-32000</v>
      </c>
    </row>
    <row r="2096" spans="1:5" x14ac:dyDescent="0.2">
      <c r="A2096" s="42">
        <v>39116</v>
      </c>
      <c r="B2096" s="43">
        <f>VLOOKUP(A2096,Database!F:H,3,)</f>
        <v>310000</v>
      </c>
      <c r="C2096" s="43">
        <f t="shared" si="64"/>
        <v>2000</v>
      </c>
      <c r="D2096" s="43">
        <f>VLOOKUP(A2096,Database!F:H,2,)</f>
        <v>2575000</v>
      </c>
      <c r="E2096" s="43">
        <f t="shared" si="65"/>
        <v>55000</v>
      </c>
    </row>
    <row r="2097" spans="1:5" x14ac:dyDescent="0.2">
      <c r="A2097" s="42">
        <v>39123</v>
      </c>
      <c r="B2097" s="43">
        <f>VLOOKUP(A2097,Database!F:H,3,)</f>
        <v>338000</v>
      </c>
      <c r="C2097" s="43">
        <f t="shared" si="64"/>
        <v>28000</v>
      </c>
      <c r="D2097" s="43">
        <f>VLOOKUP(A2097,Database!F:H,2,)</f>
        <v>2527000</v>
      </c>
      <c r="E2097" s="43">
        <f t="shared" si="65"/>
        <v>-48000</v>
      </c>
    </row>
    <row r="2098" spans="1:5" x14ac:dyDescent="0.2">
      <c r="A2098" s="42">
        <v>39130</v>
      </c>
      <c r="B2098" s="43">
        <f>VLOOKUP(A2098,Database!F:H,3,)</f>
        <v>321000</v>
      </c>
      <c r="C2098" s="43">
        <f t="shared" si="64"/>
        <v>-17000</v>
      </c>
      <c r="D2098" s="43">
        <f>VLOOKUP(A2098,Database!F:H,2,)</f>
        <v>2626000</v>
      </c>
      <c r="E2098" s="43">
        <f t="shared" si="65"/>
        <v>99000</v>
      </c>
    </row>
    <row r="2099" spans="1:5" x14ac:dyDescent="0.2">
      <c r="A2099" s="42">
        <v>39137</v>
      </c>
      <c r="B2099" s="43">
        <f>VLOOKUP(A2099,Database!F:H,3,)</f>
        <v>322000</v>
      </c>
      <c r="C2099" s="43">
        <f t="shared" si="64"/>
        <v>1000</v>
      </c>
      <c r="D2099" s="43">
        <f>VLOOKUP(A2099,Database!F:H,2,)</f>
        <v>2549000</v>
      </c>
      <c r="E2099" s="43">
        <f t="shared" si="65"/>
        <v>-77000</v>
      </c>
    </row>
    <row r="2100" spans="1:5" x14ac:dyDescent="0.2">
      <c r="A2100" s="42">
        <v>39144</v>
      </c>
      <c r="B2100" s="43">
        <f>VLOOKUP(A2100,Database!F:H,3,)</f>
        <v>320000</v>
      </c>
      <c r="C2100" s="43">
        <f t="shared" si="64"/>
        <v>-2000</v>
      </c>
      <c r="D2100" s="43">
        <f>VLOOKUP(A2100,Database!F:H,2,)</f>
        <v>2581000</v>
      </c>
      <c r="E2100" s="43">
        <f t="shared" si="65"/>
        <v>32000</v>
      </c>
    </row>
    <row r="2101" spans="1:5" x14ac:dyDescent="0.2">
      <c r="A2101" s="42">
        <v>39151</v>
      </c>
      <c r="B2101" s="43">
        <f>VLOOKUP(A2101,Database!F:H,3,)</f>
        <v>308000</v>
      </c>
      <c r="C2101" s="43">
        <f t="shared" si="64"/>
        <v>-12000</v>
      </c>
      <c r="D2101" s="43">
        <f>VLOOKUP(A2101,Database!F:H,2,)</f>
        <v>2511000</v>
      </c>
      <c r="E2101" s="43">
        <f t="shared" si="65"/>
        <v>-70000</v>
      </c>
    </row>
    <row r="2102" spans="1:5" x14ac:dyDescent="0.2">
      <c r="A2102" s="42">
        <v>39158</v>
      </c>
      <c r="B2102" s="43">
        <f>VLOOKUP(A2102,Database!F:H,3,)</f>
        <v>309000</v>
      </c>
      <c r="C2102" s="43">
        <f t="shared" si="64"/>
        <v>1000</v>
      </c>
      <c r="D2102" s="43">
        <f>VLOOKUP(A2102,Database!F:H,2,)</f>
        <v>2515000</v>
      </c>
      <c r="E2102" s="43">
        <f t="shared" si="65"/>
        <v>4000</v>
      </c>
    </row>
    <row r="2103" spans="1:5" x14ac:dyDescent="0.2">
      <c r="A2103" s="42">
        <v>39165</v>
      </c>
      <c r="B2103" s="43">
        <f>VLOOKUP(A2103,Database!F:H,3,)</f>
        <v>303000</v>
      </c>
      <c r="C2103" s="43">
        <f t="shared" si="64"/>
        <v>-6000</v>
      </c>
      <c r="D2103" s="43">
        <f>VLOOKUP(A2103,Database!F:H,2,)</f>
        <v>2489000</v>
      </c>
      <c r="E2103" s="43">
        <f t="shared" si="65"/>
        <v>-26000</v>
      </c>
    </row>
    <row r="2104" spans="1:5" x14ac:dyDescent="0.2">
      <c r="A2104" s="42">
        <v>39172</v>
      </c>
      <c r="B2104" s="43">
        <f>VLOOKUP(A2104,Database!F:H,3,)</f>
        <v>307000</v>
      </c>
      <c r="C2104" s="43">
        <f t="shared" si="64"/>
        <v>4000</v>
      </c>
      <c r="D2104" s="43">
        <f>VLOOKUP(A2104,Database!F:H,2,)</f>
        <v>2499000</v>
      </c>
      <c r="E2104" s="43">
        <f t="shared" si="65"/>
        <v>10000</v>
      </c>
    </row>
    <row r="2105" spans="1:5" x14ac:dyDescent="0.2">
      <c r="A2105" s="42">
        <v>39179</v>
      </c>
      <c r="B2105" s="43">
        <f>VLOOKUP(A2105,Database!F:H,3,)</f>
        <v>332000</v>
      </c>
      <c r="C2105" s="43">
        <f t="shared" si="64"/>
        <v>25000</v>
      </c>
      <c r="D2105" s="43">
        <f>VLOOKUP(A2105,Database!F:H,2,)</f>
        <v>2497000</v>
      </c>
      <c r="E2105" s="43">
        <f t="shared" si="65"/>
        <v>-2000</v>
      </c>
    </row>
    <row r="2106" spans="1:5" x14ac:dyDescent="0.2">
      <c r="A2106" s="42">
        <v>39186</v>
      </c>
      <c r="B2106" s="43">
        <f>VLOOKUP(A2106,Database!F:H,3,)</f>
        <v>327000</v>
      </c>
      <c r="C2106" s="43">
        <f t="shared" si="64"/>
        <v>-5000</v>
      </c>
      <c r="D2106" s="43">
        <f>VLOOKUP(A2106,Database!F:H,2,)</f>
        <v>2538000</v>
      </c>
      <c r="E2106" s="43">
        <f t="shared" si="65"/>
        <v>41000</v>
      </c>
    </row>
    <row r="2107" spans="1:5" x14ac:dyDescent="0.2">
      <c r="A2107" s="42">
        <v>39193</v>
      </c>
      <c r="B2107" s="43">
        <f>VLOOKUP(A2107,Database!F:H,3,)</f>
        <v>321000</v>
      </c>
      <c r="C2107" s="43">
        <f t="shared" si="64"/>
        <v>-6000</v>
      </c>
      <c r="D2107" s="43">
        <f>VLOOKUP(A2107,Database!F:H,2,)</f>
        <v>2463000</v>
      </c>
      <c r="E2107" s="43">
        <f t="shared" si="65"/>
        <v>-75000</v>
      </c>
    </row>
    <row r="2108" spans="1:5" x14ac:dyDescent="0.2">
      <c r="A2108" s="42">
        <v>39200</v>
      </c>
      <c r="B2108" s="43">
        <f>VLOOKUP(A2108,Database!F:H,3,)</f>
        <v>301000</v>
      </c>
      <c r="C2108" s="43">
        <f t="shared" si="64"/>
        <v>-20000</v>
      </c>
      <c r="D2108" s="43">
        <f>VLOOKUP(A2108,Database!F:H,2,)</f>
        <v>2486000</v>
      </c>
      <c r="E2108" s="43">
        <f t="shared" si="65"/>
        <v>23000</v>
      </c>
    </row>
    <row r="2109" spans="1:5" x14ac:dyDescent="0.2">
      <c r="A2109" s="42">
        <v>39207</v>
      </c>
      <c r="B2109" s="43">
        <f>VLOOKUP(A2109,Database!F:H,3,)</f>
        <v>300000</v>
      </c>
      <c r="C2109" s="43">
        <f t="shared" si="64"/>
        <v>-1000</v>
      </c>
      <c r="D2109" s="43">
        <f>VLOOKUP(A2109,Database!F:H,2,)</f>
        <v>2429000</v>
      </c>
      <c r="E2109" s="43">
        <f t="shared" si="65"/>
        <v>-57000</v>
      </c>
    </row>
    <row r="2110" spans="1:5" x14ac:dyDescent="0.2">
      <c r="A2110" s="42">
        <v>39214</v>
      </c>
      <c r="B2110" s="43">
        <f>VLOOKUP(A2110,Database!F:H,3,)</f>
        <v>297000</v>
      </c>
      <c r="C2110" s="43">
        <f t="shared" si="64"/>
        <v>-3000</v>
      </c>
      <c r="D2110" s="43">
        <f>VLOOKUP(A2110,Database!F:H,2,)</f>
        <v>2465000</v>
      </c>
      <c r="E2110" s="43">
        <f t="shared" si="65"/>
        <v>36000</v>
      </c>
    </row>
    <row r="2111" spans="1:5" x14ac:dyDescent="0.2">
      <c r="A2111" s="42">
        <v>39221</v>
      </c>
      <c r="B2111" s="43">
        <f>VLOOKUP(A2111,Database!F:H,3,)</f>
        <v>310000</v>
      </c>
      <c r="C2111" s="43">
        <f t="shared" si="64"/>
        <v>13000</v>
      </c>
      <c r="D2111" s="43">
        <f>VLOOKUP(A2111,Database!F:H,2,)</f>
        <v>2417000</v>
      </c>
      <c r="E2111" s="43">
        <f t="shared" si="65"/>
        <v>-48000</v>
      </c>
    </row>
    <row r="2112" spans="1:5" x14ac:dyDescent="0.2">
      <c r="A2112" s="42">
        <v>39228</v>
      </c>
      <c r="B2112" s="43">
        <f>VLOOKUP(A2112,Database!F:H,3,)</f>
        <v>310000</v>
      </c>
      <c r="C2112" s="43">
        <f t="shared" si="64"/>
        <v>0</v>
      </c>
      <c r="D2112" s="43">
        <f>VLOOKUP(A2112,Database!F:H,2,)</f>
        <v>2480000</v>
      </c>
      <c r="E2112" s="43">
        <f t="shared" si="65"/>
        <v>63000</v>
      </c>
    </row>
    <row r="2113" spans="1:5" x14ac:dyDescent="0.2">
      <c r="A2113" s="42">
        <v>39235</v>
      </c>
      <c r="B2113" s="43">
        <f>VLOOKUP(A2113,Database!F:H,3,)</f>
        <v>313000</v>
      </c>
      <c r="C2113" s="43">
        <f t="shared" si="64"/>
        <v>3000</v>
      </c>
      <c r="D2113" s="43">
        <f>VLOOKUP(A2113,Database!F:H,2,)</f>
        <v>2452000</v>
      </c>
      <c r="E2113" s="43">
        <f t="shared" si="65"/>
        <v>-28000</v>
      </c>
    </row>
    <row r="2114" spans="1:5" x14ac:dyDescent="0.2">
      <c r="A2114" s="42">
        <v>39242</v>
      </c>
      <c r="B2114" s="43">
        <f>VLOOKUP(A2114,Database!F:H,3,)</f>
        <v>313000</v>
      </c>
      <c r="C2114" s="43">
        <f t="shared" si="64"/>
        <v>0</v>
      </c>
      <c r="D2114" s="43">
        <f>VLOOKUP(A2114,Database!F:H,2,)</f>
        <v>2484000</v>
      </c>
      <c r="E2114" s="43">
        <f t="shared" si="65"/>
        <v>32000</v>
      </c>
    </row>
    <row r="2115" spans="1:5" x14ac:dyDescent="0.2">
      <c r="A2115" s="42">
        <v>39249</v>
      </c>
      <c r="B2115" s="43">
        <f>VLOOKUP(A2115,Database!F:H,3,)</f>
        <v>320000</v>
      </c>
      <c r="C2115" s="43">
        <f t="shared" si="64"/>
        <v>7000</v>
      </c>
      <c r="D2115" s="43">
        <f>VLOOKUP(A2115,Database!F:H,2,)</f>
        <v>2453000</v>
      </c>
      <c r="E2115" s="43">
        <f t="shared" si="65"/>
        <v>-31000</v>
      </c>
    </row>
    <row r="2116" spans="1:5" x14ac:dyDescent="0.2">
      <c r="A2116" s="42">
        <v>39256</v>
      </c>
      <c r="B2116" s="43">
        <f>VLOOKUP(A2116,Database!F:H,3,)</f>
        <v>313000</v>
      </c>
      <c r="C2116" s="43">
        <f t="shared" si="64"/>
        <v>-7000</v>
      </c>
      <c r="D2116" s="43">
        <f>VLOOKUP(A2116,Database!F:H,2,)</f>
        <v>2520000</v>
      </c>
      <c r="E2116" s="43">
        <f t="shared" si="65"/>
        <v>67000</v>
      </c>
    </row>
    <row r="2117" spans="1:5" x14ac:dyDescent="0.2">
      <c r="A2117" s="42">
        <v>39263</v>
      </c>
      <c r="B2117" s="43">
        <f>VLOOKUP(A2117,Database!F:H,3,)</f>
        <v>317000</v>
      </c>
      <c r="C2117" s="43">
        <f t="shared" si="64"/>
        <v>4000</v>
      </c>
      <c r="D2117" s="43">
        <f>VLOOKUP(A2117,Database!F:H,2,)</f>
        <v>2501000</v>
      </c>
      <c r="E2117" s="43">
        <f t="shared" si="65"/>
        <v>-19000</v>
      </c>
    </row>
    <row r="2118" spans="1:5" x14ac:dyDescent="0.2">
      <c r="A2118" s="42">
        <v>39270</v>
      </c>
      <c r="B2118" s="43">
        <f>VLOOKUP(A2118,Database!F:H,3,)</f>
        <v>321000</v>
      </c>
      <c r="C2118" s="43">
        <f t="shared" si="64"/>
        <v>4000</v>
      </c>
      <c r="D2118" s="43">
        <f>VLOOKUP(A2118,Database!F:H,2,)</f>
        <v>2563000</v>
      </c>
      <c r="E2118" s="43">
        <f t="shared" si="65"/>
        <v>62000</v>
      </c>
    </row>
    <row r="2119" spans="1:5" x14ac:dyDescent="0.2">
      <c r="A2119" s="42">
        <v>39277</v>
      </c>
      <c r="B2119" s="43">
        <f>VLOOKUP(A2119,Database!F:H,3,)</f>
        <v>317000</v>
      </c>
      <c r="C2119" s="43">
        <f t="shared" si="64"/>
        <v>-4000</v>
      </c>
      <c r="D2119" s="43">
        <f>VLOOKUP(A2119,Database!F:H,2,)</f>
        <v>2555000</v>
      </c>
      <c r="E2119" s="43">
        <f t="shared" si="65"/>
        <v>-8000</v>
      </c>
    </row>
    <row r="2120" spans="1:5" x14ac:dyDescent="0.2">
      <c r="A2120" s="42">
        <v>39284</v>
      </c>
      <c r="B2120" s="43">
        <f>VLOOKUP(A2120,Database!F:H,3,)</f>
        <v>310000</v>
      </c>
      <c r="C2120" s="43">
        <f t="shared" ref="C2120:C2183" si="66">B2120-B2119</f>
        <v>-7000</v>
      </c>
      <c r="D2120" s="43">
        <f>VLOOKUP(A2120,Database!F:H,2,)</f>
        <v>2514000</v>
      </c>
      <c r="E2120" s="43">
        <f t="shared" ref="E2120:E2183" si="67">D2120-D2119</f>
        <v>-41000</v>
      </c>
    </row>
    <row r="2121" spans="1:5" x14ac:dyDescent="0.2">
      <c r="A2121" s="42">
        <v>39291</v>
      </c>
      <c r="B2121" s="43">
        <f>VLOOKUP(A2121,Database!F:H,3,)</f>
        <v>305000</v>
      </c>
      <c r="C2121" s="43">
        <f t="shared" si="66"/>
        <v>-5000</v>
      </c>
      <c r="D2121" s="43">
        <f>VLOOKUP(A2121,Database!F:H,2,)</f>
        <v>2537000</v>
      </c>
      <c r="E2121" s="43">
        <f t="shared" si="67"/>
        <v>23000</v>
      </c>
    </row>
    <row r="2122" spans="1:5" x14ac:dyDescent="0.2">
      <c r="A2122" s="42">
        <v>39298</v>
      </c>
      <c r="B2122" s="43">
        <f>VLOOKUP(A2122,Database!F:H,3,)</f>
        <v>314000</v>
      </c>
      <c r="C2122" s="43">
        <f t="shared" si="66"/>
        <v>9000</v>
      </c>
      <c r="D2122" s="43">
        <f>VLOOKUP(A2122,Database!F:H,2,)</f>
        <v>2531000</v>
      </c>
      <c r="E2122" s="43">
        <f t="shared" si="67"/>
        <v>-6000</v>
      </c>
    </row>
    <row r="2123" spans="1:5" x14ac:dyDescent="0.2">
      <c r="A2123" s="42">
        <v>39305</v>
      </c>
      <c r="B2123" s="43">
        <f>VLOOKUP(A2123,Database!F:H,3,)</f>
        <v>316000</v>
      </c>
      <c r="C2123" s="43">
        <f t="shared" si="66"/>
        <v>2000</v>
      </c>
      <c r="D2123" s="43">
        <f>VLOOKUP(A2123,Database!F:H,2,)</f>
        <v>2556000</v>
      </c>
      <c r="E2123" s="43">
        <f t="shared" si="67"/>
        <v>25000</v>
      </c>
    </row>
    <row r="2124" spans="1:5" x14ac:dyDescent="0.2">
      <c r="A2124" s="42">
        <v>39312</v>
      </c>
      <c r="B2124" s="43">
        <f>VLOOKUP(A2124,Database!F:H,3,)</f>
        <v>321000</v>
      </c>
      <c r="C2124" s="43">
        <f t="shared" si="66"/>
        <v>5000</v>
      </c>
      <c r="D2124" s="43">
        <f>VLOOKUP(A2124,Database!F:H,2,)</f>
        <v>2556000</v>
      </c>
      <c r="E2124" s="43">
        <f t="shared" si="67"/>
        <v>0</v>
      </c>
    </row>
    <row r="2125" spans="1:5" x14ac:dyDescent="0.2">
      <c r="A2125" s="42">
        <v>39319</v>
      </c>
      <c r="B2125" s="43">
        <f>VLOOKUP(A2125,Database!F:H,3,)</f>
        <v>329000</v>
      </c>
      <c r="C2125" s="43">
        <f t="shared" si="66"/>
        <v>8000</v>
      </c>
      <c r="D2125" s="43">
        <f>VLOOKUP(A2125,Database!F:H,2,)</f>
        <v>2569000</v>
      </c>
      <c r="E2125" s="43">
        <f t="shared" si="67"/>
        <v>13000</v>
      </c>
    </row>
    <row r="2126" spans="1:5" x14ac:dyDescent="0.2">
      <c r="A2126" s="42">
        <v>39326</v>
      </c>
      <c r="B2126" s="43">
        <f>VLOOKUP(A2126,Database!F:H,3,)</f>
        <v>314000</v>
      </c>
      <c r="C2126" s="43">
        <f t="shared" si="66"/>
        <v>-15000</v>
      </c>
      <c r="D2126" s="43">
        <f>VLOOKUP(A2126,Database!F:H,2,)</f>
        <v>2565000</v>
      </c>
      <c r="E2126" s="43">
        <f t="shared" si="67"/>
        <v>-4000</v>
      </c>
    </row>
    <row r="2127" spans="1:5" x14ac:dyDescent="0.2">
      <c r="A2127" s="42">
        <v>39333</v>
      </c>
      <c r="B2127" s="43">
        <f>VLOOKUP(A2127,Database!F:H,3,)</f>
        <v>321000</v>
      </c>
      <c r="C2127" s="43">
        <f t="shared" si="66"/>
        <v>7000</v>
      </c>
      <c r="D2127" s="43">
        <f>VLOOKUP(A2127,Database!F:H,2,)</f>
        <v>2537000</v>
      </c>
      <c r="E2127" s="43">
        <f t="shared" si="67"/>
        <v>-28000</v>
      </c>
    </row>
    <row r="2128" spans="1:5" x14ac:dyDescent="0.2">
      <c r="A2128" s="42">
        <v>39340</v>
      </c>
      <c r="B2128" s="43">
        <f>VLOOKUP(A2128,Database!F:H,3,)</f>
        <v>313000</v>
      </c>
      <c r="C2128" s="43">
        <f t="shared" si="66"/>
        <v>-8000</v>
      </c>
      <c r="D2128" s="43">
        <f>VLOOKUP(A2128,Database!F:H,2,)</f>
        <v>2536000</v>
      </c>
      <c r="E2128" s="43">
        <f t="shared" si="67"/>
        <v>-1000</v>
      </c>
    </row>
    <row r="2129" spans="1:5" x14ac:dyDescent="0.2">
      <c r="A2129" s="42">
        <v>39347</v>
      </c>
      <c r="B2129" s="43">
        <f>VLOOKUP(A2129,Database!F:H,3,)</f>
        <v>302000</v>
      </c>
      <c r="C2129" s="43">
        <f t="shared" si="66"/>
        <v>-11000</v>
      </c>
      <c r="D2129" s="43">
        <f>VLOOKUP(A2129,Database!F:H,2,)</f>
        <v>2530000</v>
      </c>
      <c r="E2129" s="43">
        <f t="shared" si="67"/>
        <v>-6000</v>
      </c>
    </row>
    <row r="2130" spans="1:5" x14ac:dyDescent="0.2">
      <c r="A2130" s="42">
        <v>39354</v>
      </c>
      <c r="B2130" s="43">
        <f>VLOOKUP(A2130,Database!F:H,3,)</f>
        <v>317000</v>
      </c>
      <c r="C2130" s="43">
        <f t="shared" si="66"/>
        <v>15000</v>
      </c>
      <c r="D2130" s="43">
        <f>VLOOKUP(A2130,Database!F:H,2,)</f>
        <v>2518000</v>
      </c>
      <c r="E2130" s="43">
        <f t="shared" si="67"/>
        <v>-12000</v>
      </c>
    </row>
    <row r="2131" spans="1:5" x14ac:dyDescent="0.2">
      <c r="A2131" s="42">
        <v>39361</v>
      </c>
      <c r="B2131" s="43">
        <f>VLOOKUP(A2131,Database!F:H,3,)</f>
        <v>316000</v>
      </c>
      <c r="C2131" s="43">
        <f t="shared" si="66"/>
        <v>-1000</v>
      </c>
      <c r="D2131" s="43">
        <f>VLOOKUP(A2131,Database!F:H,2,)</f>
        <v>2521000</v>
      </c>
      <c r="E2131" s="43">
        <f t="shared" si="67"/>
        <v>3000</v>
      </c>
    </row>
    <row r="2132" spans="1:5" x14ac:dyDescent="0.2">
      <c r="A2132" s="42">
        <v>39368</v>
      </c>
      <c r="B2132" s="43">
        <f>VLOOKUP(A2132,Database!F:H,3,)</f>
        <v>335000</v>
      </c>
      <c r="C2132" s="43">
        <f t="shared" si="66"/>
        <v>19000</v>
      </c>
      <c r="D2132" s="43">
        <f>VLOOKUP(A2132,Database!F:H,2,)</f>
        <v>2541000</v>
      </c>
      <c r="E2132" s="43">
        <f t="shared" si="67"/>
        <v>20000</v>
      </c>
    </row>
    <row r="2133" spans="1:5" x14ac:dyDescent="0.2">
      <c r="A2133" s="42">
        <v>39375</v>
      </c>
      <c r="B2133" s="43">
        <f>VLOOKUP(A2133,Database!F:H,3,)</f>
        <v>334000</v>
      </c>
      <c r="C2133" s="43">
        <f t="shared" si="66"/>
        <v>-1000</v>
      </c>
      <c r="D2133" s="43">
        <f>VLOOKUP(A2133,Database!F:H,2,)</f>
        <v>2598000</v>
      </c>
      <c r="E2133" s="43">
        <f t="shared" si="67"/>
        <v>57000</v>
      </c>
    </row>
    <row r="2134" spans="1:5" x14ac:dyDescent="0.2">
      <c r="A2134" s="42">
        <v>39382</v>
      </c>
      <c r="B2134" s="43">
        <f>VLOOKUP(A2134,Database!F:H,3,)</f>
        <v>328000</v>
      </c>
      <c r="C2134" s="43">
        <f t="shared" si="66"/>
        <v>-6000</v>
      </c>
      <c r="D2134" s="43">
        <f>VLOOKUP(A2134,Database!F:H,2,)</f>
        <v>2587000</v>
      </c>
      <c r="E2134" s="43">
        <f t="shared" si="67"/>
        <v>-11000</v>
      </c>
    </row>
    <row r="2135" spans="1:5" x14ac:dyDescent="0.2">
      <c r="A2135" s="42">
        <v>39389</v>
      </c>
      <c r="B2135" s="43">
        <f>VLOOKUP(A2135,Database!F:H,3,)</f>
        <v>327000</v>
      </c>
      <c r="C2135" s="43">
        <f t="shared" si="66"/>
        <v>-1000</v>
      </c>
      <c r="D2135" s="43">
        <f>VLOOKUP(A2135,Database!F:H,2,)</f>
        <v>2617000</v>
      </c>
      <c r="E2135" s="43">
        <f t="shared" si="67"/>
        <v>30000</v>
      </c>
    </row>
    <row r="2136" spans="1:5" x14ac:dyDescent="0.2">
      <c r="A2136" s="42">
        <v>39396</v>
      </c>
      <c r="B2136" s="43">
        <f>VLOOKUP(A2136,Database!F:H,3,)</f>
        <v>333000</v>
      </c>
      <c r="C2136" s="43">
        <f t="shared" si="66"/>
        <v>6000</v>
      </c>
      <c r="D2136" s="43">
        <f>VLOOKUP(A2136,Database!F:H,2,)</f>
        <v>2607000</v>
      </c>
      <c r="E2136" s="43">
        <f t="shared" si="67"/>
        <v>-10000</v>
      </c>
    </row>
    <row r="2137" spans="1:5" x14ac:dyDescent="0.2">
      <c r="A2137" s="42">
        <v>39403</v>
      </c>
      <c r="B2137" s="43">
        <f>VLOOKUP(A2137,Database!F:H,3,)</f>
        <v>332000</v>
      </c>
      <c r="C2137" s="43">
        <f t="shared" si="66"/>
        <v>-1000</v>
      </c>
      <c r="D2137" s="43">
        <f>VLOOKUP(A2137,Database!F:H,2,)</f>
        <v>2609000</v>
      </c>
      <c r="E2137" s="43">
        <f t="shared" si="67"/>
        <v>2000</v>
      </c>
    </row>
    <row r="2138" spans="1:5" x14ac:dyDescent="0.2">
      <c r="A2138" s="42">
        <v>39410</v>
      </c>
      <c r="B2138" s="43">
        <f>VLOOKUP(A2138,Database!F:H,3,)</f>
        <v>352000</v>
      </c>
      <c r="C2138" s="43">
        <f t="shared" si="66"/>
        <v>20000</v>
      </c>
      <c r="D2138" s="43">
        <f>VLOOKUP(A2138,Database!F:H,2,)</f>
        <v>2634000</v>
      </c>
      <c r="E2138" s="43">
        <f t="shared" si="67"/>
        <v>25000</v>
      </c>
    </row>
    <row r="2139" spans="1:5" x14ac:dyDescent="0.2">
      <c r="A2139" s="42">
        <v>39417</v>
      </c>
      <c r="B2139" s="43">
        <f>VLOOKUP(A2139,Database!F:H,3,)</f>
        <v>344000</v>
      </c>
      <c r="C2139" s="43">
        <f t="shared" si="66"/>
        <v>-8000</v>
      </c>
      <c r="D2139" s="43">
        <f>VLOOKUP(A2139,Database!F:H,2,)</f>
        <v>2639000</v>
      </c>
      <c r="E2139" s="43">
        <f t="shared" si="67"/>
        <v>5000</v>
      </c>
    </row>
    <row r="2140" spans="1:5" x14ac:dyDescent="0.2">
      <c r="A2140" s="42">
        <v>39424</v>
      </c>
      <c r="B2140" s="43">
        <f>VLOOKUP(A2140,Database!F:H,3,)</f>
        <v>332000</v>
      </c>
      <c r="C2140" s="43">
        <f t="shared" si="66"/>
        <v>-12000</v>
      </c>
      <c r="D2140" s="43">
        <f>VLOOKUP(A2140,Database!F:H,2,)</f>
        <v>2672000</v>
      </c>
      <c r="E2140" s="43">
        <f t="shared" si="67"/>
        <v>33000</v>
      </c>
    </row>
    <row r="2141" spans="1:5" x14ac:dyDescent="0.2">
      <c r="A2141" s="42">
        <v>39431</v>
      </c>
      <c r="B2141" s="43">
        <f>VLOOKUP(A2141,Database!F:H,3,)</f>
        <v>350000</v>
      </c>
      <c r="C2141" s="43">
        <f t="shared" si="66"/>
        <v>18000</v>
      </c>
      <c r="D2141" s="43">
        <f>VLOOKUP(A2141,Database!F:H,2,)</f>
        <v>2737000</v>
      </c>
      <c r="E2141" s="43">
        <f t="shared" si="67"/>
        <v>65000</v>
      </c>
    </row>
    <row r="2142" spans="1:5" x14ac:dyDescent="0.2">
      <c r="A2142" s="42">
        <v>39438</v>
      </c>
      <c r="B2142" s="43">
        <f>VLOOKUP(A2142,Database!F:H,3,)</f>
        <v>355000</v>
      </c>
      <c r="C2142" s="43">
        <f t="shared" si="66"/>
        <v>5000</v>
      </c>
      <c r="D2142" s="43">
        <f>VLOOKUP(A2142,Database!F:H,2,)</f>
        <v>2752000</v>
      </c>
      <c r="E2142" s="43">
        <f t="shared" si="67"/>
        <v>15000</v>
      </c>
    </row>
    <row r="2143" spans="1:5" x14ac:dyDescent="0.2">
      <c r="A2143" s="42">
        <v>39445</v>
      </c>
      <c r="B2143" s="43">
        <f>VLOOKUP(A2143,Database!F:H,3,)</f>
        <v>360000</v>
      </c>
      <c r="C2143" s="43">
        <f t="shared" si="66"/>
        <v>5000</v>
      </c>
      <c r="D2143" s="43">
        <f>VLOOKUP(A2143,Database!F:H,2,)</f>
        <v>2760000</v>
      </c>
      <c r="E2143" s="43">
        <f t="shared" si="67"/>
        <v>8000</v>
      </c>
    </row>
    <row r="2144" spans="1:5" x14ac:dyDescent="0.2">
      <c r="A2144" s="42">
        <v>39452</v>
      </c>
      <c r="B2144" s="43">
        <f>VLOOKUP(A2144,Database!F:H,3,)</f>
        <v>346000</v>
      </c>
      <c r="C2144" s="43">
        <f t="shared" si="66"/>
        <v>-14000</v>
      </c>
      <c r="D2144" s="43">
        <f>VLOOKUP(A2144,Database!F:H,2,)</f>
        <v>2828000</v>
      </c>
      <c r="E2144" s="43">
        <f t="shared" si="67"/>
        <v>68000</v>
      </c>
    </row>
    <row r="2145" spans="1:5" x14ac:dyDescent="0.2">
      <c r="A2145" s="42">
        <v>39459</v>
      </c>
      <c r="B2145" s="43">
        <f>VLOOKUP(A2145,Database!F:H,3,)</f>
        <v>322000</v>
      </c>
      <c r="C2145" s="43">
        <f t="shared" si="66"/>
        <v>-24000</v>
      </c>
      <c r="D2145" s="43">
        <f>VLOOKUP(A2145,Database!F:H,2,)</f>
        <v>2752000</v>
      </c>
      <c r="E2145" s="43">
        <f t="shared" si="67"/>
        <v>-76000</v>
      </c>
    </row>
    <row r="2146" spans="1:5" x14ac:dyDescent="0.2">
      <c r="A2146" s="42">
        <v>39466</v>
      </c>
      <c r="B2146" s="43">
        <f>VLOOKUP(A2146,Database!F:H,3,)</f>
        <v>321000</v>
      </c>
      <c r="C2146" s="43">
        <f t="shared" si="66"/>
        <v>-1000</v>
      </c>
      <c r="D2146" s="43">
        <f>VLOOKUP(A2146,Database!F:H,2,)</f>
        <v>2770000</v>
      </c>
      <c r="E2146" s="43">
        <f t="shared" si="67"/>
        <v>18000</v>
      </c>
    </row>
    <row r="2147" spans="1:5" x14ac:dyDescent="0.2">
      <c r="A2147" s="42">
        <v>39473</v>
      </c>
      <c r="B2147" s="43">
        <f>VLOOKUP(A2147,Database!F:H,3,)</f>
        <v>366000</v>
      </c>
      <c r="C2147" s="43">
        <f t="shared" si="66"/>
        <v>45000</v>
      </c>
      <c r="D2147" s="43">
        <f>VLOOKUP(A2147,Database!F:H,2,)</f>
        <v>2845000</v>
      </c>
      <c r="E2147" s="43">
        <f t="shared" si="67"/>
        <v>75000</v>
      </c>
    </row>
    <row r="2148" spans="1:5" x14ac:dyDescent="0.2">
      <c r="A2148" s="42">
        <v>39480</v>
      </c>
      <c r="B2148" s="43">
        <f>VLOOKUP(A2148,Database!F:H,3,)</f>
        <v>350000</v>
      </c>
      <c r="C2148" s="43">
        <f t="shared" si="66"/>
        <v>-16000</v>
      </c>
      <c r="D2148" s="43">
        <f>VLOOKUP(A2148,Database!F:H,2,)</f>
        <v>2810000</v>
      </c>
      <c r="E2148" s="43">
        <f t="shared" si="67"/>
        <v>-35000</v>
      </c>
    </row>
    <row r="2149" spans="1:5" x14ac:dyDescent="0.2">
      <c r="A2149" s="42">
        <v>39487</v>
      </c>
      <c r="B2149" s="43">
        <f>VLOOKUP(A2149,Database!F:H,3,)</f>
        <v>344000</v>
      </c>
      <c r="C2149" s="43">
        <f t="shared" si="66"/>
        <v>-6000</v>
      </c>
      <c r="D2149" s="43">
        <f>VLOOKUP(A2149,Database!F:H,2,)</f>
        <v>2846000</v>
      </c>
      <c r="E2149" s="43">
        <f t="shared" si="67"/>
        <v>36000</v>
      </c>
    </row>
    <row r="2150" spans="1:5" x14ac:dyDescent="0.2">
      <c r="A2150" s="42">
        <v>39494</v>
      </c>
      <c r="B2150" s="43">
        <f>VLOOKUP(A2150,Database!F:H,3,)</f>
        <v>339000</v>
      </c>
      <c r="C2150" s="43">
        <f t="shared" si="66"/>
        <v>-5000</v>
      </c>
      <c r="D2150" s="43">
        <f>VLOOKUP(A2150,Database!F:H,2,)</f>
        <v>2837000</v>
      </c>
      <c r="E2150" s="43">
        <f t="shared" si="67"/>
        <v>-9000</v>
      </c>
    </row>
    <row r="2151" spans="1:5" x14ac:dyDescent="0.2">
      <c r="A2151" s="42">
        <v>39501</v>
      </c>
      <c r="B2151" s="43">
        <f>VLOOKUP(A2151,Database!F:H,3,)</f>
        <v>354000</v>
      </c>
      <c r="C2151" s="43">
        <f t="shared" si="66"/>
        <v>15000</v>
      </c>
      <c r="D2151" s="43">
        <f>VLOOKUP(A2151,Database!F:H,2,)</f>
        <v>2884000</v>
      </c>
      <c r="E2151" s="43">
        <f t="shared" si="67"/>
        <v>47000</v>
      </c>
    </row>
    <row r="2152" spans="1:5" x14ac:dyDescent="0.2">
      <c r="A2152" s="42">
        <v>39508</v>
      </c>
      <c r="B2152" s="43">
        <f>VLOOKUP(A2152,Database!F:H,3,)</f>
        <v>345000</v>
      </c>
      <c r="C2152" s="43">
        <f t="shared" si="66"/>
        <v>-9000</v>
      </c>
      <c r="D2152" s="43">
        <f>VLOOKUP(A2152,Database!F:H,2,)</f>
        <v>2867000</v>
      </c>
      <c r="E2152" s="43">
        <f t="shared" si="67"/>
        <v>-17000</v>
      </c>
    </row>
    <row r="2153" spans="1:5" x14ac:dyDescent="0.2">
      <c r="A2153" s="42">
        <v>39515</v>
      </c>
      <c r="B2153" s="43">
        <f>VLOOKUP(A2153,Database!F:H,3,)</f>
        <v>348000</v>
      </c>
      <c r="C2153" s="43">
        <f t="shared" si="66"/>
        <v>3000</v>
      </c>
      <c r="D2153" s="43">
        <f>VLOOKUP(A2153,Database!F:H,2,)</f>
        <v>2895000</v>
      </c>
      <c r="E2153" s="43">
        <f t="shared" si="67"/>
        <v>28000</v>
      </c>
    </row>
    <row r="2154" spans="1:5" x14ac:dyDescent="0.2">
      <c r="A2154" s="42">
        <v>39522</v>
      </c>
      <c r="B2154" s="43">
        <f>VLOOKUP(A2154,Database!F:H,3,)</f>
        <v>369000</v>
      </c>
      <c r="C2154" s="43">
        <f t="shared" si="66"/>
        <v>21000</v>
      </c>
      <c r="D2154" s="43">
        <f>VLOOKUP(A2154,Database!F:H,2,)</f>
        <v>2897000</v>
      </c>
      <c r="E2154" s="43">
        <f t="shared" si="67"/>
        <v>2000</v>
      </c>
    </row>
    <row r="2155" spans="1:5" x14ac:dyDescent="0.2">
      <c r="A2155" s="42">
        <v>39529</v>
      </c>
      <c r="B2155" s="43">
        <f>VLOOKUP(A2155,Database!F:H,3,)</f>
        <v>368000</v>
      </c>
      <c r="C2155" s="43">
        <f t="shared" si="66"/>
        <v>-1000</v>
      </c>
      <c r="D2155" s="43">
        <f>VLOOKUP(A2155,Database!F:H,2,)</f>
        <v>2938000</v>
      </c>
      <c r="E2155" s="43">
        <f t="shared" si="67"/>
        <v>41000</v>
      </c>
    </row>
    <row r="2156" spans="1:5" x14ac:dyDescent="0.2">
      <c r="A2156" s="42">
        <v>39536</v>
      </c>
      <c r="B2156" s="43">
        <f>VLOOKUP(A2156,Database!F:H,3,)</f>
        <v>387000</v>
      </c>
      <c r="C2156" s="43">
        <f t="shared" si="66"/>
        <v>19000</v>
      </c>
      <c r="D2156" s="43">
        <f>VLOOKUP(A2156,Database!F:H,2,)</f>
        <v>2967000</v>
      </c>
      <c r="E2156" s="43">
        <f t="shared" si="67"/>
        <v>29000</v>
      </c>
    </row>
    <row r="2157" spans="1:5" x14ac:dyDescent="0.2">
      <c r="A2157" s="42">
        <v>39543</v>
      </c>
      <c r="B2157" s="43">
        <f>VLOOKUP(A2157,Database!F:H,3,)</f>
        <v>354000</v>
      </c>
      <c r="C2157" s="43">
        <f t="shared" si="66"/>
        <v>-33000</v>
      </c>
      <c r="D2157" s="43">
        <f>VLOOKUP(A2157,Database!F:H,2,)</f>
        <v>2969000</v>
      </c>
      <c r="E2157" s="43">
        <f t="shared" si="67"/>
        <v>2000</v>
      </c>
    </row>
    <row r="2158" spans="1:5" x14ac:dyDescent="0.2">
      <c r="A2158" s="42">
        <v>39550</v>
      </c>
      <c r="B2158" s="43">
        <f>VLOOKUP(A2158,Database!F:H,3,)</f>
        <v>365000</v>
      </c>
      <c r="C2158" s="43">
        <f t="shared" si="66"/>
        <v>11000</v>
      </c>
      <c r="D2158" s="43">
        <f>VLOOKUP(A2158,Database!F:H,2,)</f>
        <v>2937000</v>
      </c>
      <c r="E2158" s="43">
        <f t="shared" si="67"/>
        <v>-32000</v>
      </c>
    </row>
    <row r="2159" spans="1:5" x14ac:dyDescent="0.2">
      <c r="A2159" s="42">
        <v>39557</v>
      </c>
      <c r="B2159" s="43">
        <f>VLOOKUP(A2159,Database!F:H,3,)</f>
        <v>349000</v>
      </c>
      <c r="C2159" s="43">
        <f t="shared" si="66"/>
        <v>-16000</v>
      </c>
      <c r="D2159" s="43">
        <f>VLOOKUP(A2159,Database!F:H,2,)</f>
        <v>2964000</v>
      </c>
      <c r="E2159" s="43">
        <f t="shared" si="67"/>
        <v>27000</v>
      </c>
    </row>
    <row r="2160" spans="1:5" x14ac:dyDescent="0.2">
      <c r="A2160" s="42">
        <v>39564</v>
      </c>
      <c r="B2160" s="43">
        <f>VLOOKUP(A2160,Database!F:H,3,)</f>
        <v>370000</v>
      </c>
      <c r="C2160" s="43">
        <f t="shared" si="66"/>
        <v>21000</v>
      </c>
      <c r="D2160" s="43">
        <f>VLOOKUP(A2160,Database!F:H,2,)</f>
        <v>2986000</v>
      </c>
      <c r="E2160" s="43">
        <f t="shared" si="67"/>
        <v>22000</v>
      </c>
    </row>
    <row r="2161" spans="1:5" x14ac:dyDescent="0.2">
      <c r="A2161" s="42">
        <v>39571</v>
      </c>
      <c r="B2161" s="43">
        <f>VLOOKUP(A2161,Database!F:H,3,)</f>
        <v>370000</v>
      </c>
      <c r="C2161" s="43">
        <f t="shared" si="66"/>
        <v>0</v>
      </c>
      <c r="D2161" s="43">
        <f>VLOOKUP(A2161,Database!F:H,2,)</f>
        <v>2993000</v>
      </c>
      <c r="E2161" s="43">
        <f t="shared" si="67"/>
        <v>7000</v>
      </c>
    </row>
    <row r="2162" spans="1:5" x14ac:dyDescent="0.2">
      <c r="A2162" s="42">
        <v>39578</v>
      </c>
      <c r="B2162" s="43">
        <f>VLOOKUP(A2162,Database!F:H,3,)</f>
        <v>366000</v>
      </c>
      <c r="C2162" s="43">
        <f t="shared" si="66"/>
        <v>-4000</v>
      </c>
      <c r="D2162" s="43">
        <f>VLOOKUP(A2162,Database!F:H,2,)</f>
        <v>2997000</v>
      </c>
      <c r="E2162" s="43">
        <f t="shared" si="67"/>
        <v>4000</v>
      </c>
    </row>
    <row r="2163" spans="1:5" x14ac:dyDescent="0.2">
      <c r="A2163" s="42">
        <v>39585</v>
      </c>
      <c r="B2163" s="43">
        <f>VLOOKUP(A2163,Database!F:H,3,)</f>
        <v>367000</v>
      </c>
      <c r="C2163" s="43">
        <f t="shared" si="66"/>
        <v>1000</v>
      </c>
      <c r="D2163" s="43">
        <f>VLOOKUP(A2163,Database!F:H,2,)</f>
        <v>3016000</v>
      </c>
      <c r="E2163" s="43">
        <f t="shared" si="67"/>
        <v>19000</v>
      </c>
    </row>
    <row r="2164" spans="1:5" x14ac:dyDescent="0.2">
      <c r="A2164" s="42">
        <v>39592</v>
      </c>
      <c r="B2164" s="43">
        <f>VLOOKUP(A2164,Database!F:H,3,)</f>
        <v>369000</v>
      </c>
      <c r="C2164" s="43">
        <f t="shared" si="66"/>
        <v>2000</v>
      </c>
      <c r="D2164" s="43">
        <f>VLOOKUP(A2164,Database!F:H,2,)</f>
        <v>3007000</v>
      </c>
      <c r="E2164" s="43">
        <f t="shared" si="67"/>
        <v>-9000</v>
      </c>
    </row>
    <row r="2165" spans="1:5" x14ac:dyDescent="0.2">
      <c r="A2165" s="42">
        <v>39599</v>
      </c>
      <c r="B2165" s="43">
        <f>VLOOKUP(A2165,Database!F:H,3,)</f>
        <v>362000</v>
      </c>
      <c r="C2165" s="43">
        <f t="shared" si="66"/>
        <v>-7000</v>
      </c>
      <c r="D2165" s="43">
        <f>VLOOKUP(A2165,Database!F:H,2,)</f>
        <v>3055000</v>
      </c>
      <c r="E2165" s="43">
        <f t="shared" si="67"/>
        <v>48000</v>
      </c>
    </row>
    <row r="2166" spans="1:5" x14ac:dyDescent="0.2">
      <c r="A2166" s="42">
        <v>39606</v>
      </c>
      <c r="B2166" s="43">
        <f>VLOOKUP(A2166,Database!F:H,3,)</f>
        <v>382000</v>
      </c>
      <c r="C2166" s="43">
        <f t="shared" si="66"/>
        <v>20000</v>
      </c>
      <c r="D2166" s="43">
        <f>VLOOKUP(A2166,Database!F:H,2,)</f>
        <v>3010000</v>
      </c>
      <c r="E2166" s="43">
        <f t="shared" si="67"/>
        <v>-45000</v>
      </c>
    </row>
    <row r="2167" spans="1:5" x14ac:dyDescent="0.2">
      <c r="A2167" s="42">
        <v>39613</v>
      </c>
      <c r="B2167" s="43">
        <f>VLOOKUP(A2167,Database!F:H,3,)</f>
        <v>378000</v>
      </c>
      <c r="C2167" s="43">
        <f t="shared" si="66"/>
        <v>-4000</v>
      </c>
      <c r="D2167" s="43">
        <f>VLOOKUP(A2167,Database!F:H,2,)</f>
        <v>3057000</v>
      </c>
      <c r="E2167" s="43">
        <f t="shared" si="67"/>
        <v>47000</v>
      </c>
    </row>
    <row r="2168" spans="1:5" x14ac:dyDescent="0.2">
      <c r="A2168" s="42">
        <v>39620</v>
      </c>
      <c r="B2168" s="43">
        <f>VLOOKUP(A2168,Database!F:H,3,)</f>
        <v>381000</v>
      </c>
      <c r="C2168" s="43">
        <f t="shared" si="66"/>
        <v>3000</v>
      </c>
      <c r="D2168" s="43">
        <f>VLOOKUP(A2168,Database!F:H,2,)</f>
        <v>3054000</v>
      </c>
      <c r="E2168" s="43">
        <f t="shared" si="67"/>
        <v>-3000</v>
      </c>
    </row>
    <row r="2169" spans="1:5" x14ac:dyDescent="0.2">
      <c r="A2169" s="42">
        <v>39627</v>
      </c>
      <c r="B2169" s="43">
        <f>VLOOKUP(A2169,Database!F:H,3,)</f>
        <v>392000</v>
      </c>
      <c r="C2169" s="43">
        <f t="shared" si="66"/>
        <v>11000</v>
      </c>
      <c r="D2169" s="43">
        <f>VLOOKUP(A2169,Database!F:H,2,)</f>
        <v>3110000</v>
      </c>
      <c r="E2169" s="43">
        <f t="shared" si="67"/>
        <v>56000</v>
      </c>
    </row>
    <row r="2170" spans="1:5" x14ac:dyDescent="0.2">
      <c r="A2170" s="42">
        <v>39634</v>
      </c>
      <c r="B2170" s="43">
        <f>VLOOKUP(A2170,Database!F:H,3,)</f>
        <v>371000</v>
      </c>
      <c r="C2170" s="43">
        <f t="shared" si="66"/>
        <v>-21000</v>
      </c>
      <c r="D2170" s="43">
        <f>VLOOKUP(A2170,Database!F:H,2,)</f>
        <v>3113000</v>
      </c>
      <c r="E2170" s="43">
        <f t="shared" si="67"/>
        <v>3000</v>
      </c>
    </row>
    <row r="2171" spans="1:5" x14ac:dyDescent="0.2">
      <c r="A2171" s="42">
        <v>39641</v>
      </c>
      <c r="B2171" s="43">
        <f>VLOOKUP(A2171,Database!F:H,3,)</f>
        <v>385000</v>
      </c>
      <c r="C2171" s="43">
        <f t="shared" si="66"/>
        <v>14000</v>
      </c>
      <c r="D2171" s="43">
        <f>VLOOKUP(A2171,Database!F:H,2,)</f>
        <v>3104000</v>
      </c>
      <c r="E2171" s="43">
        <f t="shared" si="67"/>
        <v>-9000</v>
      </c>
    </row>
    <row r="2172" spans="1:5" x14ac:dyDescent="0.2">
      <c r="A2172" s="42">
        <v>39648</v>
      </c>
      <c r="B2172" s="43">
        <f>VLOOKUP(A2172,Database!F:H,3,)</f>
        <v>402000</v>
      </c>
      <c r="C2172" s="43">
        <f t="shared" si="66"/>
        <v>17000</v>
      </c>
      <c r="D2172" s="43">
        <f>VLOOKUP(A2172,Database!F:H,2,)</f>
        <v>3227000</v>
      </c>
      <c r="E2172" s="43">
        <f t="shared" si="67"/>
        <v>123000</v>
      </c>
    </row>
    <row r="2173" spans="1:5" x14ac:dyDescent="0.2">
      <c r="A2173" s="42">
        <v>39655</v>
      </c>
      <c r="B2173" s="43">
        <f>VLOOKUP(A2173,Database!F:H,3,)</f>
        <v>434000</v>
      </c>
      <c r="C2173" s="43">
        <f t="shared" si="66"/>
        <v>32000</v>
      </c>
      <c r="D2173" s="43">
        <f>VLOOKUP(A2173,Database!F:H,2,)</f>
        <v>3261000</v>
      </c>
      <c r="E2173" s="43">
        <f t="shared" si="67"/>
        <v>34000</v>
      </c>
    </row>
    <row r="2174" spans="1:5" x14ac:dyDescent="0.2">
      <c r="A2174" s="42">
        <v>39662</v>
      </c>
      <c r="B2174" s="43">
        <f>VLOOKUP(A2174,Database!F:H,3,)</f>
        <v>448000</v>
      </c>
      <c r="C2174" s="43">
        <f t="shared" si="66"/>
        <v>14000</v>
      </c>
      <c r="D2174" s="43">
        <f>VLOOKUP(A2174,Database!F:H,2,)</f>
        <v>3330000</v>
      </c>
      <c r="E2174" s="43">
        <f t="shared" si="67"/>
        <v>69000</v>
      </c>
    </row>
    <row r="2175" spans="1:5" x14ac:dyDescent="0.2">
      <c r="A2175" s="42">
        <v>39669</v>
      </c>
      <c r="B2175" s="43">
        <f>VLOOKUP(A2175,Database!F:H,3,)</f>
        <v>430000</v>
      </c>
      <c r="C2175" s="43">
        <f t="shared" si="66"/>
        <v>-18000</v>
      </c>
      <c r="D2175" s="43">
        <f>VLOOKUP(A2175,Database!F:H,2,)</f>
        <v>3327000</v>
      </c>
      <c r="E2175" s="43">
        <f t="shared" si="67"/>
        <v>-3000</v>
      </c>
    </row>
    <row r="2176" spans="1:5" x14ac:dyDescent="0.2">
      <c r="A2176" s="42">
        <v>39676</v>
      </c>
      <c r="B2176" s="43">
        <f>VLOOKUP(A2176,Database!F:H,3,)</f>
        <v>424000</v>
      </c>
      <c r="C2176" s="43">
        <f t="shared" si="66"/>
        <v>-6000</v>
      </c>
      <c r="D2176" s="43">
        <f>VLOOKUP(A2176,Database!F:H,2,)</f>
        <v>3385000</v>
      </c>
      <c r="E2176" s="43">
        <f t="shared" si="67"/>
        <v>58000</v>
      </c>
    </row>
    <row r="2177" spans="1:5" x14ac:dyDescent="0.2">
      <c r="A2177" s="42">
        <v>39683</v>
      </c>
      <c r="B2177" s="43">
        <f>VLOOKUP(A2177,Database!F:H,3,)</f>
        <v>421000</v>
      </c>
      <c r="C2177" s="43">
        <f t="shared" si="66"/>
        <v>-3000</v>
      </c>
      <c r="D2177" s="43">
        <f>VLOOKUP(A2177,Database!F:H,2,)</f>
        <v>3384000</v>
      </c>
      <c r="E2177" s="43">
        <f t="shared" si="67"/>
        <v>-1000</v>
      </c>
    </row>
    <row r="2178" spans="1:5" x14ac:dyDescent="0.2">
      <c r="A2178" s="42">
        <v>39690</v>
      </c>
      <c r="B2178" s="43">
        <f>VLOOKUP(A2178,Database!F:H,3,)</f>
        <v>442000</v>
      </c>
      <c r="C2178" s="43">
        <f t="shared" si="66"/>
        <v>21000</v>
      </c>
      <c r="D2178" s="43">
        <f>VLOOKUP(A2178,Database!F:H,2,)</f>
        <v>3464000</v>
      </c>
      <c r="E2178" s="43">
        <f t="shared" si="67"/>
        <v>80000</v>
      </c>
    </row>
    <row r="2179" spans="1:5" x14ac:dyDescent="0.2">
      <c r="A2179" s="42">
        <v>39697</v>
      </c>
      <c r="B2179" s="43">
        <f>VLOOKUP(A2179,Database!F:H,3,)</f>
        <v>441000</v>
      </c>
      <c r="C2179" s="43">
        <f t="shared" si="66"/>
        <v>-1000</v>
      </c>
      <c r="D2179" s="43">
        <f>VLOOKUP(A2179,Database!F:H,2,)</f>
        <v>3420000</v>
      </c>
      <c r="E2179" s="43">
        <f t="shared" si="67"/>
        <v>-44000</v>
      </c>
    </row>
    <row r="2180" spans="1:5" x14ac:dyDescent="0.2">
      <c r="A2180" s="42">
        <v>39704</v>
      </c>
      <c r="B2180" s="43">
        <f>VLOOKUP(A2180,Database!F:H,3,)</f>
        <v>449000</v>
      </c>
      <c r="C2180" s="43">
        <f t="shared" si="66"/>
        <v>8000</v>
      </c>
      <c r="D2180" s="43">
        <f>VLOOKUP(A2180,Database!F:H,2,)</f>
        <v>3493000</v>
      </c>
      <c r="E2180" s="43">
        <f t="shared" si="67"/>
        <v>73000</v>
      </c>
    </row>
    <row r="2181" spans="1:5" x14ac:dyDescent="0.2">
      <c r="A2181" s="42">
        <v>39711</v>
      </c>
      <c r="B2181" s="43">
        <f>VLOOKUP(A2181,Database!F:H,3,)</f>
        <v>483000</v>
      </c>
      <c r="C2181" s="43">
        <f t="shared" si="66"/>
        <v>34000</v>
      </c>
      <c r="D2181" s="43">
        <f>VLOOKUP(A2181,Database!F:H,2,)</f>
        <v>3551000</v>
      </c>
      <c r="E2181" s="43">
        <f t="shared" si="67"/>
        <v>58000</v>
      </c>
    </row>
    <row r="2182" spans="1:5" x14ac:dyDescent="0.2">
      <c r="A2182" s="42">
        <v>39718</v>
      </c>
      <c r="B2182" s="43">
        <f>VLOOKUP(A2182,Database!F:H,3,)</f>
        <v>483000</v>
      </c>
      <c r="C2182" s="43">
        <f t="shared" si="66"/>
        <v>0</v>
      </c>
      <c r="D2182" s="43">
        <f>VLOOKUP(A2182,Database!F:H,2,)</f>
        <v>3623000</v>
      </c>
      <c r="E2182" s="43">
        <f t="shared" si="67"/>
        <v>72000</v>
      </c>
    </row>
    <row r="2183" spans="1:5" x14ac:dyDescent="0.2">
      <c r="A2183" s="42">
        <v>39725</v>
      </c>
      <c r="B2183" s="43">
        <f>VLOOKUP(A2183,Database!F:H,3,)</f>
        <v>482000</v>
      </c>
      <c r="C2183" s="43">
        <f t="shared" si="66"/>
        <v>-1000</v>
      </c>
      <c r="D2183" s="43">
        <f>VLOOKUP(A2183,Database!F:H,2,)</f>
        <v>3676000</v>
      </c>
      <c r="E2183" s="43">
        <f t="shared" si="67"/>
        <v>53000</v>
      </c>
    </row>
    <row r="2184" spans="1:5" x14ac:dyDescent="0.2">
      <c r="A2184" s="42">
        <v>39732</v>
      </c>
      <c r="B2184" s="43">
        <f>VLOOKUP(A2184,Database!F:H,3,)</f>
        <v>461000</v>
      </c>
      <c r="C2184" s="43">
        <f t="shared" ref="C2184:C2247" si="68">B2184-B2183</f>
        <v>-21000</v>
      </c>
      <c r="D2184" s="43">
        <f>VLOOKUP(A2184,Database!F:H,2,)</f>
        <v>3696000</v>
      </c>
      <c r="E2184" s="43">
        <f t="shared" ref="E2184:E2247" si="69">D2184-D2183</f>
        <v>20000</v>
      </c>
    </row>
    <row r="2185" spans="1:5" x14ac:dyDescent="0.2">
      <c r="A2185" s="42">
        <v>39739</v>
      </c>
      <c r="B2185" s="43">
        <f>VLOOKUP(A2185,Database!F:H,3,)</f>
        <v>478000</v>
      </c>
      <c r="C2185" s="43">
        <f t="shared" si="68"/>
        <v>17000</v>
      </c>
      <c r="D2185" s="43">
        <f>VLOOKUP(A2185,Database!F:H,2,)</f>
        <v>3729000</v>
      </c>
      <c r="E2185" s="43">
        <f t="shared" si="69"/>
        <v>33000</v>
      </c>
    </row>
    <row r="2186" spans="1:5" x14ac:dyDescent="0.2">
      <c r="A2186" s="42">
        <v>39746</v>
      </c>
      <c r="B2186" s="43">
        <f>VLOOKUP(A2186,Database!F:H,3,)</f>
        <v>480000</v>
      </c>
      <c r="C2186" s="43">
        <f t="shared" si="68"/>
        <v>2000</v>
      </c>
      <c r="D2186" s="43">
        <f>VLOOKUP(A2186,Database!F:H,2,)</f>
        <v>3823000</v>
      </c>
      <c r="E2186" s="43">
        <f t="shared" si="69"/>
        <v>94000</v>
      </c>
    </row>
    <row r="2187" spans="1:5" x14ac:dyDescent="0.2">
      <c r="A2187" s="42">
        <v>39753</v>
      </c>
      <c r="B2187" s="43">
        <f>VLOOKUP(A2187,Database!F:H,3,)</f>
        <v>490000</v>
      </c>
      <c r="C2187" s="43">
        <f t="shared" si="68"/>
        <v>10000</v>
      </c>
      <c r="D2187" s="43">
        <f>VLOOKUP(A2187,Database!F:H,2,)</f>
        <v>3928000</v>
      </c>
      <c r="E2187" s="43">
        <f t="shared" si="69"/>
        <v>105000</v>
      </c>
    </row>
    <row r="2188" spans="1:5" x14ac:dyDescent="0.2">
      <c r="A2188" s="42">
        <v>39760</v>
      </c>
      <c r="B2188" s="43">
        <f>VLOOKUP(A2188,Database!F:H,3,)</f>
        <v>512000</v>
      </c>
      <c r="C2188" s="43">
        <f t="shared" si="68"/>
        <v>22000</v>
      </c>
      <c r="D2188" s="43">
        <f>VLOOKUP(A2188,Database!F:H,2,)</f>
        <v>4011000</v>
      </c>
      <c r="E2188" s="43">
        <f t="shared" si="69"/>
        <v>83000</v>
      </c>
    </row>
    <row r="2189" spans="1:5" x14ac:dyDescent="0.2">
      <c r="A2189" s="42">
        <v>39767</v>
      </c>
      <c r="B2189" s="43">
        <f>VLOOKUP(A2189,Database!F:H,3,)</f>
        <v>536000</v>
      </c>
      <c r="C2189" s="43">
        <f t="shared" si="68"/>
        <v>24000</v>
      </c>
      <c r="D2189" s="43">
        <f>VLOOKUP(A2189,Database!F:H,2,)</f>
        <v>4002000</v>
      </c>
      <c r="E2189" s="43">
        <f t="shared" si="69"/>
        <v>-9000</v>
      </c>
    </row>
    <row r="2190" spans="1:5" x14ac:dyDescent="0.2">
      <c r="A2190" s="42">
        <v>39774</v>
      </c>
      <c r="B2190" s="43">
        <f>VLOOKUP(A2190,Database!F:H,3,)</f>
        <v>532000</v>
      </c>
      <c r="C2190" s="43">
        <f t="shared" si="68"/>
        <v>-4000</v>
      </c>
      <c r="D2190" s="43">
        <f>VLOOKUP(A2190,Database!F:H,2,)</f>
        <v>4095000</v>
      </c>
      <c r="E2190" s="43">
        <f t="shared" si="69"/>
        <v>93000</v>
      </c>
    </row>
    <row r="2191" spans="1:5" x14ac:dyDescent="0.2">
      <c r="A2191" s="42">
        <v>39781</v>
      </c>
      <c r="B2191" s="43">
        <f>VLOOKUP(A2191,Database!F:H,3,)</f>
        <v>529000</v>
      </c>
      <c r="C2191" s="43">
        <f t="shared" si="68"/>
        <v>-3000</v>
      </c>
      <c r="D2191" s="43">
        <f>VLOOKUP(A2191,Database!F:H,2,)</f>
        <v>4447000</v>
      </c>
      <c r="E2191" s="43">
        <f t="shared" si="69"/>
        <v>352000</v>
      </c>
    </row>
    <row r="2192" spans="1:5" x14ac:dyDescent="0.2">
      <c r="A2192" s="42">
        <v>39788</v>
      </c>
      <c r="B2192" s="43">
        <f>VLOOKUP(A2192,Database!F:H,3,)</f>
        <v>570000</v>
      </c>
      <c r="C2192" s="43">
        <f t="shared" si="68"/>
        <v>41000</v>
      </c>
      <c r="D2192" s="43">
        <f>VLOOKUP(A2192,Database!F:H,2,)</f>
        <v>4417000</v>
      </c>
      <c r="E2192" s="43">
        <f t="shared" si="69"/>
        <v>-30000</v>
      </c>
    </row>
    <row r="2193" spans="1:5" x14ac:dyDescent="0.2">
      <c r="A2193" s="42">
        <v>39795</v>
      </c>
      <c r="B2193" s="43">
        <f>VLOOKUP(A2193,Database!F:H,3,)</f>
        <v>566000</v>
      </c>
      <c r="C2193" s="43">
        <f t="shared" si="68"/>
        <v>-4000</v>
      </c>
      <c r="D2193" s="43">
        <f>VLOOKUP(A2193,Database!F:H,2,)</f>
        <v>4445000</v>
      </c>
      <c r="E2193" s="43">
        <f t="shared" si="69"/>
        <v>28000</v>
      </c>
    </row>
    <row r="2194" spans="1:5" x14ac:dyDescent="0.2">
      <c r="A2194" s="42">
        <v>39802</v>
      </c>
      <c r="B2194" s="43">
        <f>VLOOKUP(A2194,Database!F:H,3,)</f>
        <v>587000</v>
      </c>
      <c r="C2194" s="43">
        <f t="shared" si="68"/>
        <v>21000</v>
      </c>
      <c r="D2194" s="43">
        <f>VLOOKUP(A2194,Database!F:H,2,)</f>
        <v>4548000</v>
      </c>
      <c r="E2194" s="43">
        <f t="shared" si="69"/>
        <v>103000</v>
      </c>
    </row>
    <row r="2195" spans="1:5" x14ac:dyDescent="0.2">
      <c r="A2195" s="42">
        <v>39809</v>
      </c>
      <c r="B2195" s="43">
        <f>VLOOKUP(A2195,Database!F:H,3,)</f>
        <v>533000</v>
      </c>
      <c r="C2195" s="43">
        <f t="shared" si="68"/>
        <v>-54000</v>
      </c>
      <c r="D2195" s="43">
        <f>VLOOKUP(A2195,Database!F:H,2,)</f>
        <v>4679000</v>
      </c>
      <c r="E2195" s="43">
        <f t="shared" si="69"/>
        <v>131000</v>
      </c>
    </row>
    <row r="2196" spans="1:5" x14ac:dyDescent="0.2">
      <c r="A2196" s="42">
        <v>39816</v>
      </c>
      <c r="B2196" s="43">
        <f>VLOOKUP(A2196,Database!F:H,3,)</f>
        <v>503000</v>
      </c>
      <c r="C2196" s="43">
        <f t="shared" si="68"/>
        <v>-30000</v>
      </c>
      <c r="D2196" s="43">
        <f>VLOOKUP(A2196,Database!F:H,2,)</f>
        <v>4692000</v>
      </c>
      <c r="E2196" s="43">
        <f t="shared" si="69"/>
        <v>13000</v>
      </c>
    </row>
    <row r="2197" spans="1:5" x14ac:dyDescent="0.2">
      <c r="A2197" s="42">
        <v>39823</v>
      </c>
      <c r="B2197" s="43">
        <f>VLOOKUP(A2197,Database!F:H,3,)</f>
        <v>551000</v>
      </c>
      <c r="C2197" s="43">
        <f t="shared" si="68"/>
        <v>48000</v>
      </c>
      <c r="D2197" s="43">
        <f>VLOOKUP(A2197,Database!F:H,2,)</f>
        <v>4760000</v>
      </c>
      <c r="E2197" s="43">
        <f t="shared" si="69"/>
        <v>68000</v>
      </c>
    </row>
    <row r="2198" spans="1:5" x14ac:dyDescent="0.2">
      <c r="A2198" s="42">
        <v>39830</v>
      </c>
      <c r="B2198" s="43">
        <f>VLOOKUP(A2198,Database!F:H,3,)</f>
        <v>591000</v>
      </c>
      <c r="C2198" s="43">
        <f t="shared" si="68"/>
        <v>40000</v>
      </c>
      <c r="D2198" s="43">
        <f>VLOOKUP(A2198,Database!F:H,2,)</f>
        <v>4864000</v>
      </c>
      <c r="E2198" s="43">
        <f t="shared" si="69"/>
        <v>104000</v>
      </c>
    </row>
    <row r="2199" spans="1:5" x14ac:dyDescent="0.2">
      <c r="A2199" s="42">
        <v>39837</v>
      </c>
      <c r="B2199" s="43">
        <f>VLOOKUP(A2199,Database!F:H,3,)</f>
        <v>586000</v>
      </c>
      <c r="C2199" s="43">
        <f t="shared" si="68"/>
        <v>-5000</v>
      </c>
      <c r="D2199" s="43">
        <f>VLOOKUP(A2199,Database!F:H,2,)</f>
        <v>4980000</v>
      </c>
      <c r="E2199" s="43">
        <f t="shared" si="69"/>
        <v>116000</v>
      </c>
    </row>
    <row r="2200" spans="1:5" x14ac:dyDescent="0.2">
      <c r="A2200" s="42">
        <v>39844</v>
      </c>
      <c r="B2200" s="43">
        <f>VLOOKUP(A2200,Database!F:H,3,)</f>
        <v>629000</v>
      </c>
      <c r="C2200" s="43">
        <f t="shared" si="68"/>
        <v>43000</v>
      </c>
      <c r="D2200" s="43">
        <f>VLOOKUP(A2200,Database!F:H,2,)</f>
        <v>5010000</v>
      </c>
      <c r="E2200" s="43">
        <f t="shared" si="69"/>
        <v>30000</v>
      </c>
    </row>
    <row r="2201" spans="1:5" x14ac:dyDescent="0.2">
      <c r="A2201" s="42">
        <v>39851</v>
      </c>
      <c r="B2201" s="43">
        <f>VLOOKUP(A2201,Database!F:H,3,)</f>
        <v>637000</v>
      </c>
      <c r="C2201" s="43">
        <f t="shared" si="68"/>
        <v>8000</v>
      </c>
      <c r="D2201" s="43">
        <f>VLOOKUP(A2201,Database!F:H,2,)</f>
        <v>5157000</v>
      </c>
      <c r="E2201" s="43">
        <f t="shared" si="69"/>
        <v>147000</v>
      </c>
    </row>
    <row r="2202" spans="1:5" x14ac:dyDescent="0.2">
      <c r="A2202" s="42">
        <v>39858</v>
      </c>
      <c r="B2202" s="43">
        <f>VLOOKUP(A2202,Database!F:H,3,)</f>
        <v>632000</v>
      </c>
      <c r="C2202" s="43">
        <f t="shared" si="68"/>
        <v>-5000</v>
      </c>
      <c r="D2202" s="43">
        <f>VLOOKUP(A2202,Database!F:H,2,)</f>
        <v>5279000</v>
      </c>
      <c r="E2202" s="43">
        <f t="shared" si="69"/>
        <v>122000</v>
      </c>
    </row>
    <row r="2203" spans="1:5" x14ac:dyDescent="0.2">
      <c r="A2203" s="42">
        <v>39865</v>
      </c>
      <c r="B2203" s="43">
        <f>VLOOKUP(A2203,Database!F:H,3,)</f>
        <v>655000</v>
      </c>
      <c r="C2203" s="43">
        <f t="shared" si="68"/>
        <v>23000</v>
      </c>
      <c r="D2203" s="43">
        <f>VLOOKUP(A2203,Database!F:H,2,)</f>
        <v>5307000</v>
      </c>
      <c r="E2203" s="43">
        <f t="shared" si="69"/>
        <v>28000</v>
      </c>
    </row>
    <row r="2204" spans="1:5" x14ac:dyDescent="0.2">
      <c r="A2204" s="42">
        <v>39872</v>
      </c>
      <c r="B2204" s="43">
        <f>VLOOKUP(A2204,Database!F:H,3,)</f>
        <v>652000</v>
      </c>
      <c r="C2204" s="43">
        <f t="shared" si="68"/>
        <v>-3000</v>
      </c>
      <c r="D2204" s="43">
        <f>VLOOKUP(A2204,Database!F:H,2,)</f>
        <v>5445000</v>
      </c>
      <c r="E2204" s="43">
        <f t="shared" si="69"/>
        <v>138000</v>
      </c>
    </row>
    <row r="2205" spans="1:5" x14ac:dyDescent="0.2">
      <c r="A2205" s="42">
        <v>39879</v>
      </c>
      <c r="B2205" s="43">
        <f>VLOOKUP(A2205,Database!F:H,3,)</f>
        <v>660000</v>
      </c>
      <c r="C2205" s="43">
        <f t="shared" si="68"/>
        <v>8000</v>
      </c>
      <c r="D2205" s="43">
        <f>VLOOKUP(A2205,Database!F:H,2,)</f>
        <v>5600000</v>
      </c>
      <c r="E2205" s="43">
        <f t="shared" si="69"/>
        <v>155000</v>
      </c>
    </row>
    <row r="2206" spans="1:5" x14ac:dyDescent="0.2">
      <c r="A2206" s="42">
        <v>39886</v>
      </c>
      <c r="B2206" s="43">
        <f>VLOOKUP(A2206,Database!F:H,3,)</f>
        <v>651000</v>
      </c>
      <c r="C2206" s="43">
        <f t="shared" si="68"/>
        <v>-9000</v>
      </c>
      <c r="D2206" s="43">
        <f>VLOOKUP(A2206,Database!F:H,2,)</f>
        <v>5699000</v>
      </c>
      <c r="E2206" s="43">
        <f t="shared" si="69"/>
        <v>99000</v>
      </c>
    </row>
    <row r="2207" spans="1:5" x14ac:dyDescent="0.2">
      <c r="A2207" s="42">
        <v>39893</v>
      </c>
      <c r="B2207" s="43">
        <f>VLOOKUP(A2207,Database!F:H,3,)</f>
        <v>661000</v>
      </c>
      <c r="C2207" s="43">
        <f t="shared" si="68"/>
        <v>10000</v>
      </c>
      <c r="D2207" s="43">
        <f>VLOOKUP(A2207,Database!F:H,2,)</f>
        <v>5829000</v>
      </c>
      <c r="E2207" s="43">
        <f t="shared" si="69"/>
        <v>130000</v>
      </c>
    </row>
    <row r="2208" spans="1:5" x14ac:dyDescent="0.2">
      <c r="A2208" s="42">
        <v>39900</v>
      </c>
      <c r="B2208" s="43">
        <f>VLOOKUP(A2208,Database!F:H,3,)</f>
        <v>665000</v>
      </c>
      <c r="C2208" s="43">
        <f t="shared" si="68"/>
        <v>4000</v>
      </c>
      <c r="D2208" s="43">
        <f>VLOOKUP(A2208,Database!F:H,2,)</f>
        <v>5935000</v>
      </c>
      <c r="E2208" s="43">
        <f t="shared" si="69"/>
        <v>106000</v>
      </c>
    </row>
    <row r="2209" spans="1:5" x14ac:dyDescent="0.2">
      <c r="A2209" s="42">
        <v>39907</v>
      </c>
      <c r="B2209" s="43">
        <f>VLOOKUP(A2209,Database!F:H,3,)</f>
        <v>653000</v>
      </c>
      <c r="C2209" s="43">
        <f t="shared" si="68"/>
        <v>-12000</v>
      </c>
      <c r="D2209" s="43">
        <f>VLOOKUP(A2209,Database!F:H,2,)</f>
        <v>6044000</v>
      </c>
      <c r="E2209" s="43">
        <f t="shared" si="69"/>
        <v>109000</v>
      </c>
    </row>
    <row r="2210" spans="1:5" x14ac:dyDescent="0.2">
      <c r="A2210" s="42">
        <v>39914</v>
      </c>
      <c r="B2210" s="43">
        <f>VLOOKUP(A2210,Database!F:H,3,)</f>
        <v>599000</v>
      </c>
      <c r="C2210" s="43">
        <f t="shared" si="68"/>
        <v>-54000</v>
      </c>
      <c r="D2210" s="43">
        <f>VLOOKUP(A2210,Database!F:H,2,)</f>
        <v>6130000</v>
      </c>
      <c r="E2210" s="43">
        <f t="shared" si="69"/>
        <v>86000</v>
      </c>
    </row>
    <row r="2211" spans="1:5" x14ac:dyDescent="0.2">
      <c r="A2211" s="42">
        <v>39921</v>
      </c>
      <c r="B2211" s="43">
        <f>VLOOKUP(A2211,Database!F:H,3,)</f>
        <v>639000</v>
      </c>
      <c r="C2211" s="43">
        <f t="shared" si="68"/>
        <v>40000</v>
      </c>
      <c r="D2211" s="43">
        <f>VLOOKUP(A2211,Database!F:H,2,)</f>
        <v>6264000</v>
      </c>
      <c r="E2211" s="43">
        <f t="shared" si="69"/>
        <v>134000</v>
      </c>
    </row>
    <row r="2212" spans="1:5" x14ac:dyDescent="0.2">
      <c r="A2212" s="42">
        <v>39928</v>
      </c>
      <c r="B2212" s="43">
        <f>VLOOKUP(A2212,Database!F:H,3,)</f>
        <v>620000</v>
      </c>
      <c r="C2212" s="43">
        <f t="shared" si="68"/>
        <v>-19000</v>
      </c>
      <c r="D2212" s="43">
        <f>VLOOKUP(A2212,Database!F:H,2,)</f>
        <v>6300000</v>
      </c>
      <c r="E2212" s="43">
        <f t="shared" si="69"/>
        <v>36000</v>
      </c>
    </row>
    <row r="2213" spans="1:5" x14ac:dyDescent="0.2">
      <c r="A2213" s="42">
        <v>39935</v>
      </c>
      <c r="B2213" s="43">
        <f>VLOOKUP(A2213,Database!F:H,3,)</f>
        <v>602000</v>
      </c>
      <c r="C2213" s="43">
        <f t="shared" si="68"/>
        <v>-18000</v>
      </c>
      <c r="D2213" s="43">
        <f>VLOOKUP(A2213,Database!F:H,2,)</f>
        <v>6416000</v>
      </c>
      <c r="E2213" s="43">
        <f t="shared" si="69"/>
        <v>116000</v>
      </c>
    </row>
    <row r="2214" spans="1:5" x14ac:dyDescent="0.2">
      <c r="A2214" s="42">
        <v>39942</v>
      </c>
      <c r="B2214" s="43">
        <f>VLOOKUP(A2214,Database!F:H,3,)</f>
        <v>625000</v>
      </c>
      <c r="C2214" s="43">
        <f t="shared" si="68"/>
        <v>23000</v>
      </c>
      <c r="D2214" s="43">
        <f>VLOOKUP(A2214,Database!F:H,2,)</f>
        <v>6516000</v>
      </c>
      <c r="E2214" s="43">
        <f t="shared" si="69"/>
        <v>100000</v>
      </c>
    </row>
    <row r="2215" spans="1:5" x14ac:dyDescent="0.2">
      <c r="A2215" s="42">
        <v>39949</v>
      </c>
      <c r="B2215" s="43">
        <f>VLOOKUP(A2215,Database!F:H,3,)</f>
        <v>620000</v>
      </c>
      <c r="C2215" s="43">
        <f t="shared" si="68"/>
        <v>-5000</v>
      </c>
      <c r="D2215" s="43">
        <f>VLOOKUP(A2215,Database!F:H,2,)</f>
        <v>6539000</v>
      </c>
      <c r="E2215" s="43">
        <f t="shared" si="69"/>
        <v>23000</v>
      </c>
    </row>
    <row r="2216" spans="1:5" x14ac:dyDescent="0.2">
      <c r="A2216" s="42">
        <v>39956</v>
      </c>
      <c r="B2216" s="43">
        <f>VLOOKUP(A2216,Database!F:H,3,)</f>
        <v>606000</v>
      </c>
      <c r="C2216" s="43">
        <f t="shared" si="68"/>
        <v>-14000</v>
      </c>
      <c r="D2216" s="43">
        <f>VLOOKUP(A2216,Database!F:H,2,)</f>
        <v>6522000</v>
      </c>
      <c r="E2216" s="43">
        <f t="shared" si="69"/>
        <v>-17000</v>
      </c>
    </row>
    <row r="2217" spans="1:5" x14ac:dyDescent="0.2">
      <c r="A2217" s="42">
        <v>39963</v>
      </c>
      <c r="B2217" s="43">
        <f>VLOOKUP(A2217,Database!F:H,3,)</f>
        <v>607000</v>
      </c>
      <c r="C2217" s="43">
        <f t="shared" si="68"/>
        <v>1000</v>
      </c>
      <c r="D2217" s="43">
        <f>VLOOKUP(A2217,Database!F:H,2,)</f>
        <v>6635000</v>
      </c>
      <c r="E2217" s="43">
        <f t="shared" si="69"/>
        <v>113000</v>
      </c>
    </row>
    <row r="2218" spans="1:5" x14ac:dyDescent="0.2">
      <c r="A2218" s="42">
        <v>39970</v>
      </c>
      <c r="B2218" s="43">
        <f>VLOOKUP(A2218,Database!F:H,3,)</f>
        <v>596000</v>
      </c>
      <c r="C2218" s="43">
        <f t="shared" si="68"/>
        <v>-11000</v>
      </c>
      <c r="D2218" s="43">
        <f>VLOOKUP(A2218,Database!F:H,2,)</f>
        <v>6506000</v>
      </c>
      <c r="E2218" s="43">
        <f t="shared" si="69"/>
        <v>-129000</v>
      </c>
    </row>
    <row r="2219" spans="1:5" x14ac:dyDescent="0.2">
      <c r="A2219" s="42">
        <v>39977</v>
      </c>
      <c r="B2219" s="43">
        <f>VLOOKUP(A2219,Database!F:H,3,)</f>
        <v>595000</v>
      </c>
      <c r="C2219" s="43">
        <f t="shared" si="68"/>
        <v>-1000</v>
      </c>
      <c r="D2219" s="43">
        <f>VLOOKUP(A2219,Database!F:H,2,)</f>
        <v>6525000</v>
      </c>
      <c r="E2219" s="43">
        <f t="shared" si="69"/>
        <v>19000</v>
      </c>
    </row>
    <row r="2220" spans="1:5" x14ac:dyDescent="0.2">
      <c r="A2220" s="42">
        <v>39984</v>
      </c>
      <c r="B2220" s="43">
        <f>VLOOKUP(A2220,Database!F:H,3,)</f>
        <v>608000</v>
      </c>
      <c r="C2220" s="43">
        <f t="shared" si="68"/>
        <v>13000</v>
      </c>
      <c r="D2220" s="43">
        <f>VLOOKUP(A2220,Database!F:H,2,)</f>
        <v>6488000</v>
      </c>
      <c r="E2220" s="43">
        <f t="shared" si="69"/>
        <v>-37000</v>
      </c>
    </row>
    <row r="2221" spans="1:5" x14ac:dyDescent="0.2">
      <c r="A2221" s="42">
        <v>39991</v>
      </c>
      <c r="B2221" s="43">
        <f>VLOOKUP(A2221,Database!F:H,3,)</f>
        <v>594000</v>
      </c>
      <c r="C2221" s="43">
        <f t="shared" si="68"/>
        <v>-14000</v>
      </c>
      <c r="D2221" s="43">
        <f>VLOOKUP(A2221,Database!F:H,2,)</f>
        <v>6618000</v>
      </c>
      <c r="E2221" s="43">
        <f t="shared" si="69"/>
        <v>130000</v>
      </c>
    </row>
    <row r="2222" spans="1:5" x14ac:dyDescent="0.2">
      <c r="A2222" s="42">
        <v>39998</v>
      </c>
      <c r="B2222" s="43">
        <f>VLOOKUP(A2222,Database!F:H,3,)</f>
        <v>573000</v>
      </c>
      <c r="C2222" s="43">
        <f t="shared" si="68"/>
        <v>-21000</v>
      </c>
      <c r="D2222" s="43">
        <f>VLOOKUP(A2222,Database!F:H,2,)</f>
        <v>6145000</v>
      </c>
      <c r="E2222" s="43">
        <f t="shared" si="69"/>
        <v>-473000</v>
      </c>
    </row>
    <row r="2223" spans="1:5" x14ac:dyDescent="0.2">
      <c r="A2223" s="42">
        <v>40005</v>
      </c>
      <c r="B2223" s="43">
        <f>VLOOKUP(A2223,Database!F:H,3,)</f>
        <v>546000</v>
      </c>
      <c r="C2223" s="43">
        <f t="shared" si="68"/>
        <v>-27000</v>
      </c>
      <c r="D2223" s="43">
        <f>VLOOKUP(A2223,Database!F:H,2,)</f>
        <v>6136000</v>
      </c>
      <c r="E2223" s="43">
        <f t="shared" si="69"/>
        <v>-9000</v>
      </c>
    </row>
    <row r="2224" spans="1:5" x14ac:dyDescent="0.2">
      <c r="A2224" s="42">
        <v>40012</v>
      </c>
      <c r="B2224" s="43">
        <f>VLOOKUP(A2224,Database!F:H,3,)</f>
        <v>560000</v>
      </c>
      <c r="C2224" s="43">
        <f t="shared" si="68"/>
        <v>14000</v>
      </c>
      <c r="D2224" s="43">
        <f>VLOOKUP(A2224,Database!F:H,2,)</f>
        <v>6118000</v>
      </c>
      <c r="E2224" s="43">
        <f t="shared" si="69"/>
        <v>-18000</v>
      </c>
    </row>
    <row r="2225" spans="1:5" x14ac:dyDescent="0.2">
      <c r="A2225" s="42">
        <v>40019</v>
      </c>
      <c r="B2225" s="43">
        <f>VLOOKUP(A2225,Database!F:H,3,)</f>
        <v>587000</v>
      </c>
      <c r="C2225" s="43">
        <f t="shared" si="68"/>
        <v>27000</v>
      </c>
      <c r="D2225" s="43">
        <f>VLOOKUP(A2225,Database!F:H,2,)</f>
        <v>6157000</v>
      </c>
      <c r="E2225" s="43">
        <f t="shared" si="69"/>
        <v>39000</v>
      </c>
    </row>
    <row r="2226" spans="1:5" x14ac:dyDescent="0.2">
      <c r="A2226" s="42">
        <v>40026</v>
      </c>
      <c r="B2226" s="43">
        <f>VLOOKUP(A2226,Database!F:H,3,)</f>
        <v>555000</v>
      </c>
      <c r="C2226" s="43">
        <f t="shared" si="68"/>
        <v>-32000</v>
      </c>
      <c r="D2226" s="43">
        <f>VLOOKUP(A2226,Database!F:H,2,)</f>
        <v>6111000</v>
      </c>
      <c r="E2226" s="43">
        <f t="shared" si="69"/>
        <v>-46000</v>
      </c>
    </row>
    <row r="2227" spans="1:5" x14ac:dyDescent="0.2">
      <c r="A2227" s="42">
        <v>40033</v>
      </c>
      <c r="B2227" s="43">
        <f>VLOOKUP(A2227,Database!F:H,3,)</f>
        <v>555000</v>
      </c>
      <c r="C2227" s="43">
        <f t="shared" si="68"/>
        <v>0</v>
      </c>
      <c r="D2227" s="43">
        <f>VLOOKUP(A2227,Database!F:H,2,)</f>
        <v>6090000</v>
      </c>
      <c r="E2227" s="43">
        <f t="shared" si="69"/>
        <v>-21000</v>
      </c>
    </row>
    <row r="2228" spans="1:5" x14ac:dyDescent="0.2">
      <c r="A2228" s="42">
        <v>40040</v>
      </c>
      <c r="B2228" s="43">
        <f>VLOOKUP(A2228,Database!F:H,3,)</f>
        <v>562000</v>
      </c>
      <c r="C2228" s="43">
        <f t="shared" si="68"/>
        <v>7000</v>
      </c>
      <c r="D2228" s="43">
        <f>VLOOKUP(A2228,Database!F:H,2,)</f>
        <v>6008000</v>
      </c>
      <c r="E2228" s="43">
        <f t="shared" si="69"/>
        <v>-82000</v>
      </c>
    </row>
    <row r="2229" spans="1:5" x14ac:dyDescent="0.2">
      <c r="A2229" s="42">
        <v>40047</v>
      </c>
      <c r="B2229" s="43">
        <f>VLOOKUP(A2229,Database!F:H,3,)</f>
        <v>560000</v>
      </c>
      <c r="C2229" s="43">
        <f t="shared" si="68"/>
        <v>-2000</v>
      </c>
      <c r="D2229" s="43">
        <f>VLOOKUP(A2229,Database!F:H,2,)</f>
        <v>6060000</v>
      </c>
      <c r="E2229" s="43">
        <f t="shared" si="69"/>
        <v>52000</v>
      </c>
    </row>
    <row r="2230" spans="1:5" x14ac:dyDescent="0.2">
      <c r="A2230" s="42">
        <v>40054</v>
      </c>
      <c r="B2230" s="43">
        <f>VLOOKUP(A2230,Database!F:H,3,)</f>
        <v>564000</v>
      </c>
      <c r="C2230" s="43">
        <f t="shared" si="68"/>
        <v>4000</v>
      </c>
      <c r="D2230" s="43">
        <f>VLOOKUP(A2230,Database!F:H,2,)</f>
        <v>5970000</v>
      </c>
      <c r="E2230" s="43">
        <f t="shared" si="69"/>
        <v>-90000</v>
      </c>
    </row>
    <row r="2231" spans="1:5" x14ac:dyDescent="0.2">
      <c r="A2231" s="42">
        <v>40061</v>
      </c>
      <c r="B2231" s="43">
        <f>VLOOKUP(A2231,Database!F:H,3,)</f>
        <v>558000</v>
      </c>
      <c r="C2231" s="43">
        <f t="shared" si="68"/>
        <v>-6000</v>
      </c>
      <c r="D2231" s="43">
        <f>VLOOKUP(A2231,Database!F:H,2,)</f>
        <v>6079000</v>
      </c>
      <c r="E2231" s="43">
        <f t="shared" si="69"/>
        <v>109000</v>
      </c>
    </row>
    <row r="2232" spans="1:5" x14ac:dyDescent="0.2">
      <c r="A2232" s="42">
        <v>40068</v>
      </c>
      <c r="B2232" s="43">
        <f>VLOOKUP(A2232,Database!F:H,3,)</f>
        <v>542000</v>
      </c>
      <c r="C2232" s="43">
        <f t="shared" si="68"/>
        <v>-16000</v>
      </c>
      <c r="D2232" s="43">
        <f>VLOOKUP(A2232,Database!F:H,2,)</f>
        <v>6006000</v>
      </c>
      <c r="E2232" s="43">
        <f t="shared" si="69"/>
        <v>-73000</v>
      </c>
    </row>
    <row r="2233" spans="1:5" x14ac:dyDescent="0.2">
      <c r="A2233" s="42">
        <v>40075</v>
      </c>
      <c r="B2233" s="43">
        <f>VLOOKUP(A2233,Database!F:H,3,)</f>
        <v>536000</v>
      </c>
      <c r="C2233" s="43">
        <f t="shared" si="68"/>
        <v>-6000</v>
      </c>
      <c r="D2233" s="43">
        <f>VLOOKUP(A2233,Database!F:H,2,)</f>
        <v>5942000</v>
      </c>
      <c r="E2233" s="43">
        <f t="shared" si="69"/>
        <v>-64000</v>
      </c>
    </row>
    <row r="2234" spans="1:5" x14ac:dyDescent="0.2">
      <c r="A2234" s="42">
        <v>40082</v>
      </c>
      <c r="B2234" s="43">
        <f>VLOOKUP(A2234,Database!F:H,3,)</f>
        <v>554000</v>
      </c>
      <c r="C2234" s="43">
        <f t="shared" si="68"/>
        <v>18000</v>
      </c>
      <c r="D2234" s="43">
        <f>VLOOKUP(A2234,Database!F:H,2,)</f>
        <v>5912000</v>
      </c>
      <c r="E2234" s="43">
        <f t="shared" si="69"/>
        <v>-30000</v>
      </c>
    </row>
    <row r="2235" spans="1:5" x14ac:dyDescent="0.2">
      <c r="A2235" s="42">
        <v>40089</v>
      </c>
      <c r="B2235" s="43">
        <f>VLOOKUP(A2235,Database!F:H,3,)</f>
        <v>533000</v>
      </c>
      <c r="C2235" s="43">
        <f t="shared" si="68"/>
        <v>-21000</v>
      </c>
      <c r="D2235" s="43">
        <f>VLOOKUP(A2235,Database!F:H,2,)</f>
        <v>5900000</v>
      </c>
      <c r="E2235" s="43">
        <f t="shared" si="69"/>
        <v>-12000</v>
      </c>
    </row>
    <row r="2236" spans="1:5" x14ac:dyDescent="0.2">
      <c r="A2236" s="42">
        <v>40096</v>
      </c>
      <c r="B2236" s="43">
        <f>VLOOKUP(A2236,Database!F:H,3,)</f>
        <v>511000</v>
      </c>
      <c r="C2236" s="43">
        <f t="shared" si="68"/>
        <v>-22000</v>
      </c>
      <c r="D2236" s="43">
        <f>VLOOKUP(A2236,Database!F:H,2,)</f>
        <v>5828000</v>
      </c>
      <c r="E2236" s="43">
        <f t="shared" si="69"/>
        <v>-72000</v>
      </c>
    </row>
    <row r="2237" spans="1:5" x14ac:dyDescent="0.2">
      <c r="A2237" s="42">
        <v>40103</v>
      </c>
      <c r="B2237" s="43">
        <f>VLOOKUP(A2237,Database!F:H,3,)</f>
        <v>531000</v>
      </c>
      <c r="C2237" s="43">
        <f t="shared" si="68"/>
        <v>20000</v>
      </c>
      <c r="D2237" s="43">
        <f>VLOOKUP(A2237,Database!F:H,2,)</f>
        <v>5746000</v>
      </c>
      <c r="E2237" s="43">
        <f t="shared" si="69"/>
        <v>-82000</v>
      </c>
    </row>
    <row r="2238" spans="1:5" x14ac:dyDescent="0.2">
      <c r="A2238" s="42">
        <v>40110</v>
      </c>
      <c r="B2238" s="43">
        <f>VLOOKUP(A2238,Database!F:H,3,)</f>
        <v>530000</v>
      </c>
      <c r="C2238" s="43">
        <f t="shared" si="68"/>
        <v>-1000</v>
      </c>
      <c r="D2238" s="43">
        <f>VLOOKUP(A2238,Database!F:H,2,)</f>
        <v>5705000</v>
      </c>
      <c r="E2238" s="43">
        <f t="shared" si="69"/>
        <v>-41000</v>
      </c>
    </row>
    <row r="2239" spans="1:5" x14ac:dyDescent="0.2">
      <c r="A2239" s="42">
        <v>40117</v>
      </c>
      <c r="B2239" s="43">
        <f>VLOOKUP(A2239,Database!F:H,3,)</f>
        <v>522000</v>
      </c>
      <c r="C2239" s="43">
        <f t="shared" si="68"/>
        <v>-8000</v>
      </c>
      <c r="D2239" s="43">
        <f>VLOOKUP(A2239,Database!F:H,2,)</f>
        <v>5649000</v>
      </c>
      <c r="E2239" s="43">
        <f t="shared" si="69"/>
        <v>-56000</v>
      </c>
    </row>
    <row r="2240" spans="1:5" x14ac:dyDescent="0.2">
      <c r="A2240" s="42">
        <v>40124</v>
      </c>
      <c r="B2240" s="43">
        <f>VLOOKUP(A2240,Database!F:H,3,)</f>
        <v>512000</v>
      </c>
      <c r="C2240" s="43">
        <f t="shared" si="68"/>
        <v>-10000</v>
      </c>
      <c r="D2240" s="43">
        <f>VLOOKUP(A2240,Database!F:H,2,)</f>
        <v>5568000</v>
      </c>
      <c r="E2240" s="43">
        <f t="shared" si="69"/>
        <v>-81000</v>
      </c>
    </row>
    <row r="2241" spans="1:5" x14ac:dyDescent="0.2">
      <c r="A2241" s="42">
        <v>40131</v>
      </c>
      <c r="B2241" s="43">
        <f>VLOOKUP(A2241,Database!F:H,3,)</f>
        <v>507000</v>
      </c>
      <c r="C2241" s="43">
        <f t="shared" si="68"/>
        <v>-5000</v>
      </c>
      <c r="D2241" s="43">
        <f>VLOOKUP(A2241,Database!F:H,2,)</f>
        <v>5462000</v>
      </c>
      <c r="E2241" s="43">
        <f t="shared" si="69"/>
        <v>-106000</v>
      </c>
    </row>
    <row r="2242" spans="1:5" x14ac:dyDescent="0.2">
      <c r="A2242" s="42">
        <v>40138</v>
      </c>
      <c r="B2242" s="43">
        <f>VLOOKUP(A2242,Database!F:H,3,)</f>
        <v>482000</v>
      </c>
      <c r="C2242" s="43">
        <f t="shared" si="68"/>
        <v>-25000</v>
      </c>
      <c r="D2242" s="43">
        <f>VLOOKUP(A2242,Database!F:H,2,)</f>
        <v>5489000</v>
      </c>
      <c r="E2242" s="43">
        <f t="shared" si="69"/>
        <v>27000</v>
      </c>
    </row>
    <row r="2243" spans="1:5" x14ac:dyDescent="0.2">
      <c r="A2243" s="42">
        <v>40145</v>
      </c>
      <c r="B2243" s="43">
        <f>VLOOKUP(A2243,Database!F:H,3,)</f>
        <v>475000</v>
      </c>
      <c r="C2243" s="43">
        <f t="shared" si="68"/>
        <v>-7000</v>
      </c>
      <c r="D2243" s="43">
        <f>VLOOKUP(A2243,Database!F:H,2,)</f>
        <v>5323000</v>
      </c>
      <c r="E2243" s="43">
        <f t="shared" si="69"/>
        <v>-166000</v>
      </c>
    </row>
    <row r="2244" spans="1:5" x14ac:dyDescent="0.2">
      <c r="A2244" s="42">
        <v>40152</v>
      </c>
      <c r="B2244" s="43">
        <f>VLOOKUP(A2244,Database!F:H,3,)</f>
        <v>497000</v>
      </c>
      <c r="C2244" s="43">
        <f t="shared" si="68"/>
        <v>22000</v>
      </c>
      <c r="D2244" s="43">
        <f>VLOOKUP(A2244,Database!F:H,2,)</f>
        <v>5289000</v>
      </c>
      <c r="E2244" s="43">
        <f t="shared" si="69"/>
        <v>-34000</v>
      </c>
    </row>
    <row r="2245" spans="1:5" x14ac:dyDescent="0.2">
      <c r="A2245" s="42">
        <v>40159</v>
      </c>
      <c r="B2245" s="43">
        <f>VLOOKUP(A2245,Database!F:H,3,)</f>
        <v>498000</v>
      </c>
      <c r="C2245" s="43">
        <f t="shared" si="68"/>
        <v>1000</v>
      </c>
      <c r="D2245" s="43">
        <f>VLOOKUP(A2245,Database!F:H,2,)</f>
        <v>5191000</v>
      </c>
      <c r="E2245" s="43">
        <f t="shared" si="69"/>
        <v>-98000</v>
      </c>
    </row>
    <row r="2246" spans="1:5" x14ac:dyDescent="0.2">
      <c r="A2246" s="42">
        <v>40166</v>
      </c>
      <c r="B2246" s="43">
        <f>VLOOKUP(A2246,Database!F:H,3,)</f>
        <v>479000</v>
      </c>
      <c r="C2246" s="43">
        <f t="shared" si="68"/>
        <v>-19000</v>
      </c>
      <c r="D2246" s="43">
        <f>VLOOKUP(A2246,Database!F:H,2,)</f>
        <v>5100000</v>
      </c>
      <c r="E2246" s="43">
        <f t="shared" si="69"/>
        <v>-91000</v>
      </c>
    </row>
    <row r="2247" spans="1:5" x14ac:dyDescent="0.2">
      <c r="A2247" s="42">
        <v>40173</v>
      </c>
      <c r="B2247" s="43">
        <f>VLOOKUP(A2247,Database!F:H,3,)</f>
        <v>468000</v>
      </c>
      <c r="C2247" s="43">
        <f t="shared" si="68"/>
        <v>-11000</v>
      </c>
      <c r="D2247" s="43">
        <f>VLOOKUP(A2247,Database!F:H,2,)</f>
        <v>4987000</v>
      </c>
      <c r="E2247" s="43">
        <f t="shared" si="69"/>
        <v>-113000</v>
      </c>
    </row>
    <row r="2248" spans="1:5" x14ac:dyDescent="0.2">
      <c r="A2248" s="42">
        <v>40180</v>
      </c>
      <c r="B2248" s="43">
        <f>VLOOKUP(A2248,Database!F:H,3,)</f>
        <v>456000</v>
      </c>
      <c r="C2248" s="43">
        <f t="shared" ref="C2248:C2311" si="70">B2248-B2247</f>
        <v>-12000</v>
      </c>
      <c r="D2248" s="43">
        <f>VLOOKUP(A2248,Database!F:H,2,)</f>
        <v>4870000</v>
      </c>
      <c r="E2248" s="43">
        <f t="shared" ref="E2248:E2311" si="71">D2248-D2247</f>
        <v>-117000</v>
      </c>
    </row>
    <row r="2249" spans="1:5" x14ac:dyDescent="0.2">
      <c r="A2249" s="42">
        <v>40187</v>
      </c>
      <c r="B2249" s="43">
        <f>VLOOKUP(A2249,Database!F:H,3,)</f>
        <v>469000</v>
      </c>
      <c r="C2249" s="43">
        <f t="shared" si="70"/>
        <v>13000</v>
      </c>
      <c r="D2249" s="43">
        <f>VLOOKUP(A2249,Database!F:H,2,)</f>
        <v>4879000</v>
      </c>
      <c r="E2249" s="43">
        <f t="shared" si="71"/>
        <v>9000</v>
      </c>
    </row>
    <row r="2250" spans="1:5" x14ac:dyDescent="0.2">
      <c r="A2250" s="42">
        <v>40194</v>
      </c>
      <c r="B2250" s="43">
        <f>VLOOKUP(A2250,Database!F:H,3,)</f>
        <v>507000</v>
      </c>
      <c r="C2250" s="43">
        <f t="shared" si="70"/>
        <v>38000</v>
      </c>
      <c r="D2250" s="43">
        <f>VLOOKUP(A2250,Database!F:H,2,)</f>
        <v>4809000</v>
      </c>
      <c r="E2250" s="43">
        <f t="shared" si="71"/>
        <v>-70000</v>
      </c>
    </row>
    <row r="2251" spans="1:5" x14ac:dyDescent="0.2">
      <c r="A2251" s="42">
        <v>40201</v>
      </c>
      <c r="B2251" s="43">
        <f>VLOOKUP(A2251,Database!F:H,3,)</f>
        <v>471000</v>
      </c>
      <c r="C2251" s="43">
        <f t="shared" si="70"/>
        <v>-36000</v>
      </c>
      <c r="D2251" s="43">
        <f>VLOOKUP(A2251,Database!F:H,2,)</f>
        <v>4841000</v>
      </c>
      <c r="E2251" s="43">
        <f t="shared" si="71"/>
        <v>32000</v>
      </c>
    </row>
    <row r="2252" spans="1:5" x14ac:dyDescent="0.2">
      <c r="A2252" s="42">
        <v>40208</v>
      </c>
      <c r="B2252" s="43">
        <f>VLOOKUP(A2252,Database!F:H,3,)</f>
        <v>496000</v>
      </c>
      <c r="C2252" s="43">
        <f t="shared" si="70"/>
        <v>25000</v>
      </c>
      <c r="D2252" s="43">
        <f>VLOOKUP(A2252,Database!F:H,2,)</f>
        <v>4796000</v>
      </c>
      <c r="E2252" s="43">
        <f t="shared" si="71"/>
        <v>-45000</v>
      </c>
    </row>
    <row r="2253" spans="1:5" x14ac:dyDescent="0.2">
      <c r="A2253" s="42">
        <v>40215</v>
      </c>
      <c r="B2253" s="43">
        <f>VLOOKUP(A2253,Database!F:H,3,)</f>
        <v>466000</v>
      </c>
      <c r="C2253" s="43">
        <f t="shared" si="70"/>
        <v>-30000</v>
      </c>
      <c r="D2253" s="43">
        <f>VLOOKUP(A2253,Database!F:H,2,)</f>
        <v>4838000</v>
      </c>
      <c r="E2253" s="43">
        <f t="shared" si="71"/>
        <v>42000</v>
      </c>
    </row>
    <row r="2254" spans="1:5" x14ac:dyDescent="0.2">
      <c r="A2254" s="42">
        <v>40222</v>
      </c>
      <c r="B2254" s="43">
        <f>VLOOKUP(A2254,Database!F:H,3,)</f>
        <v>489000</v>
      </c>
      <c r="C2254" s="43">
        <f t="shared" si="70"/>
        <v>23000</v>
      </c>
      <c r="D2254" s="43">
        <f>VLOOKUP(A2254,Database!F:H,2,)</f>
        <v>4815000</v>
      </c>
      <c r="E2254" s="43">
        <f t="shared" si="71"/>
        <v>-23000</v>
      </c>
    </row>
    <row r="2255" spans="1:5" x14ac:dyDescent="0.2">
      <c r="A2255" s="42">
        <v>40229</v>
      </c>
      <c r="B2255" s="43">
        <f>VLOOKUP(A2255,Database!F:H,3,)</f>
        <v>500000</v>
      </c>
      <c r="C2255" s="43">
        <f t="shared" si="70"/>
        <v>11000</v>
      </c>
      <c r="D2255" s="43">
        <f>VLOOKUP(A2255,Database!F:H,2,)</f>
        <v>4767000</v>
      </c>
      <c r="E2255" s="43">
        <f t="shared" si="71"/>
        <v>-48000</v>
      </c>
    </row>
    <row r="2256" spans="1:5" x14ac:dyDescent="0.2">
      <c r="A2256" s="42">
        <v>40236</v>
      </c>
      <c r="B2256" s="43">
        <f>VLOOKUP(A2256,Database!F:H,3,)</f>
        <v>488000</v>
      </c>
      <c r="C2256" s="43">
        <f t="shared" si="70"/>
        <v>-12000</v>
      </c>
      <c r="D2256" s="43">
        <f>VLOOKUP(A2256,Database!F:H,2,)</f>
        <v>4755000</v>
      </c>
      <c r="E2256" s="43">
        <f t="shared" si="71"/>
        <v>-12000</v>
      </c>
    </row>
    <row r="2257" spans="1:5" x14ac:dyDescent="0.2">
      <c r="A2257" s="42">
        <v>40243</v>
      </c>
      <c r="B2257" s="43">
        <f>VLOOKUP(A2257,Database!F:H,3,)</f>
        <v>472000</v>
      </c>
      <c r="C2257" s="43">
        <f t="shared" si="70"/>
        <v>-16000</v>
      </c>
      <c r="D2257" s="43">
        <f>VLOOKUP(A2257,Database!F:H,2,)</f>
        <v>4766000</v>
      </c>
      <c r="E2257" s="43">
        <f t="shared" si="71"/>
        <v>11000</v>
      </c>
    </row>
    <row r="2258" spans="1:5" x14ac:dyDescent="0.2">
      <c r="A2258" s="42">
        <v>40250</v>
      </c>
      <c r="B2258" s="43">
        <f>VLOOKUP(A2258,Database!F:H,3,)</f>
        <v>478000</v>
      </c>
      <c r="C2258" s="43">
        <f t="shared" si="70"/>
        <v>6000</v>
      </c>
      <c r="D2258" s="43">
        <f>VLOOKUP(A2258,Database!F:H,2,)</f>
        <v>4750000</v>
      </c>
      <c r="E2258" s="43">
        <f t="shared" si="71"/>
        <v>-16000</v>
      </c>
    </row>
    <row r="2259" spans="1:5" x14ac:dyDescent="0.2">
      <c r="A2259" s="42">
        <v>40257</v>
      </c>
      <c r="B2259" s="43">
        <f>VLOOKUP(A2259,Database!F:H,3,)</f>
        <v>472000</v>
      </c>
      <c r="C2259" s="43">
        <f t="shared" si="70"/>
        <v>-6000</v>
      </c>
      <c r="D2259" s="43">
        <f>VLOOKUP(A2259,Database!F:H,2,)</f>
        <v>4743000</v>
      </c>
      <c r="E2259" s="43">
        <f t="shared" si="71"/>
        <v>-7000</v>
      </c>
    </row>
    <row r="2260" spans="1:5" x14ac:dyDescent="0.2">
      <c r="A2260" s="42">
        <v>40264</v>
      </c>
      <c r="B2260" s="43">
        <f>VLOOKUP(A2260,Database!F:H,3,)</f>
        <v>459000</v>
      </c>
      <c r="C2260" s="43">
        <f t="shared" si="70"/>
        <v>-13000</v>
      </c>
      <c r="D2260" s="43">
        <f>VLOOKUP(A2260,Database!F:H,2,)</f>
        <v>4668000</v>
      </c>
      <c r="E2260" s="43">
        <f t="shared" si="71"/>
        <v>-75000</v>
      </c>
    </row>
    <row r="2261" spans="1:5" x14ac:dyDescent="0.2">
      <c r="A2261" s="42">
        <v>40271</v>
      </c>
      <c r="B2261" s="43">
        <f>VLOOKUP(A2261,Database!F:H,3,)</f>
        <v>479000</v>
      </c>
      <c r="C2261" s="43">
        <f t="shared" si="70"/>
        <v>20000</v>
      </c>
      <c r="D2261" s="43">
        <f>VLOOKUP(A2261,Database!F:H,2,)</f>
        <v>4755000</v>
      </c>
      <c r="E2261" s="43">
        <f t="shared" si="71"/>
        <v>87000</v>
      </c>
    </row>
    <row r="2262" spans="1:5" x14ac:dyDescent="0.2">
      <c r="A2262" s="42">
        <v>40278</v>
      </c>
      <c r="B2262" s="43">
        <f>VLOOKUP(A2262,Database!F:H,3,)</f>
        <v>479000</v>
      </c>
      <c r="C2262" s="43">
        <f t="shared" si="70"/>
        <v>0</v>
      </c>
      <c r="D2262" s="43">
        <f>VLOOKUP(A2262,Database!F:H,2,)</f>
        <v>4746000</v>
      </c>
      <c r="E2262" s="43">
        <f t="shared" si="71"/>
        <v>-9000</v>
      </c>
    </row>
    <row r="2263" spans="1:5" x14ac:dyDescent="0.2">
      <c r="A2263" s="42">
        <v>40285</v>
      </c>
      <c r="B2263" s="43">
        <f>VLOOKUP(A2263,Database!F:H,3,)</f>
        <v>469000</v>
      </c>
      <c r="C2263" s="43">
        <f t="shared" si="70"/>
        <v>-10000</v>
      </c>
      <c r="D2263" s="43">
        <f>VLOOKUP(A2263,Database!F:H,2,)</f>
        <v>4721000</v>
      </c>
      <c r="E2263" s="43">
        <f t="shared" si="71"/>
        <v>-25000</v>
      </c>
    </row>
    <row r="2264" spans="1:5" x14ac:dyDescent="0.2">
      <c r="A2264" s="42">
        <v>40292</v>
      </c>
      <c r="B2264" s="43">
        <f>VLOOKUP(A2264,Database!F:H,3,)</f>
        <v>449000</v>
      </c>
      <c r="C2264" s="43">
        <f t="shared" si="70"/>
        <v>-20000</v>
      </c>
      <c r="D2264" s="43">
        <f>VLOOKUP(A2264,Database!F:H,2,)</f>
        <v>4690000</v>
      </c>
      <c r="E2264" s="43">
        <f t="shared" si="71"/>
        <v>-31000</v>
      </c>
    </row>
    <row r="2265" spans="1:5" x14ac:dyDescent="0.2">
      <c r="A2265" s="42">
        <v>40299</v>
      </c>
      <c r="B2265" s="43">
        <f>VLOOKUP(A2265,Database!F:H,3,)</f>
        <v>451000</v>
      </c>
      <c r="C2265" s="43">
        <f t="shared" si="70"/>
        <v>2000</v>
      </c>
      <c r="D2265" s="43">
        <f>VLOOKUP(A2265,Database!F:H,2,)</f>
        <v>4695000</v>
      </c>
      <c r="E2265" s="43">
        <f t="shared" si="71"/>
        <v>5000</v>
      </c>
    </row>
    <row r="2266" spans="1:5" x14ac:dyDescent="0.2">
      <c r="A2266" s="42">
        <v>40306</v>
      </c>
      <c r="B2266" s="43">
        <f>VLOOKUP(A2266,Database!F:H,3,)</f>
        <v>451000</v>
      </c>
      <c r="C2266" s="43">
        <f t="shared" si="70"/>
        <v>0</v>
      </c>
      <c r="D2266" s="43">
        <f>VLOOKUP(A2266,Database!F:H,2,)</f>
        <v>4707000</v>
      </c>
      <c r="E2266" s="43">
        <f t="shared" si="71"/>
        <v>12000</v>
      </c>
    </row>
    <row r="2267" spans="1:5" x14ac:dyDescent="0.2">
      <c r="A2267" s="42">
        <v>40313</v>
      </c>
      <c r="B2267" s="43">
        <f>VLOOKUP(A2267,Database!F:H,3,)</f>
        <v>474000</v>
      </c>
      <c r="C2267" s="43">
        <f t="shared" si="70"/>
        <v>23000</v>
      </c>
      <c r="D2267" s="43">
        <f>VLOOKUP(A2267,Database!F:H,2,)</f>
        <v>4688000</v>
      </c>
      <c r="E2267" s="43">
        <f t="shared" si="71"/>
        <v>-19000</v>
      </c>
    </row>
    <row r="2268" spans="1:5" x14ac:dyDescent="0.2">
      <c r="A2268" s="42">
        <v>40320</v>
      </c>
      <c r="B2268" s="43">
        <f>VLOOKUP(A2268,Database!F:H,3,)</f>
        <v>463000</v>
      </c>
      <c r="C2268" s="43">
        <f t="shared" si="70"/>
        <v>-11000</v>
      </c>
      <c r="D2268" s="43">
        <f>VLOOKUP(A2268,Database!F:H,2,)</f>
        <v>4731000</v>
      </c>
      <c r="E2268" s="43">
        <f t="shared" si="71"/>
        <v>43000</v>
      </c>
    </row>
    <row r="2269" spans="1:5" x14ac:dyDescent="0.2">
      <c r="A2269" s="42">
        <v>40327</v>
      </c>
      <c r="B2269" s="43">
        <f>VLOOKUP(A2269,Database!F:H,3,)</f>
        <v>458000</v>
      </c>
      <c r="C2269" s="43">
        <f t="shared" si="70"/>
        <v>-5000</v>
      </c>
      <c r="D2269" s="43">
        <f>VLOOKUP(A2269,Database!F:H,2,)</f>
        <v>4553000</v>
      </c>
      <c r="E2269" s="43">
        <f t="shared" si="71"/>
        <v>-178000</v>
      </c>
    </row>
    <row r="2270" spans="1:5" x14ac:dyDescent="0.2">
      <c r="A2270" s="42">
        <v>40334</v>
      </c>
      <c r="B2270" s="43">
        <f>VLOOKUP(A2270,Database!F:H,3,)</f>
        <v>459000</v>
      </c>
      <c r="C2270" s="43">
        <f t="shared" si="70"/>
        <v>1000</v>
      </c>
      <c r="D2270" s="43">
        <f>VLOOKUP(A2270,Database!F:H,2,)</f>
        <v>4624000</v>
      </c>
      <c r="E2270" s="43">
        <f t="shared" si="71"/>
        <v>71000</v>
      </c>
    </row>
    <row r="2271" spans="1:5" x14ac:dyDescent="0.2">
      <c r="A2271" s="42">
        <v>40341</v>
      </c>
      <c r="B2271" s="43">
        <f>VLOOKUP(A2271,Database!F:H,3,)</f>
        <v>467000</v>
      </c>
      <c r="C2271" s="43">
        <f t="shared" si="70"/>
        <v>8000</v>
      </c>
      <c r="D2271" s="43">
        <f>VLOOKUP(A2271,Database!F:H,2,)</f>
        <v>4606000</v>
      </c>
      <c r="E2271" s="43">
        <f t="shared" si="71"/>
        <v>-18000</v>
      </c>
    </row>
    <row r="2272" spans="1:5" x14ac:dyDescent="0.2">
      <c r="A2272" s="42">
        <v>40348</v>
      </c>
      <c r="B2272" s="43">
        <f>VLOOKUP(A2272,Database!F:H,3,)</f>
        <v>452000</v>
      </c>
      <c r="C2272" s="43">
        <f t="shared" si="70"/>
        <v>-15000</v>
      </c>
      <c r="D2272" s="43">
        <f>VLOOKUP(A2272,Database!F:H,2,)</f>
        <v>4619000</v>
      </c>
      <c r="E2272" s="43">
        <f t="shared" si="71"/>
        <v>13000</v>
      </c>
    </row>
    <row r="2273" spans="1:5" x14ac:dyDescent="0.2">
      <c r="A2273" s="42">
        <v>40355</v>
      </c>
      <c r="B2273" s="43">
        <f>VLOOKUP(A2273,Database!F:H,3,)</f>
        <v>464000</v>
      </c>
      <c r="C2273" s="43">
        <f t="shared" si="70"/>
        <v>12000</v>
      </c>
      <c r="D2273" s="43">
        <f>VLOOKUP(A2273,Database!F:H,2,)</f>
        <v>4484000</v>
      </c>
      <c r="E2273" s="43">
        <f t="shared" si="71"/>
        <v>-135000</v>
      </c>
    </row>
    <row r="2274" spans="1:5" x14ac:dyDescent="0.2">
      <c r="A2274" s="42">
        <v>40362</v>
      </c>
      <c r="B2274" s="43">
        <f>VLOOKUP(A2274,Database!F:H,3,)</f>
        <v>454000</v>
      </c>
      <c r="C2274" s="43">
        <f t="shared" si="70"/>
        <v>-10000</v>
      </c>
      <c r="D2274" s="43">
        <f>VLOOKUP(A2274,Database!F:H,2,)</f>
        <v>4620000</v>
      </c>
      <c r="E2274" s="43">
        <f t="shared" si="71"/>
        <v>136000</v>
      </c>
    </row>
    <row r="2275" spans="1:5" x14ac:dyDescent="0.2">
      <c r="A2275" s="42">
        <v>40369</v>
      </c>
      <c r="B2275" s="43">
        <f>VLOOKUP(A2275,Database!F:H,3,)</f>
        <v>439000</v>
      </c>
      <c r="C2275" s="43">
        <f t="shared" si="70"/>
        <v>-15000</v>
      </c>
      <c r="D2275" s="43">
        <f>VLOOKUP(A2275,Database!F:H,2,)</f>
        <v>4482000</v>
      </c>
      <c r="E2275" s="43">
        <f t="shared" si="71"/>
        <v>-138000</v>
      </c>
    </row>
    <row r="2276" spans="1:5" x14ac:dyDescent="0.2">
      <c r="A2276" s="42">
        <v>40376</v>
      </c>
      <c r="B2276" s="43">
        <f>VLOOKUP(A2276,Database!F:H,3,)</f>
        <v>462000</v>
      </c>
      <c r="C2276" s="43">
        <f t="shared" si="70"/>
        <v>23000</v>
      </c>
      <c r="D2276" s="43">
        <f>VLOOKUP(A2276,Database!F:H,2,)</f>
        <v>4545000</v>
      </c>
      <c r="E2276" s="43">
        <f t="shared" si="71"/>
        <v>63000</v>
      </c>
    </row>
    <row r="2277" spans="1:5" x14ac:dyDescent="0.2">
      <c r="A2277" s="42">
        <v>40383</v>
      </c>
      <c r="B2277" s="43">
        <f>VLOOKUP(A2277,Database!F:H,3,)</f>
        <v>465000</v>
      </c>
      <c r="C2277" s="43">
        <f t="shared" si="70"/>
        <v>3000</v>
      </c>
      <c r="D2277" s="43">
        <f>VLOOKUP(A2277,Database!F:H,2,)</f>
        <v>4529000</v>
      </c>
      <c r="E2277" s="43">
        <f t="shared" si="71"/>
        <v>-16000</v>
      </c>
    </row>
    <row r="2278" spans="1:5" x14ac:dyDescent="0.2">
      <c r="A2278" s="42">
        <v>40390</v>
      </c>
      <c r="B2278" s="43">
        <f>VLOOKUP(A2278,Database!F:H,3,)</f>
        <v>476000</v>
      </c>
      <c r="C2278" s="43">
        <f t="shared" si="70"/>
        <v>11000</v>
      </c>
      <c r="D2278" s="43">
        <f>VLOOKUP(A2278,Database!F:H,2,)</f>
        <v>4467000</v>
      </c>
      <c r="E2278" s="43">
        <f t="shared" si="71"/>
        <v>-62000</v>
      </c>
    </row>
    <row r="2279" spans="1:5" x14ac:dyDescent="0.2">
      <c r="A2279" s="42">
        <v>40397</v>
      </c>
      <c r="B2279" s="43">
        <f>VLOOKUP(A2279,Database!F:H,3,)</f>
        <v>483000</v>
      </c>
      <c r="C2279" s="43">
        <f t="shared" si="70"/>
        <v>7000</v>
      </c>
      <c r="D2279" s="43">
        <f>VLOOKUP(A2279,Database!F:H,2,)</f>
        <v>4478000</v>
      </c>
      <c r="E2279" s="43">
        <f t="shared" si="71"/>
        <v>11000</v>
      </c>
    </row>
    <row r="2280" spans="1:5" x14ac:dyDescent="0.2">
      <c r="A2280" s="42">
        <v>40404</v>
      </c>
      <c r="B2280" s="43">
        <f>VLOOKUP(A2280,Database!F:H,3,)</f>
        <v>486000</v>
      </c>
      <c r="C2280" s="43">
        <f t="shared" si="70"/>
        <v>3000</v>
      </c>
      <c r="D2280" s="43">
        <f>VLOOKUP(A2280,Database!F:H,2,)</f>
        <v>4432000</v>
      </c>
      <c r="E2280" s="43">
        <f t="shared" si="71"/>
        <v>-46000</v>
      </c>
    </row>
    <row r="2281" spans="1:5" x14ac:dyDescent="0.2">
      <c r="A2281" s="42">
        <v>40411</v>
      </c>
      <c r="B2281" s="43">
        <f>VLOOKUP(A2281,Database!F:H,3,)</f>
        <v>464000</v>
      </c>
      <c r="C2281" s="43">
        <f t="shared" si="70"/>
        <v>-22000</v>
      </c>
      <c r="D2281" s="43">
        <f>VLOOKUP(A2281,Database!F:H,2,)</f>
        <v>4426000</v>
      </c>
      <c r="E2281" s="43">
        <f t="shared" si="71"/>
        <v>-6000</v>
      </c>
    </row>
    <row r="2282" spans="1:5" x14ac:dyDescent="0.2">
      <c r="A2282" s="42">
        <v>40418</v>
      </c>
      <c r="B2282" s="43">
        <f>VLOOKUP(A2282,Database!F:H,3,)</f>
        <v>467000</v>
      </c>
      <c r="C2282" s="43">
        <f t="shared" si="70"/>
        <v>3000</v>
      </c>
      <c r="D2282" s="43">
        <f>VLOOKUP(A2282,Database!F:H,2,)</f>
        <v>4509000</v>
      </c>
      <c r="E2282" s="43">
        <f t="shared" si="71"/>
        <v>83000</v>
      </c>
    </row>
    <row r="2283" spans="1:5" x14ac:dyDescent="0.2">
      <c r="A2283" s="42">
        <v>40425</v>
      </c>
      <c r="B2283" s="43">
        <f>VLOOKUP(A2283,Database!F:H,3,)</f>
        <v>452000</v>
      </c>
      <c r="C2283" s="43">
        <f t="shared" si="70"/>
        <v>-15000</v>
      </c>
      <c r="D2283" s="43">
        <f>VLOOKUP(A2283,Database!F:H,2,)</f>
        <v>4501000</v>
      </c>
      <c r="E2283" s="43">
        <f t="shared" si="71"/>
        <v>-8000</v>
      </c>
    </row>
    <row r="2284" spans="1:5" x14ac:dyDescent="0.2">
      <c r="A2284" s="42">
        <v>40432</v>
      </c>
      <c r="B2284" s="43">
        <f>VLOOKUP(A2284,Database!F:H,3,)</f>
        <v>444000</v>
      </c>
      <c r="C2284" s="43">
        <f t="shared" si="70"/>
        <v>-8000</v>
      </c>
      <c r="D2284" s="43">
        <f>VLOOKUP(A2284,Database!F:H,2,)</f>
        <v>4487000</v>
      </c>
      <c r="E2284" s="43">
        <f t="shared" si="71"/>
        <v>-14000</v>
      </c>
    </row>
    <row r="2285" spans="1:5" x14ac:dyDescent="0.2">
      <c r="A2285" s="42">
        <v>40439</v>
      </c>
      <c r="B2285" s="43">
        <f>VLOOKUP(A2285,Database!F:H,3,)</f>
        <v>459000</v>
      </c>
      <c r="C2285" s="43">
        <f t="shared" si="70"/>
        <v>15000</v>
      </c>
      <c r="D2285" s="43">
        <f>VLOOKUP(A2285,Database!F:H,2,)</f>
        <v>4452000</v>
      </c>
      <c r="E2285" s="43">
        <f t="shared" si="71"/>
        <v>-35000</v>
      </c>
    </row>
    <row r="2286" spans="1:5" x14ac:dyDescent="0.2">
      <c r="A2286" s="42">
        <v>40446</v>
      </c>
      <c r="B2286" s="43">
        <f>VLOOKUP(A2286,Database!F:H,3,)</f>
        <v>459000</v>
      </c>
      <c r="C2286" s="43">
        <f t="shared" si="70"/>
        <v>0</v>
      </c>
      <c r="D2286" s="43">
        <f>VLOOKUP(A2286,Database!F:H,2,)</f>
        <v>4431000</v>
      </c>
      <c r="E2286" s="43">
        <f t="shared" si="71"/>
        <v>-21000</v>
      </c>
    </row>
    <row r="2287" spans="1:5" x14ac:dyDescent="0.2">
      <c r="A2287" s="42">
        <v>40453</v>
      </c>
      <c r="B2287" s="43">
        <f>VLOOKUP(A2287,Database!F:H,3,)</f>
        <v>446000</v>
      </c>
      <c r="C2287" s="43">
        <f t="shared" si="70"/>
        <v>-13000</v>
      </c>
      <c r="D2287" s="43">
        <f>VLOOKUP(A2287,Database!F:H,2,)</f>
        <v>4407000</v>
      </c>
      <c r="E2287" s="43">
        <f t="shared" si="71"/>
        <v>-24000</v>
      </c>
    </row>
    <row r="2288" spans="1:5" x14ac:dyDescent="0.2">
      <c r="A2288" s="42">
        <v>40460</v>
      </c>
      <c r="B2288" s="43">
        <f>VLOOKUP(A2288,Database!F:H,3,)</f>
        <v>459000</v>
      </c>
      <c r="C2288" s="43">
        <f t="shared" si="70"/>
        <v>13000</v>
      </c>
      <c r="D2288" s="43">
        <f>VLOOKUP(A2288,Database!F:H,2,)</f>
        <v>4403000</v>
      </c>
      <c r="E2288" s="43">
        <f t="shared" si="71"/>
        <v>-4000</v>
      </c>
    </row>
    <row r="2289" spans="1:5" x14ac:dyDescent="0.2">
      <c r="A2289" s="42">
        <v>40467</v>
      </c>
      <c r="B2289" s="43">
        <f>VLOOKUP(A2289,Database!F:H,3,)</f>
        <v>444000</v>
      </c>
      <c r="C2289" s="43">
        <f t="shared" si="70"/>
        <v>-15000</v>
      </c>
      <c r="D2289" s="43">
        <f>VLOOKUP(A2289,Database!F:H,2,)</f>
        <v>4348000</v>
      </c>
      <c r="E2289" s="43">
        <f t="shared" si="71"/>
        <v>-55000</v>
      </c>
    </row>
    <row r="2290" spans="1:5" x14ac:dyDescent="0.2">
      <c r="A2290" s="42">
        <v>40474</v>
      </c>
      <c r="B2290" s="43">
        <f>VLOOKUP(A2290,Database!F:H,3,)</f>
        <v>432000</v>
      </c>
      <c r="C2290" s="43">
        <f t="shared" si="70"/>
        <v>-12000</v>
      </c>
      <c r="D2290" s="43">
        <f>VLOOKUP(A2290,Database!F:H,2,)</f>
        <v>4331000</v>
      </c>
      <c r="E2290" s="43">
        <f t="shared" si="71"/>
        <v>-17000</v>
      </c>
    </row>
    <row r="2291" spans="1:5" x14ac:dyDescent="0.2">
      <c r="A2291" s="42">
        <v>40481</v>
      </c>
      <c r="B2291" s="43">
        <f>VLOOKUP(A2291,Database!F:H,3,)</f>
        <v>453000</v>
      </c>
      <c r="C2291" s="43">
        <f t="shared" si="70"/>
        <v>21000</v>
      </c>
      <c r="D2291" s="43">
        <f>VLOOKUP(A2291,Database!F:H,2,)</f>
        <v>4328000</v>
      </c>
      <c r="E2291" s="43">
        <f t="shared" si="71"/>
        <v>-3000</v>
      </c>
    </row>
    <row r="2292" spans="1:5" x14ac:dyDescent="0.2">
      <c r="A2292" s="42">
        <v>40488</v>
      </c>
      <c r="B2292" s="43">
        <f>VLOOKUP(A2292,Database!F:H,3,)</f>
        <v>434000</v>
      </c>
      <c r="C2292" s="43">
        <f t="shared" si="70"/>
        <v>-19000</v>
      </c>
      <c r="D2292" s="43">
        <f>VLOOKUP(A2292,Database!F:H,2,)</f>
        <v>4270000</v>
      </c>
      <c r="E2292" s="43">
        <f t="shared" si="71"/>
        <v>-58000</v>
      </c>
    </row>
    <row r="2293" spans="1:5" x14ac:dyDescent="0.2">
      <c r="A2293" s="42">
        <v>40495</v>
      </c>
      <c r="B2293" s="43">
        <f>VLOOKUP(A2293,Database!F:H,3,)</f>
        <v>432000</v>
      </c>
      <c r="C2293" s="43">
        <f t="shared" si="70"/>
        <v>-2000</v>
      </c>
      <c r="D2293" s="43">
        <f>VLOOKUP(A2293,Database!F:H,2,)</f>
        <v>4176000</v>
      </c>
      <c r="E2293" s="43">
        <f t="shared" si="71"/>
        <v>-94000</v>
      </c>
    </row>
    <row r="2294" spans="1:5" x14ac:dyDescent="0.2">
      <c r="A2294" s="42">
        <v>40502</v>
      </c>
      <c r="B2294" s="43">
        <f>VLOOKUP(A2294,Database!F:H,3,)</f>
        <v>407000</v>
      </c>
      <c r="C2294" s="43">
        <f t="shared" si="70"/>
        <v>-25000</v>
      </c>
      <c r="D2294" s="43">
        <f>VLOOKUP(A2294,Database!F:H,2,)</f>
        <v>4218000</v>
      </c>
      <c r="E2294" s="43">
        <f t="shared" si="71"/>
        <v>42000</v>
      </c>
    </row>
    <row r="2295" spans="1:5" x14ac:dyDescent="0.2">
      <c r="A2295" s="42">
        <v>40509</v>
      </c>
      <c r="B2295" s="43">
        <f>VLOOKUP(A2295,Database!F:H,3,)</f>
        <v>432000</v>
      </c>
      <c r="C2295" s="43">
        <f t="shared" si="70"/>
        <v>25000</v>
      </c>
      <c r="D2295" s="43">
        <f>VLOOKUP(A2295,Database!F:H,2,)</f>
        <v>4118000</v>
      </c>
      <c r="E2295" s="43">
        <f t="shared" si="71"/>
        <v>-100000</v>
      </c>
    </row>
    <row r="2296" spans="1:5" x14ac:dyDescent="0.2">
      <c r="A2296" s="42">
        <v>40516</v>
      </c>
      <c r="B2296" s="43">
        <f>VLOOKUP(A2296,Database!F:H,3,)</f>
        <v>428000</v>
      </c>
      <c r="C2296" s="43">
        <f t="shared" si="70"/>
        <v>-4000</v>
      </c>
      <c r="D2296" s="43">
        <f>VLOOKUP(A2296,Database!F:H,2,)</f>
        <v>4137000</v>
      </c>
      <c r="E2296" s="43">
        <f t="shared" si="71"/>
        <v>19000</v>
      </c>
    </row>
    <row r="2297" spans="1:5" x14ac:dyDescent="0.2">
      <c r="A2297" s="42">
        <v>40523</v>
      </c>
      <c r="B2297" s="43">
        <f>VLOOKUP(A2297,Database!F:H,3,)</f>
        <v>425000</v>
      </c>
      <c r="C2297" s="43">
        <f t="shared" si="70"/>
        <v>-3000</v>
      </c>
      <c r="D2297" s="43">
        <f>VLOOKUP(A2297,Database!F:H,2,)</f>
        <v>4062000</v>
      </c>
      <c r="E2297" s="43">
        <f t="shared" si="71"/>
        <v>-75000</v>
      </c>
    </row>
    <row r="2298" spans="1:5" x14ac:dyDescent="0.2">
      <c r="A2298" s="42">
        <v>40530</v>
      </c>
      <c r="B2298" s="43">
        <f>VLOOKUP(A2298,Database!F:H,3,)</f>
        <v>424000</v>
      </c>
      <c r="C2298" s="43">
        <f t="shared" si="70"/>
        <v>-1000</v>
      </c>
      <c r="D2298" s="43">
        <f>VLOOKUP(A2298,Database!F:H,2,)</f>
        <v>4113000</v>
      </c>
      <c r="E2298" s="43">
        <f t="shared" si="71"/>
        <v>51000</v>
      </c>
    </row>
    <row r="2299" spans="1:5" x14ac:dyDescent="0.2">
      <c r="A2299" s="42">
        <v>40537</v>
      </c>
      <c r="B2299" s="43">
        <f>VLOOKUP(A2299,Database!F:H,3,)</f>
        <v>404000</v>
      </c>
      <c r="C2299" s="43">
        <f t="shared" si="70"/>
        <v>-20000</v>
      </c>
      <c r="D2299" s="43">
        <f>VLOOKUP(A2299,Database!F:H,2,)</f>
        <v>4088000</v>
      </c>
      <c r="E2299" s="43">
        <f t="shared" si="71"/>
        <v>-25000</v>
      </c>
    </row>
    <row r="2300" spans="1:5" x14ac:dyDescent="0.2">
      <c r="A2300" s="42">
        <v>40544</v>
      </c>
      <c r="B2300" s="43">
        <f>VLOOKUP(A2300,Database!F:H,3,)</f>
        <v>413000</v>
      </c>
      <c r="C2300" s="43">
        <f t="shared" si="70"/>
        <v>9000</v>
      </c>
      <c r="D2300" s="43">
        <f>VLOOKUP(A2300,Database!F:H,2,)</f>
        <v>3898000</v>
      </c>
      <c r="E2300" s="43">
        <f t="shared" si="71"/>
        <v>-190000</v>
      </c>
    </row>
    <row r="2301" spans="1:5" x14ac:dyDescent="0.2">
      <c r="A2301" s="42">
        <v>40551</v>
      </c>
      <c r="B2301" s="43">
        <f>VLOOKUP(A2301,Database!F:H,3,)</f>
        <v>434000</v>
      </c>
      <c r="C2301" s="43">
        <f t="shared" si="70"/>
        <v>21000</v>
      </c>
      <c r="D2301" s="43">
        <f>VLOOKUP(A2301,Database!F:H,2,)</f>
        <v>3907000</v>
      </c>
      <c r="E2301" s="43">
        <f t="shared" si="71"/>
        <v>9000</v>
      </c>
    </row>
    <row r="2302" spans="1:5" x14ac:dyDescent="0.2">
      <c r="A2302" s="42">
        <v>40558</v>
      </c>
      <c r="B2302" s="43">
        <f>VLOOKUP(A2302,Database!F:H,3,)</f>
        <v>421000</v>
      </c>
      <c r="C2302" s="43">
        <f t="shared" si="70"/>
        <v>-13000</v>
      </c>
      <c r="D2302" s="43">
        <f>VLOOKUP(A2302,Database!F:H,2,)</f>
        <v>3974000</v>
      </c>
      <c r="E2302" s="43">
        <f t="shared" si="71"/>
        <v>67000</v>
      </c>
    </row>
    <row r="2303" spans="1:5" x14ac:dyDescent="0.2">
      <c r="A2303" s="42">
        <v>40565</v>
      </c>
      <c r="B2303" s="43">
        <f>VLOOKUP(A2303,Database!F:H,3,)</f>
        <v>446000</v>
      </c>
      <c r="C2303" s="43">
        <f t="shared" si="70"/>
        <v>25000</v>
      </c>
      <c r="D2303" s="43">
        <f>VLOOKUP(A2303,Database!F:H,2,)</f>
        <v>3926000</v>
      </c>
      <c r="E2303" s="43">
        <f t="shared" si="71"/>
        <v>-48000</v>
      </c>
    </row>
    <row r="2304" spans="1:5" x14ac:dyDescent="0.2">
      <c r="A2304" s="42">
        <v>40572</v>
      </c>
      <c r="B2304" s="43">
        <f>VLOOKUP(A2304,Database!F:H,3,)</f>
        <v>420000</v>
      </c>
      <c r="C2304" s="43">
        <f t="shared" si="70"/>
        <v>-26000</v>
      </c>
      <c r="D2304" s="43">
        <f>VLOOKUP(A2304,Database!F:H,2,)</f>
        <v>3887000</v>
      </c>
      <c r="E2304" s="43">
        <f t="shared" si="71"/>
        <v>-39000</v>
      </c>
    </row>
    <row r="2305" spans="1:5" x14ac:dyDescent="0.2">
      <c r="A2305" s="42">
        <v>40579</v>
      </c>
      <c r="B2305" s="43">
        <f>VLOOKUP(A2305,Database!F:H,3,)</f>
        <v>402000</v>
      </c>
      <c r="C2305" s="43">
        <f t="shared" si="70"/>
        <v>-18000</v>
      </c>
      <c r="D2305" s="43">
        <f>VLOOKUP(A2305,Database!F:H,2,)</f>
        <v>3928000</v>
      </c>
      <c r="E2305" s="43">
        <f t="shared" si="71"/>
        <v>41000</v>
      </c>
    </row>
    <row r="2306" spans="1:5" x14ac:dyDescent="0.2">
      <c r="A2306" s="42">
        <v>40586</v>
      </c>
      <c r="B2306" s="43">
        <f>VLOOKUP(A2306,Database!F:H,3,)</f>
        <v>425000</v>
      </c>
      <c r="C2306" s="43">
        <f t="shared" si="70"/>
        <v>23000</v>
      </c>
      <c r="D2306" s="43">
        <f>VLOOKUP(A2306,Database!F:H,2,)</f>
        <v>3839000</v>
      </c>
      <c r="E2306" s="43">
        <f t="shared" si="71"/>
        <v>-89000</v>
      </c>
    </row>
    <row r="2307" spans="1:5" x14ac:dyDescent="0.2">
      <c r="A2307" s="42">
        <v>40593</v>
      </c>
      <c r="B2307" s="43">
        <f>VLOOKUP(A2307,Database!F:H,3,)</f>
        <v>394000</v>
      </c>
      <c r="C2307" s="43">
        <f t="shared" si="70"/>
        <v>-31000</v>
      </c>
      <c r="D2307" s="43">
        <f>VLOOKUP(A2307,Database!F:H,2,)</f>
        <v>3821000</v>
      </c>
      <c r="E2307" s="43">
        <f t="shared" si="71"/>
        <v>-18000</v>
      </c>
    </row>
    <row r="2308" spans="1:5" x14ac:dyDescent="0.2">
      <c r="A2308" s="42">
        <v>40600</v>
      </c>
      <c r="B2308" s="43">
        <f>VLOOKUP(A2308,Database!F:H,3,)</f>
        <v>385000</v>
      </c>
      <c r="C2308" s="43">
        <f t="shared" si="70"/>
        <v>-9000</v>
      </c>
      <c r="D2308" s="43">
        <f>VLOOKUP(A2308,Database!F:H,2,)</f>
        <v>3809000</v>
      </c>
      <c r="E2308" s="43">
        <f t="shared" si="71"/>
        <v>-12000</v>
      </c>
    </row>
    <row r="2309" spans="1:5" x14ac:dyDescent="0.2">
      <c r="A2309" s="42">
        <v>40607</v>
      </c>
      <c r="B2309" s="43">
        <f>VLOOKUP(A2309,Database!F:H,3,)</f>
        <v>414000</v>
      </c>
      <c r="C2309" s="43">
        <f t="shared" si="70"/>
        <v>29000</v>
      </c>
      <c r="D2309" s="43">
        <f>VLOOKUP(A2309,Database!F:H,2,)</f>
        <v>3772000</v>
      </c>
      <c r="E2309" s="43">
        <f t="shared" si="71"/>
        <v>-37000</v>
      </c>
    </row>
    <row r="2310" spans="1:5" x14ac:dyDescent="0.2">
      <c r="A2310" s="42">
        <v>40614</v>
      </c>
      <c r="B2310" s="43">
        <f>VLOOKUP(A2310,Database!F:H,3,)</f>
        <v>404000</v>
      </c>
      <c r="C2310" s="43">
        <f t="shared" si="70"/>
        <v>-10000</v>
      </c>
      <c r="D2310" s="43">
        <f>VLOOKUP(A2310,Database!F:H,2,)</f>
        <v>3772000</v>
      </c>
      <c r="E2310" s="43">
        <f t="shared" si="71"/>
        <v>0</v>
      </c>
    </row>
    <row r="2311" spans="1:5" x14ac:dyDescent="0.2">
      <c r="A2311" s="42">
        <v>40621</v>
      </c>
      <c r="B2311" s="43">
        <f>VLOOKUP(A2311,Database!F:H,3,)</f>
        <v>407000</v>
      </c>
      <c r="C2311" s="43">
        <f t="shared" si="70"/>
        <v>3000</v>
      </c>
      <c r="D2311" s="43">
        <f>VLOOKUP(A2311,Database!F:H,2,)</f>
        <v>3752000</v>
      </c>
      <c r="E2311" s="43">
        <f t="shared" si="71"/>
        <v>-20000</v>
      </c>
    </row>
    <row r="2312" spans="1:5" x14ac:dyDescent="0.2">
      <c r="A2312" s="42">
        <v>40628</v>
      </c>
      <c r="B2312" s="43">
        <f>VLOOKUP(A2312,Database!F:H,3,)</f>
        <v>399000</v>
      </c>
      <c r="C2312" s="43">
        <f t="shared" ref="C2312:C2375" si="72">B2312-B2311</f>
        <v>-8000</v>
      </c>
      <c r="D2312" s="43">
        <f>VLOOKUP(A2312,Database!F:H,2,)</f>
        <v>3766000</v>
      </c>
      <c r="E2312" s="43">
        <f t="shared" ref="E2312:E2375" si="73">D2312-D2311</f>
        <v>14000</v>
      </c>
    </row>
    <row r="2313" spans="1:5" x14ac:dyDescent="0.2">
      <c r="A2313" s="42">
        <v>40635</v>
      </c>
      <c r="B2313" s="43">
        <f>VLOOKUP(A2313,Database!F:H,3,)</f>
        <v>395000</v>
      </c>
      <c r="C2313" s="43">
        <f t="shared" si="72"/>
        <v>-4000</v>
      </c>
      <c r="D2313" s="43">
        <f>VLOOKUP(A2313,Database!F:H,2,)</f>
        <v>3756000</v>
      </c>
      <c r="E2313" s="43">
        <f t="shared" si="73"/>
        <v>-10000</v>
      </c>
    </row>
    <row r="2314" spans="1:5" x14ac:dyDescent="0.2">
      <c r="A2314" s="42">
        <v>40642</v>
      </c>
      <c r="B2314" s="43">
        <f>VLOOKUP(A2314,Database!F:H,3,)</f>
        <v>416000</v>
      </c>
      <c r="C2314" s="43">
        <f t="shared" si="72"/>
        <v>21000</v>
      </c>
      <c r="D2314" s="43">
        <f>VLOOKUP(A2314,Database!F:H,2,)</f>
        <v>3751000</v>
      </c>
      <c r="E2314" s="43">
        <f t="shared" si="73"/>
        <v>-5000</v>
      </c>
    </row>
    <row r="2315" spans="1:5" x14ac:dyDescent="0.2">
      <c r="A2315" s="42">
        <v>40649</v>
      </c>
      <c r="B2315" s="43">
        <f>VLOOKUP(A2315,Database!F:H,3,)</f>
        <v>402000</v>
      </c>
      <c r="C2315" s="43">
        <f t="shared" si="72"/>
        <v>-14000</v>
      </c>
      <c r="D2315" s="43">
        <f>VLOOKUP(A2315,Database!F:H,2,)</f>
        <v>3717000</v>
      </c>
      <c r="E2315" s="43">
        <f t="shared" si="73"/>
        <v>-34000</v>
      </c>
    </row>
    <row r="2316" spans="1:5" x14ac:dyDescent="0.2">
      <c r="A2316" s="42">
        <v>40656</v>
      </c>
      <c r="B2316" s="43">
        <f>VLOOKUP(A2316,Database!F:H,3,)</f>
        <v>422000</v>
      </c>
      <c r="C2316" s="43">
        <f t="shared" si="72"/>
        <v>20000</v>
      </c>
      <c r="D2316" s="43">
        <f>VLOOKUP(A2316,Database!F:H,2,)</f>
        <v>3796000</v>
      </c>
      <c r="E2316" s="43">
        <f t="shared" si="73"/>
        <v>79000</v>
      </c>
    </row>
    <row r="2317" spans="1:5" x14ac:dyDescent="0.2">
      <c r="A2317" s="42">
        <v>40663</v>
      </c>
      <c r="B2317" s="43">
        <f>VLOOKUP(A2317,Database!F:H,3,)</f>
        <v>468000</v>
      </c>
      <c r="C2317" s="43">
        <f t="shared" si="72"/>
        <v>46000</v>
      </c>
      <c r="D2317" s="43">
        <f>VLOOKUP(A2317,Database!F:H,2,)</f>
        <v>3834000</v>
      </c>
      <c r="E2317" s="43">
        <f t="shared" si="73"/>
        <v>38000</v>
      </c>
    </row>
    <row r="2318" spans="1:5" x14ac:dyDescent="0.2">
      <c r="A2318" s="42">
        <v>40670</v>
      </c>
      <c r="B2318" s="43">
        <f>VLOOKUP(A2318,Database!F:H,3,)</f>
        <v>435000</v>
      </c>
      <c r="C2318" s="43">
        <f t="shared" si="72"/>
        <v>-33000</v>
      </c>
      <c r="D2318" s="43">
        <f>VLOOKUP(A2318,Database!F:H,2,)</f>
        <v>3787000</v>
      </c>
      <c r="E2318" s="43">
        <f t="shared" si="73"/>
        <v>-47000</v>
      </c>
    </row>
    <row r="2319" spans="1:5" x14ac:dyDescent="0.2">
      <c r="A2319" s="42">
        <v>40677</v>
      </c>
      <c r="B2319" s="43">
        <f>VLOOKUP(A2319,Database!F:H,3,)</f>
        <v>414000</v>
      </c>
      <c r="C2319" s="43">
        <f t="shared" si="72"/>
        <v>-21000</v>
      </c>
      <c r="D2319" s="43">
        <f>VLOOKUP(A2319,Database!F:H,2,)</f>
        <v>3781000</v>
      </c>
      <c r="E2319" s="43">
        <f t="shared" si="73"/>
        <v>-6000</v>
      </c>
    </row>
    <row r="2320" spans="1:5" x14ac:dyDescent="0.2">
      <c r="A2320" s="42">
        <v>40684</v>
      </c>
      <c r="B2320" s="43">
        <f>VLOOKUP(A2320,Database!F:H,3,)</f>
        <v>423000</v>
      </c>
      <c r="C2320" s="43">
        <f t="shared" si="72"/>
        <v>9000</v>
      </c>
      <c r="D2320" s="43">
        <f>VLOOKUP(A2320,Database!F:H,2,)</f>
        <v>3799000</v>
      </c>
      <c r="E2320" s="43">
        <f t="shared" si="73"/>
        <v>18000</v>
      </c>
    </row>
    <row r="2321" spans="1:5" x14ac:dyDescent="0.2">
      <c r="A2321" s="42">
        <v>40691</v>
      </c>
      <c r="B2321" s="43">
        <f>VLOOKUP(A2321,Database!F:H,3,)</f>
        <v>418000</v>
      </c>
      <c r="C2321" s="43">
        <f t="shared" si="72"/>
        <v>-5000</v>
      </c>
      <c r="D2321" s="43">
        <f>VLOOKUP(A2321,Database!F:H,2,)</f>
        <v>3728000</v>
      </c>
      <c r="E2321" s="43">
        <f t="shared" si="73"/>
        <v>-71000</v>
      </c>
    </row>
    <row r="2322" spans="1:5" x14ac:dyDescent="0.2">
      <c r="A2322" s="42">
        <v>40698</v>
      </c>
      <c r="B2322" s="43">
        <f>VLOOKUP(A2322,Database!F:H,3,)</f>
        <v>423000</v>
      </c>
      <c r="C2322" s="43">
        <f t="shared" si="72"/>
        <v>5000</v>
      </c>
      <c r="D2322" s="43">
        <f>VLOOKUP(A2322,Database!F:H,2,)</f>
        <v>3750000</v>
      </c>
      <c r="E2322" s="43">
        <f t="shared" si="73"/>
        <v>22000</v>
      </c>
    </row>
    <row r="2323" spans="1:5" x14ac:dyDescent="0.2">
      <c r="A2323" s="42">
        <v>40705</v>
      </c>
      <c r="B2323" s="43">
        <f>VLOOKUP(A2323,Database!F:H,3,)</f>
        <v>413000</v>
      </c>
      <c r="C2323" s="43">
        <f t="shared" si="72"/>
        <v>-10000</v>
      </c>
      <c r="D2323" s="43">
        <f>VLOOKUP(A2323,Database!F:H,2,)</f>
        <v>3746000</v>
      </c>
      <c r="E2323" s="43">
        <f t="shared" si="73"/>
        <v>-4000</v>
      </c>
    </row>
    <row r="2324" spans="1:5" x14ac:dyDescent="0.2">
      <c r="A2324" s="42">
        <v>40712</v>
      </c>
      <c r="B2324" s="43">
        <f>VLOOKUP(A2324,Database!F:H,3,)</f>
        <v>416000</v>
      </c>
      <c r="C2324" s="43">
        <f t="shared" si="72"/>
        <v>3000</v>
      </c>
      <c r="D2324" s="43">
        <f>VLOOKUP(A2324,Database!F:H,2,)</f>
        <v>3752000</v>
      </c>
      <c r="E2324" s="43">
        <f t="shared" si="73"/>
        <v>6000</v>
      </c>
    </row>
    <row r="2325" spans="1:5" x14ac:dyDescent="0.2">
      <c r="A2325" s="42">
        <v>40719</v>
      </c>
      <c r="B2325" s="43">
        <f>VLOOKUP(A2325,Database!F:H,3,)</f>
        <v>421000</v>
      </c>
      <c r="C2325" s="43">
        <f t="shared" si="72"/>
        <v>5000</v>
      </c>
      <c r="D2325" s="43">
        <f>VLOOKUP(A2325,Database!F:H,2,)</f>
        <v>3719000</v>
      </c>
      <c r="E2325" s="43">
        <f t="shared" si="73"/>
        <v>-33000</v>
      </c>
    </row>
    <row r="2326" spans="1:5" x14ac:dyDescent="0.2">
      <c r="A2326" s="42">
        <v>40726</v>
      </c>
      <c r="B2326" s="43">
        <f>VLOOKUP(A2326,Database!F:H,3,)</f>
        <v>418000</v>
      </c>
      <c r="C2326" s="43">
        <f t="shared" si="72"/>
        <v>-3000</v>
      </c>
      <c r="D2326" s="43">
        <f>VLOOKUP(A2326,Database!F:H,2,)</f>
        <v>3733000</v>
      </c>
      <c r="E2326" s="43">
        <f t="shared" si="73"/>
        <v>14000</v>
      </c>
    </row>
    <row r="2327" spans="1:5" x14ac:dyDescent="0.2">
      <c r="A2327" s="42">
        <v>40733</v>
      </c>
      <c r="B2327" s="43">
        <f>VLOOKUP(A2327,Database!F:H,3,)</f>
        <v>408000</v>
      </c>
      <c r="C2327" s="43">
        <f t="shared" si="72"/>
        <v>-10000</v>
      </c>
      <c r="D2327" s="43">
        <f>VLOOKUP(A2327,Database!F:H,2,)</f>
        <v>3724000</v>
      </c>
      <c r="E2327" s="43">
        <f t="shared" si="73"/>
        <v>-9000</v>
      </c>
    </row>
    <row r="2328" spans="1:5" x14ac:dyDescent="0.2">
      <c r="A2328" s="42">
        <v>40740</v>
      </c>
      <c r="B2328" s="43">
        <f>VLOOKUP(A2328,Database!F:H,3,)</f>
        <v>420000</v>
      </c>
      <c r="C2328" s="43">
        <f t="shared" si="72"/>
        <v>12000</v>
      </c>
      <c r="D2328" s="43">
        <f>VLOOKUP(A2328,Database!F:H,2,)</f>
        <v>3734000</v>
      </c>
      <c r="E2328" s="43">
        <f t="shared" si="73"/>
        <v>10000</v>
      </c>
    </row>
    <row r="2329" spans="1:5" x14ac:dyDescent="0.2">
      <c r="A2329" s="42">
        <v>40747</v>
      </c>
      <c r="B2329" s="43">
        <f>VLOOKUP(A2329,Database!F:H,3,)</f>
        <v>411000</v>
      </c>
      <c r="C2329" s="43">
        <f t="shared" si="72"/>
        <v>-9000</v>
      </c>
      <c r="D2329" s="43">
        <f>VLOOKUP(A2329,Database!F:H,2,)</f>
        <v>3741000</v>
      </c>
      <c r="E2329" s="43">
        <f t="shared" si="73"/>
        <v>7000</v>
      </c>
    </row>
    <row r="2330" spans="1:5" x14ac:dyDescent="0.2">
      <c r="A2330" s="42">
        <v>40754</v>
      </c>
      <c r="B2330" s="43">
        <f>VLOOKUP(A2330,Database!F:H,3,)</f>
        <v>406000</v>
      </c>
      <c r="C2330" s="43">
        <f t="shared" si="72"/>
        <v>-5000</v>
      </c>
      <c r="D2330" s="43">
        <f>VLOOKUP(A2330,Database!F:H,2,)</f>
        <v>3676000</v>
      </c>
      <c r="E2330" s="43">
        <f t="shared" si="73"/>
        <v>-65000</v>
      </c>
    </row>
    <row r="2331" spans="1:5" x14ac:dyDescent="0.2">
      <c r="A2331" s="42">
        <v>40761</v>
      </c>
      <c r="B2331" s="43">
        <f>VLOOKUP(A2331,Database!F:H,3,)</f>
        <v>405000</v>
      </c>
      <c r="C2331" s="43">
        <f t="shared" si="72"/>
        <v>-1000</v>
      </c>
      <c r="D2331" s="43">
        <f>VLOOKUP(A2331,Database!F:H,2,)</f>
        <v>3709000</v>
      </c>
      <c r="E2331" s="43">
        <f t="shared" si="73"/>
        <v>33000</v>
      </c>
    </row>
    <row r="2332" spans="1:5" x14ac:dyDescent="0.2">
      <c r="A2332" s="42">
        <v>40768</v>
      </c>
      <c r="B2332" s="43">
        <f>VLOOKUP(A2332,Database!F:H,3,)</f>
        <v>409000</v>
      </c>
      <c r="C2332" s="43">
        <f t="shared" si="72"/>
        <v>4000</v>
      </c>
      <c r="D2332" s="43">
        <f>VLOOKUP(A2332,Database!F:H,2,)</f>
        <v>3717000</v>
      </c>
      <c r="E2332" s="43">
        <f t="shared" si="73"/>
        <v>8000</v>
      </c>
    </row>
    <row r="2333" spans="1:5" x14ac:dyDescent="0.2">
      <c r="A2333" s="42">
        <v>40775</v>
      </c>
      <c r="B2333" s="43">
        <f>VLOOKUP(A2333,Database!F:H,3,)</f>
        <v>415000</v>
      </c>
      <c r="C2333" s="43">
        <f t="shared" si="72"/>
        <v>6000</v>
      </c>
      <c r="D2333" s="43">
        <f>VLOOKUP(A2333,Database!F:H,2,)</f>
        <v>3715000</v>
      </c>
      <c r="E2333" s="43">
        <f t="shared" si="73"/>
        <v>-2000</v>
      </c>
    </row>
    <row r="2334" spans="1:5" x14ac:dyDescent="0.2">
      <c r="A2334" s="42">
        <v>40782</v>
      </c>
      <c r="B2334" s="43">
        <f>VLOOKUP(A2334,Database!F:H,3,)</f>
        <v>409000</v>
      </c>
      <c r="C2334" s="43">
        <f t="shared" si="72"/>
        <v>-6000</v>
      </c>
      <c r="D2334" s="43">
        <f>VLOOKUP(A2334,Database!F:H,2,)</f>
        <v>3723000</v>
      </c>
      <c r="E2334" s="43">
        <f t="shared" si="73"/>
        <v>8000</v>
      </c>
    </row>
    <row r="2335" spans="1:5" x14ac:dyDescent="0.2">
      <c r="A2335" s="42">
        <v>40789</v>
      </c>
      <c r="B2335" s="43">
        <f>VLOOKUP(A2335,Database!F:H,3,)</f>
        <v>414000</v>
      </c>
      <c r="C2335" s="43">
        <f t="shared" si="72"/>
        <v>5000</v>
      </c>
      <c r="D2335" s="43">
        <f>VLOOKUP(A2335,Database!F:H,2,)</f>
        <v>3759000</v>
      </c>
      <c r="E2335" s="43">
        <f t="shared" si="73"/>
        <v>36000</v>
      </c>
    </row>
    <row r="2336" spans="1:5" x14ac:dyDescent="0.2">
      <c r="A2336" s="42">
        <v>40796</v>
      </c>
      <c r="B2336" s="43">
        <f>VLOOKUP(A2336,Database!F:H,3,)</f>
        <v>429000</v>
      </c>
      <c r="C2336" s="43">
        <f t="shared" si="72"/>
        <v>15000</v>
      </c>
      <c r="D2336" s="43">
        <f>VLOOKUP(A2336,Database!F:H,2,)</f>
        <v>3758000</v>
      </c>
      <c r="E2336" s="43">
        <f t="shared" si="73"/>
        <v>-1000</v>
      </c>
    </row>
    <row r="2337" spans="1:5" x14ac:dyDescent="0.2">
      <c r="A2337" s="42">
        <v>40803</v>
      </c>
      <c r="B2337" s="43">
        <f>VLOOKUP(A2337,Database!F:H,3,)</f>
        <v>422000</v>
      </c>
      <c r="C2337" s="43">
        <f t="shared" si="72"/>
        <v>-7000</v>
      </c>
      <c r="D2337" s="43">
        <f>VLOOKUP(A2337,Database!F:H,2,)</f>
        <v>3747000</v>
      </c>
      <c r="E2337" s="43">
        <f t="shared" si="73"/>
        <v>-11000</v>
      </c>
    </row>
    <row r="2338" spans="1:5" x14ac:dyDescent="0.2">
      <c r="A2338" s="42">
        <v>40810</v>
      </c>
      <c r="B2338" s="43">
        <f>VLOOKUP(A2338,Database!F:H,3,)</f>
        <v>406000</v>
      </c>
      <c r="C2338" s="43">
        <f t="shared" si="72"/>
        <v>-16000</v>
      </c>
      <c r="D2338" s="43">
        <f>VLOOKUP(A2338,Database!F:H,2,)</f>
        <v>3707000</v>
      </c>
      <c r="E2338" s="43">
        <f t="shared" si="73"/>
        <v>-40000</v>
      </c>
    </row>
    <row r="2339" spans="1:5" x14ac:dyDescent="0.2">
      <c r="A2339" s="42">
        <v>40817</v>
      </c>
      <c r="B2339" s="43">
        <f>VLOOKUP(A2339,Database!F:H,3,)</f>
        <v>405000</v>
      </c>
      <c r="C2339" s="43">
        <f t="shared" si="72"/>
        <v>-1000</v>
      </c>
      <c r="D2339" s="43">
        <f>VLOOKUP(A2339,Database!F:H,2,)</f>
        <v>3697000</v>
      </c>
      <c r="E2339" s="43">
        <f t="shared" si="73"/>
        <v>-10000</v>
      </c>
    </row>
    <row r="2340" spans="1:5" x14ac:dyDescent="0.2">
      <c r="A2340" s="42">
        <v>40824</v>
      </c>
      <c r="B2340" s="43">
        <f>VLOOKUP(A2340,Database!F:H,3,)</f>
        <v>410000</v>
      </c>
      <c r="C2340" s="43">
        <f t="shared" si="72"/>
        <v>5000</v>
      </c>
      <c r="D2340" s="43">
        <f>VLOOKUP(A2340,Database!F:H,2,)</f>
        <v>3731000</v>
      </c>
      <c r="E2340" s="43">
        <f t="shared" si="73"/>
        <v>34000</v>
      </c>
    </row>
    <row r="2341" spans="1:5" x14ac:dyDescent="0.2">
      <c r="A2341" s="42">
        <v>40831</v>
      </c>
      <c r="B2341" s="43">
        <f>VLOOKUP(A2341,Database!F:H,3,)</f>
        <v>395000</v>
      </c>
      <c r="C2341" s="43">
        <f t="shared" si="72"/>
        <v>-15000</v>
      </c>
      <c r="D2341" s="43">
        <f>VLOOKUP(A2341,Database!F:H,2,)</f>
        <v>3704000</v>
      </c>
      <c r="E2341" s="43">
        <f t="shared" si="73"/>
        <v>-27000</v>
      </c>
    </row>
    <row r="2342" spans="1:5" x14ac:dyDescent="0.2">
      <c r="A2342" s="42">
        <v>40838</v>
      </c>
      <c r="B2342" s="43">
        <f>VLOOKUP(A2342,Database!F:H,3,)</f>
        <v>403000</v>
      </c>
      <c r="C2342" s="43">
        <f t="shared" si="72"/>
        <v>8000</v>
      </c>
      <c r="D2342" s="43">
        <f>VLOOKUP(A2342,Database!F:H,2,)</f>
        <v>3699000</v>
      </c>
      <c r="E2342" s="43">
        <f t="shared" si="73"/>
        <v>-5000</v>
      </c>
    </row>
    <row r="2343" spans="1:5" x14ac:dyDescent="0.2">
      <c r="A2343" s="42">
        <v>40845</v>
      </c>
      <c r="B2343" s="43">
        <f>VLOOKUP(A2343,Database!F:H,3,)</f>
        <v>399000</v>
      </c>
      <c r="C2343" s="43">
        <f t="shared" si="72"/>
        <v>-4000</v>
      </c>
      <c r="D2343" s="43">
        <f>VLOOKUP(A2343,Database!F:H,2,)</f>
        <v>3677000</v>
      </c>
      <c r="E2343" s="43">
        <f t="shared" si="73"/>
        <v>-22000</v>
      </c>
    </row>
    <row r="2344" spans="1:5" x14ac:dyDescent="0.2">
      <c r="A2344" s="42">
        <v>40852</v>
      </c>
      <c r="B2344" s="43">
        <f>VLOOKUP(A2344,Database!F:H,3,)</f>
        <v>392000</v>
      </c>
      <c r="C2344" s="43">
        <f t="shared" si="72"/>
        <v>-7000</v>
      </c>
      <c r="D2344" s="43">
        <f>VLOOKUP(A2344,Database!F:H,2,)</f>
        <v>3603000</v>
      </c>
      <c r="E2344" s="43">
        <f t="shared" si="73"/>
        <v>-74000</v>
      </c>
    </row>
    <row r="2345" spans="1:5" x14ac:dyDescent="0.2">
      <c r="A2345" s="42">
        <v>40859</v>
      </c>
      <c r="B2345" s="43">
        <f>VLOOKUP(A2345,Database!F:H,3,)</f>
        <v>383000</v>
      </c>
      <c r="C2345" s="43">
        <f t="shared" si="72"/>
        <v>-9000</v>
      </c>
      <c r="D2345" s="43">
        <f>VLOOKUP(A2345,Database!F:H,2,)</f>
        <v>3676000</v>
      </c>
      <c r="E2345" s="43">
        <f t="shared" si="73"/>
        <v>73000</v>
      </c>
    </row>
    <row r="2346" spans="1:5" x14ac:dyDescent="0.2">
      <c r="A2346" s="42">
        <v>40866</v>
      </c>
      <c r="B2346" s="43">
        <f>VLOOKUP(A2346,Database!F:H,3,)</f>
        <v>385000</v>
      </c>
      <c r="C2346" s="43">
        <f t="shared" si="72"/>
        <v>2000</v>
      </c>
      <c r="D2346" s="43">
        <f>VLOOKUP(A2346,Database!F:H,2,)</f>
        <v>3739000</v>
      </c>
      <c r="E2346" s="43">
        <f t="shared" si="73"/>
        <v>63000</v>
      </c>
    </row>
    <row r="2347" spans="1:5" x14ac:dyDescent="0.2">
      <c r="A2347" s="42">
        <v>40873</v>
      </c>
      <c r="B2347" s="43">
        <f>VLOOKUP(A2347,Database!F:H,3,)</f>
        <v>397000</v>
      </c>
      <c r="C2347" s="43">
        <f t="shared" si="72"/>
        <v>12000</v>
      </c>
      <c r="D2347" s="43">
        <f>VLOOKUP(A2347,Database!F:H,2,)</f>
        <v>3592000</v>
      </c>
      <c r="E2347" s="43">
        <f t="shared" si="73"/>
        <v>-147000</v>
      </c>
    </row>
    <row r="2348" spans="1:5" x14ac:dyDescent="0.2">
      <c r="A2348" s="42">
        <v>40880</v>
      </c>
      <c r="B2348" s="43">
        <f>VLOOKUP(A2348,Database!F:H,3,)</f>
        <v>387000</v>
      </c>
      <c r="C2348" s="43">
        <f t="shared" si="72"/>
        <v>-10000</v>
      </c>
      <c r="D2348" s="43">
        <f>VLOOKUP(A2348,Database!F:H,2,)</f>
        <v>3595000</v>
      </c>
      <c r="E2348" s="43">
        <f t="shared" si="73"/>
        <v>3000</v>
      </c>
    </row>
    <row r="2349" spans="1:5" x14ac:dyDescent="0.2">
      <c r="A2349" s="42">
        <v>40887</v>
      </c>
      <c r="B2349" s="43">
        <f>VLOOKUP(A2349,Database!F:H,3,)</f>
        <v>368000</v>
      </c>
      <c r="C2349" s="43">
        <f t="shared" si="72"/>
        <v>-19000</v>
      </c>
      <c r="D2349" s="43">
        <f>VLOOKUP(A2349,Database!F:H,2,)</f>
        <v>3543000</v>
      </c>
      <c r="E2349" s="43">
        <f t="shared" si="73"/>
        <v>-52000</v>
      </c>
    </row>
    <row r="2350" spans="1:5" x14ac:dyDescent="0.2">
      <c r="A2350" s="42">
        <v>40894</v>
      </c>
      <c r="B2350" s="43">
        <f>VLOOKUP(A2350,Database!F:H,3,)</f>
        <v>368000</v>
      </c>
      <c r="C2350" s="43">
        <f t="shared" si="72"/>
        <v>0</v>
      </c>
      <c r="D2350" s="43">
        <f>VLOOKUP(A2350,Database!F:H,2,)</f>
        <v>3588000</v>
      </c>
      <c r="E2350" s="43">
        <f t="shared" si="73"/>
        <v>45000</v>
      </c>
    </row>
    <row r="2351" spans="1:5" x14ac:dyDescent="0.2">
      <c r="A2351" s="42">
        <v>40901</v>
      </c>
      <c r="B2351" s="43">
        <f>VLOOKUP(A2351,Database!F:H,3,)</f>
        <v>386000</v>
      </c>
      <c r="C2351" s="43">
        <f t="shared" si="72"/>
        <v>18000</v>
      </c>
      <c r="D2351" s="43">
        <f>VLOOKUP(A2351,Database!F:H,2,)</f>
        <v>3575000</v>
      </c>
      <c r="E2351" s="43">
        <f t="shared" si="73"/>
        <v>-13000</v>
      </c>
    </row>
    <row r="2352" spans="1:5" x14ac:dyDescent="0.2">
      <c r="A2352" s="42">
        <v>40908</v>
      </c>
      <c r="B2352" s="43">
        <f>VLOOKUP(A2352,Database!F:H,3,)</f>
        <v>376000</v>
      </c>
      <c r="C2352" s="43">
        <f t="shared" si="72"/>
        <v>-10000</v>
      </c>
      <c r="D2352" s="43">
        <f>VLOOKUP(A2352,Database!F:H,2,)</f>
        <v>3566000</v>
      </c>
      <c r="E2352" s="43">
        <f t="shared" si="73"/>
        <v>-9000</v>
      </c>
    </row>
    <row r="2353" spans="1:5" x14ac:dyDescent="0.2">
      <c r="A2353" s="42">
        <v>40915</v>
      </c>
      <c r="B2353" s="43">
        <f>VLOOKUP(A2353,Database!F:H,3,)</f>
        <v>391000</v>
      </c>
      <c r="C2353" s="43">
        <f t="shared" si="72"/>
        <v>15000</v>
      </c>
      <c r="D2353" s="43">
        <f>VLOOKUP(A2353,Database!F:H,2,)</f>
        <v>3421000</v>
      </c>
      <c r="E2353" s="43">
        <f t="shared" si="73"/>
        <v>-145000</v>
      </c>
    </row>
    <row r="2354" spans="1:5" x14ac:dyDescent="0.2">
      <c r="A2354" s="42">
        <v>40922</v>
      </c>
      <c r="B2354" s="43">
        <f>VLOOKUP(A2354,Database!F:H,3,)</f>
        <v>367000</v>
      </c>
      <c r="C2354" s="43">
        <f t="shared" si="72"/>
        <v>-24000</v>
      </c>
      <c r="D2354" s="43">
        <f>VLOOKUP(A2354,Database!F:H,2,)</f>
        <v>3511000</v>
      </c>
      <c r="E2354" s="43">
        <f t="shared" si="73"/>
        <v>90000</v>
      </c>
    </row>
    <row r="2355" spans="1:5" x14ac:dyDescent="0.2">
      <c r="A2355" s="42">
        <v>40929</v>
      </c>
      <c r="B2355" s="43">
        <f>VLOOKUP(A2355,Database!F:H,3,)</f>
        <v>381000</v>
      </c>
      <c r="C2355" s="43">
        <f t="shared" si="72"/>
        <v>14000</v>
      </c>
      <c r="D2355" s="43">
        <f>VLOOKUP(A2355,Database!F:H,2,)</f>
        <v>3419000</v>
      </c>
      <c r="E2355" s="43">
        <f t="shared" si="73"/>
        <v>-92000</v>
      </c>
    </row>
    <row r="2356" spans="1:5" x14ac:dyDescent="0.2">
      <c r="A2356" s="42">
        <v>40936</v>
      </c>
      <c r="B2356" s="43">
        <f>VLOOKUP(A2356,Database!F:H,3,)</f>
        <v>372000</v>
      </c>
      <c r="C2356" s="43">
        <f t="shared" si="72"/>
        <v>-9000</v>
      </c>
      <c r="D2356" s="43">
        <f>VLOOKUP(A2356,Database!F:H,2,)</f>
        <v>3454000</v>
      </c>
      <c r="E2356" s="43">
        <f t="shared" si="73"/>
        <v>35000</v>
      </c>
    </row>
    <row r="2357" spans="1:5" x14ac:dyDescent="0.2">
      <c r="A2357" s="42">
        <v>40943</v>
      </c>
      <c r="B2357" s="43">
        <f>VLOOKUP(A2357,Database!F:H,3,)</f>
        <v>368000</v>
      </c>
      <c r="C2357" s="43">
        <f t="shared" si="72"/>
        <v>-4000</v>
      </c>
      <c r="D2357" s="43">
        <f>VLOOKUP(A2357,Database!F:H,2,)</f>
        <v>3391000</v>
      </c>
      <c r="E2357" s="43">
        <f t="shared" si="73"/>
        <v>-63000</v>
      </c>
    </row>
    <row r="2358" spans="1:5" x14ac:dyDescent="0.2">
      <c r="A2358" s="42">
        <v>40950</v>
      </c>
      <c r="B2358" s="43">
        <f>VLOOKUP(A2358,Database!F:H,3,)</f>
        <v>361000</v>
      </c>
      <c r="C2358" s="43">
        <f t="shared" si="72"/>
        <v>-7000</v>
      </c>
      <c r="D2358" s="43">
        <f>VLOOKUP(A2358,Database!F:H,2,)</f>
        <v>3362000</v>
      </c>
      <c r="E2358" s="43">
        <f t="shared" si="73"/>
        <v>-29000</v>
      </c>
    </row>
    <row r="2359" spans="1:5" x14ac:dyDescent="0.2">
      <c r="A2359" s="42">
        <v>40957</v>
      </c>
      <c r="B2359" s="43">
        <f>VLOOKUP(A2359,Database!F:H,3,)</f>
        <v>359000</v>
      </c>
      <c r="C2359" s="43">
        <f t="shared" si="72"/>
        <v>-2000</v>
      </c>
      <c r="D2359" s="43">
        <f>VLOOKUP(A2359,Database!F:H,2,)</f>
        <v>3382000</v>
      </c>
      <c r="E2359" s="43">
        <f t="shared" si="73"/>
        <v>20000</v>
      </c>
    </row>
    <row r="2360" spans="1:5" x14ac:dyDescent="0.2">
      <c r="A2360" s="42">
        <v>40964</v>
      </c>
      <c r="B2360" s="43">
        <f>VLOOKUP(A2360,Database!F:H,3,)</f>
        <v>365000</v>
      </c>
      <c r="C2360" s="43">
        <f t="shared" si="72"/>
        <v>6000</v>
      </c>
      <c r="D2360" s="43">
        <f>VLOOKUP(A2360,Database!F:H,2,)</f>
        <v>3392000</v>
      </c>
      <c r="E2360" s="43">
        <f t="shared" si="73"/>
        <v>10000</v>
      </c>
    </row>
    <row r="2361" spans="1:5" x14ac:dyDescent="0.2">
      <c r="A2361" s="42">
        <v>40971</v>
      </c>
      <c r="B2361" s="43">
        <f>VLOOKUP(A2361,Database!F:H,3,)</f>
        <v>375000</v>
      </c>
      <c r="C2361" s="43">
        <f t="shared" si="72"/>
        <v>10000</v>
      </c>
      <c r="D2361" s="43">
        <f>VLOOKUP(A2361,Database!F:H,2,)</f>
        <v>3367000</v>
      </c>
      <c r="E2361" s="43">
        <f t="shared" si="73"/>
        <v>-25000</v>
      </c>
    </row>
    <row r="2362" spans="1:5" x14ac:dyDescent="0.2">
      <c r="A2362" s="42">
        <v>40978</v>
      </c>
      <c r="B2362" s="43">
        <f>VLOOKUP(A2362,Database!F:H,3,)</f>
        <v>369000</v>
      </c>
      <c r="C2362" s="43">
        <f t="shared" si="72"/>
        <v>-6000</v>
      </c>
      <c r="D2362" s="43">
        <f>VLOOKUP(A2362,Database!F:H,2,)</f>
        <v>3353000</v>
      </c>
      <c r="E2362" s="43">
        <f t="shared" si="73"/>
        <v>-14000</v>
      </c>
    </row>
    <row r="2363" spans="1:5" x14ac:dyDescent="0.2">
      <c r="A2363" s="42">
        <v>40985</v>
      </c>
      <c r="B2363" s="43">
        <f>VLOOKUP(A2363,Database!F:H,3,)</f>
        <v>368000</v>
      </c>
      <c r="C2363" s="43">
        <f t="shared" si="72"/>
        <v>-1000</v>
      </c>
      <c r="D2363" s="43">
        <f>VLOOKUP(A2363,Database!F:H,2,)</f>
        <v>3342000</v>
      </c>
      <c r="E2363" s="43">
        <f t="shared" si="73"/>
        <v>-11000</v>
      </c>
    </row>
    <row r="2364" spans="1:5" x14ac:dyDescent="0.2">
      <c r="A2364" s="42">
        <v>40992</v>
      </c>
      <c r="B2364" s="43">
        <f>VLOOKUP(A2364,Database!F:H,3,)</f>
        <v>363000</v>
      </c>
      <c r="C2364" s="43">
        <f t="shared" si="72"/>
        <v>-5000</v>
      </c>
      <c r="D2364" s="43">
        <f>VLOOKUP(A2364,Database!F:H,2,)</f>
        <v>3336000</v>
      </c>
      <c r="E2364" s="43">
        <f t="shared" si="73"/>
        <v>-6000</v>
      </c>
    </row>
    <row r="2365" spans="1:5" x14ac:dyDescent="0.2">
      <c r="A2365" s="42">
        <v>40999</v>
      </c>
      <c r="B2365" s="43">
        <f>VLOOKUP(A2365,Database!F:H,3,)</f>
        <v>358000</v>
      </c>
      <c r="C2365" s="43">
        <f t="shared" si="72"/>
        <v>-5000</v>
      </c>
      <c r="D2365" s="43">
        <f>VLOOKUP(A2365,Database!F:H,2,)</f>
        <v>3286000</v>
      </c>
      <c r="E2365" s="43">
        <f t="shared" si="73"/>
        <v>-50000</v>
      </c>
    </row>
    <row r="2366" spans="1:5" x14ac:dyDescent="0.2">
      <c r="A2366" s="42">
        <v>41006</v>
      </c>
      <c r="B2366" s="43">
        <f>VLOOKUP(A2366,Database!F:H,3,)</f>
        <v>387000</v>
      </c>
      <c r="C2366" s="43">
        <f t="shared" si="72"/>
        <v>29000</v>
      </c>
      <c r="D2366" s="43">
        <f>VLOOKUP(A2366,Database!F:H,2,)</f>
        <v>3325000</v>
      </c>
      <c r="E2366" s="43">
        <f t="shared" si="73"/>
        <v>39000</v>
      </c>
    </row>
    <row r="2367" spans="1:5" x14ac:dyDescent="0.2">
      <c r="A2367" s="42">
        <v>41013</v>
      </c>
      <c r="B2367" s="43">
        <f>VLOOKUP(A2367,Database!F:H,3,)</f>
        <v>381000</v>
      </c>
      <c r="C2367" s="43">
        <f t="shared" si="72"/>
        <v>-6000</v>
      </c>
      <c r="D2367" s="43">
        <f>VLOOKUP(A2367,Database!F:H,2,)</f>
        <v>3355000</v>
      </c>
      <c r="E2367" s="43">
        <f t="shared" si="73"/>
        <v>30000</v>
      </c>
    </row>
    <row r="2368" spans="1:5" x14ac:dyDescent="0.2">
      <c r="A2368" s="42">
        <v>41020</v>
      </c>
      <c r="B2368" s="43">
        <f>VLOOKUP(A2368,Database!F:H,3,)</f>
        <v>387000</v>
      </c>
      <c r="C2368" s="43">
        <f t="shared" si="72"/>
        <v>6000</v>
      </c>
      <c r="D2368" s="43">
        <f>VLOOKUP(A2368,Database!F:H,2,)</f>
        <v>3316000</v>
      </c>
      <c r="E2368" s="43">
        <f t="shared" si="73"/>
        <v>-39000</v>
      </c>
    </row>
    <row r="2369" spans="1:5" x14ac:dyDescent="0.2">
      <c r="A2369" s="42">
        <v>41027</v>
      </c>
      <c r="B2369" s="43">
        <f>VLOOKUP(A2369,Database!F:H,3,)</f>
        <v>372000</v>
      </c>
      <c r="C2369" s="43">
        <f t="shared" si="72"/>
        <v>-15000</v>
      </c>
      <c r="D2369" s="43">
        <f>VLOOKUP(A2369,Database!F:H,2,)</f>
        <v>3296000</v>
      </c>
      <c r="E2369" s="43">
        <f t="shared" si="73"/>
        <v>-20000</v>
      </c>
    </row>
    <row r="2370" spans="1:5" x14ac:dyDescent="0.2">
      <c r="A2370" s="42">
        <v>41034</v>
      </c>
      <c r="B2370" s="43">
        <f>VLOOKUP(A2370,Database!F:H,3,)</f>
        <v>373000</v>
      </c>
      <c r="C2370" s="43">
        <f t="shared" si="72"/>
        <v>1000</v>
      </c>
      <c r="D2370" s="43">
        <f>VLOOKUP(A2370,Database!F:H,2,)</f>
        <v>3326000</v>
      </c>
      <c r="E2370" s="43">
        <f t="shared" si="73"/>
        <v>30000</v>
      </c>
    </row>
    <row r="2371" spans="1:5" x14ac:dyDescent="0.2">
      <c r="A2371" s="42">
        <v>41041</v>
      </c>
      <c r="B2371" s="43">
        <f>VLOOKUP(A2371,Database!F:H,3,)</f>
        <v>369000</v>
      </c>
      <c r="C2371" s="43">
        <f t="shared" si="72"/>
        <v>-4000</v>
      </c>
      <c r="D2371" s="43">
        <f>VLOOKUP(A2371,Database!F:H,2,)</f>
        <v>3334000</v>
      </c>
      <c r="E2371" s="43">
        <f t="shared" si="73"/>
        <v>8000</v>
      </c>
    </row>
    <row r="2372" spans="1:5" x14ac:dyDescent="0.2">
      <c r="A2372" s="42">
        <v>41048</v>
      </c>
      <c r="B2372" s="43">
        <f>VLOOKUP(A2372,Database!F:H,3,)</f>
        <v>371000</v>
      </c>
      <c r="C2372" s="43">
        <f t="shared" si="72"/>
        <v>2000</v>
      </c>
      <c r="D2372" s="43">
        <f>VLOOKUP(A2372,Database!F:H,2,)</f>
        <v>3301000</v>
      </c>
      <c r="E2372" s="43">
        <f t="shared" si="73"/>
        <v>-33000</v>
      </c>
    </row>
    <row r="2373" spans="1:5" x14ac:dyDescent="0.2">
      <c r="A2373" s="42">
        <v>41055</v>
      </c>
      <c r="B2373" s="43">
        <f>VLOOKUP(A2373,Database!F:H,3,)</f>
        <v>381000</v>
      </c>
      <c r="C2373" s="43">
        <f t="shared" si="72"/>
        <v>10000</v>
      </c>
      <c r="D2373" s="43">
        <f>VLOOKUP(A2373,Database!F:H,2,)</f>
        <v>3351000</v>
      </c>
      <c r="E2373" s="43">
        <f t="shared" si="73"/>
        <v>50000</v>
      </c>
    </row>
    <row r="2374" spans="1:5" x14ac:dyDescent="0.2">
      <c r="A2374" s="42">
        <v>41062</v>
      </c>
      <c r="B2374" s="43">
        <f>VLOOKUP(A2374,Database!F:H,3,)</f>
        <v>377000</v>
      </c>
      <c r="C2374" s="43">
        <f t="shared" si="72"/>
        <v>-4000</v>
      </c>
      <c r="D2374" s="43">
        <f>VLOOKUP(A2374,Database!F:H,2,)</f>
        <v>3327000</v>
      </c>
      <c r="E2374" s="43">
        <f t="shared" si="73"/>
        <v>-24000</v>
      </c>
    </row>
    <row r="2375" spans="1:5" x14ac:dyDescent="0.2">
      <c r="A2375" s="42">
        <v>41069</v>
      </c>
      <c r="B2375" s="43">
        <f>VLOOKUP(A2375,Database!F:H,3,)</f>
        <v>383000</v>
      </c>
      <c r="C2375" s="43">
        <f t="shared" si="72"/>
        <v>6000</v>
      </c>
      <c r="D2375" s="43">
        <f>VLOOKUP(A2375,Database!F:H,2,)</f>
        <v>3343000</v>
      </c>
      <c r="E2375" s="43">
        <f t="shared" si="73"/>
        <v>16000</v>
      </c>
    </row>
    <row r="2376" spans="1:5" x14ac:dyDescent="0.2">
      <c r="A2376" s="42">
        <v>41076</v>
      </c>
      <c r="B2376" s="43">
        <f>VLOOKUP(A2376,Database!F:H,3,)</f>
        <v>384000</v>
      </c>
      <c r="C2376" s="43">
        <f t="shared" ref="C2376:C2439" si="74">B2376-B2375</f>
        <v>1000</v>
      </c>
      <c r="D2376" s="43">
        <f>VLOOKUP(A2376,Database!F:H,2,)</f>
        <v>3323000</v>
      </c>
      <c r="E2376" s="43">
        <f t="shared" ref="E2376:E2439" si="75">D2376-D2375</f>
        <v>-20000</v>
      </c>
    </row>
    <row r="2377" spans="1:5" x14ac:dyDescent="0.2">
      <c r="A2377" s="42">
        <v>41083</v>
      </c>
      <c r="B2377" s="43">
        <f>VLOOKUP(A2377,Database!F:H,3,)</f>
        <v>380000</v>
      </c>
      <c r="C2377" s="43">
        <f t="shared" si="74"/>
        <v>-4000</v>
      </c>
      <c r="D2377" s="43">
        <f>VLOOKUP(A2377,Database!F:H,2,)</f>
        <v>3325000</v>
      </c>
      <c r="E2377" s="43">
        <f t="shared" si="75"/>
        <v>2000</v>
      </c>
    </row>
    <row r="2378" spans="1:5" x14ac:dyDescent="0.2">
      <c r="A2378" s="42">
        <v>41090</v>
      </c>
      <c r="B2378" s="43">
        <f>VLOOKUP(A2378,Database!F:H,3,)</f>
        <v>372000</v>
      </c>
      <c r="C2378" s="43">
        <f t="shared" si="74"/>
        <v>-8000</v>
      </c>
      <c r="D2378" s="43">
        <f>VLOOKUP(A2378,Database!F:H,2,)</f>
        <v>3304000</v>
      </c>
      <c r="E2378" s="43">
        <f t="shared" si="75"/>
        <v>-21000</v>
      </c>
    </row>
    <row r="2379" spans="1:5" x14ac:dyDescent="0.2">
      <c r="A2379" s="42">
        <v>41097</v>
      </c>
      <c r="B2379" s="43">
        <f>VLOOKUP(A2379,Database!F:H,3,)</f>
        <v>360000</v>
      </c>
      <c r="C2379" s="43">
        <f t="shared" si="74"/>
        <v>-12000</v>
      </c>
      <c r="D2379" s="43">
        <f>VLOOKUP(A2379,Database!F:H,2,)</f>
        <v>3314000</v>
      </c>
      <c r="E2379" s="43">
        <f t="shared" si="75"/>
        <v>10000</v>
      </c>
    </row>
    <row r="2380" spans="1:5" x14ac:dyDescent="0.2">
      <c r="A2380" s="42">
        <v>41104</v>
      </c>
      <c r="B2380" s="43">
        <f>VLOOKUP(A2380,Database!F:H,3,)</f>
        <v>390000</v>
      </c>
      <c r="C2380" s="43">
        <f t="shared" si="74"/>
        <v>30000</v>
      </c>
      <c r="D2380" s="43">
        <f>VLOOKUP(A2380,Database!F:H,2,)</f>
        <v>3307000</v>
      </c>
      <c r="E2380" s="43">
        <f t="shared" si="75"/>
        <v>-7000</v>
      </c>
    </row>
    <row r="2381" spans="1:5" x14ac:dyDescent="0.2">
      <c r="A2381" s="42">
        <v>41111</v>
      </c>
      <c r="B2381" s="43">
        <f>VLOOKUP(A2381,Database!F:H,3,)</f>
        <v>368000</v>
      </c>
      <c r="C2381" s="43">
        <f t="shared" si="74"/>
        <v>-22000</v>
      </c>
      <c r="D2381" s="43">
        <f>VLOOKUP(A2381,Database!F:H,2,)</f>
        <v>3290000</v>
      </c>
      <c r="E2381" s="43">
        <f t="shared" si="75"/>
        <v>-17000</v>
      </c>
    </row>
    <row r="2382" spans="1:5" x14ac:dyDescent="0.2">
      <c r="A2382" s="42">
        <v>41118</v>
      </c>
      <c r="B2382" s="43">
        <f>VLOOKUP(A2382,Database!F:H,3,)</f>
        <v>372000</v>
      </c>
      <c r="C2382" s="43">
        <f t="shared" si="74"/>
        <v>4000</v>
      </c>
      <c r="D2382" s="43">
        <f>VLOOKUP(A2382,Database!F:H,2,)</f>
        <v>3312000</v>
      </c>
      <c r="E2382" s="43">
        <f t="shared" si="75"/>
        <v>22000</v>
      </c>
    </row>
    <row r="2383" spans="1:5" x14ac:dyDescent="0.2">
      <c r="A2383" s="42">
        <v>41125</v>
      </c>
      <c r="B2383" s="43">
        <f>VLOOKUP(A2383,Database!F:H,3,)</f>
        <v>371000</v>
      </c>
      <c r="C2383" s="43">
        <f t="shared" si="74"/>
        <v>-1000</v>
      </c>
      <c r="D2383" s="43">
        <f>VLOOKUP(A2383,Database!F:H,2,)</f>
        <v>3302000</v>
      </c>
      <c r="E2383" s="43">
        <f t="shared" si="75"/>
        <v>-10000</v>
      </c>
    </row>
    <row r="2384" spans="1:5" x14ac:dyDescent="0.2">
      <c r="A2384" s="42">
        <v>41132</v>
      </c>
      <c r="B2384" s="43">
        <f>VLOOKUP(A2384,Database!F:H,3,)</f>
        <v>369000</v>
      </c>
      <c r="C2384" s="43">
        <f t="shared" si="74"/>
        <v>-2000</v>
      </c>
      <c r="D2384" s="43">
        <f>VLOOKUP(A2384,Database!F:H,2,)</f>
        <v>3296000</v>
      </c>
      <c r="E2384" s="43">
        <f t="shared" si="75"/>
        <v>-6000</v>
      </c>
    </row>
    <row r="2385" spans="1:5" x14ac:dyDescent="0.2">
      <c r="A2385" s="42">
        <v>41139</v>
      </c>
      <c r="B2385" s="43">
        <f>VLOOKUP(A2385,Database!F:H,3,)</f>
        <v>376000</v>
      </c>
      <c r="C2385" s="43">
        <f t="shared" si="74"/>
        <v>7000</v>
      </c>
      <c r="D2385" s="43">
        <f>VLOOKUP(A2385,Database!F:H,2,)</f>
        <v>3306000</v>
      </c>
      <c r="E2385" s="43">
        <f t="shared" si="75"/>
        <v>10000</v>
      </c>
    </row>
    <row r="2386" spans="1:5" x14ac:dyDescent="0.2">
      <c r="A2386" s="42">
        <v>41146</v>
      </c>
      <c r="B2386" s="43">
        <f>VLOOKUP(A2386,Database!F:H,3,)</f>
        <v>377000</v>
      </c>
      <c r="C2386" s="43">
        <f t="shared" si="74"/>
        <v>1000</v>
      </c>
      <c r="D2386" s="43">
        <f>VLOOKUP(A2386,Database!F:H,2,)</f>
        <v>3321000</v>
      </c>
      <c r="E2386" s="43">
        <f t="shared" si="75"/>
        <v>15000</v>
      </c>
    </row>
    <row r="2387" spans="1:5" x14ac:dyDescent="0.2">
      <c r="A2387" s="42">
        <v>41153</v>
      </c>
      <c r="B2387" s="43">
        <f>VLOOKUP(A2387,Database!F:H,3,)</f>
        <v>371000</v>
      </c>
      <c r="C2387" s="43">
        <f t="shared" si="74"/>
        <v>-6000</v>
      </c>
      <c r="D2387" s="43">
        <f>VLOOKUP(A2387,Database!F:H,2,)</f>
        <v>3327000</v>
      </c>
      <c r="E2387" s="43">
        <f t="shared" si="75"/>
        <v>6000</v>
      </c>
    </row>
    <row r="2388" spans="1:5" x14ac:dyDescent="0.2">
      <c r="A2388" s="42">
        <v>41160</v>
      </c>
      <c r="B2388" s="43">
        <f>VLOOKUP(A2388,Database!F:H,3,)</f>
        <v>393000</v>
      </c>
      <c r="C2388" s="43">
        <f t="shared" si="74"/>
        <v>22000</v>
      </c>
      <c r="D2388" s="43">
        <f>VLOOKUP(A2388,Database!F:H,2,)</f>
        <v>3312000</v>
      </c>
      <c r="E2388" s="43">
        <f t="shared" si="75"/>
        <v>-15000</v>
      </c>
    </row>
    <row r="2389" spans="1:5" x14ac:dyDescent="0.2">
      <c r="A2389" s="42">
        <v>41167</v>
      </c>
      <c r="B2389" s="43">
        <f>VLOOKUP(A2389,Database!F:H,3,)</f>
        <v>392000</v>
      </c>
      <c r="C2389" s="43">
        <f t="shared" si="74"/>
        <v>-1000</v>
      </c>
      <c r="D2389" s="43">
        <f>VLOOKUP(A2389,Database!F:H,2,)</f>
        <v>3316000</v>
      </c>
      <c r="E2389" s="43">
        <f t="shared" si="75"/>
        <v>4000</v>
      </c>
    </row>
    <row r="2390" spans="1:5" x14ac:dyDescent="0.2">
      <c r="A2390" s="42">
        <v>41174</v>
      </c>
      <c r="B2390" s="43">
        <f>VLOOKUP(A2390,Database!F:H,3,)</f>
        <v>377000</v>
      </c>
      <c r="C2390" s="43">
        <f t="shared" si="74"/>
        <v>-15000</v>
      </c>
      <c r="D2390" s="43">
        <f>VLOOKUP(A2390,Database!F:H,2,)</f>
        <v>3308000</v>
      </c>
      <c r="E2390" s="43">
        <f t="shared" si="75"/>
        <v>-8000</v>
      </c>
    </row>
    <row r="2391" spans="1:5" x14ac:dyDescent="0.2">
      <c r="A2391" s="42">
        <v>41181</v>
      </c>
      <c r="B2391" s="43">
        <f>VLOOKUP(A2391,Database!F:H,3,)</f>
        <v>376000</v>
      </c>
      <c r="C2391" s="43">
        <f t="shared" si="74"/>
        <v>-1000</v>
      </c>
      <c r="D2391" s="43">
        <f>VLOOKUP(A2391,Database!F:H,2,)</f>
        <v>3309000</v>
      </c>
      <c r="E2391" s="43">
        <f t="shared" si="75"/>
        <v>1000</v>
      </c>
    </row>
    <row r="2392" spans="1:5" x14ac:dyDescent="0.2">
      <c r="A2392" s="42">
        <v>41188</v>
      </c>
      <c r="B2392" s="43">
        <f>VLOOKUP(A2392,Database!F:H,3,)</f>
        <v>350000</v>
      </c>
      <c r="C2392" s="43">
        <f t="shared" si="74"/>
        <v>-26000</v>
      </c>
      <c r="D2392" s="43">
        <f>VLOOKUP(A2392,Database!F:H,2,)</f>
        <v>3295000</v>
      </c>
      <c r="E2392" s="43">
        <f t="shared" si="75"/>
        <v>-14000</v>
      </c>
    </row>
    <row r="2393" spans="1:5" x14ac:dyDescent="0.2">
      <c r="A2393" s="42">
        <v>41195</v>
      </c>
      <c r="B2393" s="43">
        <f>VLOOKUP(A2393,Database!F:H,3,)</f>
        <v>386000</v>
      </c>
      <c r="C2393" s="43">
        <f t="shared" si="74"/>
        <v>36000</v>
      </c>
      <c r="D2393" s="43">
        <f>VLOOKUP(A2393,Database!F:H,2,)</f>
        <v>3302000</v>
      </c>
      <c r="E2393" s="43">
        <f t="shared" si="75"/>
        <v>7000</v>
      </c>
    </row>
    <row r="2394" spans="1:5" x14ac:dyDescent="0.2">
      <c r="A2394" s="42">
        <v>41202</v>
      </c>
      <c r="B2394" s="43">
        <f>VLOOKUP(A2394,Database!F:H,3,)</f>
        <v>374000</v>
      </c>
      <c r="C2394" s="43">
        <f t="shared" si="74"/>
        <v>-12000</v>
      </c>
      <c r="D2394" s="43">
        <f>VLOOKUP(A2394,Database!F:H,2,)</f>
        <v>3285000</v>
      </c>
      <c r="E2394" s="43">
        <f t="shared" si="75"/>
        <v>-17000</v>
      </c>
    </row>
    <row r="2395" spans="1:5" x14ac:dyDescent="0.2">
      <c r="A2395" s="42">
        <v>41209</v>
      </c>
      <c r="B2395" s="43">
        <f>VLOOKUP(A2395,Database!F:H,3,)</f>
        <v>364000</v>
      </c>
      <c r="C2395" s="43">
        <f t="shared" si="74"/>
        <v>-10000</v>
      </c>
      <c r="D2395" s="43">
        <f>VLOOKUP(A2395,Database!F:H,2,)</f>
        <v>3223000</v>
      </c>
      <c r="E2395" s="43">
        <f t="shared" si="75"/>
        <v>-62000</v>
      </c>
    </row>
    <row r="2396" spans="1:5" x14ac:dyDescent="0.2">
      <c r="A2396" s="42">
        <v>41216</v>
      </c>
      <c r="B2396" s="43">
        <f>VLOOKUP(A2396,Database!F:H,3,)</f>
        <v>365000</v>
      </c>
      <c r="C2396" s="43">
        <f t="shared" si="74"/>
        <v>1000</v>
      </c>
      <c r="D2396" s="43">
        <f>VLOOKUP(A2396,Database!F:H,2,)</f>
        <v>3368000</v>
      </c>
      <c r="E2396" s="43">
        <f t="shared" si="75"/>
        <v>145000</v>
      </c>
    </row>
    <row r="2397" spans="1:5" x14ac:dyDescent="0.2">
      <c r="A2397" s="42">
        <v>41223</v>
      </c>
      <c r="B2397" s="43">
        <f>VLOOKUP(A2397,Database!F:H,3,)</f>
        <v>446000</v>
      </c>
      <c r="C2397" s="43">
        <f t="shared" si="74"/>
        <v>81000</v>
      </c>
      <c r="D2397" s="43">
        <f>VLOOKUP(A2397,Database!F:H,2,)</f>
        <v>3364000</v>
      </c>
      <c r="E2397" s="43">
        <f t="shared" si="75"/>
        <v>-4000</v>
      </c>
    </row>
    <row r="2398" spans="1:5" x14ac:dyDescent="0.2">
      <c r="A2398" s="42">
        <v>41230</v>
      </c>
      <c r="B2398" s="43">
        <f>VLOOKUP(A2398,Database!F:H,3,)</f>
        <v>406000</v>
      </c>
      <c r="C2398" s="43">
        <f t="shared" si="74"/>
        <v>-40000</v>
      </c>
      <c r="D2398" s="43">
        <f>VLOOKUP(A2398,Database!F:H,2,)</f>
        <v>3325000</v>
      </c>
      <c r="E2398" s="43">
        <f t="shared" si="75"/>
        <v>-39000</v>
      </c>
    </row>
    <row r="2399" spans="1:5" x14ac:dyDescent="0.2">
      <c r="A2399" s="42">
        <v>41237</v>
      </c>
      <c r="B2399" s="43">
        <f>VLOOKUP(A2399,Database!F:H,3,)</f>
        <v>388000</v>
      </c>
      <c r="C2399" s="43">
        <f t="shared" si="74"/>
        <v>-18000</v>
      </c>
      <c r="D2399" s="43">
        <f>VLOOKUP(A2399,Database!F:H,2,)</f>
        <v>3248000</v>
      </c>
      <c r="E2399" s="43">
        <f t="shared" si="75"/>
        <v>-77000</v>
      </c>
    </row>
    <row r="2400" spans="1:5" x14ac:dyDescent="0.2">
      <c r="A2400" s="42">
        <v>41244</v>
      </c>
      <c r="B2400" s="43">
        <f>VLOOKUP(A2400,Database!F:H,3,)</f>
        <v>375000</v>
      </c>
      <c r="C2400" s="43">
        <f t="shared" si="74"/>
        <v>-13000</v>
      </c>
      <c r="D2400" s="43">
        <f>VLOOKUP(A2400,Database!F:H,2,)</f>
        <v>3195000</v>
      </c>
      <c r="E2400" s="43">
        <f t="shared" si="75"/>
        <v>-53000</v>
      </c>
    </row>
    <row r="2401" spans="1:5" x14ac:dyDescent="0.2">
      <c r="A2401" s="42">
        <v>41251</v>
      </c>
      <c r="B2401" s="43">
        <f>VLOOKUP(A2401,Database!F:H,3,)</f>
        <v>340000</v>
      </c>
      <c r="C2401" s="43">
        <f t="shared" si="74"/>
        <v>-35000</v>
      </c>
      <c r="D2401" s="43">
        <f>VLOOKUP(A2401,Database!F:H,2,)</f>
        <v>3229000</v>
      </c>
      <c r="E2401" s="43">
        <f t="shared" si="75"/>
        <v>34000</v>
      </c>
    </row>
    <row r="2402" spans="1:5" x14ac:dyDescent="0.2">
      <c r="A2402" s="42">
        <v>41258</v>
      </c>
      <c r="B2402" s="43">
        <f>VLOOKUP(A2402,Database!F:H,3,)</f>
        <v>356000</v>
      </c>
      <c r="C2402" s="43">
        <f t="shared" si="74"/>
        <v>16000</v>
      </c>
      <c r="D2402" s="43">
        <f>VLOOKUP(A2402,Database!F:H,2,)</f>
        <v>3179000</v>
      </c>
      <c r="E2402" s="43">
        <f t="shared" si="75"/>
        <v>-50000</v>
      </c>
    </row>
    <row r="2403" spans="1:5" x14ac:dyDescent="0.2">
      <c r="A2403" s="42">
        <v>41265</v>
      </c>
      <c r="B2403" s="43">
        <f>VLOOKUP(A2403,Database!F:H,3,)</f>
        <v>362000</v>
      </c>
      <c r="C2403" s="43">
        <f t="shared" si="74"/>
        <v>6000</v>
      </c>
      <c r="D2403" s="43">
        <f>VLOOKUP(A2403,Database!F:H,2,)</f>
        <v>3221000</v>
      </c>
      <c r="E2403" s="43">
        <f t="shared" si="75"/>
        <v>42000</v>
      </c>
    </row>
    <row r="2404" spans="1:5" x14ac:dyDescent="0.2">
      <c r="A2404" s="42">
        <v>41272</v>
      </c>
      <c r="B2404" s="43">
        <f>VLOOKUP(A2404,Database!F:H,3,)</f>
        <v>362000</v>
      </c>
      <c r="C2404" s="43">
        <f t="shared" si="74"/>
        <v>0</v>
      </c>
      <c r="D2404" s="43">
        <f>VLOOKUP(A2404,Database!F:H,2,)</f>
        <v>3127000</v>
      </c>
      <c r="E2404" s="43">
        <f t="shared" si="75"/>
        <v>-94000</v>
      </c>
    </row>
    <row r="2405" spans="1:5" x14ac:dyDescent="0.2">
      <c r="A2405" s="42">
        <v>41279</v>
      </c>
      <c r="B2405" s="43">
        <f>VLOOKUP(A2405,Database!F:H,3,)</f>
        <v>363000</v>
      </c>
      <c r="C2405" s="43">
        <f t="shared" si="74"/>
        <v>1000</v>
      </c>
      <c r="D2405" s="43">
        <f>VLOOKUP(A2405,Database!F:H,2,)</f>
        <v>3147000</v>
      </c>
      <c r="E2405" s="43">
        <f t="shared" si="75"/>
        <v>20000</v>
      </c>
    </row>
    <row r="2406" spans="1:5" x14ac:dyDescent="0.2">
      <c r="A2406" s="42">
        <v>41286</v>
      </c>
      <c r="B2406" s="43">
        <f>VLOOKUP(A2406,Database!F:H,3,)</f>
        <v>344000</v>
      </c>
      <c r="C2406" s="43">
        <f t="shared" si="74"/>
        <v>-19000</v>
      </c>
      <c r="D2406" s="43">
        <f>VLOOKUP(A2406,Database!F:H,2,)</f>
        <v>3108000</v>
      </c>
      <c r="E2406" s="43">
        <f t="shared" si="75"/>
        <v>-39000</v>
      </c>
    </row>
    <row r="2407" spans="1:5" x14ac:dyDescent="0.2">
      <c r="A2407" s="42">
        <v>41293</v>
      </c>
      <c r="B2407" s="43">
        <f>VLOOKUP(A2407,Database!F:H,3,)</f>
        <v>339000</v>
      </c>
      <c r="C2407" s="43">
        <f t="shared" si="74"/>
        <v>-5000</v>
      </c>
      <c r="D2407" s="43">
        <f>VLOOKUP(A2407,Database!F:H,2,)</f>
        <v>3138000</v>
      </c>
      <c r="E2407" s="43">
        <f t="shared" si="75"/>
        <v>30000</v>
      </c>
    </row>
    <row r="2408" spans="1:5" x14ac:dyDescent="0.2">
      <c r="A2408" s="42">
        <v>41300</v>
      </c>
      <c r="B2408" s="43">
        <f>VLOOKUP(A2408,Database!F:H,3,)</f>
        <v>366000</v>
      </c>
      <c r="C2408" s="43">
        <f t="shared" si="74"/>
        <v>27000</v>
      </c>
      <c r="D2408" s="43">
        <f>VLOOKUP(A2408,Database!F:H,2,)</f>
        <v>3138000</v>
      </c>
      <c r="E2408" s="43">
        <f t="shared" si="75"/>
        <v>0</v>
      </c>
    </row>
    <row r="2409" spans="1:5" x14ac:dyDescent="0.2">
      <c r="A2409" s="42">
        <v>41307</v>
      </c>
      <c r="B2409" s="43">
        <f>VLOOKUP(A2409,Database!F:H,3,)</f>
        <v>361000</v>
      </c>
      <c r="C2409" s="43">
        <f t="shared" si="74"/>
        <v>-5000</v>
      </c>
      <c r="D2409" s="43">
        <f>VLOOKUP(A2409,Database!F:H,2,)</f>
        <v>3075000</v>
      </c>
      <c r="E2409" s="43">
        <f t="shared" si="75"/>
        <v>-63000</v>
      </c>
    </row>
    <row r="2410" spans="1:5" x14ac:dyDescent="0.2">
      <c r="A2410" s="42">
        <v>41314</v>
      </c>
      <c r="B2410" s="43">
        <f>VLOOKUP(A2410,Database!F:H,3,)</f>
        <v>347000</v>
      </c>
      <c r="C2410" s="43">
        <f t="shared" si="74"/>
        <v>-14000</v>
      </c>
      <c r="D2410" s="43">
        <f>VLOOKUP(A2410,Database!F:H,2,)</f>
        <v>3081000</v>
      </c>
      <c r="E2410" s="43">
        <f t="shared" si="75"/>
        <v>6000</v>
      </c>
    </row>
    <row r="2411" spans="1:5" x14ac:dyDescent="0.2">
      <c r="A2411" s="42">
        <v>41321</v>
      </c>
      <c r="B2411" s="43">
        <f>VLOOKUP(A2411,Database!F:H,3,)</f>
        <v>362000</v>
      </c>
      <c r="C2411" s="43">
        <f t="shared" si="74"/>
        <v>15000</v>
      </c>
      <c r="D2411" s="43">
        <f>VLOOKUP(A2411,Database!F:H,2,)</f>
        <v>3036000</v>
      </c>
      <c r="E2411" s="43">
        <f t="shared" si="75"/>
        <v>-45000</v>
      </c>
    </row>
    <row r="2412" spans="1:5" x14ac:dyDescent="0.2">
      <c r="A2412" s="42">
        <v>41328</v>
      </c>
      <c r="B2412" s="43">
        <f>VLOOKUP(A2412,Database!F:H,3,)</f>
        <v>342000</v>
      </c>
      <c r="C2412" s="43">
        <f t="shared" si="74"/>
        <v>-20000</v>
      </c>
      <c r="D2412" s="43">
        <f>VLOOKUP(A2412,Database!F:H,2,)</f>
        <v>3043000</v>
      </c>
      <c r="E2412" s="43">
        <f t="shared" si="75"/>
        <v>7000</v>
      </c>
    </row>
    <row r="2413" spans="1:5" x14ac:dyDescent="0.2">
      <c r="A2413" s="42">
        <v>41335</v>
      </c>
      <c r="B2413" s="43">
        <f>VLOOKUP(A2413,Database!F:H,3,)</f>
        <v>340000</v>
      </c>
      <c r="C2413" s="43">
        <f t="shared" si="74"/>
        <v>-2000</v>
      </c>
      <c r="D2413" s="43">
        <f>VLOOKUP(A2413,Database!F:H,2,)</f>
        <v>3011000</v>
      </c>
      <c r="E2413" s="43">
        <f t="shared" si="75"/>
        <v>-32000</v>
      </c>
    </row>
    <row r="2414" spans="1:5" x14ac:dyDescent="0.2">
      <c r="A2414" s="42">
        <v>41342</v>
      </c>
      <c r="B2414" s="43">
        <f>VLOOKUP(A2414,Database!F:H,3,)</f>
        <v>343000</v>
      </c>
      <c r="C2414" s="43">
        <f t="shared" si="74"/>
        <v>3000</v>
      </c>
      <c r="D2414" s="43">
        <f>VLOOKUP(A2414,Database!F:H,2,)</f>
        <v>3024000</v>
      </c>
      <c r="E2414" s="43">
        <f t="shared" si="75"/>
        <v>13000</v>
      </c>
    </row>
    <row r="2415" spans="1:5" x14ac:dyDescent="0.2">
      <c r="A2415" s="42">
        <v>41349</v>
      </c>
      <c r="B2415" s="43">
        <f>VLOOKUP(A2415,Database!F:H,3,)</f>
        <v>343000</v>
      </c>
      <c r="C2415" s="43">
        <f t="shared" si="74"/>
        <v>0</v>
      </c>
      <c r="D2415" s="43">
        <f>VLOOKUP(A2415,Database!F:H,2,)</f>
        <v>3028000</v>
      </c>
      <c r="E2415" s="43">
        <f t="shared" si="75"/>
        <v>4000</v>
      </c>
    </row>
    <row r="2416" spans="1:5" x14ac:dyDescent="0.2">
      <c r="A2416" s="42">
        <v>41356</v>
      </c>
      <c r="B2416" s="43">
        <f>VLOOKUP(A2416,Database!F:H,3,)</f>
        <v>358000</v>
      </c>
      <c r="C2416" s="43">
        <f t="shared" si="74"/>
        <v>15000</v>
      </c>
      <c r="D2416" s="43">
        <f>VLOOKUP(A2416,Database!F:H,2,)</f>
        <v>3046000</v>
      </c>
      <c r="E2416" s="43">
        <f t="shared" si="75"/>
        <v>18000</v>
      </c>
    </row>
    <row r="2417" spans="1:5" x14ac:dyDescent="0.2">
      <c r="A2417" s="42">
        <v>41363</v>
      </c>
      <c r="B2417" s="43">
        <f>VLOOKUP(A2417,Database!F:H,3,)</f>
        <v>375000</v>
      </c>
      <c r="C2417" s="43">
        <f t="shared" si="74"/>
        <v>17000</v>
      </c>
      <c r="D2417" s="43">
        <f>VLOOKUP(A2417,Database!F:H,2,)</f>
        <v>3080000</v>
      </c>
      <c r="E2417" s="43">
        <f t="shared" si="75"/>
        <v>34000</v>
      </c>
    </row>
    <row r="2418" spans="1:5" x14ac:dyDescent="0.2">
      <c r="A2418" s="42">
        <v>41370</v>
      </c>
      <c r="B2418" s="43">
        <f>VLOOKUP(A2418,Database!F:H,3,)</f>
        <v>359000</v>
      </c>
      <c r="C2418" s="43">
        <f t="shared" si="74"/>
        <v>-16000</v>
      </c>
      <c r="D2418" s="43">
        <f>VLOOKUP(A2418,Database!F:H,2,)</f>
        <v>3076000</v>
      </c>
      <c r="E2418" s="43">
        <f t="shared" si="75"/>
        <v>-4000</v>
      </c>
    </row>
    <row r="2419" spans="1:5" x14ac:dyDescent="0.2">
      <c r="A2419" s="42">
        <v>41377</v>
      </c>
      <c r="B2419" s="43">
        <f>VLOOKUP(A2419,Database!F:H,3,)</f>
        <v>356000</v>
      </c>
      <c r="C2419" s="43">
        <f t="shared" si="74"/>
        <v>-3000</v>
      </c>
      <c r="D2419" s="43">
        <f>VLOOKUP(A2419,Database!F:H,2,)</f>
        <v>3024000</v>
      </c>
      <c r="E2419" s="43">
        <f t="shared" si="75"/>
        <v>-52000</v>
      </c>
    </row>
    <row r="2420" spans="1:5" x14ac:dyDescent="0.2">
      <c r="A2420" s="42">
        <v>41384</v>
      </c>
      <c r="B2420" s="43">
        <f>VLOOKUP(A2420,Database!F:H,3,)</f>
        <v>343000</v>
      </c>
      <c r="C2420" s="43">
        <f t="shared" si="74"/>
        <v>-13000</v>
      </c>
      <c r="D2420" s="43">
        <f>VLOOKUP(A2420,Database!F:H,2,)</f>
        <v>3027000</v>
      </c>
      <c r="E2420" s="43">
        <f t="shared" si="75"/>
        <v>3000</v>
      </c>
    </row>
    <row r="2421" spans="1:5" x14ac:dyDescent="0.2">
      <c r="A2421" s="42">
        <v>41391</v>
      </c>
      <c r="B2421" s="43">
        <f>VLOOKUP(A2421,Database!F:H,3,)</f>
        <v>331000</v>
      </c>
      <c r="C2421" s="43">
        <f t="shared" si="74"/>
        <v>-12000</v>
      </c>
      <c r="D2421" s="43">
        <f>VLOOKUP(A2421,Database!F:H,2,)</f>
        <v>3039000</v>
      </c>
      <c r="E2421" s="43">
        <f t="shared" si="75"/>
        <v>12000</v>
      </c>
    </row>
    <row r="2422" spans="1:5" x14ac:dyDescent="0.2">
      <c r="A2422" s="42">
        <v>41398</v>
      </c>
      <c r="B2422" s="43">
        <f>VLOOKUP(A2422,Database!F:H,3,)</f>
        <v>335000</v>
      </c>
      <c r="C2422" s="43">
        <f t="shared" si="74"/>
        <v>4000</v>
      </c>
      <c r="D2422" s="43">
        <f>VLOOKUP(A2422,Database!F:H,2,)</f>
        <v>3042000</v>
      </c>
      <c r="E2422" s="43">
        <f t="shared" si="75"/>
        <v>3000</v>
      </c>
    </row>
    <row r="2423" spans="1:5" x14ac:dyDescent="0.2">
      <c r="A2423" s="42">
        <v>41405</v>
      </c>
      <c r="B2423" s="43">
        <f>VLOOKUP(A2423,Database!F:H,3,)</f>
        <v>360000</v>
      </c>
      <c r="C2423" s="43">
        <f t="shared" si="74"/>
        <v>25000</v>
      </c>
      <c r="D2423" s="43">
        <f>VLOOKUP(A2423,Database!F:H,2,)</f>
        <v>2975000</v>
      </c>
      <c r="E2423" s="43">
        <f t="shared" si="75"/>
        <v>-67000</v>
      </c>
    </row>
    <row r="2424" spans="1:5" x14ac:dyDescent="0.2">
      <c r="A2424" s="42">
        <v>41412</v>
      </c>
      <c r="B2424" s="43">
        <f>VLOOKUP(A2424,Database!F:H,3,)</f>
        <v>343000</v>
      </c>
      <c r="C2424" s="43">
        <f t="shared" si="74"/>
        <v>-17000</v>
      </c>
      <c r="D2424" s="43">
        <f>VLOOKUP(A2424,Database!F:H,2,)</f>
        <v>3020000</v>
      </c>
      <c r="E2424" s="43">
        <f t="shared" si="75"/>
        <v>45000</v>
      </c>
    </row>
    <row r="2425" spans="1:5" x14ac:dyDescent="0.2">
      <c r="A2425" s="42">
        <v>41419</v>
      </c>
      <c r="B2425" s="43">
        <f>VLOOKUP(A2425,Database!F:H,3,)</f>
        <v>353000</v>
      </c>
      <c r="C2425" s="43">
        <f t="shared" si="74"/>
        <v>10000</v>
      </c>
      <c r="D2425" s="43">
        <f>VLOOKUP(A2425,Database!F:H,2,)</f>
        <v>3012000</v>
      </c>
      <c r="E2425" s="43">
        <f t="shared" si="75"/>
        <v>-8000</v>
      </c>
    </row>
    <row r="2426" spans="1:5" x14ac:dyDescent="0.2">
      <c r="A2426" s="42">
        <v>41426</v>
      </c>
      <c r="B2426" s="43">
        <f>VLOOKUP(A2426,Database!F:H,3,)</f>
        <v>346000</v>
      </c>
      <c r="C2426" s="43">
        <f t="shared" si="74"/>
        <v>-7000</v>
      </c>
      <c r="D2426" s="43">
        <f>VLOOKUP(A2426,Database!F:H,2,)</f>
        <v>2999000</v>
      </c>
      <c r="E2426" s="43">
        <f t="shared" si="75"/>
        <v>-13000</v>
      </c>
    </row>
    <row r="2427" spans="1:5" x14ac:dyDescent="0.2">
      <c r="A2427" s="42">
        <v>41433</v>
      </c>
      <c r="B2427" s="43">
        <f>VLOOKUP(A2427,Database!F:H,3,)</f>
        <v>337000</v>
      </c>
      <c r="C2427" s="43">
        <f t="shared" si="74"/>
        <v>-9000</v>
      </c>
      <c r="D2427" s="43">
        <f>VLOOKUP(A2427,Database!F:H,2,)</f>
        <v>3004000</v>
      </c>
      <c r="E2427" s="43">
        <f t="shared" si="75"/>
        <v>5000</v>
      </c>
    </row>
    <row r="2428" spans="1:5" x14ac:dyDescent="0.2">
      <c r="A2428" s="42">
        <v>41440</v>
      </c>
      <c r="B2428" s="43">
        <f>VLOOKUP(A2428,Database!F:H,3,)</f>
        <v>353000</v>
      </c>
      <c r="C2428" s="43">
        <f t="shared" si="74"/>
        <v>16000</v>
      </c>
      <c r="D2428" s="43">
        <f>VLOOKUP(A2428,Database!F:H,2,)</f>
        <v>2996000</v>
      </c>
      <c r="E2428" s="43">
        <f t="shared" si="75"/>
        <v>-8000</v>
      </c>
    </row>
    <row r="2429" spans="1:5" x14ac:dyDescent="0.2">
      <c r="A2429" s="42">
        <v>41447</v>
      </c>
      <c r="B2429" s="43">
        <f>VLOOKUP(A2429,Database!F:H,3,)</f>
        <v>347000</v>
      </c>
      <c r="C2429" s="43">
        <f t="shared" si="74"/>
        <v>-6000</v>
      </c>
      <c r="D2429" s="43">
        <f>VLOOKUP(A2429,Database!F:H,2,)</f>
        <v>2962000</v>
      </c>
      <c r="E2429" s="43">
        <f t="shared" si="75"/>
        <v>-34000</v>
      </c>
    </row>
    <row r="2430" spans="1:5" x14ac:dyDescent="0.2">
      <c r="A2430" s="42">
        <v>41454</v>
      </c>
      <c r="B2430" s="43">
        <f>VLOOKUP(A2430,Database!F:H,3,)</f>
        <v>340000</v>
      </c>
      <c r="C2430" s="43">
        <f t="shared" si="74"/>
        <v>-7000</v>
      </c>
      <c r="D2430" s="43">
        <f>VLOOKUP(A2430,Database!F:H,2,)</f>
        <v>3003000</v>
      </c>
      <c r="E2430" s="43">
        <f t="shared" si="75"/>
        <v>41000</v>
      </c>
    </row>
    <row r="2431" spans="1:5" x14ac:dyDescent="0.2">
      <c r="A2431" s="42">
        <v>41461</v>
      </c>
      <c r="B2431" s="43">
        <f>VLOOKUP(A2431,Database!F:H,3,)</f>
        <v>351000</v>
      </c>
      <c r="C2431" s="43">
        <f t="shared" si="74"/>
        <v>11000</v>
      </c>
      <c r="D2431" s="43">
        <f>VLOOKUP(A2431,Database!F:H,2,)</f>
        <v>3113000</v>
      </c>
      <c r="E2431" s="43">
        <f t="shared" si="75"/>
        <v>110000</v>
      </c>
    </row>
    <row r="2432" spans="1:5" x14ac:dyDescent="0.2">
      <c r="A2432" s="42">
        <v>41468</v>
      </c>
      <c r="B2432" s="43">
        <f>VLOOKUP(A2432,Database!F:H,3,)</f>
        <v>344000</v>
      </c>
      <c r="C2432" s="43">
        <f t="shared" si="74"/>
        <v>-7000</v>
      </c>
      <c r="D2432" s="43">
        <f>VLOOKUP(A2432,Database!F:H,2,)</f>
        <v>3011000</v>
      </c>
      <c r="E2432" s="43">
        <f t="shared" si="75"/>
        <v>-102000</v>
      </c>
    </row>
    <row r="2433" spans="1:5" x14ac:dyDescent="0.2">
      <c r="A2433" s="42">
        <v>41475</v>
      </c>
      <c r="B2433" s="43">
        <f>VLOOKUP(A2433,Database!F:H,3,)</f>
        <v>355000</v>
      </c>
      <c r="C2433" s="43">
        <f t="shared" si="74"/>
        <v>11000</v>
      </c>
      <c r="D2433" s="43">
        <f>VLOOKUP(A2433,Database!F:H,2,)</f>
        <v>2947000</v>
      </c>
      <c r="E2433" s="43">
        <f t="shared" si="75"/>
        <v>-64000</v>
      </c>
    </row>
    <row r="2434" spans="1:5" x14ac:dyDescent="0.2">
      <c r="A2434" s="42">
        <v>41482</v>
      </c>
      <c r="B2434" s="43">
        <f>VLOOKUP(A2434,Database!F:H,3,)</f>
        <v>334000</v>
      </c>
      <c r="C2434" s="43">
        <f t="shared" si="74"/>
        <v>-21000</v>
      </c>
      <c r="D2434" s="43">
        <f>VLOOKUP(A2434,Database!F:H,2,)</f>
        <v>3010000</v>
      </c>
      <c r="E2434" s="43">
        <f t="shared" si="75"/>
        <v>63000</v>
      </c>
    </row>
    <row r="2435" spans="1:5" x14ac:dyDescent="0.2">
      <c r="A2435" s="42">
        <v>41489</v>
      </c>
      <c r="B2435" s="43">
        <f>VLOOKUP(A2435,Database!F:H,3,)</f>
        <v>339000</v>
      </c>
      <c r="C2435" s="43">
        <f t="shared" si="74"/>
        <v>5000</v>
      </c>
      <c r="D2435" s="43">
        <f>VLOOKUP(A2435,Database!F:H,2,)</f>
        <v>2944000</v>
      </c>
      <c r="E2435" s="43">
        <f t="shared" si="75"/>
        <v>-66000</v>
      </c>
    </row>
    <row r="2436" spans="1:5" x14ac:dyDescent="0.2">
      <c r="A2436" s="42">
        <v>41496</v>
      </c>
      <c r="B2436" s="43">
        <f>VLOOKUP(A2436,Database!F:H,3,)</f>
        <v>327000</v>
      </c>
      <c r="C2436" s="43">
        <f t="shared" si="74"/>
        <v>-12000</v>
      </c>
      <c r="D2436" s="43">
        <f>VLOOKUP(A2436,Database!F:H,2,)</f>
        <v>2987000</v>
      </c>
      <c r="E2436" s="43">
        <f t="shared" si="75"/>
        <v>43000</v>
      </c>
    </row>
    <row r="2437" spans="1:5" x14ac:dyDescent="0.2">
      <c r="A2437" s="42">
        <v>41503</v>
      </c>
      <c r="B2437" s="43">
        <f>VLOOKUP(A2437,Database!F:H,3,)</f>
        <v>340000</v>
      </c>
      <c r="C2437" s="43">
        <f t="shared" si="74"/>
        <v>13000</v>
      </c>
      <c r="D2437" s="43">
        <f>VLOOKUP(A2437,Database!F:H,2,)</f>
        <v>2968000</v>
      </c>
      <c r="E2437" s="43">
        <f t="shared" si="75"/>
        <v>-19000</v>
      </c>
    </row>
    <row r="2438" spans="1:5" x14ac:dyDescent="0.2">
      <c r="A2438" s="42">
        <v>41510</v>
      </c>
      <c r="B2438" s="43">
        <f>VLOOKUP(A2438,Database!F:H,3,)</f>
        <v>336000</v>
      </c>
      <c r="C2438" s="43">
        <f t="shared" si="74"/>
        <v>-4000</v>
      </c>
      <c r="D2438" s="43">
        <f>VLOOKUP(A2438,Database!F:H,2,)</f>
        <v>2934000</v>
      </c>
      <c r="E2438" s="43">
        <f t="shared" si="75"/>
        <v>-34000</v>
      </c>
    </row>
    <row r="2439" spans="1:5" x14ac:dyDescent="0.2">
      <c r="A2439" s="42">
        <v>41517</v>
      </c>
      <c r="B2439" s="43">
        <f>VLOOKUP(A2439,Database!F:H,3,)</f>
        <v>325000</v>
      </c>
      <c r="C2439" s="43">
        <f t="shared" si="74"/>
        <v>-11000</v>
      </c>
      <c r="D2439" s="43">
        <f>VLOOKUP(A2439,Database!F:H,2,)</f>
        <v>2839000</v>
      </c>
      <c r="E2439" s="43">
        <f t="shared" si="75"/>
        <v>-95000</v>
      </c>
    </row>
    <row r="2440" spans="1:5" x14ac:dyDescent="0.2">
      <c r="A2440" s="42">
        <v>41524</v>
      </c>
      <c r="B2440" s="43">
        <f>VLOOKUP(A2440,Database!F:H,3,)</f>
        <v>300000</v>
      </c>
      <c r="C2440" s="43">
        <f t="shared" ref="C2440:C2503" si="76">B2440-B2439</f>
        <v>-25000</v>
      </c>
      <c r="D2440" s="43">
        <f>VLOOKUP(A2440,Database!F:H,2,)</f>
        <v>2822000</v>
      </c>
      <c r="E2440" s="43">
        <f t="shared" ref="E2440:E2503" si="77">D2440-D2439</f>
        <v>-17000</v>
      </c>
    </row>
    <row r="2441" spans="1:5" x14ac:dyDescent="0.2">
      <c r="A2441" s="42">
        <v>41531</v>
      </c>
      <c r="B2441" s="43">
        <f>VLOOKUP(A2441,Database!F:H,3,)</f>
        <v>323000</v>
      </c>
      <c r="C2441" s="43">
        <f t="shared" si="76"/>
        <v>23000</v>
      </c>
      <c r="D2441" s="43">
        <f>VLOOKUP(A2441,Database!F:H,2,)</f>
        <v>2863000</v>
      </c>
      <c r="E2441" s="43">
        <f t="shared" si="77"/>
        <v>41000</v>
      </c>
    </row>
    <row r="2442" spans="1:5" x14ac:dyDescent="0.2">
      <c r="A2442" s="42">
        <v>41538</v>
      </c>
      <c r="B2442" s="43">
        <f>VLOOKUP(A2442,Database!F:H,3,)</f>
        <v>314000</v>
      </c>
      <c r="C2442" s="43">
        <f t="shared" si="76"/>
        <v>-9000</v>
      </c>
      <c r="D2442" s="43">
        <f>VLOOKUP(A2442,Database!F:H,2,)</f>
        <v>2954000</v>
      </c>
      <c r="E2442" s="43">
        <f t="shared" si="77"/>
        <v>91000</v>
      </c>
    </row>
    <row r="2443" spans="1:5" x14ac:dyDescent="0.2">
      <c r="A2443" s="42">
        <v>41545</v>
      </c>
      <c r="B2443" s="43">
        <f>VLOOKUP(A2443,Database!F:H,3,)</f>
        <v>319000</v>
      </c>
      <c r="C2443" s="43">
        <f t="shared" si="76"/>
        <v>5000</v>
      </c>
      <c r="D2443" s="43">
        <f>VLOOKUP(A2443,Database!F:H,2,)</f>
        <v>2944000</v>
      </c>
      <c r="E2443" s="43">
        <f t="shared" si="77"/>
        <v>-10000</v>
      </c>
    </row>
    <row r="2444" spans="1:5" x14ac:dyDescent="0.2">
      <c r="A2444" s="42">
        <v>41552</v>
      </c>
      <c r="B2444" s="43">
        <f>VLOOKUP(A2444,Database!F:H,3,)</f>
        <v>368000</v>
      </c>
      <c r="C2444" s="43">
        <f t="shared" si="76"/>
        <v>49000</v>
      </c>
      <c r="D2444" s="43">
        <f>VLOOKUP(A2444,Database!F:H,2,)</f>
        <v>2929000</v>
      </c>
      <c r="E2444" s="43">
        <f t="shared" si="77"/>
        <v>-15000</v>
      </c>
    </row>
    <row r="2445" spans="1:5" x14ac:dyDescent="0.2">
      <c r="A2445" s="42">
        <v>41559</v>
      </c>
      <c r="B2445" s="43">
        <f>VLOOKUP(A2445,Database!F:H,3,)</f>
        <v>368000</v>
      </c>
      <c r="C2445" s="43">
        <f t="shared" si="76"/>
        <v>0</v>
      </c>
      <c r="D2445" s="43">
        <f>VLOOKUP(A2445,Database!F:H,2,)</f>
        <v>2925000</v>
      </c>
      <c r="E2445" s="43">
        <f t="shared" si="77"/>
        <v>-4000</v>
      </c>
    </row>
    <row r="2446" spans="1:5" x14ac:dyDescent="0.2">
      <c r="A2446" s="42">
        <v>41566</v>
      </c>
      <c r="B2446" s="43">
        <f>VLOOKUP(A2446,Database!F:H,3,)</f>
        <v>351000</v>
      </c>
      <c r="C2446" s="43">
        <f t="shared" si="76"/>
        <v>-17000</v>
      </c>
      <c r="D2446" s="43">
        <f>VLOOKUP(A2446,Database!F:H,2,)</f>
        <v>2933000</v>
      </c>
      <c r="E2446" s="43">
        <f t="shared" si="77"/>
        <v>8000</v>
      </c>
    </row>
    <row r="2447" spans="1:5" x14ac:dyDescent="0.2">
      <c r="A2447" s="42">
        <v>41573</v>
      </c>
      <c r="B2447" s="43">
        <f>VLOOKUP(A2447,Database!F:H,3,)</f>
        <v>347000</v>
      </c>
      <c r="C2447" s="43">
        <f t="shared" si="76"/>
        <v>-4000</v>
      </c>
      <c r="D2447" s="43">
        <f>VLOOKUP(A2447,Database!F:H,2,)</f>
        <v>2927000</v>
      </c>
      <c r="E2447" s="43">
        <f t="shared" si="77"/>
        <v>-6000</v>
      </c>
    </row>
    <row r="2448" spans="1:5" x14ac:dyDescent="0.2">
      <c r="A2448" s="42">
        <v>41580</v>
      </c>
      <c r="B2448" s="43">
        <f>VLOOKUP(A2448,Database!F:H,3,)</f>
        <v>342000</v>
      </c>
      <c r="C2448" s="43">
        <f t="shared" si="76"/>
        <v>-5000</v>
      </c>
      <c r="D2448" s="43">
        <f>VLOOKUP(A2448,Database!F:H,2,)</f>
        <v>2873000</v>
      </c>
      <c r="E2448" s="43">
        <f t="shared" si="77"/>
        <v>-54000</v>
      </c>
    </row>
    <row r="2449" spans="1:5" x14ac:dyDescent="0.2">
      <c r="A2449" s="42">
        <v>41587</v>
      </c>
      <c r="B2449" s="43">
        <f>VLOOKUP(A2449,Database!F:H,3,)</f>
        <v>340000</v>
      </c>
      <c r="C2449" s="43">
        <f t="shared" si="76"/>
        <v>-2000</v>
      </c>
      <c r="D2449" s="43">
        <f>VLOOKUP(A2449,Database!F:H,2,)</f>
        <v>2925000</v>
      </c>
      <c r="E2449" s="43">
        <f t="shared" si="77"/>
        <v>52000</v>
      </c>
    </row>
    <row r="2450" spans="1:5" x14ac:dyDescent="0.2">
      <c r="A2450" s="42">
        <v>41594</v>
      </c>
      <c r="B2450" s="43">
        <f>VLOOKUP(A2450,Database!F:H,3,)</f>
        <v>331000</v>
      </c>
      <c r="C2450" s="43">
        <f t="shared" si="76"/>
        <v>-9000</v>
      </c>
      <c r="D2450" s="43">
        <f>VLOOKUP(A2450,Database!F:H,2,)</f>
        <v>2837000</v>
      </c>
      <c r="E2450" s="43">
        <f t="shared" si="77"/>
        <v>-88000</v>
      </c>
    </row>
    <row r="2451" spans="1:5" x14ac:dyDescent="0.2">
      <c r="A2451" s="42">
        <v>41601</v>
      </c>
      <c r="B2451" s="43">
        <f>VLOOKUP(A2451,Database!F:H,3,)</f>
        <v>316000</v>
      </c>
      <c r="C2451" s="43">
        <f t="shared" si="76"/>
        <v>-15000</v>
      </c>
      <c r="D2451" s="43">
        <f>VLOOKUP(A2451,Database!F:H,2,)</f>
        <v>2813000</v>
      </c>
      <c r="E2451" s="43">
        <f t="shared" si="77"/>
        <v>-24000</v>
      </c>
    </row>
    <row r="2452" spans="1:5" x14ac:dyDescent="0.2">
      <c r="A2452" s="42">
        <v>41608</v>
      </c>
      <c r="B2452" s="43">
        <f>VLOOKUP(A2452,Database!F:H,3,)</f>
        <v>312000</v>
      </c>
      <c r="C2452" s="43">
        <f t="shared" si="76"/>
        <v>-4000</v>
      </c>
      <c r="D2452" s="43">
        <f>VLOOKUP(A2452,Database!F:H,2,)</f>
        <v>2808000</v>
      </c>
      <c r="E2452" s="43">
        <f t="shared" si="77"/>
        <v>-5000</v>
      </c>
    </row>
    <row r="2453" spans="1:5" x14ac:dyDescent="0.2">
      <c r="A2453" s="42">
        <v>41615</v>
      </c>
      <c r="B2453" s="43">
        <f>VLOOKUP(A2453,Database!F:H,3,)</f>
        <v>354000</v>
      </c>
      <c r="C2453" s="43">
        <f t="shared" si="76"/>
        <v>42000</v>
      </c>
      <c r="D2453" s="43">
        <f>VLOOKUP(A2453,Database!F:H,2,)</f>
        <v>2892000</v>
      </c>
      <c r="E2453" s="43">
        <f t="shared" si="77"/>
        <v>84000</v>
      </c>
    </row>
    <row r="2454" spans="1:5" x14ac:dyDescent="0.2">
      <c r="A2454" s="42">
        <v>41622</v>
      </c>
      <c r="B2454" s="43">
        <f>VLOOKUP(A2454,Database!F:H,3,)</f>
        <v>364000</v>
      </c>
      <c r="C2454" s="43">
        <f t="shared" si="76"/>
        <v>10000</v>
      </c>
      <c r="D2454" s="43">
        <f>VLOOKUP(A2454,Database!F:H,2,)</f>
        <v>2903000</v>
      </c>
      <c r="E2454" s="43">
        <f t="shared" si="77"/>
        <v>11000</v>
      </c>
    </row>
    <row r="2455" spans="1:5" x14ac:dyDescent="0.2">
      <c r="A2455" s="42">
        <v>41629</v>
      </c>
      <c r="B2455" s="43">
        <f>VLOOKUP(A2455,Database!F:H,3,)</f>
        <v>334000</v>
      </c>
      <c r="C2455" s="43">
        <f t="shared" si="76"/>
        <v>-30000</v>
      </c>
      <c r="D2455" s="43">
        <f>VLOOKUP(A2455,Database!F:H,2,)</f>
        <v>2832000</v>
      </c>
      <c r="E2455" s="43">
        <f t="shared" si="77"/>
        <v>-71000</v>
      </c>
    </row>
    <row r="2456" spans="1:5" x14ac:dyDescent="0.2">
      <c r="A2456" s="42">
        <v>41636</v>
      </c>
      <c r="B2456" s="43">
        <f>VLOOKUP(A2456,Database!F:H,3,)</f>
        <v>332000</v>
      </c>
      <c r="C2456" s="43">
        <f t="shared" si="76"/>
        <v>-2000</v>
      </c>
      <c r="D2456" s="43">
        <f>VLOOKUP(A2456,Database!F:H,2,)</f>
        <v>2807000</v>
      </c>
      <c r="E2456" s="43">
        <f t="shared" si="77"/>
        <v>-25000</v>
      </c>
    </row>
    <row r="2457" spans="1:5" x14ac:dyDescent="0.2">
      <c r="A2457" s="42">
        <v>41643</v>
      </c>
      <c r="B2457" s="43">
        <f>VLOOKUP(A2457,Database!F:H,3,)</f>
        <v>322000</v>
      </c>
      <c r="C2457" s="43">
        <f t="shared" si="76"/>
        <v>-10000</v>
      </c>
      <c r="D2457" s="43">
        <f>VLOOKUP(A2457,Database!F:H,2,)</f>
        <v>2903000</v>
      </c>
      <c r="E2457" s="43">
        <f t="shared" si="77"/>
        <v>96000</v>
      </c>
    </row>
    <row r="2458" spans="1:5" x14ac:dyDescent="0.2">
      <c r="A2458" s="42">
        <v>41650</v>
      </c>
      <c r="B2458" s="43">
        <f>VLOOKUP(A2458,Database!F:H,3,)</f>
        <v>318000</v>
      </c>
      <c r="C2458" s="43">
        <f t="shared" si="76"/>
        <v>-4000</v>
      </c>
      <c r="D2458" s="43">
        <f>VLOOKUP(A2458,Database!F:H,2,)</f>
        <v>2907000</v>
      </c>
      <c r="E2458" s="43">
        <f t="shared" si="77"/>
        <v>4000</v>
      </c>
    </row>
    <row r="2459" spans="1:5" x14ac:dyDescent="0.2">
      <c r="A2459" s="42">
        <v>41657</v>
      </c>
      <c r="B2459" s="43">
        <f>VLOOKUP(A2459,Database!F:H,3,)</f>
        <v>327000</v>
      </c>
      <c r="C2459" s="43">
        <f t="shared" si="76"/>
        <v>9000</v>
      </c>
      <c r="D2459" s="43">
        <f>VLOOKUP(A2459,Database!F:H,2,)</f>
        <v>2847000</v>
      </c>
      <c r="E2459" s="43">
        <f t="shared" si="77"/>
        <v>-60000</v>
      </c>
    </row>
    <row r="2460" spans="1:5" x14ac:dyDescent="0.2">
      <c r="A2460" s="42">
        <v>41664</v>
      </c>
      <c r="B2460" s="43">
        <f>VLOOKUP(A2460,Database!F:H,3,)</f>
        <v>340000</v>
      </c>
      <c r="C2460" s="43">
        <f t="shared" si="76"/>
        <v>13000</v>
      </c>
      <c r="D2460" s="43">
        <f>VLOOKUP(A2460,Database!F:H,2,)</f>
        <v>2850000</v>
      </c>
      <c r="E2460" s="43">
        <f t="shared" si="77"/>
        <v>3000</v>
      </c>
    </row>
    <row r="2461" spans="1:5" x14ac:dyDescent="0.2">
      <c r="A2461" s="42">
        <v>41671</v>
      </c>
      <c r="B2461" s="43">
        <f>VLOOKUP(A2461,Database!F:H,3,)</f>
        <v>331000</v>
      </c>
      <c r="C2461" s="43">
        <f t="shared" si="76"/>
        <v>-9000</v>
      </c>
      <c r="D2461" s="43">
        <f>VLOOKUP(A2461,Database!F:H,2,)</f>
        <v>2852000</v>
      </c>
      <c r="E2461" s="43">
        <f t="shared" si="77"/>
        <v>2000</v>
      </c>
    </row>
    <row r="2462" spans="1:5" x14ac:dyDescent="0.2">
      <c r="A2462" s="42">
        <v>41678</v>
      </c>
      <c r="B2462" s="43">
        <f>VLOOKUP(A2462,Database!F:H,3,)</f>
        <v>337000</v>
      </c>
      <c r="C2462" s="43">
        <f t="shared" si="76"/>
        <v>6000</v>
      </c>
      <c r="D2462" s="43">
        <f>VLOOKUP(A2462,Database!F:H,2,)</f>
        <v>2859000</v>
      </c>
      <c r="E2462" s="43">
        <f t="shared" si="77"/>
        <v>7000</v>
      </c>
    </row>
    <row r="2463" spans="1:5" x14ac:dyDescent="0.2">
      <c r="A2463" s="42">
        <v>41685</v>
      </c>
      <c r="B2463" s="43">
        <f>VLOOKUP(A2463,Database!F:H,3,)</f>
        <v>332000</v>
      </c>
      <c r="C2463" s="43">
        <f t="shared" si="76"/>
        <v>-5000</v>
      </c>
      <c r="D2463" s="43">
        <f>VLOOKUP(A2463,Database!F:H,2,)</f>
        <v>2861000</v>
      </c>
      <c r="E2463" s="43">
        <f t="shared" si="77"/>
        <v>2000</v>
      </c>
    </row>
    <row r="2464" spans="1:5" x14ac:dyDescent="0.2">
      <c r="A2464" s="42">
        <v>41692</v>
      </c>
      <c r="B2464" s="43">
        <f>VLOOKUP(A2464,Database!F:H,3,)</f>
        <v>341000</v>
      </c>
      <c r="C2464" s="43">
        <f t="shared" si="76"/>
        <v>9000</v>
      </c>
      <c r="D2464" s="43">
        <f>VLOOKUP(A2464,Database!F:H,2,)</f>
        <v>2823000</v>
      </c>
      <c r="E2464" s="43">
        <f t="shared" si="77"/>
        <v>-38000</v>
      </c>
    </row>
    <row r="2465" spans="1:5" x14ac:dyDescent="0.2">
      <c r="A2465" s="42">
        <v>41699</v>
      </c>
      <c r="B2465" s="43">
        <f>VLOOKUP(A2465,Database!F:H,3,)</f>
        <v>319000</v>
      </c>
      <c r="C2465" s="43">
        <f t="shared" si="76"/>
        <v>-22000</v>
      </c>
      <c r="D2465" s="43">
        <f>VLOOKUP(A2465,Database!F:H,2,)</f>
        <v>2787000</v>
      </c>
      <c r="E2465" s="43">
        <f t="shared" si="77"/>
        <v>-36000</v>
      </c>
    </row>
    <row r="2466" spans="1:5" x14ac:dyDescent="0.2">
      <c r="A2466" s="42">
        <v>41706</v>
      </c>
      <c r="B2466" s="43">
        <f>VLOOKUP(A2466,Database!F:H,3,)</f>
        <v>322000</v>
      </c>
      <c r="C2466" s="43">
        <f t="shared" si="76"/>
        <v>3000</v>
      </c>
      <c r="D2466" s="43">
        <f>VLOOKUP(A2466,Database!F:H,2,)</f>
        <v>2816000</v>
      </c>
      <c r="E2466" s="43">
        <f t="shared" si="77"/>
        <v>29000</v>
      </c>
    </row>
    <row r="2467" spans="1:5" x14ac:dyDescent="0.2">
      <c r="A2467" s="42">
        <v>41713</v>
      </c>
      <c r="B2467" s="43">
        <f>VLOOKUP(A2467,Database!F:H,3,)</f>
        <v>321000</v>
      </c>
      <c r="C2467" s="43">
        <f t="shared" si="76"/>
        <v>-1000</v>
      </c>
      <c r="D2467" s="43">
        <f>VLOOKUP(A2467,Database!F:H,2,)</f>
        <v>2764000</v>
      </c>
      <c r="E2467" s="43">
        <f t="shared" si="77"/>
        <v>-52000</v>
      </c>
    </row>
    <row r="2468" spans="1:5" x14ac:dyDescent="0.2">
      <c r="A2468" s="42">
        <v>41720</v>
      </c>
      <c r="B2468" s="43">
        <f>VLOOKUP(A2468,Database!F:H,3,)</f>
        <v>313000</v>
      </c>
      <c r="C2468" s="43">
        <f t="shared" si="76"/>
        <v>-8000</v>
      </c>
      <c r="D2468" s="43">
        <f>VLOOKUP(A2468,Database!F:H,2,)</f>
        <v>2800000</v>
      </c>
      <c r="E2468" s="43">
        <f t="shared" si="77"/>
        <v>36000</v>
      </c>
    </row>
    <row r="2469" spans="1:5" x14ac:dyDescent="0.2">
      <c r="A2469" s="42">
        <v>41727</v>
      </c>
      <c r="B2469" s="43">
        <f>VLOOKUP(A2469,Database!F:H,3,)</f>
        <v>330000</v>
      </c>
      <c r="C2469" s="43">
        <f t="shared" si="76"/>
        <v>17000</v>
      </c>
      <c r="D2469" s="43">
        <f>VLOOKUP(A2469,Database!F:H,2,)</f>
        <v>2729000</v>
      </c>
      <c r="E2469" s="43">
        <f t="shared" si="77"/>
        <v>-71000</v>
      </c>
    </row>
    <row r="2470" spans="1:5" x14ac:dyDescent="0.2">
      <c r="A2470" s="42">
        <v>41734</v>
      </c>
      <c r="B2470" s="43">
        <f>VLOOKUP(A2470,Database!F:H,3,)</f>
        <v>311000</v>
      </c>
      <c r="C2470" s="43">
        <f t="shared" si="76"/>
        <v>-19000</v>
      </c>
      <c r="D2470" s="43">
        <f>VLOOKUP(A2470,Database!F:H,2,)</f>
        <v>2730000</v>
      </c>
      <c r="E2470" s="43">
        <f t="shared" si="77"/>
        <v>1000</v>
      </c>
    </row>
    <row r="2471" spans="1:5" x14ac:dyDescent="0.2">
      <c r="A2471" s="42">
        <v>41741</v>
      </c>
      <c r="B2471" s="43">
        <f>VLOOKUP(A2471,Database!F:H,3,)</f>
        <v>308000</v>
      </c>
      <c r="C2471" s="43">
        <f t="shared" si="76"/>
        <v>-3000</v>
      </c>
      <c r="D2471" s="43">
        <f>VLOOKUP(A2471,Database!F:H,2,)</f>
        <v>2680000</v>
      </c>
      <c r="E2471" s="43">
        <f t="shared" si="77"/>
        <v>-50000</v>
      </c>
    </row>
    <row r="2472" spans="1:5" x14ac:dyDescent="0.2">
      <c r="A2472" s="42">
        <v>41748</v>
      </c>
      <c r="B2472" s="43">
        <f>VLOOKUP(A2472,Database!F:H,3,)</f>
        <v>327000</v>
      </c>
      <c r="C2472" s="43">
        <f t="shared" si="76"/>
        <v>19000</v>
      </c>
      <c r="D2472" s="43">
        <f>VLOOKUP(A2472,Database!F:H,2,)</f>
        <v>2767000</v>
      </c>
      <c r="E2472" s="43">
        <f t="shared" si="77"/>
        <v>87000</v>
      </c>
    </row>
    <row r="2473" spans="1:5" x14ac:dyDescent="0.2">
      <c r="A2473" s="42">
        <v>41755</v>
      </c>
      <c r="B2473" s="43">
        <f>VLOOKUP(A2473,Database!F:H,3,)</f>
        <v>345000</v>
      </c>
      <c r="C2473" s="43">
        <f t="shared" si="76"/>
        <v>18000</v>
      </c>
      <c r="D2473" s="43">
        <f>VLOOKUP(A2473,Database!F:H,2,)</f>
        <v>2707000</v>
      </c>
      <c r="E2473" s="43">
        <f t="shared" si="77"/>
        <v>-60000</v>
      </c>
    </row>
    <row r="2474" spans="1:5" x14ac:dyDescent="0.2">
      <c r="A2474" s="42">
        <v>41762</v>
      </c>
      <c r="B2474" s="43">
        <f>VLOOKUP(A2474,Database!F:H,3,)</f>
        <v>325000</v>
      </c>
      <c r="C2474" s="43">
        <f t="shared" si="76"/>
        <v>-20000</v>
      </c>
      <c r="D2474" s="43">
        <f>VLOOKUP(A2474,Database!F:H,2,)</f>
        <v>2702000</v>
      </c>
      <c r="E2474" s="43">
        <f t="shared" si="77"/>
        <v>-5000</v>
      </c>
    </row>
    <row r="2475" spans="1:5" x14ac:dyDescent="0.2">
      <c r="A2475" s="42">
        <v>41769</v>
      </c>
      <c r="B2475" s="43">
        <f>VLOOKUP(A2475,Database!F:H,3,)</f>
        <v>303000</v>
      </c>
      <c r="C2475" s="43">
        <f t="shared" si="76"/>
        <v>-22000</v>
      </c>
      <c r="D2475" s="43">
        <f>VLOOKUP(A2475,Database!F:H,2,)</f>
        <v>2691000</v>
      </c>
      <c r="E2475" s="43">
        <f t="shared" si="77"/>
        <v>-11000</v>
      </c>
    </row>
    <row r="2476" spans="1:5" x14ac:dyDescent="0.2">
      <c r="A2476" s="42">
        <v>41776</v>
      </c>
      <c r="B2476" s="43">
        <f>VLOOKUP(A2476,Database!F:H,3,)</f>
        <v>324000</v>
      </c>
      <c r="C2476" s="43">
        <f t="shared" si="76"/>
        <v>21000</v>
      </c>
      <c r="D2476" s="43">
        <f>VLOOKUP(A2476,Database!F:H,2,)</f>
        <v>2657000</v>
      </c>
      <c r="E2476" s="43">
        <f t="shared" si="77"/>
        <v>-34000</v>
      </c>
    </row>
    <row r="2477" spans="1:5" x14ac:dyDescent="0.2">
      <c r="A2477" s="42">
        <v>41783</v>
      </c>
      <c r="B2477" s="43">
        <f>VLOOKUP(A2477,Database!F:H,3,)</f>
        <v>305000</v>
      </c>
      <c r="C2477" s="43">
        <f t="shared" si="76"/>
        <v>-19000</v>
      </c>
      <c r="D2477" s="43">
        <f>VLOOKUP(A2477,Database!F:H,2,)</f>
        <v>2646000</v>
      </c>
      <c r="E2477" s="43">
        <f t="shared" si="77"/>
        <v>-11000</v>
      </c>
    </row>
    <row r="2478" spans="1:5" x14ac:dyDescent="0.2">
      <c r="A2478" s="42">
        <v>41790</v>
      </c>
      <c r="B2478" s="43">
        <f>VLOOKUP(A2478,Database!F:H,3,)</f>
        <v>312000</v>
      </c>
      <c r="C2478" s="43">
        <f t="shared" si="76"/>
        <v>7000</v>
      </c>
      <c r="D2478" s="43">
        <f>VLOOKUP(A2478,Database!F:H,2,)</f>
        <v>2641000</v>
      </c>
      <c r="E2478" s="43">
        <f t="shared" si="77"/>
        <v>-5000</v>
      </c>
    </row>
    <row r="2479" spans="1:5" x14ac:dyDescent="0.2">
      <c r="A2479" s="42">
        <v>41797</v>
      </c>
      <c r="B2479" s="43">
        <f>VLOOKUP(A2479,Database!F:H,3,)</f>
        <v>317000</v>
      </c>
      <c r="C2479" s="43">
        <f t="shared" si="76"/>
        <v>5000</v>
      </c>
      <c r="D2479" s="43">
        <f>VLOOKUP(A2479,Database!F:H,2,)</f>
        <v>2598000</v>
      </c>
      <c r="E2479" s="43">
        <f t="shared" si="77"/>
        <v>-43000</v>
      </c>
    </row>
    <row r="2480" spans="1:5" x14ac:dyDescent="0.2">
      <c r="A2480" s="42">
        <v>41804</v>
      </c>
      <c r="B2480" s="43">
        <f>VLOOKUP(A2480,Database!F:H,3,)</f>
        <v>314000</v>
      </c>
      <c r="C2480" s="43">
        <f t="shared" si="76"/>
        <v>-3000</v>
      </c>
      <c r="D2480" s="43">
        <f>VLOOKUP(A2480,Database!F:H,2,)</f>
        <v>2595000</v>
      </c>
      <c r="E2480" s="43">
        <f t="shared" si="77"/>
        <v>-3000</v>
      </c>
    </row>
    <row r="2481" spans="1:5" x14ac:dyDescent="0.2">
      <c r="A2481" s="42">
        <v>41811</v>
      </c>
      <c r="B2481" s="43">
        <f>VLOOKUP(A2481,Database!F:H,3,)</f>
        <v>315000</v>
      </c>
      <c r="C2481" s="43">
        <f t="shared" si="76"/>
        <v>1000</v>
      </c>
      <c r="D2481" s="43">
        <f>VLOOKUP(A2481,Database!F:H,2,)</f>
        <v>2583000</v>
      </c>
      <c r="E2481" s="43">
        <f t="shared" si="77"/>
        <v>-12000</v>
      </c>
    </row>
    <row r="2482" spans="1:5" x14ac:dyDescent="0.2">
      <c r="A2482" s="42">
        <v>41818</v>
      </c>
      <c r="B2482" s="43">
        <f>VLOOKUP(A2482,Database!F:H,3,)</f>
        <v>308000</v>
      </c>
      <c r="C2482" s="43">
        <f t="shared" si="76"/>
        <v>-7000</v>
      </c>
      <c r="D2482" s="43">
        <f>VLOOKUP(A2482,Database!F:H,2,)</f>
        <v>2579000</v>
      </c>
      <c r="E2482" s="43">
        <f t="shared" si="77"/>
        <v>-4000</v>
      </c>
    </row>
    <row r="2483" spans="1:5" x14ac:dyDescent="0.2">
      <c r="A2483" s="42">
        <v>41825</v>
      </c>
      <c r="B2483" s="43">
        <f>VLOOKUP(A2483,Database!F:H,3,)</f>
        <v>302000</v>
      </c>
      <c r="C2483" s="43">
        <f t="shared" si="76"/>
        <v>-6000</v>
      </c>
      <c r="D2483" s="43">
        <f>VLOOKUP(A2483,Database!F:H,2,)</f>
        <v>2540000</v>
      </c>
      <c r="E2483" s="43">
        <f t="shared" si="77"/>
        <v>-39000</v>
      </c>
    </row>
    <row r="2484" spans="1:5" x14ac:dyDescent="0.2">
      <c r="A2484" s="42">
        <v>41832</v>
      </c>
      <c r="B2484" s="43">
        <f>VLOOKUP(A2484,Database!F:H,3,)</f>
        <v>308000</v>
      </c>
      <c r="C2484" s="43">
        <f t="shared" si="76"/>
        <v>6000</v>
      </c>
      <c r="D2484" s="43">
        <f>VLOOKUP(A2484,Database!F:H,2,)</f>
        <v>2528000</v>
      </c>
      <c r="E2484" s="43">
        <f t="shared" si="77"/>
        <v>-12000</v>
      </c>
    </row>
    <row r="2485" spans="1:5" x14ac:dyDescent="0.2">
      <c r="A2485" s="42">
        <v>41839</v>
      </c>
      <c r="B2485" s="43">
        <f>VLOOKUP(A2485,Database!F:H,3,)</f>
        <v>294000</v>
      </c>
      <c r="C2485" s="43">
        <f t="shared" si="76"/>
        <v>-14000</v>
      </c>
      <c r="D2485" s="43">
        <f>VLOOKUP(A2485,Database!F:H,2,)</f>
        <v>2542000</v>
      </c>
      <c r="E2485" s="43">
        <f t="shared" si="77"/>
        <v>14000</v>
      </c>
    </row>
    <row r="2486" spans="1:5" x14ac:dyDescent="0.2">
      <c r="A2486" s="42">
        <v>41846</v>
      </c>
      <c r="B2486" s="43">
        <f>VLOOKUP(A2486,Database!F:H,3,)</f>
        <v>303000</v>
      </c>
      <c r="C2486" s="43">
        <f t="shared" si="76"/>
        <v>9000</v>
      </c>
      <c r="D2486" s="43">
        <f>VLOOKUP(A2486,Database!F:H,2,)</f>
        <v>2524000</v>
      </c>
      <c r="E2486" s="43">
        <f t="shared" si="77"/>
        <v>-18000</v>
      </c>
    </row>
    <row r="2487" spans="1:5" x14ac:dyDescent="0.2">
      <c r="A2487" s="42">
        <v>41853</v>
      </c>
      <c r="B2487" s="43">
        <f>VLOOKUP(A2487,Database!F:H,3,)</f>
        <v>295000</v>
      </c>
      <c r="C2487" s="43">
        <f t="shared" si="76"/>
        <v>-8000</v>
      </c>
      <c r="D2487" s="43">
        <f>VLOOKUP(A2487,Database!F:H,2,)</f>
        <v>2530000</v>
      </c>
      <c r="E2487" s="43">
        <f t="shared" si="77"/>
        <v>6000</v>
      </c>
    </row>
    <row r="2488" spans="1:5" x14ac:dyDescent="0.2">
      <c r="A2488" s="42">
        <v>41860</v>
      </c>
      <c r="B2488" s="43">
        <f>VLOOKUP(A2488,Database!F:H,3,)</f>
        <v>309000</v>
      </c>
      <c r="C2488" s="43">
        <f t="shared" si="76"/>
        <v>14000</v>
      </c>
      <c r="D2488" s="43">
        <f>VLOOKUP(A2488,Database!F:H,2,)</f>
        <v>2508000</v>
      </c>
      <c r="E2488" s="43">
        <f t="shared" si="77"/>
        <v>-22000</v>
      </c>
    </row>
    <row r="2489" spans="1:5" x14ac:dyDescent="0.2">
      <c r="A2489" s="42">
        <v>41867</v>
      </c>
      <c r="B2489" s="43">
        <f>VLOOKUP(A2489,Database!F:H,3,)</f>
        <v>303000</v>
      </c>
      <c r="C2489" s="43">
        <f t="shared" si="76"/>
        <v>-6000</v>
      </c>
      <c r="D2489" s="43">
        <f>VLOOKUP(A2489,Database!F:H,2,)</f>
        <v>2517000</v>
      </c>
      <c r="E2489" s="43">
        <f t="shared" si="77"/>
        <v>9000</v>
      </c>
    </row>
    <row r="2490" spans="1:5" x14ac:dyDescent="0.2">
      <c r="A2490" s="42">
        <v>41874</v>
      </c>
      <c r="B2490" s="43">
        <f>VLOOKUP(A2490,Database!F:H,3,)</f>
        <v>300000</v>
      </c>
      <c r="C2490" s="43">
        <f t="shared" si="76"/>
        <v>-3000</v>
      </c>
      <c r="D2490" s="43">
        <f>VLOOKUP(A2490,Database!F:H,2,)</f>
        <v>2483000</v>
      </c>
      <c r="E2490" s="43">
        <f t="shared" si="77"/>
        <v>-34000</v>
      </c>
    </row>
    <row r="2491" spans="1:5" x14ac:dyDescent="0.2">
      <c r="A2491" s="42">
        <v>41881</v>
      </c>
      <c r="B2491" s="43">
        <f>VLOOKUP(A2491,Database!F:H,3,)</f>
        <v>303000</v>
      </c>
      <c r="C2491" s="43">
        <f t="shared" si="76"/>
        <v>3000</v>
      </c>
      <c r="D2491" s="43">
        <f>VLOOKUP(A2491,Database!F:H,2,)</f>
        <v>2486000</v>
      </c>
      <c r="E2491" s="43">
        <f t="shared" si="77"/>
        <v>3000</v>
      </c>
    </row>
    <row r="2492" spans="1:5" x14ac:dyDescent="0.2">
      <c r="A2492" s="42">
        <v>41888</v>
      </c>
      <c r="B2492" s="43">
        <f>VLOOKUP(A2492,Database!F:H,3,)</f>
        <v>307000</v>
      </c>
      <c r="C2492" s="43">
        <f t="shared" si="76"/>
        <v>4000</v>
      </c>
      <c r="D2492" s="43">
        <f>VLOOKUP(A2492,Database!F:H,2,)</f>
        <v>2452000</v>
      </c>
      <c r="E2492" s="43">
        <f t="shared" si="77"/>
        <v>-34000</v>
      </c>
    </row>
    <row r="2493" spans="1:5" x14ac:dyDescent="0.2">
      <c r="A2493" s="42">
        <v>41895</v>
      </c>
      <c r="B2493" s="43">
        <f>VLOOKUP(A2493,Database!F:H,3,)</f>
        <v>288000</v>
      </c>
      <c r="C2493" s="43">
        <f t="shared" si="76"/>
        <v>-19000</v>
      </c>
      <c r="D2493" s="43">
        <f>VLOOKUP(A2493,Database!F:H,2,)</f>
        <v>2465000</v>
      </c>
      <c r="E2493" s="43">
        <f t="shared" si="77"/>
        <v>13000</v>
      </c>
    </row>
    <row r="2494" spans="1:5" x14ac:dyDescent="0.2">
      <c r="A2494" s="42">
        <v>41902</v>
      </c>
      <c r="B2494" s="43">
        <f>VLOOKUP(A2494,Database!F:H,3,)</f>
        <v>295000</v>
      </c>
      <c r="C2494" s="43">
        <f t="shared" si="76"/>
        <v>7000</v>
      </c>
      <c r="D2494" s="43">
        <f>VLOOKUP(A2494,Database!F:H,2,)</f>
        <v>2447000</v>
      </c>
      <c r="E2494" s="43">
        <f t="shared" si="77"/>
        <v>-18000</v>
      </c>
    </row>
    <row r="2495" spans="1:5" x14ac:dyDescent="0.2">
      <c r="A2495" s="42">
        <v>41909</v>
      </c>
      <c r="B2495" s="43">
        <f>VLOOKUP(A2495,Database!F:H,3,)</f>
        <v>290000</v>
      </c>
      <c r="C2495" s="43">
        <f t="shared" si="76"/>
        <v>-5000</v>
      </c>
      <c r="D2495" s="43">
        <f>VLOOKUP(A2495,Database!F:H,2,)</f>
        <v>2427000</v>
      </c>
      <c r="E2495" s="43">
        <f t="shared" si="77"/>
        <v>-20000</v>
      </c>
    </row>
    <row r="2496" spans="1:5" x14ac:dyDescent="0.2">
      <c r="A2496" s="42">
        <v>41916</v>
      </c>
      <c r="B2496" s="43">
        <f>VLOOKUP(A2496,Database!F:H,3,)</f>
        <v>293000</v>
      </c>
      <c r="C2496" s="43">
        <f t="shared" si="76"/>
        <v>3000</v>
      </c>
      <c r="D2496" s="43">
        <f>VLOOKUP(A2496,Database!F:H,2,)</f>
        <v>2441000</v>
      </c>
      <c r="E2496" s="43">
        <f t="shared" si="77"/>
        <v>14000</v>
      </c>
    </row>
    <row r="2497" spans="1:5" x14ac:dyDescent="0.2">
      <c r="A2497" s="42">
        <v>41923</v>
      </c>
      <c r="B2497" s="43">
        <f>VLOOKUP(A2497,Database!F:H,3,)</f>
        <v>281000</v>
      </c>
      <c r="C2497" s="43">
        <f t="shared" si="76"/>
        <v>-12000</v>
      </c>
      <c r="D2497" s="43">
        <f>VLOOKUP(A2497,Database!F:H,2,)</f>
        <v>2409000</v>
      </c>
      <c r="E2497" s="43">
        <f t="shared" si="77"/>
        <v>-32000</v>
      </c>
    </row>
    <row r="2498" spans="1:5" x14ac:dyDescent="0.2">
      <c r="A2498" s="42">
        <v>41930</v>
      </c>
      <c r="B2498" s="43">
        <f>VLOOKUP(A2498,Database!F:H,3,)</f>
        <v>290000</v>
      </c>
      <c r="C2498" s="43">
        <f t="shared" si="76"/>
        <v>9000</v>
      </c>
      <c r="D2498" s="43">
        <f>VLOOKUP(A2498,Database!F:H,2,)</f>
        <v>2437000</v>
      </c>
      <c r="E2498" s="43">
        <f t="shared" si="77"/>
        <v>28000</v>
      </c>
    </row>
    <row r="2499" spans="1:5" x14ac:dyDescent="0.2">
      <c r="A2499" s="42">
        <v>41937</v>
      </c>
      <c r="B2499" s="43">
        <f>VLOOKUP(A2499,Database!F:H,3,)</f>
        <v>291000</v>
      </c>
      <c r="C2499" s="43">
        <f t="shared" si="76"/>
        <v>1000</v>
      </c>
      <c r="D2499" s="43">
        <f>VLOOKUP(A2499,Database!F:H,2,)</f>
        <v>2406000</v>
      </c>
      <c r="E2499" s="43">
        <f t="shared" si="77"/>
        <v>-31000</v>
      </c>
    </row>
    <row r="2500" spans="1:5" x14ac:dyDescent="0.2">
      <c r="A2500" s="42">
        <v>41944</v>
      </c>
      <c r="B2500" s="43">
        <f>VLOOKUP(A2500,Database!F:H,3,)</f>
        <v>280000</v>
      </c>
      <c r="C2500" s="43">
        <f t="shared" si="76"/>
        <v>-11000</v>
      </c>
      <c r="D2500" s="43">
        <f>VLOOKUP(A2500,Database!F:H,2,)</f>
        <v>2436000</v>
      </c>
      <c r="E2500" s="43">
        <f t="shared" si="77"/>
        <v>30000</v>
      </c>
    </row>
    <row r="2501" spans="1:5" x14ac:dyDescent="0.2">
      <c r="A2501" s="42">
        <v>41951</v>
      </c>
      <c r="B2501" s="43">
        <f>VLOOKUP(A2501,Database!F:H,3,)</f>
        <v>291000</v>
      </c>
      <c r="C2501" s="43">
        <f t="shared" si="76"/>
        <v>11000</v>
      </c>
      <c r="D2501" s="43">
        <f>VLOOKUP(A2501,Database!F:H,2,)</f>
        <v>2384000</v>
      </c>
      <c r="E2501" s="43">
        <f t="shared" si="77"/>
        <v>-52000</v>
      </c>
    </row>
    <row r="2502" spans="1:5" x14ac:dyDescent="0.2">
      <c r="A2502" s="42">
        <v>41958</v>
      </c>
      <c r="B2502" s="43">
        <f>VLOOKUP(A2502,Database!F:H,3,)</f>
        <v>293000</v>
      </c>
      <c r="C2502" s="43">
        <f t="shared" si="76"/>
        <v>2000</v>
      </c>
      <c r="D2502" s="43">
        <f>VLOOKUP(A2502,Database!F:H,2,)</f>
        <v>2351000</v>
      </c>
      <c r="E2502" s="43">
        <f t="shared" si="77"/>
        <v>-33000</v>
      </c>
    </row>
    <row r="2503" spans="1:5" x14ac:dyDescent="0.2">
      <c r="A2503" s="42">
        <v>41965</v>
      </c>
      <c r="B2503" s="43">
        <f>VLOOKUP(A2503,Database!F:H,3,)</f>
        <v>303000</v>
      </c>
      <c r="C2503" s="43">
        <f t="shared" si="76"/>
        <v>10000</v>
      </c>
      <c r="D2503" s="43">
        <f>VLOOKUP(A2503,Database!F:H,2,)</f>
        <v>2389000</v>
      </c>
      <c r="E2503" s="43">
        <f t="shared" si="77"/>
        <v>38000</v>
      </c>
    </row>
    <row r="2504" spans="1:5" x14ac:dyDescent="0.2">
      <c r="A2504" s="42">
        <v>41972</v>
      </c>
      <c r="B2504" s="43">
        <f>VLOOKUP(A2504,Database!F:H,3,)</f>
        <v>291000</v>
      </c>
      <c r="C2504" s="43">
        <f t="shared" ref="C2504:C2567" si="78">B2504-B2503</f>
        <v>-12000</v>
      </c>
      <c r="D2504" s="43">
        <f>VLOOKUP(A2504,Database!F:H,2,)</f>
        <v>2484000</v>
      </c>
      <c r="E2504" s="43">
        <f t="shared" ref="E2504:E2567" si="79">D2504-D2503</f>
        <v>95000</v>
      </c>
    </row>
    <row r="2505" spans="1:5" x14ac:dyDescent="0.2">
      <c r="A2505" s="42">
        <v>41979</v>
      </c>
      <c r="B2505" s="43">
        <f>VLOOKUP(A2505,Database!F:H,3,)</f>
        <v>291000</v>
      </c>
      <c r="C2505" s="43">
        <f t="shared" si="78"/>
        <v>0</v>
      </c>
      <c r="D2505" s="43">
        <f>VLOOKUP(A2505,Database!F:H,2,)</f>
        <v>2381000</v>
      </c>
      <c r="E2505" s="43">
        <f t="shared" si="79"/>
        <v>-103000</v>
      </c>
    </row>
    <row r="2506" spans="1:5" x14ac:dyDescent="0.2">
      <c r="A2506" s="42">
        <v>41986</v>
      </c>
      <c r="B2506" s="43">
        <f>VLOOKUP(A2506,Database!F:H,3,)</f>
        <v>286000</v>
      </c>
      <c r="C2506" s="43">
        <f t="shared" si="78"/>
        <v>-5000</v>
      </c>
      <c r="D2506" s="43">
        <f>VLOOKUP(A2506,Database!F:H,2,)</f>
        <v>2379000</v>
      </c>
      <c r="E2506" s="43">
        <f t="shared" si="79"/>
        <v>-2000</v>
      </c>
    </row>
    <row r="2507" spans="1:5" x14ac:dyDescent="0.2">
      <c r="A2507" s="42">
        <v>41993</v>
      </c>
      <c r="B2507" s="43">
        <f>VLOOKUP(A2507,Database!F:H,3,)</f>
        <v>276000</v>
      </c>
      <c r="C2507" s="43">
        <f t="shared" si="78"/>
        <v>-10000</v>
      </c>
      <c r="D2507" s="43">
        <f>VLOOKUP(A2507,Database!F:H,2,)</f>
        <v>2338000</v>
      </c>
      <c r="E2507" s="43">
        <f t="shared" si="79"/>
        <v>-41000</v>
      </c>
    </row>
    <row r="2508" spans="1:5" x14ac:dyDescent="0.2">
      <c r="A2508" s="42">
        <v>42000</v>
      </c>
      <c r="B2508" s="43">
        <f>VLOOKUP(A2508,Database!F:H,3,)</f>
        <v>285000</v>
      </c>
      <c r="C2508" s="43">
        <f t="shared" si="78"/>
        <v>9000</v>
      </c>
      <c r="D2508" s="43">
        <f>VLOOKUP(A2508,Database!F:H,2,)</f>
        <v>2422000</v>
      </c>
      <c r="E2508" s="43">
        <f t="shared" si="79"/>
        <v>84000</v>
      </c>
    </row>
    <row r="2509" spans="1:5" x14ac:dyDescent="0.2">
      <c r="A2509" s="42">
        <v>42007</v>
      </c>
      <c r="B2509" s="43">
        <f>VLOOKUP(A2509,Database!F:H,3,)</f>
        <v>294000</v>
      </c>
      <c r="C2509" s="43">
        <f t="shared" si="78"/>
        <v>9000</v>
      </c>
      <c r="D2509" s="43">
        <f>VLOOKUP(A2509,Database!F:H,2,)</f>
        <v>2381000</v>
      </c>
      <c r="E2509" s="43">
        <f t="shared" si="79"/>
        <v>-41000</v>
      </c>
    </row>
    <row r="2510" spans="1:5" x14ac:dyDescent="0.2">
      <c r="A2510" s="42">
        <v>42014</v>
      </c>
      <c r="B2510" s="43">
        <f>VLOOKUP(A2510,Database!F:H,3,)</f>
        <v>304000</v>
      </c>
      <c r="C2510" s="43">
        <f t="shared" si="78"/>
        <v>10000</v>
      </c>
      <c r="D2510" s="43">
        <f>VLOOKUP(A2510,Database!F:H,2,)</f>
        <v>2400000</v>
      </c>
      <c r="E2510" s="43">
        <f t="shared" si="79"/>
        <v>19000</v>
      </c>
    </row>
    <row r="2511" spans="1:5" x14ac:dyDescent="0.2">
      <c r="A2511" s="42">
        <v>42021</v>
      </c>
      <c r="B2511" s="43">
        <f>VLOOKUP(A2511,Database!F:H,3,)</f>
        <v>298000</v>
      </c>
      <c r="C2511" s="43">
        <f t="shared" si="78"/>
        <v>-6000</v>
      </c>
      <c r="D2511" s="43">
        <f>VLOOKUP(A2511,Database!F:H,2,)</f>
        <v>2336000</v>
      </c>
      <c r="E2511" s="43">
        <f t="shared" si="79"/>
        <v>-64000</v>
      </c>
    </row>
    <row r="2512" spans="1:5" x14ac:dyDescent="0.2">
      <c r="A2512" s="42">
        <v>42028</v>
      </c>
      <c r="B2512" s="43">
        <f>VLOOKUP(A2512,Database!F:H,3,)</f>
        <v>261000</v>
      </c>
      <c r="C2512" s="43">
        <f t="shared" si="78"/>
        <v>-37000</v>
      </c>
      <c r="D2512" s="43">
        <f>VLOOKUP(A2512,Database!F:H,2,)</f>
        <v>2335000</v>
      </c>
      <c r="E2512" s="43">
        <f t="shared" si="79"/>
        <v>-1000</v>
      </c>
    </row>
    <row r="2513" spans="1:5" x14ac:dyDescent="0.2">
      <c r="A2513" s="42">
        <v>42035</v>
      </c>
      <c r="B2513" s="43">
        <f>VLOOKUP(A2513,Database!F:H,3,)</f>
        <v>281000</v>
      </c>
      <c r="C2513" s="43">
        <f t="shared" si="78"/>
        <v>20000</v>
      </c>
      <c r="D2513" s="43">
        <f>VLOOKUP(A2513,Database!F:H,2,)</f>
        <v>2297000</v>
      </c>
      <c r="E2513" s="43">
        <f t="shared" si="79"/>
        <v>-38000</v>
      </c>
    </row>
    <row r="2514" spans="1:5" x14ac:dyDescent="0.2">
      <c r="A2514" s="42">
        <v>42042</v>
      </c>
      <c r="B2514" s="43">
        <f>VLOOKUP(A2514,Database!F:H,3,)</f>
        <v>298000</v>
      </c>
      <c r="C2514" s="43">
        <f t="shared" si="78"/>
        <v>17000</v>
      </c>
      <c r="D2514" s="43">
        <f>VLOOKUP(A2514,Database!F:H,2,)</f>
        <v>2344000</v>
      </c>
      <c r="E2514" s="43">
        <f t="shared" si="79"/>
        <v>47000</v>
      </c>
    </row>
    <row r="2515" spans="1:5" x14ac:dyDescent="0.2">
      <c r="A2515" s="42">
        <v>42049</v>
      </c>
      <c r="B2515" s="43">
        <f>VLOOKUP(A2515,Database!F:H,3,)</f>
        <v>285000</v>
      </c>
      <c r="C2515" s="43">
        <f t="shared" si="78"/>
        <v>-13000</v>
      </c>
      <c r="D2515" s="43">
        <f>VLOOKUP(A2515,Database!F:H,2,)</f>
        <v>2319000</v>
      </c>
      <c r="E2515" s="43">
        <f t="shared" si="79"/>
        <v>-25000</v>
      </c>
    </row>
    <row r="2516" spans="1:5" x14ac:dyDescent="0.2">
      <c r="A2516" s="42">
        <v>42056</v>
      </c>
      <c r="B2516" s="43">
        <f>VLOOKUP(A2516,Database!F:H,3,)</f>
        <v>305000</v>
      </c>
      <c r="C2516" s="43">
        <f t="shared" si="78"/>
        <v>20000</v>
      </c>
      <c r="D2516" s="43">
        <f>VLOOKUP(A2516,Database!F:H,2,)</f>
        <v>2341000</v>
      </c>
      <c r="E2516" s="43">
        <f t="shared" si="79"/>
        <v>22000</v>
      </c>
    </row>
    <row r="2517" spans="1:5" x14ac:dyDescent="0.2">
      <c r="A2517" s="42">
        <v>42063</v>
      </c>
      <c r="B2517" s="43">
        <f>VLOOKUP(A2517,Database!F:H,3,)</f>
        <v>317000</v>
      </c>
      <c r="C2517" s="43">
        <f t="shared" si="78"/>
        <v>12000</v>
      </c>
      <c r="D2517" s="43">
        <f>VLOOKUP(A2517,Database!F:H,2,)</f>
        <v>2357000</v>
      </c>
      <c r="E2517" s="43">
        <f t="shared" si="79"/>
        <v>16000</v>
      </c>
    </row>
    <row r="2518" spans="1:5" x14ac:dyDescent="0.2">
      <c r="A2518" s="42">
        <v>42070</v>
      </c>
      <c r="B2518" s="43">
        <f>VLOOKUP(A2518,Database!F:H,3,)</f>
        <v>293000</v>
      </c>
      <c r="C2518" s="43">
        <f t="shared" si="78"/>
        <v>-24000</v>
      </c>
      <c r="D2518" s="43">
        <f>VLOOKUP(A2518,Database!F:H,2,)</f>
        <v>2361000</v>
      </c>
      <c r="E2518" s="43">
        <f t="shared" si="79"/>
        <v>4000</v>
      </c>
    </row>
    <row r="2519" spans="1:5" x14ac:dyDescent="0.2">
      <c r="A2519" s="42">
        <v>42077</v>
      </c>
      <c r="B2519" s="43">
        <f>VLOOKUP(A2519,Database!F:H,3,)</f>
        <v>290000</v>
      </c>
      <c r="C2519" s="43">
        <f t="shared" si="78"/>
        <v>-3000</v>
      </c>
      <c r="D2519" s="43">
        <f>VLOOKUP(A2519,Database!F:H,2,)</f>
        <v>2361000</v>
      </c>
      <c r="E2519" s="43">
        <f t="shared" si="79"/>
        <v>0</v>
      </c>
    </row>
    <row r="2520" spans="1:5" x14ac:dyDescent="0.2">
      <c r="A2520" s="42">
        <v>42084</v>
      </c>
      <c r="B2520" s="43">
        <f>VLOOKUP(A2520,Database!F:H,3,)</f>
        <v>284000</v>
      </c>
      <c r="C2520" s="43">
        <f t="shared" si="78"/>
        <v>-6000</v>
      </c>
      <c r="D2520" s="43">
        <f>VLOOKUP(A2520,Database!F:H,2,)</f>
        <v>2306000</v>
      </c>
      <c r="E2520" s="43">
        <f t="shared" si="79"/>
        <v>-55000</v>
      </c>
    </row>
    <row r="2521" spans="1:5" x14ac:dyDescent="0.2">
      <c r="A2521" s="42">
        <v>42091</v>
      </c>
      <c r="B2521" s="43">
        <f>VLOOKUP(A2521,Database!F:H,3,)</f>
        <v>269000</v>
      </c>
      <c r="C2521" s="43">
        <f t="shared" si="78"/>
        <v>-15000</v>
      </c>
      <c r="D2521" s="43">
        <f>VLOOKUP(A2521,Database!F:H,2,)</f>
        <v>2278000</v>
      </c>
      <c r="E2521" s="43">
        <f t="shared" si="79"/>
        <v>-28000</v>
      </c>
    </row>
    <row r="2522" spans="1:5" x14ac:dyDescent="0.2">
      <c r="A2522" s="42">
        <v>42098</v>
      </c>
      <c r="B2522" s="43">
        <f>VLOOKUP(A2522,Database!F:H,3,)</f>
        <v>282000</v>
      </c>
      <c r="C2522" s="43">
        <f t="shared" si="78"/>
        <v>13000</v>
      </c>
      <c r="D2522" s="43">
        <f>VLOOKUP(A2522,Database!F:H,2,)</f>
        <v>2273000</v>
      </c>
      <c r="E2522" s="43">
        <f t="shared" si="79"/>
        <v>-5000</v>
      </c>
    </row>
    <row r="2523" spans="1:5" x14ac:dyDescent="0.2">
      <c r="A2523" s="42">
        <v>42105</v>
      </c>
      <c r="B2523" s="43">
        <f>VLOOKUP(A2523,Database!F:H,3,)</f>
        <v>298000</v>
      </c>
      <c r="C2523" s="43">
        <f t="shared" si="78"/>
        <v>16000</v>
      </c>
      <c r="D2523" s="43">
        <f>VLOOKUP(A2523,Database!F:H,2,)</f>
        <v>2320000</v>
      </c>
      <c r="E2523" s="43">
        <f t="shared" si="79"/>
        <v>47000</v>
      </c>
    </row>
    <row r="2524" spans="1:5" x14ac:dyDescent="0.2">
      <c r="A2524" s="42">
        <v>42112</v>
      </c>
      <c r="B2524" s="43">
        <f>VLOOKUP(A2524,Database!F:H,3,)</f>
        <v>295000</v>
      </c>
      <c r="C2524" s="43">
        <f t="shared" si="78"/>
        <v>-3000</v>
      </c>
      <c r="D2524" s="43">
        <f>VLOOKUP(A2524,Database!F:H,2,)</f>
        <v>2279000</v>
      </c>
      <c r="E2524" s="43">
        <f t="shared" si="79"/>
        <v>-41000</v>
      </c>
    </row>
    <row r="2525" spans="1:5" x14ac:dyDescent="0.2">
      <c r="A2525" s="42">
        <v>42119</v>
      </c>
      <c r="B2525" s="43">
        <f>VLOOKUP(A2525,Database!F:H,3,)</f>
        <v>269000</v>
      </c>
      <c r="C2525" s="43">
        <f t="shared" si="78"/>
        <v>-26000</v>
      </c>
      <c r="D2525" s="43">
        <f>VLOOKUP(A2525,Database!F:H,2,)</f>
        <v>2254000</v>
      </c>
      <c r="E2525" s="43">
        <f t="shared" si="79"/>
        <v>-25000</v>
      </c>
    </row>
    <row r="2526" spans="1:5" x14ac:dyDescent="0.2">
      <c r="A2526" s="42">
        <v>42126</v>
      </c>
      <c r="B2526" s="43">
        <f>VLOOKUP(A2526,Database!F:H,3,)</f>
        <v>267000</v>
      </c>
      <c r="C2526" s="43">
        <f t="shared" si="78"/>
        <v>-2000</v>
      </c>
      <c r="D2526" s="43">
        <f>VLOOKUP(A2526,Database!F:H,2,)</f>
        <v>2261000</v>
      </c>
      <c r="E2526" s="43">
        <f t="shared" si="79"/>
        <v>7000</v>
      </c>
    </row>
    <row r="2527" spans="1:5" x14ac:dyDescent="0.2">
      <c r="A2527" s="42">
        <v>42133</v>
      </c>
      <c r="B2527" s="43">
        <f>VLOOKUP(A2527,Database!F:H,3,)</f>
        <v>271000</v>
      </c>
      <c r="C2527" s="43">
        <f t="shared" si="78"/>
        <v>4000</v>
      </c>
      <c r="D2527" s="43">
        <f>VLOOKUP(A2527,Database!F:H,2,)</f>
        <v>2253000</v>
      </c>
      <c r="E2527" s="43">
        <f t="shared" si="79"/>
        <v>-8000</v>
      </c>
    </row>
    <row r="2528" spans="1:5" x14ac:dyDescent="0.2">
      <c r="A2528" s="42">
        <v>42140</v>
      </c>
      <c r="B2528" s="43">
        <f>VLOOKUP(A2528,Database!F:H,3,)</f>
        <v>276000</v>
      </c>
      <c r="C2528" s="43">
        <f t="shared" si="78"/>
        <v>5000</v>
      </c>
      <c r="D2528" s="43">
        <f>VLOOKUP(A2528,Database!F:H,2,)</f>
        <v>2258000</v>
      </c>
      <c r="E2528" s="43">
        <f t="shared" si="79"/>
        <v>5000</v>
      </c>
    </row>
    <row r="2529" spans="1:5" x14ac:dyDescent="0.2">
      <c r="A2529" s="42">
        <v>42147</v>
      </c>
      <c r="B2529" s="43">
        <f>VLOOKUP(A2529,Database!F:H,3,)</f>
        <v>281000</v>
      </c>
      <c r="C2529" s="43">
        <f t="shared" si="78"/>
        <v>5000</v>
      </c>
      <c r="D2529" s="43">
        <f>VLOOKUP(A2529,Database!F:H,2,)</f>
        <v>2236000</v>
      </c>
      <c r="E2529" s="43">
        <f t="shared" si="79"/>
        <v>-22000</v>
      </c>
    </row>
    <row r="2530" spans="1:5" x14ac:dyDescent="0.2">
      <c r="A2530" s="42">
        <v>42154</v>
      </c>
      <c r="B2530" s="43">
        <f>VLOOKUP(A2530,Database!F:H,3,)</f>
        <v>275000</v>
      </c>
      <c r="C2530" s="43">
        <f t="shared" si="78"/>
        <v>-6000</v>
      </c>
      <c r="D2530" s="43">
        <f>VLOOKUP(A2530,Database!F:H,2,)</f>
        <v>2294000</v>
      </c>
      <c r="E2530" s="43">
        <f t="shared" si="79"/>
        <v>58000</v>
      </c>
    </row>
    <row r="2531" spans="1:5" x14ac:dyDescent="0.2">
      <c r="A2531" s="42">
        <v>42161</v>
      </c>
      <c r="B2531" s="43">
        <f>VLOOKUP(A2531,Database!F:H,3,)</f>
        <v>278000</v>
      </c>
      <c r="C2531" s="43">
        <f t="shared" si="78"/>
        <v>3000</v>
      </c>
      <c r="D2531" s="43">
        <f>VLOOKUP(A2531,Database!F:H,2,)</f>
        <v>2250000</v>
      </c>
      <c r="E2531" s="43">
        <f t="shared" si="79"/>
        <v>-44000</v>
      </c>
    </row>
    <row r="2532" spans="1:5" x14ac:dyDescent="0.2">
      <c r="A2532" s="42">
        <v>42168</v>
      </c>
      <c r="B2532" s="43">
        <f>VLOOKUP(A2532,Database!F:H,3,)</f>
        <v>269000</v>
      </c>
      <c r="C2532" s="43">
        <f t="shared" si="78"/>
        <v>-9000</v>
      </c>
      <c r="D2532" s="43">
        <f>VLOOKUP(A2532,Database!F:H,2,)</f>
        <v>2268000</v>
      </c>
      <c r="E2532" s="43">
        <f t="shared" si="79"/>
        <v>18000</v>
      </c>
    </row>
    <row r="2533" spans="1:5" x14ac:dyDescent="0.2">
      <c r="A2533" s="42">
        <v>42175</v>
      </c>
      <c r="B2533" s="43">
        <f>VLOOKUP(A2533,Database!F:H,3,)</f>
        <v>273000</v>
      </c>
      <c r="C2533" s="43">
        <f t="shared" si="78"/>
        <v>4000</v>
      </c>
      <c r="D2533" s="43">
        <f>VLOOKUP(A2533,Database!F:H,2,)</f>
        <v>2265000</v>
      </c>
      <c r="E2533" s="43">
        <f t="shared" si="79"/>
        <v>-3000</v>
      </c>
    </row>
    <row r="2534" spans="1:5" x14ac:dyDescent="0.2">
      <c r="A2534" s="42">
        <v>42182</v>
      </c>
      <c r="B2534" s="43">
        <f>VLOOKUP(A2534,Database!F:H,3,)</f>
        <v>275000</v>
      </c>
      <c r="C2534" s="43">
        <f t="shared" si="78"/>
        <v>2000</v>
      </c>
      <c r="D2534" s="43">
        <f>VLOOKUP(A2534,Database!F:H,2,)</f>
        <v>2312000</v>
      </c>
      <c r="E2534" s="43">
        <f t="shared" si="79"/>
        <v>47000</v>
      </c>
    </row>
    <row r="2535" spans="1:5" x14ac:dyDescent="0.2">
      <c r="A2535" s="42">
        <v>42189</v>
      </c>
      <c r="B2535" s="43">
        <f>VLOOKUP(A2535,Database!F:H,3,)</f>
        <v>292000</v>
      </c>
      <c r="C2535" s="43">
        <f t="shared" si="78"/>
        <v>17000</v>
      </c>
      <c r="D2535" s="43">
        <f>VLOOKUP(A2535,Database!F:H,2,)</f>
        <v>2233000</v>
      </c>
      <c r="E2535" s="43">
        <f t="shared" si="79"/>
        <v>-79000</v>
      </c>
    </row>
    <row r="2536" spans="1:5" x14ac:dyDescent="0.2">
      <c r="A2536" s="42">
        <v>42196</v>
      </c>
      <c r="B2536" s="43">
        <f>VLOOKUP(A2536,Database!F:H,3,)</f>
        <v>285000</v>
      </c>
      <c r="C2536" s="43">
        <f t="shared" si="78"/>
        <v>-7000</v>
      </c>
      <c r="D2536" s="43">
        <f>VLOOKUP(A2536,Database!F:H,2,)</f>
        <v>2226000</v>
      </c>
      <c r="E2536" s="43">
        <f t="shared" si="79"/>
        <v>-7000</v>
      </c>
    </row>
    <row r="2537" spans="1:5" x14ac:dyDescent="0.2">
      <c r="A2537" s="42">
        <v>42203</v>
      </c>
      <c r="B2537" s="43">
        <f>VLOOKUP(A2537,Database!F:H,3,)</f>
        <v>265000</v>
      </c>
      <c r="C2537" s="43">
        <f t="shared" si="78"/>
        <v>-20000</v>
      </c>
      <c r="D2537" s="43">
        <f>VLOOKUP(A2537,Database!F:H,2,)</f>
        <v>2267000</v>
      </c>
      <c r="E2537" s="43">
        <f t="shared" si="79"/>
        <v>41000</v>
      </c>
    </row>
    <row r="2538" spans="1:5" x14ac:dyDescent="0.2">
      <c r="A2538" s="42">
        <v>42210</v>
      </c>
      <c r="B2538" s="43">
        <f>VLOOKUP(A2538,Database!F:H,3,)</f>
        <v>269000</v>
      </c>
      <c r="C2538" s="43">
        <f t="shared" si="78"/>
        <v>4000</v>
      </c>
      <c r="D2538" s="43">
        <f>VLOOKUP(A2538,Database!F:H,2,)</f>
        <v>2253000</v>
      </c>
      <c r="E2538" s="43">
        <f t="shared" si="79"/>
        <v>-14000</v>
      </c>
    </row>
    <row r="2539" spans="1:5" x14ac:dyDescent="0.2">
      <c r="A2539" s="42">
        <v>42217</v>
      </c>
      <c r="B2539" s="43">
        <f>VLOOKUP(A2539,Database!F:H,3,)</f>
        <v>270000</v>
      </c>
      <c r="C2539" s="43">
        <f t="shared" si="78"/>
        <v>1000</v>
      </c>
      <c r="D2539" s="43">
        <f>VLOOKUP(A2539,Database!F:H,2,)</f>
        <v>2257000</v>
      </c>
      <c r="E2539" s="43">
        <f t="shared" si="79"/>
        <v>4000</v>
      </c>
    </row>
    <row r="2540" spans="1:5" x14ac:dyDescent="0.2">
      <c r="A2540" s="42">
        <v>42224</v>
      </c>
      <c r="B2540" s="43">
        <f>VLOOKUP(A2540,Database!F:H,3,)</f>
        <v>274000</v>
      </c>
      <c r="C2540" s="43">
        <f t="shared" si="78"/>
        <v>4000</v>
      </c>
      <c r="D2540" s="43">
        <f>VLOOKUP(A2540,Database!F:H,2,)</f>
        <v>2247000</v>
      </c>
      <c r="E2540" s="43">
        <f t="shared" si="79"/>
        <v>-10000</v>
      </c>
    </row>
    <row r="2541" spans="1:5" x14ac:dyDescent="0.2">
      <c r="A2541" s="42">
        <v>42231</v>
      </c>
      <c r="B2541" s="43">
        <f>VLOOKUP(A2541,Database!F:H,3,)</f>
        <v>279000</v>
      </c>
      <c r="C2541" s="43">
        <f t="shared" si="78"/>
        <v>5000</v>
      </c>
      <c r="D2541" s="43">
        <f>VLOOKUP(A2541,Database!F:H,2,)</f>
        <v>2256000</v>
      </c>
      <c r="E2541" s="43">
        <f t="shared" si="79"/>
        <v>9000</v>
      </c>
    </row>
    <row r="2542" spans="1:5" x14ac:dyDescent="0.2">
      <c r="A2542" s="42">
        <v>42238</v>
      </c>
      <c r="B2542" s="43">
        <f>VLOOKUP(A2542,Database!F:H,3,)</f>
        <v>274000</v>
      </c>
      <c r="C2542" s="43">
        <f t="shared" si="78"/>
        <v>-5000</v>
      </c>
      <c r="D2542" s="43">
        <f>VLOOKUP(A2542,Database!F:H,2,)</f>
        <v>2252000</v>
      </c>
      <c r="E2542" s="43">
        <f t="shared" si="79"/>
        <v>-4000</v>
      </c>
    </row>
    <row r="2543" spans="1:5" x14ac:dyDescent="0.2">
      <c r="A2543" s="42">
        <v>42245</v>
      </c>
      <c r="B2543" s="43">
        <f>VLOOKUP(A2543,Database!F:H,3,)</f>
        <v>279000</v>
      </c>
      <c r="C2543" s="43">
        <f t="shared" si="78"/>
        <v>5000</v>
      </c>
      <c r="D2543" s="43">
        <f>VLOOKUP(A2543,Database!F:H,2,)</f>
        <v>2258000</v>
      </c>
      <c r="E2543" s="43">
        <f t="shared" si="79"/>
        <v>6000</v>
      </c>
    </row>
    <row r="2544" spans="1:5" x14ac:dyDescent="0.2">
      <c r="A2544" s="42">
        <v>42252</v>
      </c>
      <c r="B2544" s="43">
        <f>VLOOKUP(A2544,Database!F:H,3,)</f>
        <v>273000</v>
      </c>
      <c r="C2544" s="43">
        <f t="shared" si="78"/>
        <v>-6000</v>
      </c>
      <c r="D2544" s="43">
        <f>VLOOKUP(A2544,Database!F:H,2,)</f>
        <v>2243000</v>
      </c>
      <c r="E2544" s="43">
        <f t="shared" si="79"/>
        <v>-15000</v>
      </c>
    </row>
    <row r="2545" spans="1:5" x14ac:dyDescent="0.2">
      <c r="A2545" s="42">
        <v>42259</v>
      </c>
      <c r="B2545" s="43">
        <f>VLOOKUP(A2545,Database!F:H,3,)</f>
        <v>264000</v>
      </c>
      <c r="C2545" s="43">
        <f t="shared" si="78"/>
        <v>-9000</v>
      </c>
      <c r="D2545" s="43">
        <f>VLOOKUP(A2545,Database!F:H,2,)</f>
        <v>2255000</v>
      </c>
      <c r="E2545" s="43">
        <f t="shared" si="79"/>
        <v>12000</v>
      </c>
    </row>
    <row r="2546" spans="1:5" x14ac:dyDescent="0.2">
      <c r="A2546" s="42">
        <v>42266</v>
      </c>
      <c r="B2546" s="43">
        <f>VLOOKUP(A2546,Database!F:H,3,)</f>
        <v>269000</v>
      </c>
      <c r="C2546" s="43">
        <f t="shared" si="78"/>
        <v>5000</v>
      </c>
      <c r="D2546" s="43">
        <f>VLOOKUP(A2546,Database!F:H,2,)</f>
        <v>2234000</v>
      </c>
      <c r="E2546" s="43">
        <f t="shared" si="79"/>
        <v>-21000</v>
      </c>
    </row>
    <row r="2547" spans="1:5" x14ac:dyDescent="0.2">
      <c r="A2547" s="42">
        <v>42273</v>
      </c>
      <c r="B2547" s="43">
        <f>VLOOKUP(A2547,Database!F:H,3,)</f>
        <v>272000</v>
      </c>
      <c r="C2547" s="43">
        <f t="shared" si="78"/>
        <v>3000</v>
      </c>
      <c r="D2547" s="43">
        <f>VLOOKUP(A2547,Database!F:H,2,)</f>
        <v>2240000</v>
      </c>
      <c r="E2547" s="43">
        <f t="shared" si="79"/>
        <v>6000</v>
      </c>
    </row>
    <row r="2548" spans="1:5" x14ac:dyDescent="0.2">
      <c r="A2548" s="42">
        <v>42280</v>
      </c>
      <c r="B2548" s="43">
        <f>VLOOKUP(A2548,Database!F:H,3,)</f>
        <v>267000</v>
      </c>
      <c r="C2548" s="43">
        <f t="shared" si="78"/>
        <v>-5000</v>
      </c>
      <c r="D2548" s="43">
        <f>VLOOKUP(A2548,Database!F:H,2,)</f>
        <v>2207000</v>
      </c>
      <c r="E2548" s="43">
        <f t="shared" si="79"/>
        <v>-33000</v>
      </c>
    </row>
    <row r="2549" spans="1:5" x14ac:dyDescent="0.2">
      <c r="A2549" s="42">
        <v>42287</v>
      </c>
      <c r="B2549" s="43">
        <f>VLOOKUP(A2549,Database!F:H,3,)</f>
        <v>265000</v>
      </c>
      <c r="C2549" s="43">
        <f t="shared" si="78"/>
        <v>-2000</v>
      </c>
      <c r="D2549" s="43">
        <f>VLOOKUP(A2549,Database!F:H,2,)</f>
        <v>2214000</v>
      </c>
      <c r="E2549" s="43">
        <f t="shared" si="79"/>
        <v>7000</v>
      </c>
    </row>
    <row r="2550" spans="1:5" x14ac:dyDescent="0.2">
      <c r="A2550" s="42">
        <v>42294</v>
      </c>
      <c r="B2550" s="43">
        <f>VLOOKUP(A2550,Database!F:H,3,)</f>
        <v>264000</v>
      </c>
      <c r="C2550" s="43">
        <f t="shared" si="78"/>
        <v>-1000</v>
      </c>
      <c r="D2550" s="43">
        <f>VLOOKUP(A2550,Database!F:H,2,)</f>
        <v>2194000</v>
      </c>
      <c r="E2550" s="43">
        <f t="shared" si="79"/>
        <v>-20000</v>
      </c>
    </row>
    <row r="2551" spans="1:5" x14ac:dyDescent="0.2">
      <c r="A2551" s="42">
        <v>42301</v>
      </c>
      <c r="B2551" s="43">
        <f>VLOOKUP(A2551,Database!F:H,3,)</f>
        <v>264000</v>
      </c>
      <c r="C2551" s="43">
        <f t="shared" si="78"/>
        <v>0</v>
      </c>
      <c r="D2551" s="43">
        <f>VLOOKUP(A2551,Database!F:H,2,)</f>
        <v>2218000</v>
      </c>
      <c r="E2551" s="43">
        <f t="shared" si="79"/>
        <v>24000</v>
      </c>
    </row>
    <row r="2552" spans="1:5" x14ac:dyDescent="0.2">
      <c r="A2552" s="42">
        <v>42308</v>
      </c>
      <c r="B2552" s="43">
        <f>VLOOKUP(A2552,Database!F:H,3,)</f>
        <v>275000</v>
      </c>
      <c r="C2552" s="43">
        <f t="shared" si="78"/>
        <v>11000</v>
      </c>
      <c r="D2552" s="43">
        <f>VLOOKUP(A2552,Database!F:H,2,)</f>
        <v>2205000</v>
      </c>
      <c r="E2552" s="43">
        <f t="shared" si="79"/>
        <v>-13000</v>
      </c>
    </row>
    <row r="2553" spans="1:5" x14ac:dyDescent="0.2">
      <c r="A2553" s="42">
        <v>42315</v>
      </c>
      <c r="B2553" s="43">
        <f>VLOOKUP(A2553,Database!F:H,3,)</f>
        <v>276000</v>
      </c>
      <c r="C2553" s="43">
        <f t="shared" si="78"/>
        <v>1000</v>
      </c>
      <c r="D2553" s="43">
        <f>VLOOKUP(A2553,Database!F:H,2,)</f>
        <v>2209000</v>
      </c>
      <c r="E2553" s="43">
        <f t="shared" si="79"/>
        <v>4000</v>
      </c>
    </row>
    <row r="2554" spans="1:5" x14ac:dyDescent="0.2">
      <c r="A2554" s="42">
        <v>42322</v>
      </c>
      <c r="B2554" s="43">
        <f>VLOOKUP(A2554,Database!F:H,3,)</f>
        <v>272000</v>
      </c>
      <c r="C2554" s="43">
        <f t="shared" si="78"/>
        <v>-4000</v>
      </c>
      <c r="D2554" s="43">
        <f>VLOOKUP(A2554,Database!F:H,2,)</f>
        <v>2185000</v>
      </c>
      <c r="E2554" s="43">
        <f t="shared" si="79"/>
        <v>-24000</v>
      </c>
    </row>
    <row r="2555" spans="1:5" x14ac:dyDescent="0.2">
      <c r="A2555" s="42">
        <v>42329</v>
      </c>
      <c r="B2555" s="43">
        <f>VLOOKUP(A2555,Database!F:H,3,)</f>
        <v>261000</v>
      </c>
      <c r="C2555" s="43">
        <f t="shared" si="78"/>
        <v>-11000</v>
      </c>
      <c r="D2555" s="43">
        <f>VLOOKUP(A2555,Database!F:H,2,)</f>
        <v>2181000</v>
      </c>
      <c r="E2555" s="43">
        <f t="shared" si="79"/>
        <v>-4000</v>
      </c>
    </row>
    <row r="2556" spans="1:5" x14ac:dyDescent="0.2">
      <c r="A2556" s="42">
        <v>42336</v>
      </c>
      <c r="B2556" s="43">
        <f>VLOOKUP(A2556,Database!F:H,3,)</f>
        <v>265000</v>
      </c>
      <c r="C2556" s="43">
        <f t="shared" si="78"/>
        <v>4000</v>
      </c>
      <c r="D2556" s="43">
        <f>VLOOKUP(A2556,Database!F:H,2,)</f>
        <v>2259000</v>
      </c>
      <c r="E2556" s="43">
        <f t="shared" si="79"/>
        <v>78000</v>
      </c>
    </row>
    <row r="2557" spans="1:5" x14ac:dyDescent="0.2">
      <c r="A2557" s="42">
        <v>42343</v>
      </c>
      <c r="B2557" s="43">
        <f>VLOOKUP(A2557,Database!F:H,3,)</f>
        <v>280000</v>
      </c>
      <c r="C2557" s="43">
        <f t="shared" si="78"/>
        <v>15000</v>
      </c>
      <c r="D2557" s="43">
        <f>VLOOKUP(A2557,Database!F:H,2,)</f>
        <v>2242000</v>
      </c>
      <c r="E2557" s="43">
        <f t="shared" si="79"/>
        <v>-17000</v>
      </c>
    </row>
    <row r="2558" spans="1:5" x14ac:dyDescent="0.2">
      <c r="A2558" s="42">
        <v>42350</v>
      </c>
      <c r="B2558" s="43">
        <f>VLOOKUP(A2558,Database!F:H,3,)</f>
        <v>268000</v>
      </c>
      <c r="C2558" s="43">
        <f t="shared" si="78"/>
        <v>-12000</v>
      </c>
      <c r="D2558" s="43">
        <f>VLOOKUP(A2558,Database!F:H,2,)</f>
        <v>2190000</v>
      </c>
      <c r="E2558" s="43">
        <f t="shared" si="79"/>
        <v>-52000</v>
      </c>
    </row>
    <row r="2559" spans="1:5" x14ac:dyDescent="0.2">
      <c r="A2559" s="42">
        <v>42357</v>
      </c>
      <c r="B2559" s="43">
        <f>VLOOKUP(A2559,Database!F:H,3,)</f>
        <v>260000</v>
      </c>
      <c r="C2559" s="43">
        <f t="shared" si="78"/>
        <v>-8000</v>
      </c>
      <c r="D2559" s="43">
        <f>VLOOKUP(A2559,Database!F:H,2,)</f>
        <v>2176000</v>
      </c>
      <c r="E2559" s="43">
        <f t="shared" si="79"/>
        <v>-14000</v>
      </c>
    </row>
    <row r="2560" spans="1:5" x14ac:dyDescent="0.2">
      <c r="A2560" s="42">
        <v>42364</v>
      </c>
      <c r="B2560" s="43">
        <f>VLOOKUP(A2560,Database!F:H,3,)</f>
        <v>276000</v>
      </c>
      <c r="C2560" s="43">
        <f t="shared" si="78"/>
        <v>16000</v>
      </c>
      <c r="D2560" s="43">
        <f>VLOOKUP(A2560,Database!F:H,2,)</f>
        <v>2207000</v>
      </c>
      <c r="E2560" s="43">
        <f t="shared" si="79"/>
        <v>31000</v>
      </c>
    </row>
    <row r="2561" spans="1:5" x14ac:dyDescent="0.2">
      <c r="A2561" s="42">
        <v>42371</v>
      </c>
      <c r="B2561" s="43">
        <f>VLOOKUP(A2561,Database!F:H,3,)</f>
        <v>273000</v>
      </c>
      <c r="C2561" s="43">
        <f t="shared" si="78"/>
        <v>-3000</v>
      </c>
      <c r="D2561" s="43">
        <f>VLOOKUP(A2561,Database!F:H,2,)</f>
        <v>2218000</v>
      </c>
      <c r="E2561" s="43">
        <f t="shared" si="79"/>
        <v>11000</v>
      </c>
    </row>
    <row r="2562" spans="1:5" x14ac:dyDescent="0.2">
      <c r="A2562" s="42">
        <v>42378</v>
      </c>
      <c r="B2562" s="43">
        <f>VLOOKUP(A2562,Database!F:H,3,)</f>
        <v>284000</v>
      </c>
      <c r="C2562" s="43">
        <f t="shared" si="78"/>
        <v>11000</v>
      </c>
      <c r="D2562" s="43">
        <f>VLOOKUP(A2562,Database!F:H,2,)</f>
        <v>2190000</v>
      </c>
      <c r="E2562" s="43">
        <f t="shared" si="79"/>
        <v>-28000</v>
      </c>
    </row>
    <row r="2563" spans="1:5" x14ac:dyDescent="0.2">
      <c r="A2563" s="42">
        <v>42385</v>
      </c>
      <c r="B2563" s="43">
        <f>VLOOKUP(A2563,Database!F:H,3,)</f>
        <v>290000</v>
      </c>
      <c r="C2563" s="43">
        <f t="shared" si="78"/>
        <v>6000</v>
      </c>
      <c r="D2563" s="43">
        <f>VLOOKUP(A2563,Database!F:H,2,)</f>
        <v>2221000</v>
      </c>
      <c r="E2563" s="43">
        <f t="shared" si="79"/>
        <v>31000</v>
      </c>
    </row>
    <row r="2564" spans="1:5" x14ac:dyDescent="0.2">
      <c r="A2564" s="42">
        <v>42392</v>
      </c>
      <c r="B2564" s="43">
        <f>VLOOKUP(A2564,Database!F:H,3,)</f>
        <v>269000</v>
      </c>
      <c r="C2564" s="43">
        <f t="shared" si="78"/>
        <v>-21000</v>
      </c>
      <c r="D2564" s="43">
        <f>VLOOKUP(A2564,Database!F:H,2,)</f>
        <v>2199000</v>
      </c>
      <c r="E2564" s="43">
        <f t="shared" si="79"/>
        <v>-22000</v>
      </c>
    </row>
    <row r="2565" spans="1:5" x14ac:dyDescent="0.2">
      <c r="A2565" s="42">
        <v>42399</v>
      </c>
      <c r="B2565" s="43">
        <f>VLOOKUP(A2565,Database!F:H,3,)</f>
        <v>282000</v>
      </c>
      <c r="C2565" s="43">
        <f t="shared" si="78"/>
        <v>13000</v>
      </c>
      <c r="D2565" s="43">
        <f>VLOOKUP(A2565,Database!F:H,2,)</f>
        <v>2210000</v>
      </c>
      <c r="E2565" s="43">
        <f t="shared" si="79"/>
        <v>11000</v>
      </c>
    </row>
    <row r="2566" spans="1:5" x14ac:dyDescent="0.2">
      <c r="A2566" s="42">
        <v>42406</v>
      </c>
      <c r="B2566" s="43">
        <f>VLOOKUP(A2566,Database!F:H,3,)</f>
        <v>266000</v>
      </c>
      <c r="C2566" s="43">
        <f t="shared" si="78"/>
        <v>-16000</v>
      </c>
      <c r="D2566" s="43">
        <f>VLOOKUP(A2566,Database!F:H,2,)</f>
        <v>2213000</v>
      </c>
      <c r="E2566" s="43">
        <f t="shared" si="79"/>
        <v>3000</v>
      </c>
    </row>
    <row r="2567" spans="1:5" x14ac:dyDescent="0.2">
      <c r="A2567" s="42">
        <v>42413</v>
      </c>
      <c r="B2567" s="43">
        <f>VLOOKUP(A2567,Database!F:H,3,)</f>
        <v>262000</v>
      </c>
      <c r="C2567" s="43">
        <f t="shared" si="78"/>
        <v>-4000</v>
      </c>
      <c r="D2567" s="43">
        <f>VLOOKUP(A2567,Database!F:H,2,)</f>
        <v>2206000</v>
      </c>
      <c r="E2567" s="43">
        <f t="shared" si="79"/>
        <v>-7000</v>
      </c>
    </row>
    <row r="2568" spans="1:5" x14ac:dyDescent="0.2">
      <c r="A2568" s="42">
        <v>42420</v>
      </c>
      <c r="B2568" s="43">
        <f>VLOOKUP(A2568,Database!F:H,3,)</f>
        <v>270000</v>
      </c>
      <c r="C2568" s="43">
        <f t="shared" ref="C2568:C2631" si="80">B2568-B2567</f>
        <v>8000</v>
      </c>
      <c r="D2568" s="43">
        <f>VLOOKUP(A2568,Database!F:H,2,)</f>
        <v>2203000</v>
      </c>
      <c r="E2568" s="43">
        <f t="shared" ref="E2568:E2631" si="81">D2568-D2567</f>
        <v>-3000</v>
      </c>
    </row>
    <row r="2569" spans="1:5" x14ac:dyDescent="0.2">
      <c r="A2569" s="42">
        <v>42427</v>
      </c>
      <c r="B2569" s="43">
        <f>VLOOKUP(A2569,Database!F:H,3,)</f>
        <v>269000</v>
      </c>
      <c r="C2569" s="43">
        <f t="shared" si="80"/>
        <v>-1000</v>
      </c>
      <c r="D2569" s="43">
        <f>VLOOKUP(A2569,Database!F:H,2,)</f>
        <v>2180000</v>
      </c>
      <c r="E2569" s="43">
        <f t="shared" si="81"/>
        <v>-23000</v>
      </c>
    </row>
    <row r="2570" spans="1:5" x14ac:dyDescent="0.2">
      <c r="A2570" s="42">
        <v>42434</v>
      </c>
      <c r="B2570" s="43">
        <f>VLOOKUP(A2570,Database!F:H,3,)</f>
        <v>255000</v>
      </c>
      <c r="C2570" s="43">
        <f t="shared" si="80"/>
        <v>-14000</v>
      </c>
      <c r="D2570" s="43">
        <f>VLOOKUP(A2570,Database!F:H,2,)</f>
        <v>2203000</v>
      </c>
      <c r="E2570" s="43">
        <f t="shared" si="81"/>
        <v>23000</v>
      </c>
    </row>
    <row r="2571" spans="1:5" x14ac:dyDescent="0.2">
      <c r="A2571" s="42">
        <v>42441</v>
      </c>
      <c r="B2571" s="43">
        <f>VLOOKUP(A2571,Database!F:H,3,)</f>
        <v>263000</v>
      </c>
      <c r="C2571" s="43">
        <f t="shared" si="80"/>
        <v>8000</v>
      </c>
      <c r="D2571" s="43">
        <f>VLOOKUP(A2571,Database!F:H,2,)</f>
        <v>2163000</v>
      </c>
      <c r="E2571" s="43">
        <f t="shared" si="81"/>
        <v>-40000</v>
      </c>
    </row>
    <row r="2572" spans="1:5" x14ac:dyDescent="0.2">
      <c r="A2572" s="42">
        <v>42448</v>
      </c>
      <c r="B2572" s="43">
        <f>VLOOKUP(A2572,Database!F:H,3,)</f>
        <v>264000</v>
      </c>
      <c r="C2572" s="43">
        <f t="shared" si="80"/>
        <v>1000</v>
      </c>
      <c r="D2572" s="43">
        <f>VLOOKUP(A2572,Database!F:H,2,)</f>
        <v>2138000</v>
      </c>
      <c r="E2572" s="43">
        <f t="shared" si="81"/>
        <v>-25000</v>
      </c>
    </row>
    <row r="2573" spans="1:5" x14ac:dyDescent="0.2">
      <c r="A2573" s="42">
        <v>42455</v>
      </c>
      <c r="B2573" s="43">
        <f>VLOOKUP(A2573,Database!F:H,3,)</f>
        <v>271000</v>
      </c>
      <c r="C2573" s="43">
        <f t="shared" si="80"/>
        <v>7000</v>
      </c>
      <c r="D2573" s="43">
        <f>VLOOKUP(A2573,Database!F:H,2,)</f>
        <v>2165000</v>
      </c>
      <c r="E2573" s="43">
        <f t="shared" si="81"/>
        <v>27000</v>
      </c>
    </row>
    <row r="2574" spans="1:5" x14ac:dyDescent="0.2">
      <c r="A2574" s="42">
        <v>42462</v>
      </c>
      <c r="B2574" s="43">
        <f>VLOOKUP(A2574,Database!F:H,3,)</f>
        <v>273000</v>
      </c>
      <c r="C2574" s="43">
        <f t="shared" si="80"/>
        <v>2000</v>
      </c>
      <c r="D2574" s="43">
        <f>VLOOKUP(A2574,Database!F:H,2,)</f>
        <v>2151000</v>
      </c>
      <c r="E2574" s="43">
        <f t="shared" si="81"/>
        <v>-14000</v>
      </c>
    </row>
    <row r="2575" spans="1:5" x14ac:dyDescent="0.2">
      <c r="A2575" s="42">
        <v>42469</v>
      </c>
      <c r="B2575" s="43">
        <f>VLOOKUP(A2575,Database!F:H,3,)</f>
        <v>263000</v>
      </c>
      <c r="C2575" s="43">
        <f t="shared" si="80"/>
        <v>-10000</v>
      </c>
      <c r="D2575" s="43">
        <f>VLOOKUP(A2575,Database!F:H,2,)</f>
        <v>2139000</v>
      </c>
      <c r="E2575" s="43">
        <f t="shared" si="81"/>
        <v>-12000</v>
      </c>
    </row>
    <row r="2576" spans="1:5" x14ac:dyDescent="0.2">
      <c r="A2576" s="42">
        <v>42476</v>
      </c>
      <c r="B2576" s="43">
        <f>VLOOKUP(A2576,Database!F:H,3,)</f>
        <v>257000</v>
      </c>
      <c r="C2576" s="43">
        <f t="shared" si="80"/>
        <v>-6000</v>
      </c>
      <c r="D2576" s="43">
        <f>VLOOKUP(A2576,Database!F:H,2,)</f>
        <v>2135000</v>
      </c>
      <c r="E2576" s="43">
        <f t="shared" si="81"/>
        <v>-4000</v>
      </c>
    </row>
    <row r="2577" spans="1:5" x14ac:dyDescent="0.2">
      <c r="A2577" s="42">
        <v>42483</v>
      </c>
      <c r="B2577" s="43">
        <f>VLOOKUP(A2577,Database!F:H,3,)</f>
        <v>259000</v>
      </c>
      <c r="C2577" s="43">
        <f t="shared" si="80"/>
        <v>2000</v>
      </c>
      <c r="D2577" s="43">
        <f>VLOOKUP(A2577,Database!F:H,2,)</f>
        <v>2137000</v>
      </c>
      <c r="E2577" s="43">
        <f t="shared" si="81"/>
        <v>2000</v>
      </c>
    </row>
    <row r="2578" spans="1:5" x14ac:dyDescent="0.2">
      <c r="A2578" s="42">
        <v>42490</v>
      </c>
      <c r="B2578" s="43">
        <f>VLOOKUP(A2578,Database!F:H,3,)</f>
        <v>278000</v>
      </c>
      <c r="C2578" s="43">
        <f t="shared" si="80"/>
        <v>19000</v>
      </c>
      <c r="D2578" s="43">
        <f>VLOOKUP(A2578,Database!F:H,2,)</f>
        <v>2183000</v>
      </c>
      <c r="E2578" s="43">
        <f t="shared" si="81"/>
        <v>46000</v>
      </c>
    </row>
    <row r="2579" spans="1:5" x14ac:dyDescent="0.2">
      <c r="A2579" s="42">
        <v>42497</v>
      </c>
      <c r="B2579" s="43">
        <f>VLOOKUP(A2579,Database!F:H,3,)</f>
        <v>289000</v>
      </c>
      <c r="C2579" s="43">
        <f t="shared" si="80"/>
        <v>11000</v>
      </c>
      <c r="D2579" s="43">
        <f>VLOOKUP(A2579,Database!F:H,2,)</f>
        <v>2185000</v>
      </c>
      <c r="E2579" s="43">
        <f t="shared" si="81"/>
        <v>2000</v>
      </c>
    </row>
    <row r="2580" spans="1:5" x14ac:dyDescent="0.2">
      <c r="A2580" s="42">
        <v>42504</v>
      </c>
      <c r="B2580" s="43">
        <f>VLOOKUP(A2580,Database!F:H,3,)</f>
        <v>279000</v>
      </c>
      <c r="C2580" s="43">
        <f t="shared" si="80"/>
        <v>-10000</v>
      </c>
      <c r="D2580" s="43">
        <f>VLOOKUP(A2580,Database!F:H,2,)</f>
        <v>2177000</v>
      </c>
      <c r="E2580" s="43">
        <f t="shared" si="81"/>
        <v>-8000</v>
      </c>
    </row>
    <row r="2581" spans="1:5" x14ac:dyDescent="0.2">
      <c r="A2581" s="42">
        <v>42511</v>
      </c>
      <c r="B2581" s="43">
        <f>VLOOKUP(A2581,Database!F:H,3,)</f>
        <v>267000</v>
      </c>
      <c r="C2581" s="43">
        <f t="shared" si="80"/>
        <v>-12000</v>
      </c>
      <c r="D2581" s="43">
        <f>VLOOKUP(A2581,Database!F:H,2,)</f>
        <v>2186000</v>
      </c>
      <c r="E2581" s="43">
        <f t="shared" si="81"/>
        <v>9000</v>
      </c>
    </row>
    <row r="2582" spans="1:5" x14ac:dyDescent="0.2">
      <c r="A2582" s="42">
        <v>42518</v>
      </c>
      <c r="B2582" s="43">
        <f>VLOOKUP(A2582,Database!F:H,3,)</f>
        <v>263000</v>
      </c>
      <c r="C2582" s="43">
        <f t="shared" si="80"/>
        <v>-4000</v>
      </c>
      <c r="D2582" s="43">
        <f>VLOOKUP(A2582,Database!F:H,2,)</f>
        <v>2131000</v>
      </c>
      <c r="E2582" s="43">
        <f t="shared" si="81"/>
        <v>-55000</v>
      </c>
    </row>
    <row r="2583" spans="1:5" x14ac:dyDescent="0.2">
      <c r="A2583" s="42">
        <v>42525</v>
      </c>
      <c r="B2583" s="43">
        <f>VLOOKUP(A2583,Database!F:H,3,)</f>
        <v>265000</v>
      </c>
      <c r="C2583" s="43">
        <f t="shared" si="80"/>
        <v>2000</v>
      </c>
      <c r="D2583" s="43">
        <f>VLOOKUP(A2583,Database!F:H,2,)</f>
        <v>2170000</v>
      </c>
      <c r="E2583" s="43">
        <f t="shared" si="81"/>
        <v>39000</v>
      </c>
    </row>
    <row r="2584" spans="1:5" x14ac:dyDescent="0.2">
      <c r="A2584" s="42">
        <v>42532</v>
      </c>
      <c r="B2584" s="43">
        <f>VLOOKUP(A2584,Database!F:H,3,)</f>
        <v>273000</v>
      </c>
      <c r="C2584" s="43">
        <f t="shared" si="80"/>
        <v>8000</v>
      </c>
      <c r="D2584" s="43">
        <f>VLOOKUP(A2584,Database!F:H,2,)</f>
        <v>2158000</v>
      </c>
      <c r="E2584" s="43">
        <f t="shared" si="81"/>
        <v>-12000</v>
      </c>
    </row>
    <row r="2585" spans="1:5" x14ac:dyDescent="0.2">
      <c r="A2585" s="42">
        <v>42539</v>
      </c>
      <c r="B2585" s="43">
        <f>VLOOKUP(A2585,Database!F:H,3,)</f>
        <v>261000</v>
      </c>
      <c r="C2585" s="43">
        <f t="shared" si="80"/>
        <v>-12000</v>
      </c>
      <c r="D2585" s="43">
        <f>VLOOKUP(A2585,Database!F:H,2,)</f>
        <v>2160000</v>
      </c>
      <c r="E2585" s="43">
        <f t="shared" si="81"/>
        <v>2000</v>
      </c>
    </row>
    <row r="2586" spans="1:5" x14ac:dyDescent="0.2">
      <c r="A2586" s="42">
        <v>42546</v>
      </c>
      <c r="B2586" s="43">
        <f>VLOOKUP(A2586,Database!F:H,3,)</f>
        <v>262000</v>
      </c>
      <c r="C2586" s="43">
        <f t="shared" si="80"/>
        <v>1000</v>
      </c>
      <c r="D2586" s="43">
        <f>VLOOKUP(A2586,Database!F:H,2,)</f>
        <v>2139000</v>
      </c>
      <c r="E2586" s="43">
        <f t="shared" si="81"/>
        <v>-21000</v>
      </c>
    </row>
    <row r="2587" spans="1:5" x14ac:dyDescent="0.2">
      <c r="A2587" s="42">
        <v>42553</v>
      </c>
      <c r="B2587" s="43">
        <f>VLOOKUP(A2587,Database!F:H,3,)</f>
        <v>255000</v>
      </c>
      <c r="C2587" s="43">
        <f t="shared" si="80"/>
        <v>-7000</v>
      </c>
      <c r="D2587" s="43">
        <f>VLOOKUP(A2587,Database!F:H,2,)</f>
        <v>2131000</v>
      </c>
      <c r="E2587" s="43">
        <f t="shared" si="81"/>
        <v>-8000</v>
      </c>
    </row>
    <row r="2588" spans="1:5" x14ac:dyDescent="0.2">
      <c r="A2588" s="42">
        <v>42560</v>
      </c>
      <c r="B2588" s="43">
        <f>VLOOKUP(A2588,Database!F:H,3,)</f>
        <v>252000</v>
      </c>
      <c r="C2588" s="43">
        <f t="shared" si="80"/>
        <v>-3000</v>
      </c>
      <c r="D2588" s="43">
        <f>VLOOKUP(A2588,Database!F:H,2,)</f>
        <v>2125000</v>
      </c>
      <c r="E2588" s="43">
        <f t="shared" si="81"/>
        <v>-6000</v>
      </c>
    </row>
    <row r="2589" spans="1:5" x14ac:dyDescent="0.2">
      <c r="A2589" s="42">
        <v>42567</v>
      </c>
      <c r="B2589" s="43">
        <f>VLOOKUP(A2589,Database!F:H,3,)</f>
        <v>260000</v>
      </c>
      <c r="C2589" s="43">
        <f t="shared" si="80"/>
        <v>8000</v>
      </c>
      <c r="D2589" s="43">
        <f>VLOOKUP(A2589,Database!F:H,2,)</f>
        <v>2140000</v>
      </c>
      <c r="E2589" s="43">
        <f t="shared" si="81"/>
        <v>15000</v>
      </c>
    </row>
    <row r="2590" spans="1:5" x14ac:dyDescent="0.2">
      <c r="A2590" s="42">
        <v>42574</v>
      </c>
      <c r="B2590" s="43">
        <f>VLOOKUP(A2590,Database!F:H,3,)</f>
        <v>264000</v>
      </c>
      <c r="C2590" s="43">
        <f t="shared" si="80"/>
        <v>4000</v>
      </c>
      <c r="D2590" s="43">
        <f>VLOOKUP(A2590,Database!F:H,2,)</f>
        <v>2134000</v>
      </c>
      <c r="E2590" s="43">
        <f t="shared" si="81"/>
        <v>-6000</v>
      </c>
    </row>
    <row r="2591" spans="1:5" x14ac:dyDescent="0.2">
      <c r="A2591" s="42">
        <v>42581</v>
      </c>
      <c r="B2591" s="43">
        <f>VLOOKUP(A2591,Database!F:H,3,)</f>
        <v>266000</v>
      </c>
      <c r="C2591" s="43">
        <f t="shared" si="80"/>
        <v>2000</v>
      </c>
      <c r="D2591" s="43">
        <f>VLOOKUP(A2591,Database!F:H,2,)</f>
        <v>2143000</v>
      </c>
      <c r="E2591" s="43">
        <f t="shared" si="81"/>
        <v>9000</v>
      </c>
    </row>
    <row r="2592" spans="1:5" x14ac:dyDescent="0.2">
      <c r="A2592" s="42">
        <v>42588</v>
      </c>
      <c r="B2592" s="43">
        <f>VLOOKUP(A2592,Database!F:H,3,)</f>
        <v>265000</v>
      </c>
      <c r="C2592" s="43">
        <f t="shared" si="80"/>
        <v>-1000</v>
      </c>
      <c r="D2592" s="43">
        <f>VLOOKUP(A2592,Database!F:H,2,)</f>
        <v>2157000</v>
      </c>
      <c r="E2592" s="43">
        <f t="shared" si="81"/>
        <v>14000</v>
      </c>
    </row>
    <row r="2593" spans="1:5" x14ac:dyDescent="0.2">
      <c r="A2593" s="42">
        <v>42595</v>
      </c>
      <c r="B2593" s="43">
        <f>VLOOKUP(A2593,Database!F:H,3,)</f>
        <v>264000</v>
      </c>
      <c r="C2593" s="43">
        <f t="shared" si="80"/>
        <v>-1000</v>
      </c>
      <c r="D2593" s="43">
        <f>VLOOKUP(A2593,Database!F:H,2,)</f>
        <v>2137000</v>
      </c>
      <c r="E2593" s="43">
        <f t="shared" si="81"/>
        <v>-20000</v>
      </c>
    </row>
    <row r="2594" spans="1:5" x14ac:dyDescent="0.2">
      <c r="A2594" s="42">
        <v>42602</v>
      </c>
      <c r="B2594" s="43">
        <f>VLOOKUP(A2594,Database!F:H,3,)</f>
        <v>264000</v>
      </c>
      <c r="C2594" s="43">
        <f t="shared" si="80"/>
        <v>0</v>
      </c>
      <c r="D2594" s="43">
        <f>VLOOKUP(A2594,Database!F:H,2,)</f>
        <v>2148000</v>
      </c>
      <c r="E2594" s="43">
        <f t="shared" si="81"/>
        <v>11000</v>
      </c>
    </row>
    <row r="2595" spans="1:5" x14ac:dyDescent="0.2">
      <c r="A2595" s="42">
        <v>42609</v>
      </c>
      <c r="B2595" s="43">
        <f>VLOOKUP(A2595,Database!F:H,3,)</f>
        <v>261000</v>
      </c>
      <c r="C2595" s="43">
        <f t="shared" si="80"/>
        <v>-3000</v>
      </c>
      <c r="D2595" s="43">
        <f>VLOOKUP(A2595,Database!F:H,2,)</f>
        <v>2138000</v>
      </c>
      <c r="E2595" s="43">
        <f t="shared" si="81"/>
        <v>-10000</v>
      </c>
    </row>
    <row r="2596" spans="1:5" x14ac:dyDescent="0.2">
      <c r="A2596" s="42">
        <v>42616</v>
      </c>
      <c r="B2596" s="43">
        <f>VLOOKUP(A2596,Database!F:H,3,)</f>
        <v>257000</v>
      </c>
      <c r="C2596" s="43">
        <f t="shared" si="80"/>
        <v>-4000</v>
      </c>
      <c r="D2596" s="43">
        <f>VLOOKUP(A2596,Database!F:H,2,)</f>
        <v>2149000</v>
      </c>
      <c r="E2596" s="43">
        <f t="shared" si="81"/>
        <v>11000</v>
      </c>
    </row>
    <row r="2597" spans="1:5" x14ac:dyDescent="0.2">
      <c r="A2597" s="42">
        <v>42623</v>
      </c>
      <c r="B2597" s="43">
        <f>VLOOKUP(A2597,Database!F:H,3,)</f>
        <v>252000</v>
      </c>
      <c r="C2597" s="43">
        <f t="shared" si="80"/>
        <v>-5000</v>
      </c>
      <c r="D2597" s="43">
        <f>VLOOKUP(A2597,Database!F:H,2,)</f>
        <v>2110000</v>
      </c>
      <c r="E2597" s="43">
        <f t="shared" si="81"/>
        <v>-39000</v>
      </c>
    </row>
    <row r="2598" spans="1:5" x14ac:dyDescent="0.2">
      <c r="A2598" s="42">
        <v>42630</v>
      </c>
      <c r="B2598" s="43">
        <f>VLOOKUP(A2598,Database!F:H,3,)</f>
        <v>250000</v>
      </c>
      <c r="C2598" s="43">
        <f t="shared" si="80"/>
        <v>-2000</v>
      </c>
      <c r="D2598" s="43">
        <f>VLOOKUP(A2598,Database!F:H,2,)</f>
        <v>2098000</v>
      </c>
      <c r="E2598" s="43">
        <f t="shared" si="81"/>
        <v>-12000</v>
      </c>
    </row>
    <row r="2599" spans="1:5" x14ac:dyDescent="0.2">
      <c r="A2599" s="42">
        <v>42637</v>
      </c>
      <c r="B2599" s="43">
        <f>VLOOKUP(A2599,Database!F:H,3,)</f>
        <v>247000</v>
      </c>
      <c r="C2599" s="43">
        <f t="shared" si="80"/>
        <v>-3000</v>
      </c>
      <c r="D2599" s="43">
        <f>VLOOKUP(A2599,Database!F:H,2,)</f>
        <v>2081000</v>
      </c>
      <c r="E2599" s="43">
        <f t="shared" si="81"/>
        <v>-17000</v>
      </c>
    </row>
    <row r="2600" spans="1:5" x14ac:dyDescent="0.2">
      <c r="A2600" s="42">
        <v>42644</v>
      </c>
      <c r="B2600" s="43">
        <f>VLOOKUP(A2600,Database!F:H,3,)</f>
        <v>245000</v>
      </c>
      <c r="C2600" s="43">
        <f t="shared" si="80"/>
        <v>-2000</v>
      </c>
      <c r="D2600" s="43">
        <f>VLOOKUP(A2600,Database!F:H,2,)</f>
        <v>2080000</v>
      </c>
      <c r="E2600" s="43">
        <f t="shared" si="81"/>
        <v>-1000</v>
      </c>
    </row>
    <row r="2601" spans="1:5" x14ac:dyDescent="0.2">
      <c r="A2601" s="42">
        <v>42651</v>
      </c>
      <c r="B2601" s="43">
        <f>VLOOKUP(A2601,Database!F:H,3,)</f>
        <v>250000</v>
      </c>
      <c r="C2601" s="43">
        <f t="shared" si="80"/>
        <v>5000</v>
      </c>
      <c r="D2601" s="43">
        <f>VLOOKUP(A2601,Database!F:H,2,)</f>
        <v>2081000</v>
      </c>
      <c r="E2601" s="43">
        <f t="shared" si="81"/>
        <v>1000</v>
      </c>
    </row>
    <row r="2602" spans="1:5" x14ac:dyDescent="0.2">
      <c r="A2602" s="42">
        <v>42658</v>
      </c>
      <c r="B2602" s="43">
        <f>VLOOKUP(A2602,Database!F:H,3,)</f>
        <v>263000</v>
      </c>
      <c r="C2602" s="43">
        <f t="shared" si="80"/>
        <v>13000</v>
      </c>
      <c r="D2602" s="43">
        <f>VLOOKUP(A2602,Database!F:H,2,)</f>
        <v>2069000</v>
      </c>
      <c r="E2602" s="43">
        <f t="shared" si="81"/>
        <v>-12000</v>
      </c>
    </row>
    <row r="2603" spans="1:5" x14ac:dyDescent="0.2">
      <c r="A2603" s="42">
        <v>42665</v>
      </c>
      <c r="B2603" s="43">
        <f>VLOOKUP(A2603,Database!F:H,3,)</f>
        <v>256000</v>
      </c>
      <c r="C2603" s="43">
        <f t="shared" si="80"/>
        <v>-7000</v>
      </c>
      <c r="D2603" s="43">
        <f>VLOOKUP(A2603,Database!F:H,2,)</f>
        <v>2066000</v>
      </c>
      <c r="E2603" s="43">
        <f t="shared" si="81"/>
        <v>-3000</v>
      </c>
    </row>
    <row r="2604" spans="1:5" x14ac:dyDescent="0.2">
      <c r="A2604" s="42">
        <v>42672</v>
      </c>
      <c r="B2604" s="43">
        <f>VLOOKUP(A2604,Database!F:H,3,)</f>
        <v>265000</v>
      </c>
      <c r="C2604" s="43">
        <f t="shared" si="80"/>
        <v>9000</v>
      </c>
      <c r="D2604" s="43">
        <f>VLOOKUP(A2604,Database!F:H,2,)</f>
        <v>2067000</v>
      </c>
      <c r="E2604" s="43">
        <f t="shared" si="81"/>
        <v>1000</v>
      </c>
    </row>
    <row r="2605" spans="1:5" x14ac:dyDescent="0.2">
      <c r="A2605" s="42">
        <v>42679</v>
      </c>
      <c r="B2605" s="43">
        <f>VLOOKUP(A2605,Database!F:H,3,)</f>
        <v>250000</v>
      </c>
      <c r="C2605" s="43">
        <f t="shared" si="80"/>
        <v>-15000</v>
      </c>
      <c r="D2605" s="43">
        <f>VLOOKUP(A2605,Database!F:H,2,)</f>
        <v>2046000</v>
      </c>
      <c r="E2605" s="43">
        <f t="shared" si="81"/>
        <v>-21000</v>
      </c>
    </row>
    <row r="2606" spans="1:5" x14ac:dyDescent="0.2">
      <c r="A2606" s="42">
        <v>42686</v>
      </c>
      <c r="B2606" s="43">
        <f>VLOOKUP(A2606,Database!F:H,3,)</f>
        <v>232000</v>
      </c>
      <c r="C2606" s="43">
        <f t="shared" si="80"/>
        <v>-18000</v>
      </c>
      <c r="D2606" s="43">
        <f>VLOOKUP(A2606,Database!F:H,2,)</f>
        <v>2045000</v>
      </c>
      <c r="E2606" s="43">
        <f t="shared" si="81"/>
        <v>-1000</v>
      </c>
    </row>
    <row r="2607" spans="1:5" x14ac:dyDescent="0.2">
      <c r="A2607" s="42">
        <v>42693</v>
      </c>
      <c r="B2607" s="43">
        <f>VLOOKUP(A2607,Database!F:H,3,)</f>
        <v>246000</v>
      </c>
      <c r="C2607" s="43">
        <f t="shared" si="80"/>
        <v>14000</v>
      </c>
      <c r="D2607" s="43">
        <f>VLOOKUP(A2607,Database!F:H,2,)</f>
        <v>2050000</v>
      </c>
      <c r="E2607" s="43">
        <f t="shared" si="81"/>
        <v>5000</v>
      </c>
    </row>
    <row r="2608" spans="1:5" x14ac:dyDescent="0.2">
      <c r="A2608" s="42">
        <v>42700</v>
      </c>
      <c r="B2608" s="43">
        <f>VLOOKUP(A2608,Database!F:H,3,)</f>
        <v>255000</v>
      </c>
      <c r="C2608" s="43">
        <f t="shared" si="80"/>
        <v>9000</v>
      </c>
      <c r="D2608" s="43">
        <f>VLOOKUP(A2608,Database!F:H,2,)</f>
        <v>2038000</v>
      </c>
      <c r="E2608" s="43">
        <f t="shared" si="81"/>
        <v>-12000</v>
      </c>
    </row>
    <row r="2609" spans="1:5" x14ac:dyDescent="0.2">
      <c r="A2609" s="42">
        <v>42707</v>
      </c>
      <c r="B2609" s="43">
        <f>VLOOKUP(A2609,Database!F:H,3,)</f>
        <v>248000</v>
      </c>
      <c r="C2609" s="43">
        <f t="shared" si="80"/>
        <v>-7000</v>
      </c>
      <c r="D2609" s="43">
        <f>VLOOKUP(A2609,Database!F:H,2,)</f>
        <v>2029000</v>
      </c>
      <c r="E2609" s="43">
        <f t="shared" si="81"/>
        <v>-9000</v>
      </c>
    </row>
    <row r="2610" spans="1:5" x14ac:dyDescent="0.2">
      <c r="A2610" s="42">
        <v>42714</v>
      </c>
      <c r="B2610" s="43">
        <f>VLOOKUP(A2610,Database!F:H,3,)</f>
        <v>252000</v>
      </c>
      <c r="C2610" s="43">
        <f t="shared" si="80"/>
        <v>4000</v>
      </c>
      <c r="D2610" s="43">
        <f>VLOOKUP(A2610,Database!F:H,2,)</f>
        <v>2030000</v>
      </c>
      <c r="E2610" s="43">
        <f t="shared" si="81"/>
        <v>1000</v>
      </c>
    </row>
    <row r="2611" spans="1:5" x14ac:dyDescent="0.2">
      <c r="A2611" s="42">
        <v>42721</v>
      </c>
      <c r="B2611" s="43">
        <f>VLOOKUP(A2611,Database!F:H,3,)</f>
        <v>260000</v>
      </c>
      <c r="C2611" s="43">
        <f t="shared" si="80"/>
        <v>8000</v>
      </c>
      <c r="D2611" s="43">
        <f>VLOOKUP(A2611,Database!F:H,2,)</f>
        <v>2078000</v>
      </c>
      <c r="E2611" s="43">
        <f t="shared" si="81"/>
        <v>48000</v>
      </c>
    </row>
    <row r="2612" spans="1:5" x14ac:dyDescent="0.2">
      <c r="A2612" s="42">
        <v>42728</v>
      </c>
      <c r="B2612" s="43">
        <f>VLOOKUP(A2612,Database!F:H,3,)</f>
        <v>257000</v>
      </c>
      <c r="C2612" s="43">
        <f t="shared" si="80"/>
        <v>-3000</v>
      </c>
      <c r="D2612" s="43">
        <f>VLOOKUP(A2612,Database!F:H,2,)</f>
        <v>2077000</v>
      </c>
      <c r="E2612" s="43">
        <f t="shared" si="81"/>
        <v>-1000</v>
      </c>
    </row>
    <row r="2613" spans="1:5" x14ac:dyDescent="0.2">
      <c r="A2613" s="42">
        <v>42735</v>
      </c>
      <c r="B2613" s="43">
        <f>VLOOKUP(A2613,Database!F:H,3,)</f>
        <v>244000</v>
      </c>
      <c r="C2613" s="43">
        <f t="shared" si="80"/>
        <v>-13000</v>
      </c>
      <c r="D2613" s="43">
        <f>VLOOKUP(A2613,Database!F:H,2,)</f>
        <v>2028000</v>
      </c>
      <c r="E2613" s="43">
        <f t="shared" si="81"/>
        <v>-49000</v>
      </c>
    </row>
    <row r="2614" spans="1:5" x14ac:dyDescent="0.2">
      <c r="A2614" s="42">
        <v>42742</v>
      </c>
      <c r="B2614" s="43">
        <f>VLOOKUP(A2614,Database!F:H,3,)</f>
        <v>243000</v>
      </c>
      <c r="C2614" s="43">
        <f t="shared" si="80"/>
        <v>-1000</v>
      </c>
      <c r="D2614" s="43">
        <f>VLOOKUP(A2614,Database!F:H,2,)</f>
        <v>2020000</v>
      </c>
      <c r="E2614" s="43">
        <f t="shared" si="81"/>
        <v>-8000</v>
      </c>
    </row>
    <row r="2615" spans="1:5" x14ac:dyDescent="0.2">
      <c r="A2615" s="42">
        <v>42749</v>
      </c>
      <c r="B2615" s="43">
        <f>VLOOKUP(A2615,Database!F:H,3,)</f>
        <v>244000</v>
      </c>
      <c r="C2615" s="43">
        <f t="shared" si="80"/>
        <v>1000</v>
      </c>
      <c r="D2615" s="43">
        <f>VLOOKUP(A2615,Database!F:H,2,)</f>
        <v>2060000</v>
      </c>
      <c r="E2615" s="43">
        <f t="shared" si="81"/>
        <v>40000</v>
      </c>
    </row>
    <row r="2616" spans="1:5" x14ac:dyDescent="0.2">
      <c r="A2616" s="42">
        <v>42756</v>
      </c>
      <c r="B2616" s="43">
        <f>VLOOKUP(A2616,Database!F:H,3,)</f>
        <v>254000</v>
      </c>
      <c r="C2616" s="43">
        <f t="shared" si="80"/>
        <v>10000</v>
      </c>
      <c r="D2616" s="43">
        <f>VLOOKUP(A2616,Database!F:H,2,)</f>
        <v>2030000</v>
      </c>
      <c r="E2616" s="43">
        <f t="shared" si="81"/>
        <v>-30000</v>
      </c>
    </row>
    <row r="2617" spans="1:5" x14ac:dyDescent="0.2">
      <c r="A2617" s="42">
        <v>42763</v>
      </c>
      <c r="B2617" s="43">
        <f>VLOOKUP(A2617,Database!F:H,3,)</f>
        <v>245000</v>
      </c>
      <c r="C2617" s="43">
        <f t="shared" si="80"/>
        <v>-9000</v>
      </c>
      <c r="D2617" s="43">
        <f>VLOOKUP(A2617,Database!F:H,2,)</f>
        <v>2045000</v>
      </c>
      <c r="E2617" s="43">
        <f t="shared" si="81"/>
        <v>15000</v>
      </c>
    </row>
    <row r="2618" spans="1:5" x14ac:dyDescent="0.2">
      <c r="A2618" s="42">
        <v>42770</v>
      </c>
      <c r="B2618" s="43">
        <f>VLOOKUP(A2618,Database!F:H,3,)</f>
        <v>237000</v>
      </c>
      <c r="C2618" s="43">
        <f t="shared" si="80"/>
        <v>-8000</v>
      </c>
      <c r="D2618" s="43">
        <f>VLOOKUP(A2618,Database!F:H,2,)</f>
        <v>2030000</v>
      </c>
      <c r="E2618" s="43">
        <f t="shared" si="81"/>
        <v>-15000</v>
      </c>
    </row>
    <row r="2619" spans="1:5" x14ac:dyDescent="0.2">
      <c r="A2619" s="42">
        <v>42777</v>
      </c>
      <c r="B2619" s="43">
        <f>VLOOKUP(A2619,Database!F:H,3,)</f>
        <v>243000</v>
      </c>
      <c r="C2619" s="43">
        <f t="shared" si="80"/>
        <v>6000</v>
      </c>
      <c r="D2619" s="43">
        <f>VLOOKUP(A2619,Database!F:H,2,)</f>
        <v>2049000</v>
      </c>
      <c r="E2619" s="43">
        <f t="shared" si="81"/>
        <v>19000</v>
      </c>
    </row>
    <row r="2620" spans="1:5" x14ac:dyDescent="0.2">
      <c r="A2620" s="42">
        <v>42784</v>
      </c>
      <c r="B2620" s="43">
        <f>VLOOKUP(A2620,Database!F:H,3,)</f>
        <v>248000</v>
      </c>
      <c r="C2620" s="43">
        <f t="shared" si="80"/>
        <v>5000</v>
      </c>
      <c r="D2620" s="43">
        <f>VLOOKUP(A2620,Database!F:H,2,)</f>
        <v>2009000</v>
      </c>
      <c r="E2620" s="43">
        <f t="shared" si="81"/>
        <v>-40000</v>
      </c>
    </row>
    <row r="2621" spans="1:5" x14ac:dyDescent="0.2">
      <c r="A2621" s="42">
        <v>42791</v>
      </c>
      <c r="B2621" s="43">
        <f>VLOOKUP(A2621,Database!F:H,3,)</f>
        <v>231000</v>
      </c>
      <c r="C2621" s="43">
        <f t="shared" si="80"/>
        <v>-17000</v>
      </c>
      <c r="D2621" s="43">
        <f>VLOOKUP(A2621,Database!F:H,2,)</f>
        <v>2040000</v>
      </c>
      <c r="E2621" s="43">
        <f t="shared" si="81"/>
        <v>31000</v>
      </c>
    </row>
    <row r="2622" spans="1:5" x14ac:dyDescent="0.2">
      <c r="A2622" s="42">
        <v>42798</v>
      </c>
      <c r="B2622" s="43">
        <f>VLOOKUP(A2622,Database!F:H,3,)</f>
        <v>246000</v>
      </c>
      <c r="C2622" s="43">
        <f t="shared" si="80"/>
        <v>15000</v>
      </c>
      <c r="D2622" s="43">
        <f>VLOOKUP(A2622,Database!F:H,2,)</f>
        <v>2005000</v>
      </c>
      <c r="E2622" s="43">
        <f t="shared" si="81"/>
        <v>-35000</v>
      </c>
    </row>
    <row r="2623" spans="1:5" x14ac:dyDescent="0.2">
      <c r="A2623" s="42">
        <v>42805</v>
      </c>
      <c r="B2623" s="43">
        <f>VLOOKUP(A2623,Database!F:H,3,)</f>
        <v>244000</v>
      </c>
      <c r="C2623" s="43">
        <f t="shared" si="80"/>
        <v>-2000</v>
      </c>
      <c r="D2623" s="43">
        <f>VLOOKUP(A2623,Database!F:H,2,)</f>
        <v>1984000</v>
      </c>
      <c r="E2623" s="43">
        <f t="shared" si="81"/>
        <v>-21000</v>
      </c>
    </row>
    <row r="2624" spans="1:5" x14ac:dyDescent="0.2">
      <c r="A2624" s="42">
        <v>42812</v>
      </c>
      <c r="B2624" s="43">
        <f>VLOOKUP(A2624,Database!F:H,3,)</f>
        <v>255000</v>
      </c>
      <c r="C2624" s="43">
        <f t="shared" si="80"/>
        <v>11000</v>
      </c>
      <c r="D2624" s="43">
        <f>VLOOKUP(A2624,Database!F:H,2,)</f>
        <v>1993000</v>
      </c>
      <c r="E2624" s="43">
        <f t="shared" si="81"/>
        <v>9000</v>
      </c>
    </row>
    <row r="2625" spans="1:5" x14ac:dyDescent="0.2">
      <c r="A2625" s="42">
        <v>42819</v>
      </c>
      <c r="B2625" s="43">
        <f>VLOOKUP(A2625,Database!F:H,3,)</f>
        <v>256000</v>
      </c>
      <c r="C2625" s="43">
        <f t="shared" si="80"/>
        <v>1000</v>
      </c>
      <c r="D2625" s="43">
        <f>VLOOKUP(A2625,Database!F:H,2,)</f>
        <v>2011000</v>
      </c>
      <c r="E2625" s="43">
        <f t="shared" si="81"/>
        <v>18000</v>
      </c>
    </row>
    <row r="2626" spans="1:5" x14ac:dyDescent="0.2">
      <c r="A2626" s="42">
        <v>42826</v>
      </c>
      <c r="B2626" s="43">
        <f>VLOOKUP(A2626,Database!F:H,3,)</f>
        <v>237000</v>
      </c>
      <c r="C2626" s="43">
        <f t="shared" si="80"/>
        <v>-19000</v>
      </c>
      <c r="D2626" s="43">
        <f>VLOOKUP(A2626,Database!F:H,2,)</f>
        <v>1982000</v>
      </c>
      <c r="E2626" s="43">
        <f t="shared" si="81"/>
        <v>-29000</v>
      </c>
    </row>
    <row r="2627" spans="1:5" x14ac:dyDescent="0.2">
      <c r="A2627" s="42">
        <v>42833</v>
      </c>
      <c r="B2627" s="43">
        <f>VLOOKUP(A2627,Database!F:H,3,)</f>
        <v>238000</v>
      </c>
      <c r="C2627" s="43">
        <f t="shared" si="80"/>
        <v>1000</v>
      </c>
      <c r="D2627" s="43">
        <f>VLOOKUP(A2627,Database!F:H,2,)</f>
        <v>1970000</v>
      </c>
      <c r="E2627" s="43">
        <f t="shared" si="81"/>
        <v>-12000</v>
      </c>
    </row>
    <row r="2628" spans="1:5" x14ac:dyDescent="0.2">
      <c r="A2628" s="42">
        <v>42840</v>
      </c>
      <c r="B2628" s="43">
        <f>VLOOKUP(A2628,Database!F:H,3,)</f>
        <v>242000</v>
      </c>
      <c r="C2628" s="43">
        <f t="shared" si="80"/>
        <v>4000</v>
      </c>
      <c r="D2628" s="43">
        <f>VLOOKUP(A2628,Database!F:H,2,)</f>
        <v>1973000</v>
      </c>
      <c r="E2628" s="43">
        <f t="shared" si="81"/>
        <v>3000</v>
      </c>
    </row>
    <row r="2629" spans="1:5" x14ac:dyDescent="0.2">
      <c r="A2629" s="42">
        <v>42847</v>
      </c>
      <c r="B2629" s="43">
        <f>VLOOKUP(A2629,Database!F:H,3,)</f>
        <v>252000</v>
      </c>
      <c r="C2629" s="43">
        <f t="shared" si="80"/>
        <v>10000</v>
      </c>
      <c r="D2629" s="43">
        <f>VLOOKUP(A2629,Database!F:H,2,)</f>
        <v>1984000</v>
      </c>
      <c r="E2629" s="43">
        <f t="shared" si="81"/>
        <v>11000</v>
      </c>
    </row>
    <row r="2630" spans="1:5" x14ac:dyDescent="0.2">
      <c r="A2630" s="42">
        <v>42854</v>
      </c>
      <c r="B2630" s="43">
        <f>VLOOKUP(A2630,Database!F:H,3,)</f>
        <v>241000</v>
      </c>
      <c r="C2630" s="43">
        <f t="shared" si="80"/>
        <v>-11000</v>
      </c>
      <c r="D2630" s="43">
        <f>VLOOKUP(A2630,Database!F:H,2,)</f>
        <v>1925000</v>
      </c>
      <c r="E2630" s="43">
        <f t="shared" si="81"/>
        <v>-59000</v>
      </c>
    </row>
    <row r="2631" spans="1:5" x14ac:dyDescent="0.2">
      <c r="A2631" s="42">
        <v>42861</v>
      </c>
      <c r="B2631" s="43">
        <f>VLOOKUP(A2631,Database!F:H,3,)</f>
        <v>237000</v>
      </c>
      <c r="C2631" s="43">
        <f t="shared" si="80"/>
        <v>-4000</v>
      </c>
      <c r="D2631" s="43">
        <f>VLOOKUP(A2631,Database!F:H,2,)</f>
        <v>1935000</v>
      </c>
      <c r="E2631" s="43">
        <f t="shared" si="81"/>
        <v>10000</v>
      </c>
    </row>
    <row r="2632" spans="1:5" x14ac:dyDescent="0.2">
      <c r="A2632" s="42">
        <v>42868</v>
      </c>
      <c r="B2632" s="43">
        <f>VLOOKUP(A2632,Database!F:H,3,)</f>
        <v>237000</v>
      </c>
      <c r="C2632" s="43">
        <f t="shared" ref="C2632:C2695" si="82">B2632-B2631</f>
        <v>0</v>
      </c>
      <c r="D2632" s="43">
        <f>VLOOKUP(A2632,Database!F:H,2,)</f>
        <v>1935000</v>
      </c>
      <c r="E2632" s="43">
        <f t="shared" ref="E2632:E2695" si="83">D2632-D2631</f>
        <v>0</v>
      </c>
    </row>
    <row r="2633" spans="1:5" x14ac:dyDescent="0.2">
      <c r="A2633" s="42">
        <v>42875</v>
      </c>
      <c r="B2633" s="43">
        <f>VLOOKUP(A2633,Database!F:H,3,)</f>
        <v>234000</v>
      </c>
      <c r="C2633" s="43">
        <f t="shared" si="82"/>
        <v>-3000</v>
      </c>
      <c r="D2633" s="43">
        <f>VLOOKUP(A2633,Database!F:H,2,)</f>
        <v>1944000</v>
      </c>
      <c r="E2633" s="43">
        <f t="shared" si="83"/>
        <v>9000</v>
      </c>
    </row>
    <row r="2634" spans="1:5" x14ac:dyDescent="0.2">
      <c r="A2634" s="42">
        <v>42882</v>
      </c>
      <c r="B2634" s="43">
        <f>VLOOKUP(A2634,Database!F:H,3,)</f>
        <v>251000</v>
      </c>
      <c r="C2634" s="43">
        <f t="shared" si="82"/>
        <v>17000</v>
      </c>
      <c r="D2634" s="43">
        <f>VLOOKUP(A2634,Database!F:H,2,)</f>
        <v>1935000</v>
      </c>
      <c r="E2634" s="43">
        <f t="shared" si="83"/>
        <v>-9000</v>
      </c>
    </row>
    <row r="2635" spans="1:5" x14ac:dyDescent="0.2">
      <c r="A2635" s="42">
        <v>42889</v>
      </c>
      <c r="B2635" s="43">
        <f>VLOOKUP(A2635,Database!F:H,3,)</f>
        <v>244000</v>
      </c>
      <c r="C2635" s="43">
        <f t="shared" si="82"/>
        <v>-7000</v>
      </c>
      <c r="D2635" s="43">
        <f>VLOOKUP(A2635,Database!F:H,2,)</f>
        <v>1955000</v>
      </c>
      <c r="E2635" s="43">
        <f t="shared" si="83"/>
        <v>20000</v>
      </c>
    </row>
    <row r="2636" spans="1:5" x14ac:dyDescent="0.2">
      <c r="A2636" s="42">
        <v>42896</v>
      </c>
      <c r="B2636" s="43">
        <f>VLOOKUP(A2636,Database!F:H,3,)</f>
        <v>237000</v>
      </c>
      <c r="C2636" s="43">
        <f t="shared" si="82"/>
        <v>-7000</v>
      </c>
      <c r="D2636" s="43">
        <f>VLOOKUP(A2636,Database!F:H,2,)</f>
        <v>1953000</v>
      </c>
      <c r="E2636" s="43">
        <f t="shared" si="83"/>
        <v>-2000</v>
      </c>
    </row>
    <row r="2637" spans="1:5" x14ac:dyDescent="0.2">
      <c r="A2637" s="42">
        <v>42903</v>
      </c>
      <c r="B2637" s="43">
        <f>VLOOKUP(A2637,Database!F:H,3,)</f>
        <v>243000</v>
      </c>
      <c r="C2637" s="43">
        <f t="shared" si="82"/>
        <v>6000</v>
      </c>
      <c r="D2637" s="43">
        <f>VLOOKUP(A2637,Database!F:H,2,)</f>
        <v>1956000</v>
      </c>
      <c r="E2637" s="43">
        <f t="shared" si="83"/>
        <v>3000</v>
      </c>
    </row>
    <row r="2638" spans="1:5" x14ac:dyDescent="0.2">
      <c r="A2638" s="42">
        <v>42910</v>
      </c>
      <c r="B2638" s="43">
        <f>VLOOKUP(A2638,Database!F:H,3,)</f>
        <v>237000</v>
      </c>
      <c r="C2638" s="43">
        <f t="shared" si="82"/>
        <v>-6000</v>
      </c>
      <c r="D2638" s="43">
        <f>VLOOKUP(A2638,Database!F:H,2,)</f>
        <v>1966000</v>
      </c>
      <c r="E2638" s="43">
        <f t="shared" si="83"/>
        <v>10000</v>
      </c>
    </row>
    <row r="2639" spans="1:5" x14ac:dyDescent="0.2">
      <c r="A2639" s="42">
        <v>42917</v>
      </c>
      <c r="B2639" s="43">
        <f>VLOOKUP(A2639,Database!F:H,3,)</f>
        <v>247000</v>
      </c>
      <c r="C2639" s="43">
        <f t="shared" si="82"/>
        <v>10000</v>
      </c>
      <c r="D2639" s="43">
        <f>VLOOKUP(A2639,Database!F:H,2,)</f>
        <v>1941000</v>
      </c>
      <c r="E2639" s="43">
        <f t="shared" si="83"/>
        <v>-25000</v>
      </c>
    </row>
    <row r="2640" spans="1:5" x14ac:dyDescent="0.2">
      <c r="A2640" s="42">
        <v>42924</v>
      </c>
      <c r="B2640" s="43">
        <f>VLOOKUP(A2640,Database!F:H,3,)</f>
        <v>243000</v>
      </c>
      <c r="C2640" s="43">
        <f t="shared" si="82"/>
        <v>-4000</v>
      </c>
      <c r="D2640" s="43">
        <f>VLOOKUP(A2640,Database!F:H,2,)</f>
        <v>1965000</v>
      </c>
      <c r="E2640" s="43">
        <f t="shared" si="83"/>
        <v>24000</v>
      </c>
    </row>
    <row r="2641" spans="1:5" x14ac:dyDescent="0.2">
      <c r="A2641" s="42">
        <v>42931</v>
      </c>
      <c r="B2641" s="43">
        <f>VLOOKUP(A2641,Database!F:H,3,)</f>
        <v>241000</v>
      </c>
      <c r="C2641" s="43">
        <f t="shared" si="82"/>
        <v>-2000</v>
      </c>
      <c r="D2641" s="43">
        <f>VLOOKUP(A2641,Database!F:H,2,)</f>
        <v>1964000</v>
      </c>
      <c r="E2641" s="43">
        <f t="shared" si="83"/>
        <v>-1000</v>
      </c>
    </row>
    <row r="2642" spans="1:5" x14ac:dyDescent="0.2">
      <c r="A2642" s="42">
        <v>42938</v>
      </c>
      <c r="B2642" s="43">
        <f>VLOOKUP(A2642,Database!F:H,3,)</f>
        <v>245000</v>
      </c>
      <c r="C2642" s="43">
        <f t="shared" si="82"/>
        <v>4000</v>
      </c>
      <c r="D2642" s="43">
        <f>VLOOKUP(A2642,Database!F:H,2,)</f>
        <v>1961000</v>
      </c>
      <c r="E2642" s="43">
        <f t="shared" si="83"/>
        <v>-3000</v>
      </c>
    </row>
    <row r="2643" spans="1:5" x14ac:dyDescent="0.2">
      <c r="A2643" s="42">
        <v>42945</v>
      </c>
      <c r="B2643" s="43">
        <f>VLOOKUP(A2643,Database!F:H,3,)</f>
        <v>242000</v>
      </c>
      <c r="C2643" s="43">
        <f t="shared" si="82"/>
        <v>-3000</v>
      </c>
      <c r="D2643" s="43">
        <f>VLOOKUP(A2643,Database!F:H,2,)</f>
        <v>1946000</v>
      </c>
      <c r="E2643" s="43">
        <f t="shared" si="83"/>
        <v>-15000</v>
      </c>
    </row>
    <row r="2644" spans="1:5" x14ac:dyDescent="0.2">
      <c r="A2644" s="42">
        <v>42952</v>
      </c>
      <c r="B2644" s="43">
        <f>VLOOKUP(A2644,Database!F:H,3,)</f>
        <v>245000</v>
      </c>
      <c r="C2644" s="43">
        <f t="shared" si="82"/>
        <v>3000</v>
      </c>
      <c r="D2644" s="43">
        <f>VLOOKUP(A2644,Database!F:H,2,)</f>
        <v>1948000</v>
      </c>
      <c r="E2644" s="43">
        <f t="shared" si="83"/>
        <v>2000</v>
      </c>
    </row>
    <row r="2645" spans="1:5" x14ac:dyDescent="0.2">
      <c r="A2645" s="42">
        <v>42959</v>
      </c>
      <c r="B2645" s="43">
        <f>VLOOKUP(A2645,Database!F:H,3,)</f>
        <v>236000</v>
      </c>
      <c r="C2645" s="43">
        <f t="shared" si="82"/>
        <v>-9000</v>
      </c>
      <c r="D2645" s="43">
        <f>VLOOKUP(A2645,Database!F:H,2,)</f>
        <v>1952000</v>
      </c>
      <c r="E2645" s="43">
        <f t="shared" si="83"/>
        <v>4000</v>
      </c>
    </row>
    <row r="2646" spans="1:5" x14ac:dyDescent="0.2">
      <c r="A2646" s="42">
        <v>42966</v>
      </c>
      <c r="B2646" s="43">
        <f>VLOOKUP(A2646,Database!F:H,3,)</f>
        <v>240000</v>
      </c>
      <c r="C2646" s="43">
        <f t="shared" si="82"/>
        <v>4000</v>
      </c>
      <c r="D2646" s="43">
        <f>VLOOKUP(A2646,Database!F:H,2,)</f>
        <v>1949000</v>
      </c>
      <c r="E2646" s="43">
        <f t="shared" si="83"/>
        <v>-3000</v>
      </c>
    </row>
    <row r="2647" spans="1:5" x14ac:dyDescent="0.2">
      <c r="A2647" s="42">
        <v>42973</v>
      </c>
      <c r="B2647" s="43">
        <f>VLOOKUP(A2647,Database!F:H,3,)</f>
        <v>238000</v>
      </c>
      <c r="C2647" s="43">
        <f t="shared" si="82"/>
        <v>-2000</v>
      </c>
      <c r="D2647" s="43">
        <f>VLOOKUP(A2647,Database!F:H,2,)</f>
        <v>1951000</v>
      </c>
      <c r="E2647" s="43">
        <f t="shared" si="83"/>
        <v>2000</v>
      </c>
    </row>
    <row r="2648" spans="1:5" x14ac:dyDescent="0.2">
      <c r="A2648" s="42">
        <v>42980</v>
      </c>
      <c r="B2648" s="43">
        <f>VLOOKUP(A2648,Database!F:H,3,)</f>
        <v>298000</v>
      </c>
      <c r="C2648" s="43">
        <f t="shared" si="82"/>
        <v>60000</v>
      </c>
      <c r="D2648" s="43">
        <f>VLOOKUP(A2648,Database!F:H,2,)</f>
        <v>1951000</v>
      </c>
      <c r="E2648" s="43">
        <f t="shared" si="83"/>
        <v>0</v>
      </c>
    </row>
    <row r="2649" spans="1:5" x14ac:dyDescent="0.2">
      <c r="A2649" s="42">
        <v>42987</v>
      </c>
      <c r="B2649" s="43">
        <f>VLOOKUP(A2649,Database!F:H,3,)</f>
        <v>274000</v>
      </c>
      <c r="C2649" s="43">
        <f t="shared" si="82"/>
        <v>-24000</v>
      </c>
      <c r="D2649" s="43">
        <f>VLOOKUP(A2649,Database!F:H,2,)</f>
        <v>1990000</v>
      </c>
      <c r="E2649" s="43">
        <f t="shared" si="83"/>
        <v>39000</v>
      </c>
    </row>
    <row r="2650" spans="1:5" x14ac:dyDescent="0.2">
      <c r="A2650" s="42">
        <v>42994</v>
      </c>
      <c r="B2650" s="43">
        <f>VLOOKUP(A2650,Database!F:H,3,)</f>
        <v>259000</v>
      </c>
      <c r="C2650" s="43">
        <f t="shared" si="82"/>
        <v>-15000</v>
      </c>
      <c r="D2650" s="43">
        <f>VLOOKUP(A2650,Database!F:H,2,)</f>
        <v>1941000</v>
      </c>
      <c r="E2650" s="43">
        <f t="shared" si="83"/>
        <v>-49000</v>
      </c>
    </row>
    <row r="2651" spans="1:5" x14ac:dyDescent="0.2">
      <c r="A2651" s="42">
        <v>43001</v>
      </c>
      <c r="B2651" s="43">
        <f>VLOOKUP(A2651,Database!F:H,3,)</f>
        <v>262000</v>
      </c>
      <c r="C2651" s="43">
        <f t="shared" si="82"/>
        <v>3000</v>
      </c>
      <c r="D2651" s="43">
        <f>VLOOKUP(A2651,Database!F:H,2,)</f>
        <v>1932000</v>
      </c>
      <c r="E2651" s="43">
        <f t="shared" si="83"/>
        <v>-9000</v>
      </c>
    </row>
    <row r="2652" spans="1:5" x14ac:dyDescent="0.2">
      <c r="A2652" s="42">
        <v>43008</v>
      </c>
      <c r="B2652" s="43">
        <f>VLOOKUP(A2652,Database!F:H,3,)</f>
        <v>254000</v>
      </c>
      <c r="C2652" s="43">
        <f t="shared" si="82"/>
        <v>-8000</v>
      </c>
      <c r="D2652" s="43">
        <f>VLOOKUP(A2652,Database!F:H,2,)</f>
        <v>1928000</v>
      </c>
      <c r="E2652" s="43">
        <f t="shared" si="83"/>
        <v>-4000</v>
      </c>
    </row>
    <row r="2653" spans="1:5" x14ac:dyDescent="0.2">
      <c r="A2653" s="42">
        <v>43015</v>
      </c>
      <c r="B2653" s="43">
        <f>VLOOKUP(A2653,Database!F:H,3,)</f>
        <v>245000</v>
      </c>
      <c r="C2653" s="43">
        <f t="shared" si="82"/>
        <v>-9000</v>
      </c>
      <c r="D2653" s="43">
        <f>VLOOKUP(A2653,Database!F:H,2,)</f>
        <v>1922000</v>
      </c>
      <c r="E2653" s="43">
        <f t="shared" si="83"/>
        <v>-6000</v>
      </c>
    </row>
    <row r="2654" spans="1:5" x14ac:dyDescent="0.2">
      <c r="A2654" s="42">
        <v>43022</v>
      </c>
      <c r="B2654" s="43">
        <f>VLOOKUP(A2654,Database!F:H,3,)</f>
        <v>230000</v>
      </c>
      <c r="C2654" s="43">
        <f t="shared" si="82"/>
        <v>-15000</v>
      </c>
      <c r="D2654" s="43">
        <f>VLOOKUP(A2654,Database!F:H,2,)</f>
        <v>1923000</v>
      </c>
      <c r="E2654" s="43">
        <f t="shared" si="83"/>
        <v>1000</v>
      </c>
    </row>
    <row r="2655" spans="1:5" x14ac:dyDescent="0.2">
      <c r="A2655" s="42">
        <v>43029</v>
      </c>
      <c r="B2655" s="43">
        <f>VLOOKUP(A2655,Database!F:H,3,)</f>
        <v>235000</v>
      </c>
      <c r="C2655" s="43">
        <f t="shared" si="82"/>
        <v>5000</v>
      </c>
      <c r="D2655" s="43">
        <f>VLOOKUP(A2655,Database!F:H,2,)</f>
        <v>1917000</v>
      </c>
      <c r="E2655" s="43">
        <f t="shared" si="83"/>
        <v>-6000</v>
      </c>
    </row>
    <row r="2656" spans="1:5" x14ac:dyDescent="0.2">
      <c r="A2656" s="42">
        <v>43036</v>
      </c>
      <c r="B2656" s="43">
        <f>VLOOKUP(A2656,Database!F:H,3,)</f>
        <v>235000</v>
      </c>
      <c r="C2656" s="43">
        <f t="shared" si="82"/>
        <v>0</v>
      </c>
      <c r="D2656" s="43">
        <f>VLOOKUP(A2656,Database!F:H,2,)</f>
        <v>1927000</v>
      </c>
      <c r="E2656" s="43">
        <f t="shared" si="83"/>
        <v>10000</v>
      </c>
    </row>
    <row r="2657" spans="1:5" x14ac:dyDescent="0.2">
      <c r="A2657" s="42">
        <v>43043</v>
      </c>
      <c r="B2657" s="43">
        <f>VLOOKUP(A2657,Database!F:H,3,)</f>
        <v>239000</v>
      </c>
      <c r="C2657" s="43">
        <f t="shared" si="82"/>
        <v>4000</v>
      </c>
      <c r="D2657" s="43">
        <f>VLOOKUP(A2657,Database!F:H,2,)</f>
        <v>1926000</v>
      </c>
      <c r="E2657" s="43">
        <f t="shared" si="83"/>
        <v>-1000</v>
      </c>
    </row>
    <row r="2658" spans="1:5" x14ac:dyDescent="0.2">
      <c r="A2658" s="42">
        <v>43050</v>
      </c>
      <c r="B2658" s="43">
        <f>VLOOKUP(A2658,Database!F:H,3,)</f>
        <v>247000</v>
      </c>
      <c r="C2658" s="43">
        <f t="shared" si="82"/>
        <v>8000</v>
      </c>
      <c r="D2658" s="43">
        <f>VLOOKUP(A2658,Database!F:H,2,)</f>
        <v>1914000</v>
      </c>
      <c r="E2658" s="43">
        <f t="shared" si="83"/>
        <v>-12000</v>
      </c>
    </row>
    <row r="2659" spans="1:5" x14ac:dyDescent="0.2">
      <c r="A2659" s="42">
        <v>43057</v>
      </c>
      <c r="B2659" s="43">
        <f>VLOOKUP(A2659,Database!F:H,3,)</f>
        <v>235000</v>
      </c>
      <c r="C2659" s="43">
        <f t="shared" si="82"/>
        <v>-12000</v>
      </c>
      <c r="D2659" s="43">
        <f>VLOOKUP(A2659,Database!F:H,2,)</f>
        <v>1922000</v>
      </c>
      <c r="E2659" s="43">
        <f t="shared" si="83"/>
        <v>8000</v>
      </c>
    </row>
    <row r="2660" spans="1:5" x14ac:dyDescent="0.2">
      <c r="A2660" s="42">
        <v>43064</v>
      </c>
      <c r="B2660" s="43">
        <f>VLOOKUP(A2660,Database!F:H,3,)</f>
        <v>233000</v>
      </c>
      <c r="C2660" s="43">
        <f t="shared" si="82"/>
        <v>-2000</v>
      </c>
      <c r="D2660" s="43">
        <f>VLOOKUP(A2660,Database!F:H,2,)</f>
        <v>1940000</v>
      </c>
      <c r="E2660" s="43">
        <f t="shared" si="83"/>
        <v>18000</v>
      </c>
    </row>
    <row r="2661" spans="1:5" x14ac:dyDescent="0.2">
      <c r="A2661" s="42">
        <v>43071</v>
      </c>
      <c r="B2661" s="43">
        <f>VLOOKUP(A2661,Database!F:H,3,)</f>
        <v>230000</v>
      </c>
      <c r="C2661" s="43">
        <f t="shared" si="82"/>
        <v>-3000</v>
      </c>
      <c r="D2661" s="43">
        <f>VLOOKUP(A2661,Database!F:H,2,)</f>
        <v>1892000</v>
      </c>
      <c r="E2661" s="43">
        <f t="shared" si="83"/>
        <v>-48000</v>
      </c>
    </row>
    <row r="2662" spans="1:5" x14ac:dyDescent="0.2">
      <c r="A2662" s="42">
        <v>43078</v>
      </c>
      <c r="B2662" s="43">
        <f>VLOOKUP(A2662,Database!F:H,3,)</f>
        <v>226000</v>
      </c>
      <c r="C2662" s="43">
        <f t="shared" si="82"/>
        <v>-4000</v>
      </c>
      <c r="D2662" s="43">
        <f>VLOOKUP(A2662,Database!F:H,2,)</f>
        <v>1926000</v>
      </c>
      <c r="E2662" s="43">
        <f t="shared" si="83"/>
        <v>34000</v>
      </c>
    </row>
    <row r="2663" spans="1:5" x14ac:dyDescent="0.2">
      <c r="A2663" s="42">
        <v>43085</v>
      </c>
      <c r="B2663" s="43">
        <f>VLOOKUP(A2663,Database!F:H,3,)</f>
        <v>239000</v>
      </c>
      <c r="C2663" s="43">
        <f t="shared" si="82"/>
        <v>13000</v>
      </c>
      <c r="D2663" s="43">
        <f>VLOOKUP(A2663,Database!F:H,2,)</f>
        <v>1928000</v>
      </c>
      <c r="E2663" s="43">
        <f t="shared" si="83"/>
        <v>2000</v>
      </c>
    </row>
    <row r="2664" spans="1:5" x14ac:dyDescent="0.2">
      <c r="A2664" s="42">
        <v>43092</v>
      </c>
      <c r="B2664" s="43">
        <f>VLOOKUP(A2664,Database!F:H,3,)</f>
        <v>243000</v>
      </c>
      <c r="C2664" s="43">
        <f t="shared" si="82"/>
        <v>4000</v>
      </c>
      <c r="D2664" s="43">
        <f>VLOOKUP(A2664,Database!F:H,2,)</f>
        <v>1908000</v>
      </c>
      <c r="E2664" s="43">
        <f t="shared" si="83"/>
        <v>-20000</v>
      </c>
    </row>
    <row r="2665" spans="1:5" x14ac:dyDescent="0.2">
      <c r="A2665" s="42">
        <v>43099</v>
      </c>
      <c r="B2665" s="43">
        <f>VLOOKUP(A2665,Database!F:H,3,)</f>
        <v>241000</v>
      </c>
      <c r="C2665" s="43">
        <f t="shared" si="82"/>
        <v>-2000</v>
      </c>
      <c r="D2665" s="43">
        <f>VLOOKUP(A2665,Database!F:H,2,)</f>
        <v>1862000</v>
      </c>
      <c r="E2665" s="43">
        <f t="shared" si="83"/>
        <v>-46000</v>
      </c>
    </row>
    <row r="2666" spans="1:5" x14ac:dyDescent="0.2">
      <c r="A2666" s="42">
        <v>43106</v>
      </c>
      <c r="B2666" s="43">
        <f>VLOOKUP(A2666,Database!F:H,3,)</f>
        <v>249000</v>
      </c>
      <c r="C2666" s="43">
        <f t="shared" si="82"/>
        <v>8000</v>
      </c>
      <c r="D2666" s="43">
        <f>VLOOKUP(A2666,Database!F:H,2,)</f>
        <v>1919000</v>
      </c>
      <c r="E2666" s="43">
        <f t="shared" si="83"/>
        <v>57000</v>
      </c>
    </row>
    <row r="2667" spans="1:5" x14ac:dyDescent="0.2">
      <c r="A2667" s="42">
        <v>43113</v>
      </c>
      <c r="B2667" s="43">
        <f>VLOOKUP(A2667,Database!F:H,3,)</f>
        <v>228000</v>
      </c>
      <c r="C2667" s="43">
        <f t="shared" si="82"/>
        <v>-21000</v>
      </c>
      <c r="D2667" s="43">
        <f>VLOOKUP(A2667,Database!F:H,2,)</f>
        <v>1908000</v>
      </c>
      <c r="E2667" s="43">
        <f t="shared" si="83"/>
        <v>-11000</v>
      </c>
    </row>
    <row r="2668" spans="1:5" x14ac:dyDescent="0.2">
      <c r="A2668" s="42">
        <v>43120</v>
      </c>
      <c r="B2668" s="43">
        <f>VLOOKUP(A2668,Database!F:H,3,)</f>
        <v>233000</v>
      </c>
      <c r="C2668" s="43">
        <f t="shared" si="82"/>
        <v>5000</v>
      </c>
      <c r="D2668" s="43">
        <f>VLOOKUP(A2668,Database!F:H,2,)</f>
        <v>1921000</v>
      </c>
      <c r="E2668" s="43">
        <f t="shared" si="83"/>
        <v>13000</v>
      </c>
    </row>
    <row r="2669" spans="1:5" x14ac:dyDescent="0.2">
      <c r="A2669" s="42">
        <v>43127</v>
      </c>
      <c r="B2669" s="43">
        <f>VLOOKUP(A2669,Database!F:H,3,)</f>
        <v>227000</v>
      </c>
      <c r="C2669" s="43">
        <f t="shared" si="82"/>
        <v>-6000</v>
      </c>
      <c r="D2669" s="43">
        <f>VLOOKUP(A2669,Database!F:H,2,)</f>
        <v>1899000</v>
      </c>
      <c r="E2669" s="43">
        <f t="shared" si="83"/>
        <v>-22000</v>
      </c>
    </row>
    <row r="2670" spans="1:5" x14ac:dyDescent="0.2">
      <c r="A2670" s="42">
        <v>43134</v>
      </c>
      <c r="B2670" s="43">
        <f>VLOOKUP(A2670,Database!F:H,3,)</f>
        <v>224000</v>
      </c>
      <c r="C2670" s="43">
        <f t="shared" si="82"/>
        <v>-3000</v>
      </c>
      <c r="D2670" s="43">
        <f>VLOOKUP(A2670,Database!F:H,2,)</f>
        <v>1900000</v>
      </c>
      <c r="E2670" s="43">
        <f t="shared" si="83"/>
        <v>1000</v>
      </c>
    </row>
    <row r="2671" spans="1:5" x14ac:dyDescent="0.2">
      <c r="A2671" s="42">
        <v>43141</v>
      </c>
      <c r="B2671" s="43">
        <f>VLOOKUP(A2671,Database!F:H,3,)</f>
        <v>227000</v>
      </c>
      <c r="C2671" s="43">
        <f t="shared" si="82"/>
        <v>3000</v>
      </c>
      <c r="D2671" s="43">
        <f>VLOOKUP(A2671,Database!F:H,2,)</f>
        <v>1865000</v>
      </c>
      <c r="E2671" s="43">
        <f t="shared" si="83"/>
        <v>-35000</v>
      </c>
    </row>
    <row r="2672" spans="1:5" x14ac:dyDescent="0.2">
      <c r="A2672" s="42">
        <v>43148</v>
      </c>
      <c r="B2672" s="43">
        <f>VLOOKUP(A2672,Database!F:H,3,)</f>
        <v>220000</v>
      </c>
      <c r="C2672" s="43">
        <f t="shared" si="82"/>
        <v>-7000</v>
      </c>
      <c r="D2672" s="43">
        <f>VLOOKUP(A2672,Database!F:H,2,)</f>
        <v>1879000</v>
      </c>
      <c r="E2672" s="43">
        <f t="shared" si="83"/>
        <v>14000</v>
      </c>
    </row>
    <row r="2673" spans="1:5" x14ac:dyDescent="0.2">
      <c r="A2673" s="42">
        <v>43155</v>
      </c>
      <c r="B2673" s="43">
        <f>VLOOKUP(A2673,Database!F:H,3,)</f>
        <v>215000</v>
      </c>
      <c r="C2673" s="43">
        <f t="shared" si="82"/>
        <v>-5000</v>
      </c>
      <c r="D2673" s="43">
        <f>VLOOKUP(A2673,Database!F:H,2,)</f>
        <v>1854000</v>
      </c>
      <c r="E2673" s="43">
        <f t="shared" si="83"/>
        <v>-25000</v>
      </c>
    </row>
    <row r="2674" spans="1:5" x14ac:dyDescent="0.2">
      <c r="A2674" s="42">
        <v>43162</v>
      </c>
      <c r="B2674" s="43">
        <f>VLOOKUP(A2674,Database!F:H,3,)</f>
        <v>226000</v>
      </c>
      <c r="C2674" s="43">
        <f t="shared" si="82"/>
        <v>11000</v>
      </c>
      <c r="D2674" s="43">
        <f>VLOOKUP(A2674,Database!F:H,2,)</f>
        <v>1853000</v>
      </c>
      <c r="E2674" s="43">
        <f t="shared" si="83"/>
        <v>-1000</v>
      </c>
    </row>
    <row r="2675" spans="1:5" x14ac:dyDescent="0.2">
      <c r="A2675" s="42">
        <v>43169</v>
      </c>
      <c r="B2675" s="43">
        <f>VLOOKUP(A2675,Database!F:H,3,)</f>
        <v>223000</v>
      </c>
      <c r="C2675" s="43">
        <f t="shared" si="82"/>
        <v>-3000</v>
      </c>
      <c r="D2675" s="43">
        <f>VLOOKUP(A2675,Database!F:H,2,)</f>
        <v>1833000</v>
      </c>
      <c r="E2675" s="43">
        <f t="shared" si="83"/>
        <v>-20000</v>
      </c>
    </row>
    <row r="2676" spans="1:5" x14ac:dyDescent="0.2">
      <c r="A2676" s="42">
        <v>43176</v>
      </c>
      <c r="B2676" s="43">
        <f>VLOOKUP(A2676,Database!F:H,3,)</f>
        <v>224000</v>
      </c>
      <c r="C2676" s="43">
        <f t="shared" si="82"/>
        <v>1000</v>
      </c>
      <c r="D2676" s="43">
        <f>VLOOKUP(A2676,Database!F:H,2,)</f>
        <v>1821000</v>
      </c>
      <c r="E2676" s="43">
        <f t="shared" si="83"/>
        <v>-12000</v>
      </c>
    </row>
    <row r="2677" spans="1:5" x14ac:dyDescent="0.2">
      <c r="A2677" s="42">
        <v>43183</v>
      </c>
      <c r="B2677" s="43">
        <f>VLOOKUP(A2677,Database!F:H,3,)</f>
        <v>220000</v>
      </c>
      <c r="C2677" s="43">
        <f t="shared" si="82"/>
        <v>-4000</v>
      </c>
      <c r="D2677" s="43">
        <f>VLOOKUP(A2677,Database!F:H,2,)</f>
        <v>1805000</v>
      </c>
      <c r="E2677" s="43">
        <f t="shared" si="83"/>
        <v>-16000</v>
      </c>
    </row>
    <row r="2678" spans="1:5" x14ac:dyDescent="0.2">
      <c r="A2678" s="42">
        <v>43190</v>
      </c>
      <c r="B2678" s="43">
        <f>VLOOKUP(A2678,Database!F:H,3,)</f>
        <v>235000</v>
      </c>
      <c r="C2678" s="43">
        <f t="shared" si="82"/>
        <v>15000</v>
      </c>
      <c r="D2678" s="43">
        <f>VLOOKUP(A2678,Database!F:H,2,)</f>
        <v>1835000</v>
      </c>
      <c r="E2678" s="43">
        <f t="shared" si="83"/>
        <v>30000</v>
      </c>
    </row>
    <row r="2679" spans="1:5" x14ac:dyDescent="0.2">
      <c r="A2679" s="42">
        <v>43197</v>
      </c>
      <c r="B2679" s="43">
        <f>VLOOKUP(A2679,Database!F:H,3,)</f>
        <v>235000</v>
      </c>
      <c r="C2679" s="43">
        <f t="shared" si="82"/>
        <v>0</v>
      </c>
      <c r="D2679" s="43">
        <f>VLOOKUP(A2679,Database!F:H,2,)</f>
        <v>1856000</v>
      </c>
      <c r="E2679" s="43">
        <f t="shared" si="83"/>
        <v>21000</v>
      </c>
    </row>
    <row r="2680" spans="1:5" x14ac:dyDescent="0.2">
      <c r="A2680" s="42">
        <v>43204</v>
      </c>
      <c r="B2680" s="43">
        <f>VLOOKUP(A2680,Database!F:H,3,)</f>
        <v>235000</v>
      </c>
      <c r="C2680" s="43">
        <f t="shared" si="82"/>
        <v>0</v>
      </c>
      <c r="D2680" s="43">
        <f>VLOOKUP(A2680,Database!F:H,2,)</f>
        <v>1815000</v>
      </c>
      <c r="E2680" s="43">
        <f t="shared" si="83"/>
        <v>-41000</v>
      </c>
    </row>
    <row r="2681" spans="1:5" x14ac:dyDescent="0.2">
      <c r="A2681" s="42">
        <v>43211</v>
      </c>
      <c r="B2681" s="43">
        <f>VLOOKUP(A2681,Database!F:H,3,)</f>
        <v>208000</v>
      </c>
      <c r="C2681" s="43">
        <f t="shared" si="82"/>
        <v>-27000</v>
      </c>
      <c r="D2681" s="43">
        <f>VLOOKUP(A2681,Database!F:H,2,)</f>
        <v>1769000</v>
      </c>
      <c r="E2681" s="43">
        <f t="shared" si="83"/>
        <v>-46000</v>
      </c>
    </row>
    <row r="2682" spans="1:5" x14ac:dyDescent="0.2">
      <c r="A2682" s="42">
        <v>43218</v>
      </c>
      <c r="B2682" s="43">
        <f>VLOOKUP(A2682,Database!F:H,3,)</f>
        <v>212000</v>
      </c>
      <c r="C2682" s="43">
        <f t="shared" si="82"/>
        <v>4000</v>
      </c>
      <c r="D2682" s="43">
        <f>VLOOKUP(A2682,Database!F:H,2,)</f>
        <v>1780000</v>
      </c>
      <c r="E2682" s="43">
        <f t="shared" si="83"/>
        <v>11000</v>
      </c>
    </row>
    <row r="2683" spans="1:5" x14ac:dyDescent="0.2">
      <c r="A2683" s="42">
        <v>43225</v>
      </c>
      <c r="B2683" s="43">
        <f>VLOOKUP(A2683,Database!F:H,3,)</f>
        <v>210000</v>
      </c>
      <c r="C2683" s="43">
        <f t="shared" si="82"/>
        <v>-2000</v>
      </c>
      <c r="D2683" s="43">
        <f>VLOOKUP(A2683,Database!F:H,2,)</f>
        <v>1734000</v>
      </c>
      <c r="E2683" s="43">
        <f t="shared" si="83"/>
        <v>-46000</v>
      </c>
    </row>
    <row r="2684" spans="1:5" x14ac:dyDescent="0.2">
      <c r="A2684" s="42">
        <v>43232</v>
      </c>
      <c r="B2684" s="43">
        <f>VLOOKUP(A2684,Database!F:H,3,)</f>
        <v>224000</v>
      </c>
      <c r="C2684" s="43">
        <f t="shared" si="82"/>
        <v>14000</v>
      </c>
      <c r="D2684" s="43">
        <f>VLOOKUP(A2684,Database!F:H,2,)</f>
        <v>1742000</v>
      </c>
      <c r="E2684" s="43">
        <f t="shared" si="83"/>
        <v>8000</v>
      </c>
    </row>
    <row r="2685" spans="1:5" x14ac:dyDescent="0.2">
      <c r="A2685" s="42">
        <v>43239</v>
      </c>
      <c r="B2685" s="43">
        <f>VLOOKUP(A2685,Database!F:H,3,)</f>
        <v>230000</v>
      </c>
      <c r="C2685" s="43">
        <f t="shared" si="82"/>
        <v>6000</v>
      </c>
      <c r="D2685" s="43">
        <f>VLOOKUP(A2685,Database!F:H,2,)</f>
        <v>1739000</v>
      </c>
      <c r="E2685" s="43">
        <f t="shared" si="83"/>
        <v>-3000</v>
      </c>
    </row>
    <row r="2686" spans="1:5" x14ac:dyDescent="0.2">
      <c r="A2686" s="42">
        <v>43246</v>
      </c>
      <c r="B2686" s="43">
        <f>VLOOKUP(A2686,Database!F:H,3,)</f>
        <v>221000</v>
      </c>
      <c r="C2686" s="43">
        <f t="shared" si="82"/>
        <v>-9000</v>
      </c>
      <c r="D2686" s="43">
        <f>VLOOKUP(A2686,Database!F:H,2,)</f>
        <v>1742000</v>
      </c>
      <c r="E2686" s="43">
        <f t="shared" si="83"/>
        <v>3000</v>
      </c>
    </row>
    <row r="2687" spans="1:5" x14ac:dyDescent="0.2">
      <c r="A2687" s="42">
        <v>43253</v>
      </c>
      <c r="B2687" s="43">
        <f>VLOOKUP(A2687,Database!F:H,3,)</f>
        <v>221000</v>
      </c>
      <c r="C2687" s="43">
        <f t="shared" si="82"/>
        <v>0</v>
      </c>
      <c r="D2687" s="43">
        <f>VLOOKUP(A2687,Database!F:H,2,)</f>
        <v>1714000</v>
      </c>
      <c r="E2687" s="43">
        <f t="shared" si="83"/>
        <v>-28000</v>
      </c>
    </row>
    <row r="2688" spans="1:5" x14ac:dyDescent="0.2">
      <c r="A2688" s="42">
        <v>43260</v>
      </c>
      <c r="B2688" s="43">
        <f>VLOOKUP(A2688,Database!F:H,3,)</f>
        <v>218000</v>
      </c>
      <c r="C2688" s="43">
        <f t="shared" si="82"/>
        <v>-3000</v>
      </c>
      <c r="D2688" s="43">
        <f>VLOOKUP(A2688,Database!F:H,2,)</f>
        <v>1736000</v>
      </c>
      <c r="E2688" s="43">
        <f t="shared" si="83"/>
        <v>22000</v>
      </c>
    </row>
    <row r="2689" spans="1:5" x14ac:dyDescent="0.2">
      <c r="A2689" s="42">
        <v>43267</v>
      </c>
      <c r="B2689" s="43">
        <f>VLOOKUP(A2689,Database!F:H,3,)</f>
        <v>220000</v>
      </c>
      <c r="C2689" s="43">
        <f t="shared" si="82"/>
        <v>2000</v>
      </c>
      <c r="D2689" s="43">
        <f>VLOOKUP(A2689,Database!F:H,2,)</f>
        <v>1716000</v>
      </c>
      <c r="E2689" s="43">
        <f t="shared" si="83"/>
        <v>-20000</v>
      </c>
    </row>
    <row r="2690" spans="1:5" x14ac:dyDescent="0.2">
      <c r="A2690" s="42">
        <v>43274</v>
      </c>
      <c r="B2690" s="43">
        <f>VLOOKUP(A2690,Database!F:H,3,)</f>
        <v>220000</v>
      </c>
      <c r="C2690" s="43">
        <f t="shared" si="82"/>
        <v>0</v>
      </c>
      <c r="D2690" s="43">
        <f>VLOOKUP(A2690,Database!F:H,2,)</f>
        <v>1740000</v>
      </c>
      <c r="E2690" s="43">
        <f t="shared" si="83"/>
        <v>24000</v>
      </c>
    </row>
    <row r="2691" spans="1:5" x14ac:dyDescent="0.2">
      <c r="A2691" s="42">
        <v>43281</v>
      </c>
      <c r="B2691" s="43">
        <f>VLOOKUP(A2691,Database!F:H,3,)</f>
        <v>229000</v>
      </c>
      <c r="C2691" s="43">
        <f t="shared" si="82"/>
        <v>9000</v>
      </c>
      <c r="D2691" s="43">
        <f>VLOOKUP(A2691,Database!F:H,2,)</f>
        <v>1734000</v>
      </c>
      <c r="E2691" s="43">
        <f t="shared" si="83"/>
        <v>-6000</v>
      </c>
    </row>
    <row r="2692" spans="1:5" x14ac:dyDescent="0.2">
      <c r="A2692" s="42">
        <v>43288</v>
      </c>
      <c r="B2692" s="43">
        <f>VLOOKUP(A2692,Database!F:H,3,)</f>
        <v>229000</v>
      </c>
      <c r="C2692" s="43">
        <f t="shared" si="82"/>
        <v>0</v>
      </c>
      <c r="D2692" s="43">
        <f>VLOOKUP(A2692,Database!F:H,2,)</f>
        <v>1750000</v>
      </c>
      <c r="E2692" s="43">
        <f t="shared" si="83"/>
        <v>16000</v>
      </c>
    </row>
    <row r="2693" spans="1:5" x14ac:dyDescent="0.2">
      <c r="A2693" s="42">
        <v>43295</v>
      </c>
      <c r="B2693" s="43">
        <f>VLOOKUP(A2693,Database!F:H,3,)</f>
        <v>212000</v>
      </c>
      <c r="C2693" s="43">
        <f t="shared" si="82"/>
        <v>-17000</v>
      </c>
      <c r="D2693" s="43">
        <f>VLOOKUP(A2693,Database!F:H,2,)</f>
        <v>1747000</v>
      </c>
      <c r="E2693" s="43">
        <f t="shared" si="83"/>
        <v>-3000</v>
      </c>
    </row>
    <row r="2694" spans="1:5" x14ac:dyDescent="0.2">
      <c r="A2694" s="42">
        <v>43302</v>
      </c>
      <c r="B2694" s="43">
        <f>VLOOKUP(A2694,Database!F:H,3,)</f>
        <v>220000</v>
      </c>
      <c r="C2694" s="43">
        <f t="shared" si="82"/>
        <v>8000</v>
      </c>
      <c r="D2694" s="43">
        <f>VLOOKUP(A2694,Database!F:H,2,)</f>
        <v>1726000</v>
      </c>
      <c r="E2694" s="43">
        <f t="shared" si="83"/>
        <v>-21000</v>
      </c>
    </row>
    <row r="2695" spans="1:5" x14ac:dyDescent="0.2">
      <c r="A2695" s="42">
        <v>43309</v>
      </c>
      <c r="B2695" s="43">
        <f>VLOOKUP(A2695,Database!F:H,3,)</f>
        <v>218000</v>
      </c>
      <c r="C2695" s="43">
        <f t="shared" si="82"/>
        <v>-2000</v>
      </c>
      <c r="D2695" s="43">
        <f>VLOOKUP(A2695,Database!F:H,2,)</f>
        <v>1753000</v>
      </c>
      <c r="E2695" s="43">
        <f t="shared" si="83"/>
        <v>27000</v>
      </c>
    </row>
    <row r="2696" spans="1:5" x14ac:dyDescent="0.2">
      <c r="A2696" s="42">
        <v>43316</v>
      </c>
      <c r="B2696" s="43">
        <f>VLOOKUP(A2696,Database!F:H,3,)</f>
        <v>217000</v>
      </c>
      <c r="C2696" s="43">
        <f t="shared" ref="C2696:C2744" si="84">B2696-B2695</f>
        <v>-1000</v>
      </c>
      <c r="D2696" s="43">
        <f>VLOOKUP(A2696,Database!F:H,2,)</f>
        <v>1722000</v>
      </c>
      <c r="E2696" s="43">
        <f t="shared" ref="E2696:E2744" si="85">D2696-D2695</f>
        <v>-31000</v>
      </c>
    </row>
    <row r="2697" spans="1:5" x14ac:dyDescent="0.2">
      <c r="A2697" s="42">
        <v>43323</v>
      </c>
      <c r="B2697" s="43">
        <f>VLOOKUP(A2697,Database!F:H,3,)</f>
        <v>212000</v>
      </c>
      <c r="C2697" s="43">
        <f t="shared" si="84"/>
        <v>-5000</v>
      </c>
      <c r="D2697" s="43">
        <f>VLOOKUP(A2697,Database!F:H,2,)</f>
        <v>1729000</v>
      </c>
      <c r="E2697" s="43">
        <f t="shared" si="85"/>
        <v>7000</v>
      </c>
    </row>
    <row r="2698" spans="1:5" x14ac:dyDescent="0.2">
      <c r="A2698" s="42">
        <v>43330</v>
      </c>
      <c r="B2698" s="43">
        <f>VLOOKUP(A2698,Database!F:H,3,)</f>
        <v>215000</v>
      </c>
      <c r="C2698" s="43">
        <f t="shared" si="84"/>
        <v>3000</v>
      </c>
      <c r="D2698" s="43">
        <f>VLOOKUP(A2698,Database!F:H,2,)</f>
        <v>1713000</v>
      </c>
      <c r="E2698" s="43">
        <f t="shared" si="85"/>
        <v>-16000</v>
      </c>
    </row>
    <row r="2699" spans="1:5" x14ac:dyDescent="0.2">
      <c r="A2699" s="42">
        <v>43337</v>
      </c>
      <c r="B2699" s="43">
        <f>VLOOKUP(A2699,Database!F:H,3,)</f>
        <v>214000</v>
      </c>
      <c r="C2699" s="43">
        <f t="shared" si="84"/>
        <v>-1000</v>
      </c>
      <c r="D2699" s="43">
        <f>VLOOKUP(A2699,Database!F:H,2,)</f>
        <v>1717000</v>
      </c>
      <c r="E2699" s="43">
        <f t="shared" si="85"/>
        <v>4000</v>
      </c>
    </row>
    <row r="2700" spans="1:5" x14ac:dyDescent="0.2">
      <c r="A2700" s="42">
        <v>43344</v>
      </c>
      <c r="B2700" s="43">
        <f>VLOOKUP(A2700,Database!F:H,3,)</f>
        <v>209000</v>
      </c>
      <c r="C2700" s="43">
        <f t="shared" si="84"/>
        <v>-5000</v>
      </c>
      <c r="D2700" s="43">
        <f>VLOOKUP(A2700,Database!F:H,2,)</f>
        <v>1710000</v>
      </c>
      <c r="E2700" s="43">
        <f t="shared" si="85"/>
        <v>-7000</v>
      </c>
    </row>
    <row r="2701" spans="1:5" x14ac:dyDescent="0.2">
      <c r="A2701" s="42">
        <v>43351</v>
      </c>
      <c r="B2701" s="43">
        <f>VLOOKUP(A2701,Database!F:H,3,)</f>
        <v>210000</v>
      </c>
      <c r="C2701" s="43">
        <f t="shared" si="84"/>
        <v>1000</v>
      </c>
      <c r="D2701" s="43">
        <f>VLOOKUP(A2701,Database!F:H,2,)</f>
        <v>1670000</v>
      </c>
      <c r="E2701" s="43">
        <f t="shared" si="85"/>
        <v>-40000</v>
      </c>
    </row>
    <row r="2702" spans="1:5" x14ac:dyDescent="0.2">
      <c r="A2702" s="42">
        <v>43358</v>
      </c>
      <c r="B2702" s="43">
        <f>VLOOKUP(A2702,Database!F:H,3,)</f>
        <v>212000</v>
      </c>
      <c r="C2702" s="43">
        <f t="shared" si="84"/>
        <v>2000</v>
      </c>
      <c r="D2702" s="43">
        <f>VLOOKUP(A2702,Database!F:H,2,)</f>
        <v>1690000</v>
      </c>
      <c r="E2702" s="43">
        <f t="shared" si="85"/>
        <v>20000</v>
      </c>
    </row>
    <row r="2703" spans="1:5" x14ac:dyDescent="0.2">
      <c r="A2703" s="42">
        <v>43365</v>
      </c>
      <c r="B2703" s="43">
        <f>VLOOKUP(A2703,Database!F:H,3,)</f>
        <v>212000</v>
      </c>
      <c r="C2703" s="43">
        <f t="shared" si="84"/>
        <v>0</v>
      </c>
      <c r="D2703" s="43">
        <f>VLOOKUP(A2703,Database!F:H,2,)</f>
        <v>1675000</v>
      </c>
      <c r="E2703" s="43">
        <f t="shared" si="85"/>
        <v>-15000</v>
      </c>
    </row>
    <row r="2704" spans="1:5" x14ac:dyDescent="0.2">
      <c r="A2704" s="42">
        <v>43372</v>
      </c>
      <c r="B2704" s="43">
        <f>VLOOKUP(A2704,Database!F:H,3,)</f>
        <v>216000</v>
      </c>
      <c r="C2704" s="43">
        <f t="shared" si="84"/>
        <v>4000</v>
      </c>
      <c r="D2704" s="43">
        <f>VLOOKUP(A2704,Database!F:H,2,)</f>
        <v>1670000</v>
      </c>
      <c r="E2704" s="43">
        <f t="shared" si="85"/>
        <v>-5000</v>
      </c>
    </row>
    <row r="2705" spans="1:5" x14ac:dyDescent="0.2">
      <c r="A2705" s="42">
        <v>43379</v>
      </c>
      <c r="B2705" s="43">
        <f>VLOOKUP(A2705,Database!F:H,3,)</f>
        <v>212000</v>
      </c>
      <c r="C2705" s="43">
        <f t="shared" si="84"/>
        <v>-4000</v>
      </c>
      <c r="D2705" s="43">
        <f>VLOOKUP(A2705,Database!F:H,2,)</f>
        <v>1664000</v>
      </c>
      <c r="E2705" s="43">
        <f t="shared" si="85"/>
        <v>-6000</v>
      </c>
    </row>
    <row r="2706" spans="1:5" x14ac:dyDescent="0.2">
      <c r="A2706" s="42">
        <v>43386</v>
      </c>
      <c r="B2706" s="43">
        <f>VLOOKUP(A2706,Database!F:H,3,)</f>
        <v>212000</v>
      </c>
      <c r="C2706" s="43">
        <f t="shared" si="84"/>
        <v>0</v>
      </c>
      <c r="D2706" s="43">
        <f>VLOOKUP(A2706,Database!F:H,2,)</f>
        <v>1656000</v>
      </c>
      <c r="E2706" s="43">
        <f t="shared" si="85"/>
        <v>-8000</v>
      </c>
    </row>
    <row r="2707" spans="1:5" x14ac:dyDescent="0.2">
      <c r="A2707" s="42">
        <v>43393</v>
      </c>
      <c r="B2707" s="43">
        <f>VLOOKUP(A2707,Database!F:H,3,)</f>
        <v>219000</v>
      </c>
      <c r="C2707" s="43">
        <f t="shared" si="84"/>
        <v>7000</v>
      </c>
      <c r="D2707" s="43">
        <f>VLOOKUP(A2707,Database!F:H,2,)</f>
        <v>1657000</v>
      </c>
      <c r="E2707" s="43">
        <f t="shared" si="85"/>
        <v>1000</v>
      </c>
    </row>
    <row r="2708" spans="1:5" x14ac:dyDescent="0.2">
      <c r="A2708" s="42">
        <v>43400</v>
      </c>
      <c r="B2708" s="43">
        <f>VLOOKUP(A2708,Database!F:H,3,)</f>
        <v>216000</v>
      </c>
      <c r="C2708" s="43">
        <f t="shared" si="84"/>
        <v>-3000</v>
      </c>
      <c r="D2708" s="43">
        <f>VLOOKUP(A2708,Database!F:H,2,)</f>
        <v>1651000</v>
      </c>
      <c r="E2708" s="43">
        <f t="shared" si="85"/>
        <v>-6000</v>
      </c>
    </row>
    <row r="2709" spans="1:5" x14ac:dyDescent="0.2">
      <c r="A2709" s="42">
        <v>43407</v>
      </c>
      <c r="B2709" s="43">
        <f>VLOOKUP(A2709,Database!F:H,3,)</f>
        <v>216000</v>
      </c>
      <c r="C2709" s="43">
        <f t="shared" si="84"/>
        <v>0</v>
      </c>
      <c r="D2709" s="43">
        <f>VLOOKUP(A2709,Database!F:H,2,)</f>
        <v>1663000</v>
      </c>
      <c r="E2709" s="43">
        <f t="shared" si="85"/>
        <v>12000</v>
      </c>
    </row>
    <row r="2710" spans="1:5" x14ac:dyDescent="0.2">
      <c r="A2710" s="42">
        <v>43414</v>
      </c>
      <c r="B2710" s="43">
        <f>VLOOKUP(A2710,Database!F:H,3,)</f>
        <v>217000</v>
      </c>
      <c r="C2710" s="43">
        <f t="shared" si="84"/>
        <v>1000</v>
      </c>
      <c r="D2710" s="43">
        <f>VLOOKUP(A2710,Database!F:H,2,)</f>
        <v>1671000</v>
      </c>
      <c r="E2710" s="43">
        <f t="shared" si="85"/>
        <v>8000</v>
      </c>
    </row>
    <row r="2711" spans="1:5" x14ac:dyDescent="0.2">
      <c r="A2711" s="42">
        <v>43421</v>
      </c>
      <c r="B2711" s="43">
        <f>VLOOKUP(A2711,Database!F:H,3,)</f>
        <v>220000</v>
      </c>
      <c r="C2711" s="43">
        <f t="shared" si="84"/>
        <v>3000</v>
      </c>
      <c r="D2711" s="43">
        <f>VLOOKUP(A2711,Database!F:H,2,)</f>
        <v>1726000</v>
      </c>
      <c r="E2711" s="43">
        <f t="shared" si="85"/>
        <v>55000</v>
      </c>
    </row>
    <row r="2712" spans="1:5" x14ac:dyDescent="0.2">
      <c r="A2712" s="42">
        <v>43428</v>
      </c>
      <c r="B2712" s="43">
        <f>VLOOKUP(A2712,Database!F:H,3,)</f>
        <v>230000</v>
      </c>
      <c r="C2712" s="43">
        <f t="shared" si="84"/>
        <v>10000</v>
      </c>
      <c r="D2712" s="43">
        <f>VLOOKUP(A2712,Database!F:H,2,)</f>
        <v>1664000</v>
      </c>
      <c r="E2712" s="43">
        <f t="shared" si="85"/>
        <v>-62000</v>
      </c>
    </row>
    <row r="2713" spans="1:5" x14ac:dyDescent="0.2">
      <c r="A2713" s="42">
        <v>43435</v>
      </c>
      <c r="B2713" s="43">
        <f>VLOOKUP(A2713,Database!F:H,3,)</f>
        <v>225000</v>
      </c>
      <c r="C2713" s="43">
        <f t="shared" si="84"/>
        <v>-5000</v>
      </c>
      <c r="D2713" s="43">
        <f>VLOOKUP(A2713,Database!F:H,2,)</f>
        <v>1663000</v>
      </c>
      <c r="E2713" s="43">
        <f t="shared" si="85"/>
        <v>-1000</v>
      </c>
    </row>
    <row r="2714" spans="1:5" x14ac:dyDescent="0.2">
      <c r="A2714" s="42">
        <v>43442</v>
      </c>
      <c r="B2714" s="43">
        <f>VLOOKUP(A2714,Database!F:H,3,)</f>
        <v>203000</v>
      </c>
      <c r="C2714" s="43">
        <f t="shared" si="84"/>
        <v>-22000</v>
      </c>
      <c r="D2714" s="43">
        <f>VLOOKUP(A2714,Database!F:H,2,)</f>
        <v>1703000</v>
      </c>
      <c r="E2714" s="43">
        <f t="shared" si="85"/>
        <v>40000</v>
      </c>
    </row>
    <row r="2715" spans="1:5" x14ac:dyDescent="0.2">
      <c r="A2715" s="42">
        <v>43449</v>
      </c>
      <c r="B2715" s="43">
        <f>VLOOKUP(A2715,Database!F:H,3,)</f>
        <v>214000</v>
      </c>
      <c r="C2715" s="43">
        <f t="shared" si="84"/>
        <v>11000</v>
      </c>
      <c r="D2715" s="43">
        <f>VLOOKUP(A2715,Database!F:H,2,)</f>
        <v>1697000</v>
      </c>
      <c r="E2715" s="43">
        <f t="shared" si="85"/>
        <v>-6000</v>
      </c>
    </row>
    <row r="2716" spans="1:5" x14ac:dyDescent="0.2">
      <c r="A2716" s="42">
        <v>43456</v>
      </c>
      <c r="B2716" s="43">
        <f>VLOOKUP(A2716,Database!F:H,3,)</f>
        <v>220000</v>
      </c>
      <c r="C2716" s="43">
        <f t="shared" si="84"/>
        <v>6000</v>
      </c>
      <c r="D2716" s="43">
        <f>VLOOKUP(A2716,Database!F:H,2,)</f>
        <v>1723000</v>
      </c>
      <c r="E2716" s="43">
        <f t="shared" si="85"/>
        <v>26000</v>
      </c>
    </row>
    <row r="2717" spans="1:5" x14ac:dyDescent="0.2">
      <c r="A2717" s="42">
        <v>43463</v>
      </c>
      <c r="B2717" s="43">
        <f>VLOOKUP(A2717,Database!F:H,3,)</f>
        <v>226000</v>
      </c>
      <c r="C2717" s="43">
        <f t="shared" si="84"/>
        <v>6000</v>
      </c>
      <c r="D2717" s="43">
        <f>VLOOKUP(A2717,Database!F:H,2,)</f>
        <v>1697000</v>
      </c>
      <c r="E2717" s="43">
        <f t="shared" si="85"/>
        <v>-26000</v>
      </c>
    </row>
    <row r="2718" spans="1:5" x14ac:dyDescent="0.2">
      <c r="A2718" s="42">
        <v>43470</v>
      </c>
      <c r="B2718" s="43">
        <f>VLOOKUP(A2718,Database!F:H,3,)</f>
        <v>218000</v>
      </c>
      <c r="C2718" s="43">
        <f t="shared" si="84"/>
        <v>-8000</v>
      </c>
      <c r="D2718" s="43">
        <f>VLOOKUP(A2718,Database!F:H,2,)</f>
        <v>1713000</v>
      </c>
      <c r="E2718" s="43">
        <f t="shared" si="85"/>
        <v>16000</v>
      </c>
    </row>
    <row r="2719" spans="1:5" x14ac:dyDescent="0.2">
      <c r="A2719" s="42">
        <v>43477</v>
      </c>
      <c r="B2719" s="43">
        <f>VLOOKUP(A2719,Database!F:H,3,)</f>
        <v>215000</v>
      </c>
      <c r="C2719" s="43">
        <f t="shared" si="84"/>
        <v>-3000</v>
      </c>
      <c r="D2719" s="43">
        <f>VLOOKUP(A2719,Database!F:H,2,)</f>
        <v>1709000</v>
      </c>
      <c r="E2719" s="43">
        <f t="shared" si="85"/>
        <v>-4000</v>
      </c>
    </row>
    <row r="2720" spans="1:5" x14ac:dyDescent="0.2">
      <c r="A2720" s="42">
        <v>43484</v>
      </c>
      <c r="B2720" s="43">
        <f>VLOOKUP(A2720,Database!F:H,3,)</f>
        <v>211000</v>
      </c>
      <c r="C2720" s="43">
        <f t="shared" si="84"/>
        <v>-4000</v>
      </c>
      <c r="D2720" s="43">
        <f>VLOOKUP(A2720,Database!F:H,2,)</f>
        <v>1740000</v>
      </c>
      <c r="E2720" s="43">
        <f t="shared" si="85"/>
        <v>31000</v>
      </c>
    </row>
    <row r="2721" spans="1:5" x14ac:dyDescent="0.2">
      <c r="A2721" s="42">
        <v>43491</v>
      </c>
      <c r="B2721" s="43">
        <f>VLOOKUP(A2721,Database!F:H,3,)</f>
        <v>236000</v>
      </c>
      <c r="C2721" s="43">
        <f t="shared" si="84"/>
        <v>25000</v>
      </c>
      <c r="D2721" s="43">
        <f>VLOOKUP(A2721,Database!F:H,2,)</f>
        <v>1717000</v>
      </c>
      <c r="E2721" s="43">
        <f t="shared" si="85"/>
        <v>-23000</v>
      </c>
    </row>
    <row r="2722" spans="1:5" x14ac:dyDescent="0.2">
      <c r="A2722" s="42">
        <v>43498</v>
      </c>
      <c r="B2722" s="43">
        <f>VLOOKUP(A2722,Database!F:H,3,)</f>
        <v>233000</v>
      </c>
      <c r="C2722" s="43">
        <f t="shared" si="84"/>
        <v>-3000</v>
      </c>
      <c r="D2722" s="43">
        <f>VLOOKUP(A2722,Database!F:H,2,)</f>
        <v>1743000</v>
      </c>
      <c r="E2722" s="43">
        <f t="shared" si="85"/>
        <v>26000</v>
      </c>
    </row>
    <row r="2723" spans="1:5" x14ac:dyDescent="0.2">
      <c r="A2723" s="42">
        <v>43505</v>
      </c>
      <c r="B2723" s="43">
        <f>VLOOKUP(A2723,Database!F:H,3,)</f>
        <v>232000</v>
      </c>
      <c r="C2723" s="43">
        <f t="shared" si="84"/>
        <v>-1000</v>
      </c>
      <c r="D2723" s="43">
        <f>VLOOKUP(A2723,Database!F:H,2,)</f>
        <v>1723000</v>
      </c>
      <c r="E2723" s="43">
        <f t="shared" si="85"/>
        <v>-20000</v>
      </c>
    </row>
    <row r="2724" spans="1:5" x14ac:dyDescent="0.2">
      <c r="A2724" s="42">
        <v>43512</v>
      </c>
      <c r="B2724" s="43">
        <f>VLOOKUP(A2724,Database!F:H,3,)</f>
        <v>218000</v>
      </c>
      <c r="C2724" s="43">
        <f t="shared" si="84"/>
        <v>-14000</v>
      </c>
      <c r="D2724" s="43">
        <f>VLOOKUP(A2724,Database!F:H,2,)</f>
        <v>1758000</v>
      </c>
      <c r="E2724" s="43">
        <f t="shared" si="85"/>
        <v>35000</v>
      </c>
    </row>
    <row r="2725" spans="1:5" x14ac:dyDescent="0.2">
      <c r="A2725" s="42">
        <v>43519</v>
      </c>
      <c r="B2725" s="43">
        <f>VLOOKUP(A2725,Database!F:H,3,)</f>
        <v>223000</v>
      </c>
      <c r="C2725" s="43">
        <f t="shared" si="84"/>
        <v>5000</v>
      </c>
      <c r="D2725" s="43">
        <f>VLOOKUP(A2725,Database!F:H,2,)</f>
        <v>1747000</v>
      </c>
      <c r="E2725" s="43">
        <f t="shared" si="85"/>
        <v>-11000</v>
      </c>
    </row>
    <row r="2726" spans="1:5" x14ac:dyDescent="0.2">
      <c r="A2726" s="42">
        <v>43526</v>
      </c>
      <c r="B2726" s="43">
        <f>VLOOKUP(A2726,Database!F:H,3,)</f>
        <v>220000</v>
      </c>
      <c r="C2726" s="43">
        <f t="shared" si="84"/>
        <v>-3000</v>
      </c>
      <c r="D2726" s="43">
        <f>VLOOKUP(A2726,Database!F:H,2,)</f>
        <v>1748000</v>
      </c>
      <c r="E2726" s="43">
        <f t="shared" si="85"/>
        <v>1000</v>
      </c>
    </row>
    <row r="2727" spans="1:5" x14ac:dyDescent="0.2">
      <c r="A2727" s="42">
        <v>43533</v>
      </c>
      <c r="B2727" s="43">
        <f>VLOOKUP(A2727,Database!F:H,3,)</f>
        <v>225000</v>
      </c>
      <c r="C2727" s="43">
        <f t="shared" si="84"/>
        <v>5000</v>
      </c>
      <c r="D2727" s="43">
        <f>VLOOKUP(A2727,Database!F:H,2,)</f>
        <v>1745000</v>
      </c>
      <c r="E2727" s="43">
        <f t="shared" si="85"/>
        <v>-3000</v>
      </c>
    </row>
    <row r="2728" spans="1:5" x14ac:dyDescent="0.2">
      <c r="A2728" s="42">
        <v>43540</v>
      </c>
      <c r="B2728" s="43">
        <f>VLOOKUP(A2728,Database!F:H,3,)</f>
        <v>218000</v>
      </c>
      <c r="C2728" s="43">
        <f t="shared" si="84"/>
        <v>-7000</v>
      </c>
      <c r="D2728" s="43">
        <f>VLOOKUP(A2728,Database!F:H,2,)</f>
        <v>1719000</v>
      </c>
      <c r="E2728" s="43">
        <f t="shared" si="85"/>
        <v>-26000</v>
      </c>
    </row>
    <row r="2729" spans="1:5" x14ac:dyDescent="0.2">
      <c r="A2729" s="42">
        <v>43547</v>
      </c>
      <c r="B2729" s="43">
        <f>VLOOKUP(A2729,Database!F:H,3,)</f>
        <v>215000</v>
      </c>
      <c r="C2729" s="43">
        <f t="shared" si="84"/>
        <v>-3000</v>
      </c>
      <c r="D2729" s="43">
        <f>VLOOKUP(A2729,Database!F:H,2,)</f>
        <v>1710000</v>
      </c>
      <c r="E2729" s="43">
        <f t="shared" si="85"/>
        <v>-9000</v>
      </c>
    </row>
    <row r="2730" spans="1:5" x14ac:dyDescent="0.2">
      <c r="A2730" s="42">
        <v>43554</v>
      </c>
      <c r="B2730" s="43">
        <f>VLOOKUP(A2730,Database!F:H,3,)</f>
        <v>211000</v>
      </c>
      <c r="C2730" s="43">
        <f t="shared" si="84"/>
        <v>-4000</v>
      </c>
      <c r="D2730" s="43">
        <f>VLOOKUP(A2730,Database!F:H,2,)</f>
        <v>1692000</v>
      </c>
      <c r="E2730" s="43">
        <f t="shared" si="85"/>
        <v>-18000</v>
      </c>
    </row>
    <row r="2731" spans="1:5" x14ac:dyDescent="0.2">
      <c r="A2731" s="42">
        <v>43561</v>
      </c>
      <c r="B2731" s="43">
        <f>VLOOKUP(A2731,Database!F:H,3,)</f>
        <v>203000</v>
      </c>
      <c r="C2731" s="43">
        <f t="shared" si="84"/>
        <v>-8000</v>
      </c>
      <c r="D2731" s="43">
        <f>VLOOKUP(A2731,Database!F:H,2,)</f>
        <v>1659000</v>
      </c>
      <c r="E2731" s="43">
        <f t="shared" si="85"/>
        <v>-33000</v>
      </c>
    </row>
    <row r="2732" spans="1:5" x14ac:dyDescent="0.2">
      <c r="A2732" s="42">
        <v>43568</v>
      </c>
      <c r="B2732" s="43">
        <f>VLOOKUP(A2732,Database!F:H,3,)</f>
        <v>203000</v>
      </c>
      <c r="C2732" s="43">
        <f t="shared" si="84"/>
        <v>0</v>
      </c>
      <c r="D2732" s="43">
        <f>VLOOKUP(A2732,Database!F:H,2,)</f>
        <v>1649000</v>
      </c>
      <c r="E2732" s="43">
        <f t="shared" si="85"/>
        <v>-10000</v>
      </c>
    </row>
    <row r="2733" spans="1:5" x14ac:dyDescent="0.2">
      <c r="A2733" s="42">
        <v>43575</v>
      </c>
      <c r="B2733" s="43">
        <f>VLOOKUP(A2733,Database!F:H,3,)</f>
        <v>224000</v>
      </c>
      <c r="C2733" s="43">
        <f t="shared" si="84"/>
        <v>21000</v>
      </c>
      <c r="D2733" s="43">
        <f>VLOOKUP(A2733,Database!F:H,2,)</f>
        <v>1671000</v>
      </c>
      <c r="E2733" s="43">
        <f t="shared" si="85"/>
        <v>22000</v>
      </c>
    </row>
    <row r="2734" spans="1:5" x14ac:dyDescent="0.2">
      <c r="A2734" s="42">
        <v>43582</v>
      </c>
      <c r="B2734" s="43">
        <f>VLOOKUP(A2734,Database!F:H,3,)</f>
        <v>230000</v>
      </c>
      <c r="C2734" s="43">
        <f t="shared" si="84"/>
        <v>6000</v>
      </c>
      <c r="D2734" s="43">
        <f>VLOOKUP(A2734,Database!F:H,2,)</f>
        <v>1675000</v>
      </c>
      <c r="E2734" s="43">
        <f t="shared" si="85"/>
        <v>4000</v>
      </c>
    </row>
    <row r="2735" spans="1:5" x14ac:dyDescent="0.2">
      <c r="A2735" s="42">
        <v>43589</v>
      </c>
      <c r="B2735" s="43">
        <f>VLOOKUP(A2735,Database!F:H,3,)</f>
        <v>225000</v>
      </c>
      <c r="C2735" s="43">
        <f t="shared" si="84"/>
        <v>-5000</v>
      </c>
      <c r="D2735" s="43">
        <f>VLOOKUP(A2735,Database!F:H,2,)</f>
        <v>1667000</v>
      </c>
      <c r="E2735" s="43">
        <f t="shared" si="85"/>
        <v>-8000</v>
      </c>
    </row>
    <row r="2736" spans="1:5" x14ac:dyDescent="0.2">
      <c r="A2736" s="42">
        <v>43596</v>
      </c>
      <c r="B2736" s="43">
        <f>VLOOKUP(A2736,Database!F:H,3,)</f>
        <v>216000</v>
      </c>
      <c r="C2736" s="43">
        <f t="shared" si="84"/>
        <v>-9000</v>
      </c>
      <c r="D2736" s="43">
        <f>VLOOKUP(A2736,Database!F:H,2,)</f>
        <v>1676000</v>
      </c>
      <c r="E2736" s="43">
        <f t="shared" si="85"/>
        <v>9000</v>
      </c>
    </row>
    <row r="2737" spans="1:5" x14ac:dyDescent="0.2">
      <c r="A2737" s="42">
        <v>43603</v>
      </c>
      <c r="B2737" s="43">
        <f>VLOOKUP(A2737,Database!F:H,3,)</f>
        <v>213000</v>
      </c>
      <c r="C2737" s="43">
        <f t="shared" si="84"/>
        <v>-3000</v>
      </c>
      <c r="D2737" s="43">
        <f>VLOOKUP(A2737,Database!F:H,2,)</f>
        <v>1666000</v>
      </c>
      <c r="E2737" s="43">
        <f t="shared" si="85"/>
        <v>-10000</v>
      </c>
    </row>
    <row r="2738" spans="1:5" x14ac:dyDescent="0.2">
      <c r="A2738" s="42">
        <v>43610</v>
      </c>
      <c r="B2738" s="43">
        <f>VLOOKUP(A2738,Database!F:H,3,)</f>
        <v>218000</v>
      </c>
      <c r="C2738" s="43">
        <f t="shared" si="84"/>
        <v>5000</v>
      </c>
      <c r="D2738" s="43">
        <f>VLOOKUP(A2738,Database!F:H,2,)</f>
        <v>1687000</v>
      </c>
      <c r="E2738" s="43">
        <f t="shared" si="85"/>
        <v>21000</v>
      </c>
    </row>
    <row r="2739" spans="1:5" x14ac:dyDescent="0.2">
      <c r="A2739" s="42">
        <v>43617</v>
      </c>
      <c r="B2739" s="43">
        <f>VLOOKUP(A2739,Database!F:H,3,)</f>
        <v>220000</v>
      </c>
      <c r="C2739" s="43">
        <f t="shared" si="84"/>
        <v>2000</v>
      </c>
      <c r="D2739" s="43">
        <f>VLOOKUP(A2739,Database!F:H,2,)</f>
        <v>1692000</v>
      </c>
      <c r="E2739" s="43">
        <f t="shared" si="85"/>
        <v>5000</v>
      </c>
    </row>
    <row r="2740" spans="1:5" x14ac:dyDescent="0.2">
      <c r="A2740" s="42">
        <v>43624</v>
      </c>
      <c r="B2740" s="43">
        <f>VLOOKUP(A2740,Database!F:H,3,)</f>
        <v>220000</v>
      </c>
      <c r="C2740" s="43">
        <f t="shared" si="84"/>
        <v>0</v>
      </c>
      <c r="D2740" s="43">
        <f>VLOOKUP(A2740,Database!F:H,2,)</f>
        <v>1668000</v>
      </c>
      <c r="E2740" s="43">
        <f t="shared" si="85"/>
        <v>-24000</v>
      </c>
    </row>
    <row r="2741" spans="1:5" x14ac:dyDescent="0.2">
      <c r="A2741" s="42">
        <v>43631</v>
      </c>
      <c r="B2741" s="43">
        <f>VLOOKUP(A2741,Database!F:H,3,)</f>
        <v>219000</v>
      </c>
      <c r="C2741" s="43">
        <f t="shared" si="84"/>
        <v>-1000</v>
      </c>
      <c r="D2741" s="43">
        <f>VLOOKUP(A2741,Database!F:H,2,)</f>
        <v>1689000</v>
      </c>
      <c r="E2741" s="43">
        <f t="shared" si="85"/>
        <v>21000</v>
      </c>
    </row>
    <row r="2742" spans="1:5" x14ac:dyDescent="0.2">
      <c r="A2742" s="42">
        <v>43638</v>
      </c>
      <c r="B2742" s="43">
        <f>VLOOKUP(A2742,Database!F:H,3,)</f>
        <v>224000</v>
      </c>
      <c r="C2742" s="43">
        <f t="shared" si="84"/>
        <v>5000</v>
      </c>
      <c r="D2742" s="43">
        <f>VLOOKUP(A2742,Database!F:H,2,)</f>
        <v>1689000</v>
      </c>
      <c r="E2742" s="43">
        <f t="shared" si="85"/>
        <v>0</v>
      </c>
    </row>
    <row r="2743" spans="1:5" x14ac:dyDescent="0.2">
      <c r="A2743" s="42">
        <v>43645</v>
      </c>
      <c r="B2743" s="43">
        <f>VLOOKUP(A2743,Database!F:H,3,)</f>
        <v>223000</v>
      </c>
      <c r="C2743" s="43">
        <f t="shared" si="84"/>
        <v>-1000</v>
      </c>
      <c r="D2743" s="43">
        <f>VLOOKUP(A2743,Database!F:H,2,)</f>
        <v>1712000</v>
      </c>
      <c r="E2743" s="43">
        <f t="shared" si="85"/>
        <v>23000</v>
      </c>
    </row>
    <row r="2744" spans="1:5" x14ac:dyDescent="0.2">
      <c r="A2744" s="42">
        <v>43652</v>
      </c>
      <c r="B2744" s="43">
        <f>VLOOKUP(A2744,Database!F:H,3,)</f>
        <v>205000</v>
      </c>
      <c r="C2744" s="43">
        <f t="shared" si="84"/>
        <v>-18000</v>
      </c>
      <c r="D2744" s="43">
        <f>VLOOKUP(A2744,Database!F:H,2,)</f>
        <v>1688000</v>
      </c>
      <c r="E2744" s="43">
        <f t="shared" si="85"/>
        <v>-24000</v>
      </c>
    </row>
    <row r="2745" spans="1:5" s="1" customFormat="1" x14ac:dyDescent="0.2">
      <c r="A2745" s="42">
        <v>43659</v>
      </c>
      <c r="B2745" s="43">
        <f>VLOOKUP(A2745,Database!F:H,3,)</f>
        <v>217000</v>
      </c>
      <c r="C2745" s="43">
        <f t="shared" ref="C2745:C2752" si="86">B2745-B2744</f>
        <v>12000</v>
      </c>
      <c r="D2745" s="43">
        <f>VLOOKUP(A2745,Database!F:H,2,)</f>
        <v>1679000</v>
      </c>
      <c r="E2745" s="43">
        <f t="shared" ref="E2745:E2752" si="87">D2745-D2744</f>
        <v>-9000</v>
      </c>
    </row>
    <row r="2746" spans="1:5" s="1" customFormat="1" x14ac:dyDescent="0.2">
      <c r="A2746" s="42">
        <v>43666</v>
      </c>
      <c r="B2746" s="43">
        <f>VLOOKUP(A2746,Database!F:H,3,)</f>
        <v>210000</v>
      </c>
      <c r="C2746" s="43">
        <f t="shared" si="86"/>
        <v>-7000</v>
      </c>
      <c r="D2746" s="43">
        <f>VLOOKUP(A2746,Database!F:H,2,)</f>
        <v>1692000</v>
      </c>
      <c r="E2746" s="43">
        <f t="shared" si="87"/>
        <v>13000</v>
      </c>
    </row>
    <row r="2747" spans="1:5" s="1" customFormat="1" x14ac:dyDescent="0.2">
      <c r="A2747" s="42">
        <v>43673</v>
      </c>
      <c r="B2747" s="43">
        <f>VLOOKUP(A2747,Database!F:H,3,)</f>
        <v>216000</v>
      </c>
      <c r="C2747" s="43">
        <f t="shared" si="86"/>
        <v>6000</v>
      </c>
      <c r="D2747" s="43">
        <f>VLOOKUP(A2747,Database!F:H,2,)</f>
        <v>1689000</v>
      </c>
      <c r="E2747" s="43">
        <f t="shared" si="87"/>
        <v>-3000</v>
      </c>
    </row>
    <row r="2748" spans="1:5" s="1" customFormat="1" x14ac:dyDescent="0.2">
      <c r="A2748" s="42">
        <v>43680</v>
      </c>
      <c r="B2748" s="43">
        <f>VLOOKUP(A2748,Database!F:H,3,)</f>
        <v>214000</v>
      </c>
      <c r="C2748" s="43">
        <f t="shared" si="86"/>
        <v>-2000</v>
      </c>
      <c r="D2748" s="43">
        <f>VLOOKUP(A2748,Database!F:H,2,)</f>
        <v>1714000</v>
      </c>
      <c r="E2748" s="43">
        <f t="shared" si="87"/>
        <v>25000</v>
      </c>
    </row>
    <row r="2749" spans="1:5" s="1" customFormat="1" x14ac:dyDescent="0.2">
      <c r="A2749" s="42">
        <v>43687</v>
      </c>
      <c r="B2749" s="43">
        <f>VLOOKUP(A2749,Database!F:H,3,)</f>
        <v>218000</v>
      </c>
      <c r="C2749" s="43">
        <f t="shared" si="86"/>
        <v>4000</v>
      </c>
      <c r="D2749" s="43">
        <f>VLOOKUP(A2749,Database!F:H,2,)</f>
        <v>1682000</v>
      </c>
      <c r="E2749" s="43">
        <f t="shared" si="87"/>
        <v>-32000</v>
      </c>
    </row>
    <row r="2750" spans="1:5" s="1" customFormat="1" x14ac:dyDescent="0.2">
      <c r="A2750" s="42">
        <v>43694</v>
      </c>
      <c r="B2750" s="43">
        <f>VLOOKUP(A2750,Database!F:H,3,)</f>
        <v>214000</v>
      </c>
      <c r="C2750" s="43">
        <f t="shared" si="86"/>
        <v>-4000</v>
      </c>
      <c r="D2750" s="43">
        <f>VLOOKUP(A2750,Database!F:H,2,)</f>
        <v>1697000</v>
      </c>
      <c r="E2750" s="43">
        <f t="shared" si="87"/>
        <v>15000</v>
      </c>
    </row>
    <row r="2751" spans="1:5" s="1" customFormat="1" x14ac:dyDescent="0.2">
      <c r="A2751" s="42">
        <v>43701</v>
      </c>
      <c r="B2751" s="43">
        <f>VLOOKUP(A2751,Database!F:H,3,)</f>
        <v>215000</v>
      </c>
      <c r="C2751" s="43">
        <f t="shared" si="86"/>
        <v>1000</v>
      </c>
      <c r="D2751" s="43">
        <f>VLOOKUP(A2751,Database!F:H,2,)</f>
        <v>1678000</v>
      </c>
      <c r="E2751" s="43">
        <f t="shared" si="87"/>
        <v>-19000</v>
      </c>
    </row>
    <row r="2752" spans="1:5" s="1" customFormat="1" x14ac:dyDescent="0.2">
      <c r="A2752" s="42">
        <v>43708</v>
      </c>
      <c r="B2752" s="43">
        <f>VLOOKUP(A2752,Database!F:H,3,)</f>
        <v>218000</v>
      </c>
      <c r="C2752" s="43">
        <f t="shared" si="86"/>
        <v>3000</v>
      </c>
      <c r="D2752" s="43">
        <f>VLOOKUP(A2752,Database!F:H,2,)</f>
        <v>1679000</v>
      </c>
      <c r="E2752" s="43">
        <f t="shared" si="87"/>
        <v>1000</v>
      </c>
    </row>
    <row r="2753" spans="1:5" s="1" customFormat="1" x14ac:dyDescent="0.2">
      <c r="A2753" s="42">
        <v>43715</v>
      </c>
      <c r="B2753" s="43">
        <f>VLOOKUP(A2753,Database!F:H,3,)</f>
        <v>208000</v>
      </c>
      <c r="C2753" s="43">
        <f t="shared" ref="C2753:C2755" si="88">B2753-B2752</f>
        <v>-10000</v>
      </c>
      <c r="D2753" s="43">
        <f>VLOOKUP(A2753,Database!F:H,2,)</f>
        <v>1673000</v>
      </c>
      <c r="E2753" s="43">
        <f t="shared" ref="E2753:E2755" si="89">D2753-D2752</f>
        <v>-6000</v>
      </c>
    </row>
    <row r="2754" spans="1:5" s="1" customFormat="1" x14ac:dyDescent="0.2">
      <c r="A2754" s="42">
        <v>43722</v>
      </c>
      <c r="B2754" s="43">
        <f>VLOOKUP(A2754,Database!F:H,3,)</f>
        <v>211000</v>
      </c>
      <c r="C2754" s="43">
        <f t="shared" si="88"/>
        <v>3000</v>
      </c>
      <c r="D2754" s="43">
        <f>VLOOKUP(A2754,Database!F:H,2,)</f>
        <v>1668000</v>
      </c>
      <c r="E2754" s="43">
        <f t="shared" si="89"/>
        <v>-5000</v>
      </c>
    </row>
    <row r="2755" spans="1:5" s="1" customFormat="1" x14ac:dyDescent="0.2">
      <c r="A2755" s="42">
        <v>43729</v>
      </c>
      <c r="B2755" s="43">
        <f>VLOOKUP(A2755,Database!F:H,3,)</f>
        <v>215000</v>
      </c>
      <c r="C2755" s="43">
        <f t="shared" si="88"/>
        <v>4000</v>
      </c>
      <c r="D2755" s="43">
        <f>VLOOKUP(A2755,Database!F:H,2,)</f>
        <v>1665000</v>
      </c>
      <c r="E2755" s="43">
        <f t="shared" si="89"/>
        <v>-3000</v>
      </c>
    </row>
    <row r="2756" spans="1:5" s="1" customFormat="1" x14ac:dyDescent="0.2">
      <c r="A2756" s="42">
        <v>43736</v>
      </c>
      <c r="B2756" s="43">
        <f>VLOOKUP(A2756,Database!F:H,3,)</f>
        <v>217000</v>
      </c>
      <c r="C2756" s="43">
        <f t="shared" ref="C2756:C2763" si="90">B2756-B2755</f>
        <v>2000</v>
      </c>
      <c r="D2756" s="43">
        <f>VLOOKUP(A2756,Database!F:H,2,)</f>
        <v>1696000</v>
      </c>
      <c r="E2756" s="43">
        <f t="shared" ref="E2756:E2763" si="91">D2756-D2755</f>
        <v>31000</v>
      </c>
    </row>
    <row r="2757" spans="1:5" s="1" customFormat="1" x14ac:dyDescent="0.2">
      <c r="A2757" s="42">
        <v>43743</v>
      </c>
      <c r="B2757" s="43">
        <f>VLOOKUP(A2757,Database!F:H,3,)</f>
        <v>212000</v>
      </c>
      <c r="C2757" s="43">
        <f t="shared" si="90"/>
        <v>-5000</v>
      </c>
      <c r="D2757" s="43">
        <f>VLOOKUP(A2757,Database!F:H,2,)</f>
        <v>1687000</v>
      </c>
      <c r="E2757" s="43">
        <f t="shared" si="91"/>
        <v>-9000</v>
      </c>
    </row>
    <row r="2758" spans="1:5" s="1" customFormat="1" x14ac:dyDescent="0.2">
      <c r="A2758" s="42">
        <v>43750</v>
      </c>
      <c r="B2758" s="43">
        <f>VLOOKUP(A2758,Database!F:H,3,)</f>
        <v>217000</v>
      </c>
      <c r="C2758" s="43">
        <f t="shared" si="90"/>
        <v>5000</v>
      </c>
      <c r="D2758" s="43">
        <f>VLOOKUP(A2758,Database!F:H,2,)</f>
        <v>1693000</v>
      </c>
      <c r="E2758" s="43">
        <f t="shared" si="91"/>
        <v>6000</v>
      </c>
    </row>
    <row r="2759" spans="1:5" s="1" customFormat="1" x14ac:dyDescent="0.2">
      <c r="A2759" s="42">
        <v>43757</v>
      </c>
      <c r="B2759" s="43">
        <f>VLOOKUP(A2759,Database!F:H,3,)</f>
        <v>212000</v>
      </c>
      <c r="C2759" s="43">
        <f t="shared" si="90"/>
        <v>-5000</v>
      </c>
      <c r="D2759" s="43">
        <f>VLOOKUP(A2759,Database!F:H,2,)</f>
        <v>1694000</v>
      </c>
      <c r="E2759" s="43">
        <f t="shared" si="91"/>
        <v>1000</v>
      </c>
    </row>
    <row r="2760" spans="1:5" s="1" customFormat="1" x14ac:dyDescent="0.2">
      <c r="A2760" s="42">
        <v>43764</v>
      </c>
      <c r="B2760" s="43">
        <f>VLOOKUP(A2760,Database!F:H,3,)</f>
        <v>216000</v>
      </c>
      <c r="C2760" s="43">
        <f t="shared" si="90"/>
        <v>4000</v>
      </c>
      <c r="D2760" s="43">
        <f>VLOOKUP(A2760,Database!F:H,2,)</f>
        <v>1695000</v>
      </c>
      <c r="E2760" s="43">
        <f t="shared" si="91"/>
        <v>1000</v>
      </c>
    </row>
    <row r="2761" spans="1:5" s="1" customFormat="1" x14ac:dyDescent="0.2">
      <c r="A2761" s="42">
        <v>43771</v>
      </c>
      <c r="B2761" s="43">
        <f>VLOOKUP(A2761,Database!F:H,3,)</f>
        <v>211000</v>
      </c>
      <c r="C2761" s="43">
        <f t="shared" si="90"/>
        <v>-5000</v>
      </c>
      <c r="D2761" s="43">
        <f>VLOOKUP(A2761,Database!F:H,2,)</f>
        <v>1692000</v>
      </c>
      <c r="E2761" s="43">
        <f t="shared" si="91"/>
        <v>-3000</v>
      </c>
    </row>
    <row r="2762" spans="1:5" s="1" customFormat="1" x14ac:dyDescent="0.2">
      <c r="A2762" s="42">
        <v>43778</v>
      </c>
      <c r="B2762" s="43">
        <f>VLOOKUP(A2762,Database!F:H,3,)</f>
        <v>222000</v>
      </c>
      <c r="C2762" s="43">
        <f t="shared" si="90"/>
        <v>11000</v>
      </c>
      <c r="D2762" s="43">
        <f>VLOOKUP(A2762,Database!F:H,2,)</f>
        <v>1695000</v>
      </c>
      <c r="E2762" s="43">
        <f t="shared" si="91"/>
        <v>3000</v>
      </c>
    </row>
    <row r="2763" spans="1:5" s="1" customFormat="1" x14ac:dyDescent="0.2">
      <c r="A2763" s="42">
        <v>43785</v>
      </c>
      <c r="B2763" s="43">
        <f>VLOOKUP(A2763,Database!F:H,3,)</f>
        <v>221000</v>
      </c>
      <c r="C2763" s="43">
        <f t="shared" si="90"/>
        <v>-1000</v>
      </c>
      <c r="D2763" s="43">
        <f>VLOOKUP(A2763,Database!F:H,2,)</f>
        <v>1678000</v>
      </c>
      <c r="E2763" s="43">
        <f t="shared" si="91"/>
        <v>-17000</v>
      </c>
    </row>
    <row r="2764" spans="1:5" s="1" customFormat="1" x14ac:dyDescent="0.2">
      <c r="A2764" s="42">
        <v>43792</v>
      </c>
      <c r="B2764" s="43">
        <f>VLOOKUP(A2764,Database!F:H,3,)</f>
        <v>215000</v>
      </c>
      <c r="C2764" s="43">
        <f t="shared" ref="C2764:C2769" si="92">B2764-B2763</f>
        <v>-6000</v>
      </c>
      <c r="D2764" s="43">
        <f>VLOOKUP(A2764,Database!F:H,2,)</f>
        <v>1699000</v>
      </c>
      <c r="E2764" s="43">
        <f t="shared" ref="E2764:E2769" si="93">D2764-D2763</f>
        <v>21000</v>
      </c>
    </row>
    <row r="2765" spans="1:5" s="1" customFormat="1" x14ac:dyDescent="0.2">
      <c r="A2765" s="42">
        <v>43799</v>
      </c>
      <c r="B2765" s="43">
        <f>VLOOKUP(A2765,Database!F:H,3,)</f>
        <v>219000</v>
      </c>
      <c r="C2765" s="43">
        <f t="shared" si="92"/>
        <v>4000</v>
      </c>
      <c r="D2765" s="43">
        <f>VLOOKUP(A2765,Database!F:H,2,)</f>
        <v>1705000</v>
      </c>
      <c r="E2765" s="43">
        <f t="shared" si="93"/>
        <v>6000</v>
      </c>
    </row>
    <row r="2766" spans="1:5" s="1" customFormat="1" x14ac:dyDescent="0.2">
      <c r="A2766" s="42">
        <v>43806</v>
      </c>
      <c r="B2766" s="43">
        <f>VLOOKUP(A2766,Database!F:H,3,)</f>
        <v>238000</v>
      </c>
      <c r="C2766" s="43">
        <f t="shared" si="92"/>
        <v>19000</v>
      </c>
      <c r="D2766" s="43">
        <f>VLOOKUP(A2766,Database!F:H,2,)</f>
        <v>1726000</v>
      </c>
      <c r="E2766" s="43">
        <f t="shared" si="93"/>
        <v>21000</v>
      </c>
    </row>
    <row r="2767" spans="1:5" s="1" customFormat="1" x14ac:dyDescent="0.2">
      <c r="A2767" s="42">
        <v>43813</v>
      </c>
      <c r="B2767" s="43">
        <f>VLOOKUP(A2767,Database!F:H,3,)</f>
        <v>227000</v>
      </c>
      <c r="C2767" s="43">
        <f t="shared" si="92"/>
        <v>-11000</v>
      </c>
      <c r="D2767" s="43">
        <f>VLOOKUP(A2767,Database!F:H,2,)</f>
        <v>1718000</v>
      </c>
      <c r="E2767" s="43">
        <f t="shared" si="93"/>
        <v>-8000</v>
      </c>
    </row>
    <row r="2768" spans="1:5" s="1" customFormat="1" x14ac:dyDescent="0.2">
      <c r="A2768" s="42">
        <v>43820</v>
      </c>
      <c r="B2768" s="43">
        <f>VLOOKUP(A2768,Database!F:H,3,)</f>
        <v>218000</v>
      </c>
      <c r="C2768" s="43">
        <f t="shared" si="92"/>
        <v>-9000</v>
      </c>
      <c r="D2768" s="43">
        <f>VLOOKUP(A2768,Database!F:H,2,)</f>
        <v>1725000</v>
      </c>
      <c r="E2768" s="43">
        <f t="shared" si="93"/>
        <v>7000</v>
      </c>
    </row>
    <row r="2769" spans="1:5" s="1" customFormat="1" x14ac:dyDescent="0.2">
      <c r="A2769" s="42">
        <v>43827</v>
      </c>
      <c r="B2769" s="43">
        <f>VLOOKUP(A2769,Database!F:H,3,)</f>
        <v>218000</v>
      </c>
      <c r="C2769" s="43">
        <f t="shared" si="92"/>
        <v>0</v>
      </c>
      <c r="D2769" s="43">
        <f>VLOOKUP(A2769,Database!F:H,2,)</f>
        <v>1779000</v>
      </c>
      <c r="E2769" s="43">
        <f t="shared" si="93"/>
        <v>54000</v>
      </c>
    </row>
    <row r="2770" spans="1:5" s="1" customFormat="1" x14ac:dyDescent="0.2">
      <c r="A2770" s="42">
        <v>43834</v>
      </c>
      <c r="B2770" s="43">
        <f>VLOOKUP(A2770,Database!F:H,3,)</f>
        <v>210000</v>
      </c>
      <c r="C2770" s="43">
        <f t="shared" ref="C2770:C2778" si="94">B2770-B2769</f>
        <v>-8000</v>
      </c>
      <c r="D2770" s="43">
        <f>VLOOKUP(A2770,Database!F:H,2,)</f>
        <v>1766000</v>
      </c>
      <c r="E2770" s="43">
        <f t="shared" ref="E2770:E2778" si="95">D2770-D2769</f>
        <v>-13000</v>
      </c>
    </row>
    <row r="2771" spans="1:5" s="1" customFormat="1" x14ac:dyDescent="0.2">
      <c r="A2771" s="42">
        <v>43841</v>
      </c>
      <c r="B2771" s="43">
        <f>VLOOKUP(A2771,Database!F:H,3,)</f>
        <v>206000</v>
      </c>
      <c r="C2771" s="43">
        <f t="shared" si="94"/>
        <v>-4000</v>
      </c>
      <c r="D2771" s="43">
        <f>VLOOKUP(A2771,Database!F:H,2,)</f>
        <v>1739000</v>
      </c>
      <c r="E2771" s="43">
        <f t="shared" si="95"/>
        <v>-27000</v>
      </c>
    </row>
    <row r="2772" spans="1:5" s="1" customFormat="1" x14ac:dyDescent="0.2">
      <c r="A2772" s="42">
        <v>43848</v>
      </c>
      <c r="B2772" s="43">
        <f>VLOOKUP(A2772,Database!F:H,3,)</f>
        <v>219000</v>
      </c>
      <c r="C2772" s="43">
        <f t="shared" si="94"/>
        <v>13000</v>
      </c>
      <c r="D2772" s="43">
        <f>VLOOKUP(A2772,Database!F:H,2,)</f>
        <v>1709000</v>
      </c>
      <c r="E2772" s="43">
        <f t="shared" si="95"/>
        <v>-30000</v>
      </c>
    </row>
    <row r="2773" spans="1:5" s="1" customFormat="1" x14ac:dyDescent="0.2">
      <c r="A2773" s="42">
        <v>43855</v>
      </c>
      <c r="B2773" s="43">
        <f>VLOOKUP(A2773,Database!F:H,3,)</f>
        <v>210000</v>
      </c>
      <c r="C2773" s="43">
        <f t="shared" si="94"/>
        <v>-9000</v>
      </c>
      <c r="D2773" s="43">
        <f>VLOOKUP(A2773,Database!F:H,2,)</f>
        <v>1752000</v>
      </c>
      <c r="E2773" s="43">
        <f t="shared" si="95"/>
        <v>43000</v>
      </c>
    </row>
    <row r="2774" spans="1:5" s="1" customFormat="1" x14ac:dyDescent="0.2">
      <c r="A2774" s="42">
        <v>43862</v>
      </c>
      <c r="B2774" s="43">
        <f>VLOOKUP(A2774,Database!F:H,3,)</f>
        <v>205000</v>
      </c>
      <c r="C2774" s="43">
        <f t="shared" si="94"/>
        <v>-5000</v>
      </c>
      <c r="D2774" s="43">
        <f>VLOOKUP(A2774,Database!F:H,2,)</f>
        <v>1698000</v>
      </c>
      <c r="E2774" s="43">
        <f t="shared" si="95"/>
        <v>-54000</v>
      </c>
    </row>
    <row r="2775" spans="1:5" s="1" customFormat="1" x14ac:dyDescent="0.2">
      <c r="A2775" s="42">
        <v>43869</v>
      </c>
      <c r="B2775" s="43">
        <f>VLOOKUP(A2775,Database!F:H,3,)</f>
        <v>207000</v>
      </c>
      <c r="C2775" s="43">
        <f t="shared" si="94"/>
        <v>2000</v>
      </c>
      <c r="D2775" s="43">
        <f>VLOOKUP(A2775,Database!F:H,2,)</f>
        <v>1734000</v>
      </c>
      <c r="E2775" s="43">
        <f t="shared" si="95"/>
        <v>36000</v>
      </c>
    </row>
    <row r="2776" spans="1:5" s="1" customFormat="1" x14ac:dyDescent="0.2">
      <c r="A2776" s="42">
        <v>43876</v>
      </c>
      <c r="B2776" s="43">
        <f>VLOOKUP(A2776,Database!F:H,3,)</f>
        <v>215000</v>
      </c>
      <c r="C2776" s="43">
        <f t="shared" si="94"/>
        <v>8000</v>
      </c>
      <c r="D2776" s="43">
        <f>VLOOKUP(A2776,Database!F:H,2,)</f>
        <v>1705000</v>
      </c>
      <c r="E2776" s="43">
        <f t="shared" si="95"/>
        <v>-29000</v>
      </c>
    </row>
    <row r="2777" spans="1:5" s="1" customFormat="1" x14ac:dyDescent="0.2">
      <c r="A2777" s="42">
        <v>43883</v>
      </c>
      <c r="B2777" s="43">
        <f>VLOOKUP(A2777,Database!F:H,3,)</f>
        <v>218000</v>
      </c>
      <c r="C2777" s="43">
        <f t="shared" si="94"/>
        <v>3000</v>
      </c>
      <c r="D2777" s="43">
        <f>VLOOKUP(A2777,Database!F:H,2,)</f>
        <v>1730000</v>
      </c>
      <c r="E2777" s="43">
        <f t="shared" si="95"/>
        <v>25000</v>
      </c>
    </row>
    <row r="2778" spans="1:5" s="1" customFormat="1" x14ac:dyDescent="0.2">
      <c r="A2778" s="42">
        <v>43890</v>
      </c>
      <c r="B2778" s="43">
        <f>VLOOKUP(A2778,Database!F:H,3,)</f>
        <v>216000</v>
      </c>
      <c r="C2778" s="43">
        <f t="shared" si="94"/>
        <v>-2000</v>
      </c>
      <c r="D2778" s="43">
        <f>VLOOKUP(A2778,Database!F:H,2,)</f>
        <v>1708000</v>
      </c>
      <c r="E2778" s="43">
        <f t="shared" si="95"/>
        <v>-22000</v>
      </c>
    </row>
    <row r="2779" spans="1:5" s="1" customFormat="1" x14ac:dyDescent="0.2">
      <c r="A2779" s="42">
        <v>43897</v>
      </c>
      <c r="B2779" s="43">
        <f>VLOOKUP(A2779,Database!F:H,3,)</f>
        <v>212000</v>
      </c>
      <c r="C2779" s="43">
        <f t="shared" ref="C2779:C2781" si="96">B2779-B2778</f>
        <v>-4000</v>
      </c>
      <c r="D2779" s="43">
        <f>VLOOKUP(A2779,Database!F:H,2,)</f>
        <v>1715000</v>
      </c>
      <c r="E2779" s="43">
        <f t="shared" ref="E2779:E2781" si="97">D2779-D2778</f>
        <v>7000</v>
      </c>
    </row>
    <row r="2780" spans="1:5" s="1" customFormat="1" x14ac:dyDescent="0.2">
      <c r="A2780" s="42">
        <v>43904</v>
      </c>
      <c r="B2780" s="43">
        <f>VLOOKUP(A2780,Database!F:H,3,)</f>
        <v>256000</v>
      </c>
      <c r="C2780" s="43">
        <f t="shared" si="96"/>
        <v>44000</v>
      </c>
      <c r="D2780" s="43">
        <f>VLOOKUP(A2780,Database!F:H,2,)</f>
        <v>1770000</v>
      </c>
      <c r="E2780" s="43">
        <f t="shared" si="97"/>
        <v>55000</v>
      </c>
    </row>
    <row r="2781" spans="1:5" s="1" customFormat="1" x14ac:dyDescent="0.2">
      <c r="A2781" s="42">
        <v>43911</v>
      </c>
      <c r="B2781" s="43">
        <f>VLOOKUP(A2781,Database!F:H,3,)</f>
        <v>2923000</v>
      </c>
      <c r="C2781" s="43">
        <f t="shared" si="96"/>
        <v>2667000</v>
      </c>
      <c r="D2781" s="43">
        <f>VLOOKUP(A2781,Database!F:H,2,)</f>
        <v>3094000</v>
      </c>
      <c r="E2781" s="43">
        <f t="shared" si="97"/>
        <v>1324000</v>
      </c>
    </row>
    <row r="2782" spans="1:5" s="1" customFormat="1" x14ac:dyDescent="0.2">
      <c r="A2782" s="42">
        <v>43918</v>
      </c>
      <c r="B2782" s="43">
        <f>VLOOKUP(A2782,Database!F:H,3,)</f>
        <v>5985000</v>
      </c>
      <c r="C2782" s="43">
        <f t="shared" ref="C2782:C2783" si="98">B2782-B2781</f>
        <v>3062000</v>
      </c>
      <c r="D2782" s="43">
        <f>VLOOKUP(A2782,Database!F:H,2,)</f>
        <v>7868000</v>
      </c>
      <c r="E2782" s="43">
        <f t="shared" ref="E2782:E2783" si="99">D2782-D2781</f>
        <v>4774000</v>
      </c>
    </row>
    <row r="2783" spans="1:5" s="1" customFormat="1" x14ac:dyDescent="0.2">
      <c r="A2783" s="42">
        <v>43925</v>
      </c>
      <c r="B2783" s="43">
        <f>VLOOKUP(A2783,Database!F:H,3,)</f>
        <v>6149000</v>
      </c>
      <c r="C2783" s="43">
        <f t="shared" si="98"/>
        <v>164000</v>
      </c>
      <c r="D2783" s="43">
        <f>VLOOKUP(A2783,Database!F:H,2,)</f>
        <v>12261000</v>
      </c>
      <c r="E2783" s="43">
        <f t="shared" si="99"/>
        <v>4393000</v>
      </c>
    </row>
    <row r="2784" spans="1:5" s="1" customFormat="1" x14ac:dyDescent="0.2">
      <c r="A2784" s="42">
        <v>43932</v>
      </c>
      <c r="B2784" s="43">
        <f>VLOOKUP(A2784,Database!F:H,3,)</f>
        <v>4869000</v>
      </c>
      <c r="C2784" s="43">
        <f t="shared" ref="C2784:C2786" si="100">B2784-B2783</f>
        <v>-1280000</v>
      </c>
      <c r="D2784" s="43">
        <f>VLOOKUP(A2784,Database!F:H,2,)</f>
        <v>16070000</v>
      </c>
      <c r="E2784" s="43">
        <f t="shared" ref="E2784:E2786" si="101">D2784-D2783</f>
        <v>3809000</v>
      </c>
    </row>
    <row r="2785" spans="1:5" s="1" customFormat="1" x14ac:dyDescent="0.2">
      <c r="A2785" s="42">
        <v>43939</v>
      </c>
      <c r="B2785" s="43">
        <f>VLOOKUP(A2785,Database!F:H,3,)</f>
        <v>4202000</v>
      </c>
      <c r="C2785" s="43">
        <f t="shared" si="100"/>
        <v>-667000</v>
      </c>
      <c r="D2785" s="43">
        <f>VLOOKUP(A2785,Database!F:H,2,)</f>
        <v>17656000</v>
      </c>
      <c r="E2785" s="43">
        <f t="shared" si="101"/>
        <v>1586000</v>
      </c>
    </row>
    <row r="2786" spans="1:5" s="1" customFormat="1" x14ac:dyDescent="0.2">
      <c r="A2786" s="42">
        <v>43946</v>
      </c>
      <c r="B2786" s="43">
        <f>VLOOKUP(A2786,Database!F:H,3,)</f>
        <v>3451000</v>
      </c>
      <c r="C2786" s="43">
        <f t="shared" si="100"/>
        <v>-751000</v>
      </c>
      <c r="D2786" s="43">
        <f>VLOOKUP(A2786,Database!F:H,2,)</f>
        <v>21664000</v>
      </c>
      <c r="E2786" s="43">
        <f t="shared" si="101"/>
        <v>4008000</v>
      </c>
    </row>
    <row r="2787" spans="1:5" s="1" customFormat="1" x14ac:dyDescent="0.2">
      <c r="A2787" s="42">
        <v>43953</v>
      </c>
      <c r="B2787" s="43">
        <f>VLOOKUP(A2787,Database!F:H,3,)</f>
        <v>2784000</v>
      </c>
      <c r="C2787" s="43">
        <f t="shared" ref="C2787:C2790" si="102">B2787-B2786</f>
        <v>-667000</v>
      </c>
      <c r="D2787" s="43">
        <f>VLOOKUP(A2787,Database!F:H,2,)</f>
        <v>20823000</v>
      </c>
      <c r="E2787" s="43">
        <f t="shared" ref="E2787:E2790" si="103">D2787-D2786</f>
        <v>-841000</v>
      </c>
    </row>
    <row r="2788" spans="1:5" s="1" customFormat="1" x14ac:dyDescent="0.2">
      <c r="A2788" s="42">
        <v>43960</v>
      </c>
      <c r="B2788" s="43">
        <f>VLOOKUP(A2788,Database!F:H,3,)</f>
        <v>2315000</v>
      </c>
      <c r="C2788" s="43">
        <f t="shared" si="102"/>
        <v>-469000</v>
      </c>
      <c r="D2788" s="43">
        <f>VLOOKUP(A2788,Database!F:H,2,)</f>
        <v>23128000</v>
      </c>
      <c r="E2788" s="43">
        <f t="shared" si="103"/>
        <v>2305000</v>
      </c>
    </row>
    <row r="2789" spans="1:5" s="1" customFormat="1" x14ac:dyDescent="0.2">
      <c r="A2789" s="42">
        <v>43967</v>
      </c>
      <c r="B2789" s="43">
        <f>VLOOKUP(A2789,Database!F:H,3,)</f>
        <v>2149000</v>
      </c>
      <c r="C2789" s="43">
        <f t="shared" si="102"/>
        <v>-166000</v>
      </c>
      <c r="D2789" s="43">
        <f>VLOOKUP(A2789,Database!F:H,2,)</f>
        <v>19181000</v>
      </c>
      <c r="E2789" s="43">
        <f t="shared" si="103"/>
        <v>-3947000</v>
      </c>
    </row>
    <row r="2790" spans="1:5" s="1" customFormat="1" x14ac:dyDescent="0.2">
      <c r="A2790" s="42">
        <v>43974</v>
      </c>
      <c r="B2790" s="43">
        <f>VLOOKUP(A2790,Database!F:H,3,)</f>
        <v>1887000</v>
      </c>
      <c r="C2790" s="43">
        <f t="shared" si="102"/>
        <v>-262000</v>
      </c>
      <c r="D2790" s="43">
        <f>VLOOKUP(A2790,Database!F:H,2,)</f>
        <v>19396000</v>
      </c>
      <c r="E2790" s="43">
        <f t="shared" si="103"/>
        <v>215000</v>
      </c>
    </row>
    <row r="2791" spans="1:5" s="1" customFormat="1" x14ac:dyDescent="0.2">
      <c r="A2791" s="42">
        <v>43981</v>
      </c>
      <c r="B2791" s="43">
        <f>VLOOKUP(A2791,Database!F:H,3,)</f>
        <v>1605000</v>
      </c>
      <c r="C2791" s="43">
        <f t="shared" ref="C2791:C2794" si="104">B2791-B2790</f>
        <v>-282000</v>
      </c>
      <c r="D2791" s="43">
        <f>VLOOKUP(A2791,Database!F:H,2,)</f>
        <v>19287000</v>
      </c>
      <c r="E2791" s="43">
        <f t="shared" ref="E2791:E2794" si="105">D2791-D2790</f>
        <v>-109000</v>
      </c>
    </row>
    <row r="2792" spans="1:5" s="1" customFormat="1" x14ac:dyDescent="0.2">
      <c r="A2792" s="42">
        <v>43988</v>
      </c>
      <c r="B2792" s="43">
        <f>VLOOKUP(A2792,Database!F:H,3,)</f>
        <v>1537000</v>
      </c>
      <c r="C2792" s="43">
        <f t="shared" si="104"/>
        <v>-68000</v>
      </c>
      <c r="D2792" s="43">
        <f>VLOOKUP(A2792,Database!F:H,2,)</f>
        <v>18927000</v>
      </c>
      <c r="E2792" s="43">
        <f t="shared" si="105"/>
        <v>-360000</v>
      </c>
    </row>
    <row r="2793" spans="1:5" s="1" customFormat="1" x14ac:dyDescent="0.2">
      <c r="A2793" s="42">
        <v>43995</v>
      </c>
      <c r="B2793" s="43">
        <f>VLOOKUP(A2793,Database!F:H,3,)</f>
        <v>1472000</v>
      </c>
      <c r="C2793" s="43">
        <f t="shared" si="104"/>
        <v>-65000</v>
      </c>
      <c r="D2793" s="43">
        <f>VLOOKUP(A2793,Database!F:H,2,)</f>
        <v>17993000</v>
      </c>
      <c r="E2793" s="43">
        <f t="shared" si="105"/>
        <v>-934000</v>
      </c>
    </row>
    <row r="2794" spans="1:5" s="1" customFormat="1" x14ac:dyDescent="0.2">
      <c r="A2794" s="42">
        <v>44002</v>
      </c>
      <c r="B2794" s="43">
        <f>VLOOKUP(A2794,Database!F:H,3,)</f>
        <v>1460000</v>
      </c>
      <c r="C2794" s="43">
        <f t="shared" si="104"/>
        <v>-12000</v>
      </c>
      <c r="D2794" s="43">
        <f>VLOOKUP(A2794,Database!F:H,2,)</f>
        <v>17713000</v>
      </c>
      <c r="E2794" s="43">
        <f t="shared" si="105"/>
        <v>-280000</v>
      </c>
    </row>
    <row r="2795" spans="1:5" s="1" customFormat="1" x14ac:dyDescent="0.2">
      <c r="A2795" s="42">
        <v>44009</v>
      </c>
      <c r="B2795" s="43">
        <f>VLOOKUP(A2795,Database!F:H,3,)</f>
        <v>1436000</v>
      </c>
      <c r="C2795" s="43">
        <f t="shared" ref="C2795:C2796" si="106">B2795-B2794</f>
        <v>-24000</v>
      </c>
      <c r="D2795" s="43">
        <f>VLOOKUP(A2795,Database!F:H,2,)</f>
        <v>16780000</v>
      </c>
      <c r="E2795" s="43">
        <f t="shared" ref="E2795:E2796" si="107">D2795-D2794</f>
        <v>-933000</v>
      </c>
    </row>
    <row r="2796" spans="1:5" s="1" customFormat="1" x14ac:dyDescent="0.2">
      <c r="A2796" s="42">
        <v>44016</v>
      </c>
      <c r="B2796" s="43">
        <f>VLOOKUP(A2796,Database!F:H,3,)</f>
        <v>1398000</v>
      </c>
      <c r="C2796" s="43">
        <f t="shared" si="106"/>
        <v>-38000</v>
      </c>
      <c r="D2796" s="43">
        <f>VLOOKUP(A2796,Database!F:H,2,)</f>
        <v>17413000</v>
      </c>
      <c r="E2796" s="43">
        <f t="shared" si="107"/>
        <v>633000</v>
      </c>
    </row>
    <row r="2797" spans="1:5" s="1" customFormat="1" x14ac:dyDescent="0.2">
      <c r="A2797" s="42">
        <v>44023</v>
      </c>
      <c r="B2797" s="43">
        <f>VLOOKUP(A2797,Database!F:H,3,)</f>
        <v>1479000</v>
      </c>
      <c r="C2797" s="43">
        <f t="shared" ref="C2797:C2804" si="108">B2797-B2796</f>
        <v>81000</v>
      </c>
      <c r="D2797" s="43">
        <f>VLOOKUP(A2797,Database!F:H,2,)</f>
        <v>16385000</v>
      </c>
      <c r="E2797" s="43">
        <f t="shared" ref="E2797:E2804" si="109">D2797-D2796</f>
        <v>-1028000</v>
      </c>
    </row>
    <row r="2798" spans="1:5" s="1" customFormat="1" x14ac:dyDescent="0.2">
      <c r="A2798" s="42">
        <v>44030</v>
      </c>
      <c r="B2798" s="43">
        <f>VLOOKUP(A2798,Database!F:H,3,)</f>
        <v>1398000</v>
      </c>
      <c r="C2798" s="43">
        <f t="shared" si="108"/>
        <v>-81000</v>
      </c>
      <c r="D2798" s="43">
        <f>VLOOKUP(A2798,Database!F:H,2,)</f>
        <v>16913000</v>
      </c>
      <c r="E2798" s="43">
        <f t="shared" si="109"/>
        <v>528000</v>
      </c>
    </row>
    <row r="2799" spans="1:5" s="1" customFormat="1" x14ac:dyDescent="0.2">
      <c r="A2799" s="42">
        <v>44037</v>
      </c>
      <c r="B2799" s="43">
        <f>VLOOKUP(A2799,Database!F:H,3,)</f>
        <v>1262000</v>
      </c>
      <c r="C2799" s="43">
        <f t="shared" si="108"/>
        <v>-136000</v>
      </c>
      <c r="D2799" s="43">
        <f>VLOOKUP(A2799,Database!F:H,2,)</f>
        <v>15964000</v>
      </c>
      <c r="E2799" s="43">
        <f t="shared" si="109"/>
        <v>-949000</v>
      </c>
    </row>
    <row r="2800" spans="1:5" s="1" customFormat="1" x14ac:dyDescent="0.2">
      <c r="A2800" s="42">
        <v>44044</v>
      </c>
      <c r="B2800" s="43">
        <f>VLOOKUP(A2800,Database!F:H,3,)</f>
        <v>1043000</v>
      </c>
      <c r="C2800" s="43">
        <f t="shared" si="108"/>
        <v>-219000</v>
      </c>
      <c r="D2800" s="43">
        <f>VLOOKUP(A2800,Database!F:H,2,)</f>
        <v>15303000</v>
      </c>
      <c r="E2800" s="43">
        <f t="shared" si="109"/>
        <v>-661000</v>
      </c>
    </row>
    <row r="2801" spans="1:5" s="1" customFormat="1" x14ac:dyDescent="0.2">
      <c r="A2801" s="42">
        <v>44051</v>
      </c>
      <c r="B2801" s="43">
        <f>VLOOKUP(A2801,Database!F:H,3,)</f>
        <v>883000</v>
      </c>
      <c r="C2801" s="43">
        <f t="shared" si="108"/>
        <v>-160000</v>
      </c>
      <c r="D2801" s="43">
        <f>VLOOKUP(A2801,Database!F:H,2,)</f>
        <v>14217000</v>
      </c>
      <c r="E2801" s="43">
        <f t="shared" si="109"/>
        <v>-1086000</v>
      </c>
    </row>
    <row r="2802" spans="1:5" s="1" customFormat="1" x14ac:dyDescent="0.2">
      <c r="A2802" s="42">
        <v>44058</v>
      </c>
      <c r="B2802" s="43">
        <f>VLOOKUP(A2802,Database!F:H,3,)</f>
        <v>920000</v>
      </c>
      <c r="C2802" s="43">
        <f t="shared" si="108"/>
        <v>37000</v>
      </c>
      <c r="D2802" s="43">
        <f>VLOOKUP(A2802,Database!F:H,2,)</f>
        <v>13948000</v>
      </c>
      <c r="E2802" s="43">
        <f t="shared" si="109"/>
        <v>-269000</v>
      </c>
    </row>
    <row r="2803" spans="1:5" s="1" customFormat="1" x14ac:dyDescent="0.2">
      <c r="A2803" s="42">
        <v>44065</v>
      </c>
      <c r="B2803" s="43">
        <f>VLOOKUP(A2803,Database!F:H,3,)</f>
        <v>872000</v>
      </c>
      <c r="C2803" s="43">
        <f t="shared" si="108"/>
        <v>-48000</v>
      </c>
      <c r="D2803" s="43">
        <f>VLOOKUP(A2803,Database!F:H,2,)</f>
        <v>13246000</v>
      </c>
      <c r="E2803" s="43">
        <f t="shared" si="109"/>
        <v>-702000</v>
      </c>
    </row>
    <row r="2804" spans="1:5" s="1" customFormat="1" x14ac:dyDescent="0.2">
      <c r="A2804" s="42">
        <v>44072</v>
      </c>
      <c r="B2804" s="43">
        <f>VLOOKUP(A2804,Database!F:H,3,)</f>
        <v>875000</v>
      </c>
      <c r="C2804" s="43">
        <f t="shared" si="108"/>
        <v>3000</v>
      </c>
      <c r="D2804" s="43">
        <f>VLOOKUP(A2804,Database!F:H,2,)</f>
        <v>13528000</v>
      </c>
      <c r="E2804" s="43">
        <f t="shared" si="109"/>
        <v>282000</v>
      </c>
    </row>
    <row r="2805" spans="1:5" s="1" customFormat="1" x14ac:dyDescent="0.2">
      <c r="A2805" s="42">
        <v>44079</v>
      </c>
      <c r="B2805" s="43">
        <f>VLOOKUP(A2805,Database!F:H,3,)</f>
        <v>881000</v>
      </c>
      <c r="C2805" s="43">
        <f t="shared" ref="C2805:C2807" si="110">B2805-B2804</f>
        <v>6000</v>
      </c>
      <c r="D2805" s="43">
        <f>VLOOKUP(A2805,Database!F:H,2,)</f>
        <v>12755000</v>
      </c>
      <c r="E2805" s="43">
        <f t="shared" ref="E2805:E2807" si="111">D2805-D2804</f>
        <v>-773000</v>
      </c>
    </row>
    <row r="2806" spans="1:5" s="1" customFormat="1" x14ac:dyDescent="0.2">
      <c r="A2806" s="42">
        <v>44086</v>
      </c>
      <c r="B2806" s="43">
        <f>VLOOKUP(A2806,Database!F:H,3,)</f>
        <v>860000</v>
      </c>
      <c r="C2806" s="43">
        <f t="shared" si="110"/>
        <v>-21000</v>
      </c>
      <c r="D2806" s="43">
        <f>VLOOKUP(A2806,Database!F:H,2,)</f>
        <v>12706000</v>
      </c>
      <c r="E2806" s="43">
        <f t="shared" si="111"/>
        <v>-49000</v>
      </c>
    </row>
    <row r="2807" spans="1:5" s="1" customFormat="1" x14ac:dyDescent="0.2">
      <c r="A2807" s="42">
        <v>44093</v>
      </c>
      <c r="B2807" s="43">
        <f>VLOOKUP(A2807,Database!F:H,3,)</f>
        <v>860000</v>
      </c>
      <c r="C2807" s="43">
        <f t="shared" si="110"/>
        <v>0</v>
      </c>
      <c r="D2807" s="43">
        <f>VLOOKUP(A2807,Database!F:H,2,)</f>
        <v>11381000</v>
      </c>
      <c r="E2807" s="43">
        <f t="shared" si="111"/>
        <v>-1325000</v>
      </c>
    </row>
    <row r="2808" spans="1:5" s="1" customFormat="1" x14ac:dyDescent="0.2">
      <c r="A2808" s="42">
        <v>44100</v>
      </c>
      <c r="B2808" s="43">
        <f>VLOOKUP(A2808,Database!F:H,3,)</f>
        <v>803000</v>
      </c>
      <c r="C2808" s="43">
        <f t="shared" ref="C2808:C2815" si="112">B2808-B2807</f>
        <v>-57000</v>
      </c>
      <c r="D2808" s="43">
        <f>VLOOKUP(A2808,Database!F:H,2,)</f>
        <v>10477000</v>
      </c>
      <c r="E2808" s="43">
        <f t="shared" ref="E2808:E2815" si="113">D2808-D2807</f>
        <v>-904000</v>
      </c>
    </row>
    <row r="2809" spans="1:5" s="1" customFormat="1" x14ac:dyDescent="0.2">
      <c r="A2809" s="42">
        <v>44107</v>
      </c>
      <c r="B2809" s="43">
        <f>VLOOKUP(A2809,Database!F:H,3,)</f>
        <v>782000</v>
      </c>
      <c r="C2809" s="43">
        <f t="shared" si="112"/>
        <v>-21000</v>
      </c>
      <c r="D2809" s="43">
        <f>VLOOKUP(A2809,Database!F:H,2,)</f>
        <v>9259000</v>
      </c>
      <c r="E2809" s="43">
        <f t="shared" si="113"/>
        <v>-1218000</v>
      </c>
    </row>
    <row r="2810" spans="1:5" s="1" customFormat="1" x14ac:dyDescent="0.2">
      <c r="A2810" s="42">
        <v>44114</v>
      </c>
      <c r="B2810" s="43">
        <f>VLOOKUP(A2810,Database!F:H,3,)</f>
        <v>833000</v>
      </c>
      <c r="C2810" s="43">
        <f t="shared" si="112"/>
        <v>51000</v>
      </c>
      <c r="D2810" s="43">
        <f>VLOOKUP(A2810,Database!F:H,2,)</f>
        <v>8384000</v>
      </c>
      <c r="E2810" s="43">
        <f t="shared" si="113"/>
        <v>-875000</v>
      </c>
    </row>
    <row r="2811" spans="1:5" s="1" customFormat="1" x14ac:dyDescent="0.2">
      <c r="A2811" s="42">
        <v>44121</v>
      </c>
      <c r="B2811" s="43">
        <f>VLOOKUP(A2811,Database!F:H,3,)</f>
        <v>798000</v>
      </c>
      <c r="C2811" s="43">
        <f t="shared" si="112"/>
        <v>-35000</v>
      </c>
      <c r="D2811" s="43">
        <f>VLOOKUP(A2811,Database!F:H,2,)</f>
        <v>7699000</v>
      </c>
      <c r="E2811" s="43">
        <f t="shared" si="113"/>
        <v>-685000</v>
      </c>
    </row>
    <row r="2812" spans="1:5" s="1" customFormat="1" x14ac:dyDescent="0.2">
      <c r="A2812" s="42">
        <v>44128</v>
      </c>
      <c r="B2812" s="43">
        <f>VLOOKUP(A2812,Database!F:H,3,)</f>
        <v>768000</v>
      </c>
      <c r="C2812" s="43">
        <f t="shared" si="112"/>
        <v>-30000</v>
      </c>
      <c r="D2812" s="43">
        <f>VLOOKUP(A2812,Database!F:H,2,)</f>
        <v>7076000</v>
      </c>
      <c r="E2812" s="43">
        <f t="shared" si="113"/>
        <v>-623000</v>
      </c>
    </row>
    <row r="2813" spans="1:5" s="1" customFormat="1" x14ac:dyDescent="0.2">
      <c r="A2813" s="42">
        <v>44135</v>
      </c>
      <c r="B2813" s="43">
        <f>VLOOKUP(A2813,Database!F:H,3,)</f>
        <v>765000</v>
      </c>
      <c r="C2813" s="43">
        <f t="shared" si="112"/>
        <v>-3000</v>
      </c>
      <c r="D2813" s="43">
        <f>VLOOKUP(A2813,Database!F:H,2,)</f>
        <v>6724000</v>
      </c>
      <c r="E2813" s="43">
        <f t="shared" si="113"/>
        <v>-352000</v>
      </c>
    </row>
    <row r="2814" spans="1:5" s="1" customFormat="1" x14ac:dyDescent="0.2">
      <c r="A2814" s="42">
        <v>44142</v>
      </c>
      <c r="B2814" s="43">
        <f>VLOOKUP(A2814,Database!F:H,3,)</f>
        <v>728000</v>
      </c>
      <c r="C2814" s="43">
        <f t="shared" si="112"/>
        <v>-37000</v>
      </c>
      <c r="D2814" s="43">
        <f>VLOOKUP(A2814,Database!F:H,2,)</f>
        <v>6389000</v>
      </c>
      <c r="E2814" s="43">
        <f t="shared" si="113"/>
        <v>-335000</v>
      </c>
    </row>
    <row r="2815" spans="1:5" s="1" customFormat="1" x14ac:dyDescent="0.2">
      <c r="A2815" s="42">
        <v>44149</v>
      </c>
      <c r="B2815" s="43">
        <f>VLOOKUP(A2815,Database!F:H,3,)</f>
        <v>732000</v>
      </c>
      <c r="C2815" s="43">
        <f t="shared" si="112"/>
        <v>4000</v>
      </c>
      <c r="D2815" s="43">
        <f>VLOOKUP(A2815,Database!F:H,2,)</f>
        <v>6138000</v>
      </c>
      <c r="E2815" s="43">
        <f t="shared" si="113"/>
        <v>-251000</v>
      </c>
    </row>
    <row r="2816" spans="1:5" s="1" customFormat="1" x14ac:dyDescent="0.2">
      <c r="A2816" s="42">
        <v>44156</v>
      </c>
      <c r="B2816" s="43">
        <f>VLOOKUP(A2816,Database!F:H,3,)</f>
        <v>762000</v>
      </c>
      <c r="C2816" s="43">
        <f t="shared" ref="C2816:C2817" si="114">B2816-B2815</f>
        <v>30000</v>
      </c>
      <c r="D2816" s="43">
        <f>VLOOKUP(A2816,Database!F:H,2,)</f>
        <v>5606000</v>
      </c>
      <c r="E2816" s="43">
        <f t="shared" ref="E2816:E2817" si="115">D2816-D2815</f>
        <v>-532000</v>
      </c>
    </row>
    <row r="2817" spans="1:5" s="1" customFormat="1" x14ac:dyDescent="0.2">
      <c r="A2817" s="42">
        <v>44163</v>
      </c>
      <c r="B2817" s="43">
        <f>VLOOKUP(A2817,Database!F:H,3,)</f>
        <v>719000</v>
      </c>
      <c r="C2817" s="43">
        <f t="shared" si="114"/>
        <v>-43000</v>
      </c>
      <c r="D2817" s="43">
        <f>VLOOKUP(A2817,Database!F:H,2,)</f>
        <v>5829000</v>
      </c>
      <c r="E2817" s="43">
        <f t="shared" si="115"/>
        <v>223000</v>
      </c>
    </row>
    <row r="2818" spans="1:5" s="1" customFormat="1" x14ac:dyDescent="0.2">
      <c r="A2818" s="42">
        <v>44170</v>
      </c>
      <c r="B2818" s="43">
        <f>VLOOKUP(A2818,Database!F:H,3,)</f>
        <v>853000</v>
      </c>
      <c r="C2818" s="43">
        <f t="shared" ref="C2818:C2823" si="116">B2818-B2817</f>
        <v>134000</v>
      </c>
      <c r="D2818" s="43">
        <f>VLOOKUP(A2818,Database!F:H,2,)</f>
        <v>5614000</v>
      </c>
      <c r="E2818" s="43">
        <f t="shared" ref="E2818:E2823" si="117">D2818-D2817</f>
        <v>-215000</v>
      </c>
    </row>
    <row r="2819" spans="1:5" s="1" customFormat="1" x14ac:dyDescent="0.2">
      <c r="A2819" s="42">
        <v>44177</v>
      </c>
      <c r="B2819" s="43">
        <f>VLOOKUP(A2819,Database!F:H,3,)</f>
        <v>873000</v>
      </c>
      <c r="C2819" s="43">
        <f t="shared" si="116"/>
        <v>20000</v>
      </c>
      <c r="D2819" s="43">
        <f>VLOOKUP(A2819,Database!F:H,2,)</f>
        <v>5433000</v>
      </c>
      <c r="E2819" s="43">
        <f t="shared" si="117"/>
        <v>-181000</v>
      </c>
    </row>
    <row r="2820" spans="1:5" s="1" customFormat="1" x14ac:dyDescent="0.2">
      <c r="A2820" s="42">
        <v>44184</v>
      </c>
      <c r="B2820" s="43">
        <f>VLOOKUP(A2820,Database!F:H,3,)</f>
        <v>803000</v>
      </c>
      <c r="C2820" s="43">
        <f t="shared" si="116"/>
        <v>-70000</v>
      </c>
      <c r="D2820" s="43">
        <f>VLOOKUP(A2820,Database!F:H,2,)</f>
        <v>5311000</v>
      </c>
      <c r="E2820" s="43">
        <f t="shared" si="117"/>
        <v>-122000</v>
      </c>
    </row>
    <row r="2821" spans="1:5" s="1" customFormat="1" x14ac:dyDescent="0.2">
      <c r="A2821" s="42">
        <v>44191</v>
      </c>
      <c r="B2821" s="43">
        <f>VLOOKUP(A2821,Database!F:H,3,)</f>
        <v>763000</v>
      </c>
      <c r="C2821" s="43">
        <f t="shared" si="116"/>
        <v>-40000</v>
      </c>
      <c r="D2821" s="43">
        <f>VLOOKUP(A2821,Database!F:H,2,)</f>
        <v>5180000</v>
      </c>
      <c r="E2821" s="43">
        <f t="shared" si="117"/>
        <v>-131000</v>
      </c>
    </row>
    <row r="2822" spans="1:5" s="1" customFormat="1" x14ac:dyDescent="0.2">
      <c r="A2822" s="42">
        <v>44198</v>
      </c>
      <c r="B2822" s="43">
        <f>VLOOKUP(A2822,Database!F:H,3,)</f>
        <v>781000</v>
      </c>
      <c r="C2822" s="43">
        <f t="shared" si="116"/>
        <v>18000</v>
      </c>
      <c r="D2822" s="43">
        <f>VLOOKUP(A2822,Database!F:H,2,)</f>
        <v>5240000</v>
      </c>
      <c r="E2822" s="43">
        <f t="shared" si="117"/>
        <v>60000</v>
      </c>
    </row>
    <row r="2823" spans="1:5" s="1" customFormat="1" x14ac:dyDescent="0.2">
      <c r="A2823" s="42">
        <v>44205</v>
      </c>
      <c r="B2823" s="43">
        <f>VLOOKUP(A2823,Database!F:H,3,)</f>
        <v>904000</v>
      </c>
      <c r="C2823" s="43">
        <f t="shared" si="116"/>
        <v>123000</v>
      </c>
      <c r="D2823" s="43">
        <f>VLOOKUP(A2823,Database!F:H,2,)</f>
        <v>5061000</v>
      </c>
      <c r="E2823" s="43">
        <f t="shared" si="117"/>
        <v>-179000</v>
      </c>
    </row>
    <row r="2824" spans="1:5" s="1" customFormat="1" x14ac:dyDescent="0.2">
      <c r="A2824" s="42">
        <v>44212</v>
      </c>
      <c r="B2824" s="43">
        <f>VLOOKUP(A2824,Database!F:H,3,)</f>
        <v>886000</v>
      </c>
      <c r="C2824" s="43">
        <f t="shared" ref="C2824:C2827" si="118">B2824-B2823</f>
        <v>-18000</v>
      </c>
      <c r="D2824" s="43">
        <f>VLOOKUP(A2824,Database!F:H,2,)</f>
        <v>4878000</v>
      </c>
      <c r="E2824" s="43">
        <f t="shared" ref="E2824:E2827" si="119">D2824-D2823</f>
        <v>-183000</v>
      </c>
    </row>
    <row r="2825" spans="1:5" s="1" customFormat="1" x14ac:dyDescent="0.2">
      <c r="A2825" s="42">
        <v>44219</v>
      </c>
      <c r="B2825" s="43">
        <f>VLOOKUP(A2825,Database!F:H,3,)</f>
        <v>836000</v>
      </c>
      <c r="C2825" s="43">
        <f t="shared" si="118"/>
        <v>-50000</v>
      </c>
      <c r="D2825" s="43">
        <f>VLOOKUP(A2825,Database!F:H,2,)</f>
        <v>4791000</v>
      </c>
      <c r="E2825" s="43">
        <f t="shared" si="119"/>
        <v>-87000</v>
      </c>
    </row>
    <row r="2826" spans="1:5" s="1" customFormat="1" x14ac:dyDescent="0.2">
      <c r="A2826" s="42">
        <v>44226</v>
      </c>
      <c r="B2826" s="43">
        <f>VLOOKUP(A2826,Database!F:H,3,)</f>
        <v>837000</v>
      </c>
      <c r="C2826" s="43">
        <f t="shared" si="118"/>
        <v>1000</v>
      </c>
      <c r="D2826" s="43">
        <f>VLOOKUP(A2826,Database!F:H,2,)</f>
        <v>4655000</v>
      </c>
      <c r="E2826" s="43">
        <f t="shared" si="119"/>
        <v>-136000</v>
      </c>
    </row>
    <row r="2827" spans="1:5" s="1" customFormat="1" x14ac:dyDescent="0.2">
      <c r="A2827" s="42">
        <v>44233</v>
      </c>
      <c r="B2827" s="43">
        <f>VLOOKUP(A2827,Database!F:H,3,)</f>
        <v>863000</v>
      </c>
      <c r="C2827" s="43">
        <f t="shared" si="118"/>
        <v>26000</v>
      </c>
      <c r="D2827" s="43">
        <f>VLOOKUP(A2827,Database!F:H,2,)</f>
        <v>4592000</v>
      </c>
      <c r="E2827" s="43">
        <f t="shared" si="119"/>
        <v>-63000</v>
      </c>
    </row>
    <row r="2828" spans="1:5" s="1" customFormat="1" x14ac:dyDescent="0.2">
      <c r="A2828" s="42">
        <v>44240</v>
      </c>
      <c r="B2828" s="43">
        <f>VLOOKUP(A2828,Database!F:H,3,)</f>
        <v>847000</v>
      </c>
      <c r="C2828" s="43">
        <f t="shared" ref="C2828:C2838" si="120">B2828-B2827</f>
        <v>-16000</v>
      </c>
      <c r="D2828" s="43">
        <f>VLOOKUP(A2828,Database!F:H,2,)</f>
        <v>4469000</v>
      </c>
      <c r="E2828" s="43">
        <f t="shared" ref="E2828:E2838" si="121">D2828-D2827</f>
        <v>-123000</v>
      </c>
    </row>
    <row r="2829" spans="1:5" s="1" customFormat="1" x14ac:dyDescent="0.2">
      <c r="A2829" s="42">
        <v>44247</v>
      </c>
      <c r="B2829" s="43">
        <f>VLOOKUP(A2829,Database!F:H,3,)</f>
        <v>747000</v>
      </c>
      <c r="C2829" s="43">
        <f t="shared" si="120"/>
        <v>-100000</v>
      </c>
      <c r="D2829" s="43">
        <f>VLOOKUP(A2829,Database!F:H,2,)</f>
        <v>4383000</v>
      </c>
      <c r="E2829" s="43">
        <f t="shared" si="121"/>
        <v>-86000</v>
      </c>
    </row>
    <row r="2830" spans="1:5" s="1" customFormat="1" x14ac:dyDescent="0.2">
      <c r="A2830" s="42">
        <v>44254</v>
      </c>
      <c r="B2830" s="43">
        <f>VLOOKUP(A2830,Database!F:H,3,)</f>
        <v>761000</v>
      </c>
      <c r="C2830" s="43">
        <f t="shared" si="120"/>
        <v>14000</v>
      </c>
      <c r="D2830" s="43">
        <f>VLOOKUP(A2830,Database!F:H,2,)</f>
        <v>4157000</v>
      </c>
      <c r="E2830" s="43">
        <f t="shared" si="121"/>
        <v>-226000</v>
      </c>
    </row>
    <row r="2831" spans="1:5" s="1" customFormat="1" x14ac:dyDescent="0.2">
      <c r="A2831" s="42">
        <v>44261</v>
      </c>
      <c r="B2831" s="43">
        <f>VLOOKUP(A2831,Database!F:H,3,)</f>
        <v>734000</v>
      </c>
      <c r="C2831" s="43">
        <f t="shared" si="120"/>
        <v>-27000</v>
      </c>
      <c r="D2831" s="43">
        <f>VLOOKUP(A2831,Database!F:H,2,)</f>
        <v>4123000</v>
      </c>
      <c r="E2831" s="43">
        <f t="shared" si="121"/>
        <v>-34000</v>
      </c>
    </row>
    <row r="2832" spans="1:5" s="1" customFormat="1" x14ac:dyDescent="0.2">
      <c r="A2832" s="42">
        <v>44268</v>
      </c>
      <c r="B2832" s="43">
        <f>VLOOKUP(A2832,Database!F:H,3,)</f>
        <v>765000</v>
      </c>
      <c r="C2832" s="43">
        <f t="shared" si="120"/>
        <v>31000</v>
      </c>
      <c r="D2832" s="43">
        <f>VLOOKUP(A2832,Database!F:H,2,)</f>
        <v>3841000</v>
      </c>
      <c r="E2832" s="43">
        <f t="shared" si="121"/>
        <v>-282000</v>
      </c>
    </row>
    <row r="2833" spans="1:5" s="1" customFormat="1" x14ac:dyDescent="0.2">
      <c r="A2833" s="42">
        <v>44275</v>
      </c>
      <c r="B2833" s="43">
        <f>VLOOKUP(A2833,Database!F:H,3,)</f>
        <v>658000</v>
      </c>
      <c r="C2833" s="43">
        <f t="shared" si="120"/>
        <v>-107000</v>
      </c>
      <c r="D2833" s="43">
        <f>VLOOKUP(A2833,Database!F:H,2,)</f>
        <v>3753000</v>
      </c>
      <c r="E2833" s="43">
        <f t="shared" si="121"/>
        <v>-88000</v>
      </c>
    </row>
    <row r="2834" spans="1:5" s="1" customFormat="1" x14ac:dyDescent="0.2">
      <c r="A2834" s="42">
        <v>44282</v>
      </c>
      <c r="B2834" s="43">
        <f>VLOOKUP(A2834,Database!F:H,3,)</f>
        <v>729000</v>
      </c>
      <c r="C2834" s="43">
        <f t="shared" si="120"/>
        <v>71000</v>
      </c>
      <c r="D2834" s="43">
        <f>VLOOKUP(A2834,Database!F:H,2,)</f>
        <v>3717000</v>
      </c>
      <c r="E2834" s="43">
        <f t="shared" si="121"/>
        <v>-36000</v>
      </c>
    </row>
    <row r="2835" spans="1:5" s="1" customFormat="1" x14ac:dyDescent="0.2">
      <c r="A2835" s="42">
        <v>44289</v>
      </c>
      <c r="B2835" s="43">
        <f>VLOOKUP(A2835,Database!F:H,3,)</f>
        <v>742000</v>
      </c>
      <c r="C2835" s="43">
        <f t="shared" si="120"/>
        <v>13000</v>
      </c>
      <c r="D2835" s="43">
        <f>VLOOKUP(A2835,Database!F:H,2,)</f>
        <v>3708000</v>
      </c>
      <c r="E2835" s="43">
        <f t="shared" si="121"/>
        <v>-9000</v>
      </c>
    </row>
    <row r="2836" spans="1:5" s="1" customFormat="1" x14ac:dyDescent="0.2">
      <c r="A2836" s="42">
        <v>44296</v>
      </c>
      <c r="B2836" s="43">
        <f>VLOOKUP(A2836,Database!F:H,3,)</f>
        <v>586000</v>
      </c>
      <c r="C2836" s="43">
        <f t="shared" si="120"/>
        <v>-156000</v>
      </c>
      <c r="D2836" s="43">
        <f>VLOOKUP(A2836,Database!F:H,2,)</f>
        <v>3652000</v>
      </c>
      <c r="E2836" s="43">
        <f t="shared" si="121"/>
        <v>-56000</v>
      </c>
    </row>
    <row r="2837" spans="1:5" s="1" customFormat="1" x14ac:dyDescent="0.2">
      <c r="A2837" s="42">
        <v>44303</v>
      </c>
      <c r="B2837" s="43">
        <f>VLOOKUP(A2837,Database!F:H,3,)</f>
        <v>566000</v>
      </c>
      <c r="C2837" s="43">
        <f t="shared" si="120"/>
        <v>-20000</v>
      </c>
      <c r="D2837" s="43">
        <f>VLOOKUP(A2837,Database!F:H,2,)</f>
        <v>3653000</v>
      </c>
      <c r="E2837" s="43">
        <f t="shared" si="121"/>
        <v>1000</v>
      </c>
    </row>
    <row r="2838" spans="1:5" s="1" customFormat="1" x14ac:dyDescent="0.2">
      <c r="A2838" s="42">
        <v>44310</v>
      </c>
      <c r="B2838" s="43">
        <f>VLOOKUP(A2838,Database!F:H,3,)</f>
        <v>590000</v>
      </c>
      <c r="C2838" s="43">
        <f t="shared" si="120"/>
        <v>24000</v>
      </c>
      <c r="D2838" s="43">
        <f>VLOOKUP(A2838,Database!F:H,2,)</f>
        <v>3680000</v>
      </c>
      <c r="E2838" s="43">
        <f t="shared" si="121"/>
        <v>27000</v>
      </c>
    </row>
    <row r="2839" spans="1:5" s="1" customFormat="1" x14ac:dyDescent="0.2">
      <c r="A2839" s="42">
        <v>44317</v>
      </c>
      <c r="B2839" s="43">
        <f>VLOOKUP(A2839,Database!F:H,3,)</f>
        <v>507000</v>
      </c>
      <c r="C2839" s="43">
        <f t="shared" ref="C2839:C2842" si="122">B2839-B2838</f>
        <v>-83000</v>
      </c>
      <c r="D2839" s="43">
        <f>VLOOKUP(A2839,Database!F:H,2,)</f>
        <v>3640000</v>
      </c>
      <c r="E2839" s="43">
        <f t="shared" ref="E2839:E2842" si="123">D2839-D2838</f>
        <v>-40000</v>
      </c>
    </row>
    <row r="2840" spans="1:5" s="1" customFormat="1" x14ac:dyDescent="0.2">
      <c r="A2840" s="42">
        <v>44324</v>
      </c>
      <c r="B2840" s="43">
        <f>VLOOKUP(A2840,Database!F:H,3,)</f>
        <v>478000</v>
      </c>
      <c r="C2840" s="43">
        <f t="shared" si="122"/>
        <v>-29000</v>
      </c>
      <c r="D2840" s="43">
        <f>VLOOKUP(A2840,Database!F:H,2,)</f>
        <v>3738000</v>
      </c>
      <c r="E2840" s="43">
        <f t="shared" si="123"/>
        <v>98000</v>
      </c>
    </row>
    <row r="2841" spans="1:5" s="1" customFormat="1" x14ac:dyDescent="0.2">
      <c r="A2841" s="42">
        <v>44331</v>
      </c>
      <c r="B2841" s="43">
        <f>VLOOKUP(A2841,Database!F:H,3,)</f>
        <v>444000</v>
      </c>
      <c r="C2841" s="43">
        <f t="shared" si="122"/>
        <v>-34000</v>
      </c>
      <c r="D2841" s="43">
        <f>VLOOKUP(A2841,Database!F:H,2,)</f>
        <v>3611000</v>
      </c>
      <c r="E2841" s="43">
        <f t="shared" si="123"/>
        <v>-127000</v>
      </c>
    </row>
    <row r="2842" spans="1:5" s="1" customFormat="1" x14ac:dyDescent="0.2">
      <c r="A2842" s="42">
        <v>44338</v>
      </c>
      <c r="B2842" s="43">
        <f>VLOOKUP(A2842,Database!F:H,3,)</f>
        <v>405000</v>
      </c>
      <c r="C2842" s="43">
        <f t="shared" si="122"/>
        <v>-39000</v>
      </c>
      <c r="D2842" s="43">
        <f>VLOOKUP(A2842,Database!F:H,2,)</f>
        <v>3769000</v>
      </c>
      <c r="E2842" s="43">
        <f t="shared" si="123"/>
        <v>158000</v>
      </c>
    </row>
    <row r="2843" spans="1:5" s="1" customFormat="1" x14ac:dyDescent="0.2">
      <c r="A2843" s="42">
        <v>44345</v>
      </c>
      <c r="B2843" s="43">
        <f>VLOOKUP(A2843,Database!F:H,3,)</f>
        <v>388000</v>
      </c>
      <c r="C2843" s="43">
        <f t="shared" ref="C2843:C2848" si="124">B2843-B2842</f>
        <v>-17000</v>
      </c>
      <c r="D2843" s="43">
        <f>VLOOKUP(A2843,Database!F:H,2,)</f>
        <v>3517000</v>
      </c>
      <c r="E2843" s="43">
        <f t="shared" ref="E2843:E2848" si="125">D2843-D2842</f>
        <v>-252000</v>
      </c>
    </row>
    <row r="2844" spans="1:5" s="1" customFormat="1" x14ac:dyDescent="0.2">
      <c r="A2844" s="42">
        <v>44352</v>
      </c>
      <c r="B2844" s="43">
        <f>VLOOKUP(A2844,Database!F:H,3,)</f>
        <v>374000</v>
      </c>
      <c r="C2844" s="43">
        <f t="shared" si="124"/>
        <v>-14000</v>
      </c>
      <c r="D2844" s="43">
        <f>VLOOKUP(A2844,Database!F:H,2,)</f>
        <v>3528000</v>
      </c>
      <c r="E2844" s="43">
        <f t="shared" si="125"/>
        <v>11000</v>
      </c>
    </row>
    <row r="2845" spans="1:5" s="1" customFormat="1" x14ac:dyDescent="0.2">
      <c r="A2845" s="42">
        <v>44359</v>
      </c>
      <c r="B2845" s="43">
        <f>VLOOKUP(A2845,Database!F:H,3,)</f>
        <v>418000</v>
      </c>
      <c r="C2845" s="43">
        <f t="shared" si="124"/>
        <v>44000</v>
      </c>
      <c r="D2845" s="43">
        <f>VLOOKUP(A2845,Database!F:H,2,)</f>
        <v>3412000</v>
      </c>
      <c r="E2845" s="43">
        <f t="shared" si="125"/>
        <v>-116000</v>
      </c>
    </row>
    <row r="2846" spans="1:5" s="1" customFormat="1" x14ac:dyDescent="0.2">
      <c r="A2846" s="42">
        <v>44366</v>
      </c>
      <c r="B2846" s="43">
        <f>VLOOKUP(A2846,Database!F:H,3,)</f>
        <v>416000</v>
      </c>
      <c r="C2846" s="43">
        <f t="shared" si="124"/>
        <v>-2000</v>
      </c>
      <c r="D2846" s="43">
        <f>VLOOKUP(A2846,Database!F:H,2,)</f>
        <v>3484000</v>
      </c>
      <c r="E2846" s="43">
        <f t="shared" si="125"/>
        <v>72000</v>
      </c>
    </row>
    <row r="2847" spans="1:5" s="1" customFormat="1" x14ac:dyDescent="0.2">
      <c r="A2847" s="42">
        <v>44373</v>
      </c>
      <c r="B2847" s="43">
        <f>VLOOKUP(A2847,Database!F:H,3,)</f>
        <v>368000</v>
      </c>
      <c r="C2847" s="43">
        <f t="shared" si="124"/>
        <v>-48000</v>
      </c>
      <c r="D2847" s="43">
        <f>VLOOKUP(A2847,Database!F:H,2,)</f>
        <v>3367000</v>
      </c>
      <c r="E2847" s="43">
        <f t="shared" si="125"/>
        <v>-117000</v>
      </c>
    </row>
    <row r="2848" spans="1:5" s="1" customFormat="1" x14ac:dyDescent="0.2">
      <c r="A2848" s="42">
        <v>44380</v>
      </c>
      <c r="B2848" s="43">
        <f>VLOOKUP(A2848,Database!F:H,3,)</f>
        <v>386000</v>
      </c>
      <c r="C2848" s="43">
        <f t="shared" si="124"/>
        <v>18000</v>
      </c>
      <c r="D2848" s="43">
        <f>VLOOKUP(A2848,Database!F:H,2,)</f>
        <v>3265000</v>
      </c>
      <c r="E2848" s="43">
        <f t="shared" si="125"/>
        <v>-102000</v>
      </c>
    </row>
    <row r="2849" spans="1:5" s="1" customFormat="1" x14ac:dyDescent="0.2">
      <c r="A2849" s="42">
        <v>44387</v>
      </c>
      <c r="B2849" s="43">
        <f>VLOOKUP(A2849,Database!F:H,3,)</f>
        <v>368000</v>
      </c>
      <c r="C2849" s="43">
        <f t="shared" ref="C2849:C2851" si="126">B2849-B2848</f>
        <v>-18000</v>
      </c>
      <c r="D2849" s="43">
        <f>VLOOKUP(A2849,Database!F:H,2,)</f>
        <v>3262000</v>
      </c>
      <c r="E2849" s="43">
        <f t="shared" ref="E2849:E2851" si="127">D2849-D2848</f>
        <v>-3000</v>
      </c>
    </row>
    <row r="2850" spans="1:5" s="1" customFormat="1" x14ac:dyDescent="0.2">
      <c r="A2850" s="42">
        <v>44394</v>
      </c>
      <c r="B2850" s="43">
        <f>VLOOKUP(A2850,Database!F:H,3,)</f>
        <v>424000</v>
      </c>
      <c r="C2850" s="43">
        <f t="shared" si="126"/>
        <v>56000</v>
      </c>
      <c r="D2850" s="43">
        <f>VLOOKUP(A2850,Database!F:H,2,)</f>
        <v>3296000</v>
      </c>
      <c r="E2850" s="43">
        <f t="shared" si="127"/>
        <v>34000</v>
      </c>
    </row>
    <row r="2851" spans="1:5" s="1" customFormat="1" x14ac:dyDescent="0.2">
      <c r="A2851" s="42">
        <v>44401</v>
      </c>
      <c r="B2851" s="43">
        <f>VLOOKUP(A2851,Database!F:H,3,)</f>
        <v>399000</v>
      </c>
      <c r="C2851" s="43">
        <f t="shared" si="126"/>
        <v>-25000</v>
      </c>
      <c r="D2851" s="43">
        <f>VLOOKUP(A2851,Database!F:H,2,)</f>
        <v>2980000</v>
      </c>
      <c r="E2851" s="43">
        <f t="shared" si="127"/>
        <v>-316000</v>
      </c>
    </row>
    <row r="2852" spans="1:5" s="1" customFormat="1" x14ac:dyDescent="0.2">
      <c r="A2852" s="42">
        <v>44408</v>
      </c>
      <c r="B2852" s="43">
        <f>VLOOKUP(A2852,Database!F:H,3,)</f>
        <v>387000</v>
      </c>
      <c r="C2852" s="43">
        <f t="shared" ref="C2852:C2855" si="128">B2852-B2851</f>
        <v>-12000</v>
      </c>
      <c r="D2852" s="43">
        <f>VLOOKUP(A2852,Database!F:H,2,)</f>
        <v>2899000</v>
      </c>
      <c r="E2852" s="43">
        <f t="shared" ref="E2852:E2855" si="129">D2852-D2851</f>
        <v>-81000</v>
      </c>
    </row>
    <row r="2853" spans="1:5" s="1" customFormat="1" x14ac:dyDescent="0.2">
      <c r="A2853" s="42">
        <v>44415</v>
      </c>
      <c r="B2853" s="43">
        <f>VLOOKUP(A2853,Database!F:H,3,)</f>
        <v>377000</v>
      </c>
      <c r="C2853" s="43">
        <f t="shared" si="128"/>
        <v>-10000</v>
      </c>
      <c r="D2853" s="43">
        <f>VLOOKUP(A2853,Database!F:H,2,)</f>
        <v>2865000</v>
      </c>
      <c r="E2853" s="43">
        <f t="shared" si="129"/>
        <v>-34000</v>
      </c>
    </row>
    <row r="2854" spans="1:5" s="1" customFormat="1" x14ac:dyDescent="0.2">
      <c r="A2854" s="42">
        <v>44422</v>
      </c>
      <c r="B2854" s="43">
        <f>VLOOKUP(A2854,Database!F:H,3,)</f>
        <v>349000</v>
      </c>
      <c r="C2854" s="43">
        <f t="shared" si="128"/>
        <v>-28000</v>
      </c>
      <c r="D2854" s="43">
        <f>VLOOKUP(A2854,Database!F:H,2,)</f>
        <v>2908000</v>
      </c>
      <c r="E2854" s="43">
        <f t="shared" si="129"/>
        <v>43000</v>
      </c>
    </row>
    <row r="2855" spans="1:5" s="1" customFormat="1" x14ac:dyDescent="0.2">
      <c r="A2855" s="42">
        <v>44429</v>
      </c>
      <c r="B2855" s="43">
        <f>VLOOKUP(A2855,Database!F:H,3,)</f>
        <v>354000</v>
      </c>
      <c r="C2855" s="43">
        <f t="shared" si="128"/>
        <v>5000</v>
      </c>
      <c r="D2855" s="43">
        <f>VLOOKUP(A2855,Database!F:H,2,)</f>
        <v>2748000</v>
      </c>
      <c r="E2855" s="43">
        <f t="shared" si="129"/>
        <v>-160000</v>
      </c>
    </row>
    <row r="2856" spans="1:5" s="1" customFormat="1" x14ac:dyDescent="0.2"/>
    <row r="2857" spans="1:5" s="1" customFormat="1" x14ac:dyDescent="0.2"/>
    <row r="2858" spans="1:5" s="1" customFormat="1" x14ac:dyDescent="0.2"/>
    <row r="2859" spans="1:5" s="1" customFormat="1" x14ac:dyDescent="0.2"/>
    <row r="2860" spans="1:5" s="1" customFormat="1" x14ac:dyDescent="0.2"/>
    <row r="2861" spans="1:5" s="1" customFormat="1" x14ac:dyDescent="0.2"/>
    <row r="2862" spans="1:5" s="1" customFormat="1" x14ac:dyDescent="0.2"/>
    <row r="2863" spans="1:5" s="1" customFormat="1" x14ac:dyDescent="0.2"/>
    <row r="2864" spans="1:5" s="1" customFormat="1" x14ac:dyDescent="0.2"/>
    <row r="2865" s="1" customFormat="1" x14ac:dyDescent="0.2"/>
    <row r="2866" s="1" customFormat="1" x14ac:dyDescent="0.2"/>
    <row r="2867" s="1" customFormat="1" x14ac:dyDescent="0.2"/>
    <row r="2868" s="1" customFormat="1" x14ac:dyDescent="0.2"/>
    <row r="2869" s="1" customFormat="1" x14ac:dyDescent="0.2"/>
    <row r="2870" s="1" customFormat="1" x14ac:dyDescent="0.2"/>
    <row r="2871" s="1" customFormat="1" x14ac:dyDescent="0.2"/>
    <row r="2872" s="1" customFormat="1" x14ac:dyDescent="0.2"/>
    <row r="2873" s="1" customFormat="1" x14ac:dyDescent="0.2"/>
    <row r="2874" s="1" customFormat="1" x14ac:dyDescent="0.2"/>
    <row r="2875" s="1" customFormat="1" x14ac:dyDescent="0.2"/>
    <row r="2876" s="1" customFormat="1" x14ac:dyDescent="0.2"/>
    <row r="2877" s="1" customFormat="1" x14ac:dyDescent="0.2"/>
    <row r="2878" s="1" customFormat="1" x14ac:dyDescent="0.2"/>
    <row r="2879" s="1" customFormat="1" x14ac:dyDescent="0.2"/>
    <row r="2880" s="1" customFormat="1" x14ac:dyDescent="0.2"/>
    <row r="2881" s="1" customFormat="1" x14ac:dyDescent="0.2"/>
    <row r="2882" s="1" customFormat="1" x14ac:dyDescent="0.2"/>
    <row r="2883" s="1" customFormat="1" x14ac:dyDescent="0.2"/>
    <row r="2884" s="1" customFormat="1" x14ac:dyDescent="0.2"/>
    <row r="2885" s="1" customFormat="1" x14ac:dyDescent="0.2"/>
    <row r="2886" s="1" customFormat="1" x14ac:dyDescent="0.2"/>
    <row r="2887" s="1" customFormat="1" x14ac:dyDescent="0.2"/>
    <row r="2888" s="1" customFormat="1" x14ac:dyDescent="0.2"/>
    <row r="2889" s="1" customFormat="1" x14ac:dyDescent="0.2"/>
    <row r="2890" s="1" customFormat="1" x14ac:dyDescent="0.2"/>
    <row r="2891" s="1" customFormat="1" x14ac:dyDescent="0.2"/>
    <row r="2892" s="1" customFormat="1" x14ac:dyDescent="0.2"/>
    <row r="2893" s="1" customFormat="1" x14ac:dyDescent="0.2"/>
    <row r="2894" s="1" customFormat="1" x14ac:dyDescent="0.2"/>
    <row r="2895" s="1" customFormat="1" x14ac:dyDescent="0.2"/>
    <row r="2896" s="1" customFormat="1" x14ac:dyDescent="0.2"/>
    <row r="2897" s="1" customFormat="1" x14ac:dyDescent="0.2"/>
    <row r="2898" s="1" customFormat="1" x14ac:dyDescent="0.2"/>
    <row r="2899" s="1" customFormat="1" x14ac:dyDescent="0.2"/>
    <row r="2900" s="1" customFormat="1" x14ac:dyDescent="0.2"/>
    <row r="2901" s="1" customFormat="1" x14ac:dyDescent="0.2"/>
    <row r="2902" s="1" customFormat="1" x14ac:dyDescent="0.2"/>
    <row r="2903" s="1" customFormat="1" x14ac:dyDescent="0.2"/>
    <row r="2904" s="1" customFormat="1" x14ac:dyDescent="0.2"/>
    <row r="2905" s="1" customFormat="1" x14ac:dyDescent="0.2"/>
    <row r="2906" s="1" customFormat="1" x14ac:dyDescent="0.2"/>
    <row r="2907" s="1" customFormat="1" x14ac:dyDescent="0.2"/>
    <row r="2908" s="1" customFormat="1" x14ac:dyDescent="0.2"/>
    <row r="2909" s="1" customFormat="1" x14ac:dyDescent="0.2"/>
    <row r="2910" s="1" customFormat="1" x14ac:dyDescent="0.2"/>
    <row r="2911" s="1" customFormat="1" x14ac:dyDescent="0.2"/>
    <row r="2912" s="1" customFormat="1" x14ac:dyDescent="0.2"/>
    <row r="2913" s="1" customFormat="1" x14ac:dyDescent="0.2"/>
    <row r="2914" s="1" customFormat="1" x14ac:dyDescent="0.2"/>
    <row r="2915" s="1" customFormat="1" x14ac:dyDescent="0.2"/>
    <row r="2916" s="1" customFormat="1" x14ac:dyDescent="0.2"/>
    <row r="2917" s="1" customFormat="1" x14ac:dyDescent="0.2"/>
    <row r="2918" s="1" customFormat="1" x14ac:dyDescent="0.2"/>
    <row r="2919" s="1" customFormat="1" x14ac:dyDescent="0.2"/>
    <row r="2920" s="1" customFormat="1" x14ac:dyDescent="0.2"/>
    <row r="2921" s="1" customFormat="1" x14ac:dyDescent="0.2"/>
    <row r="2922" s="1" customFormat="1" x14ac:dyDescent="0.2"/>
    <row r="2923" s="1" customFormat="1" x14ac:dyDescent="0.2"/>
    <row r="2924" s="1" customFormat="1" x14ac:dyDescent="0.2"/>
    <row r="2925" s="1" customFormat="1" x14ac:dyDescent="0.2"/>
    <row r="2926" s="1" customFormat="1" x14ac:dyDescent="0.2"/>
    <row r="2927" s="1" customFormat="1" x14ac:dyDescent="0.2"/>
    <row r="2928" s="1" customFormat="1" x14ac:dyDescent="0.2"/>
    <row r="2929" s="1" customFormat="1" x14ac:dyDescent="0.2"/>
    <row r="2930" s="1" customFormat="1" x14ac:dyDescent="0.2"/>
    <row r="2931" s="1" customFormat="1" x14ac:dyDescent="0.2"/>
    <row r="2932" s="1" customFormat="1" x14ac:dyDescent="0.2"/>
    <row r="2933" s="1" customFormat="1" x14ac:dyDescent="0.2"/>
    <row r="2934" s="1" customFormat="1" x14ac:dyDescent="0.2"/>
    <row r="2935" s="1" customFormat="1" x14ac:dyDescent="0.2"/>
    <row r="2936" s="1" customFormat="1" x14ac:dyDescent="0.2"/>
    <row r="2937" s="1" customFormat="1" x14ac:dyDescent="0.2"/>
    <row r="2938" s="1" customFormat="1" x14ac:dyDescent="0.2"/>
    <row r="2939" s="1" customFormat="1" x14ac:dyDescent="0.2"/>
    <row r="2940" s="1" customFormat="1" x14ac:dyDescent="0.2"/>
    <row r="2941" s="1" customFormat="1" x14ac:dyDescent="0.2"/>
    <row r="2942" s="1" customFormat="1" x14ac:dyDescent="0.2"/>
    <row r="2943" s="1" customFormat="1" x14ac:dyDescent="0.2"/>
    <row r="2944" s="1" customFormat="1" x14ac:dyDescent="0.2"/>
    <row r="2945" s="1" customFormat="1" x14ac:dyDescent="0.2"/>
    <row r="2946" s="1" customFormat="1" x14ac:dyDescent="0.2"/>
    <row r="2947" s="1" customFormat="1" x14ac:dyDescent="0.2"/>
    <row r="2948" s="1" customFormat="1" x14ac:dyDescent="0.2"/>
    <row r="2949" s="1" customFormat="1" x14ac:dyDescent="0.2"/>
    <row r="2950" s="1" customFormat="1" x14ac:dyDescent="0.2"/>
    <row r="2951" s="1" customFormat="1" x14ac:dyDescent="0.2"/>
    <row r="2952" s="1" customFormat="1" x14ac:dyDescent="0.2"/>
    <row r="2953" s="1" customFormat="1" x14ac:dyDescent="0.2"/>
    <row r="2954" s="1" customFormat="1" x14ac:dyDescent="0.2"/>
    <row r="2955" s="1" customFormat="1" x14ac:dyDescent="0.2"/>
    <row r="2956" s="1" customFormat="1" x14ac:dyDescent="0.2"/>
    <row r="2957" s="1" customFormat="1" x14ac:dyDescent="0.2"/>
    <row r="2958" s="1" customFormat="1" x14ac:dyDescent="0.2"/>
    <row r="2959" s="1" customFormat="1" x14ac:dyDescent="0.2"/>
    <row r="2960" s="1" customFormat="1" x14ac:dyDescent="0.2"/>
    <row r="2961" s="1" customFormat="1" x14ac:dyDescent="0.2"/>
    <row r="2962" s="1" customFormat="1" x14ac:dyDescent="0.2"/>
    <row r="2963" s="1" customFormat="1" x14ac:dyDescent="0.2"/>
    <row r="2964" s="1" customFormat="1" x14ac:dyDescent="0.2"/>
    <row r="2965" s="1" customFormat="1" x14ac:dyDescent="0.2"/>
    <row r="2966" s="1" customFormat="1" x14ac:dyDescent="0.2"/>
    <row r="2967" s="1" customFormat="1" x14ac:dyDescent="0.2"/>
    <row r="2968" s="1" customFormat="1" x14ac:dyDescent="0.2"/>
    <row r="2969" s="1" customFormat="1" x14ac:dyDescent="0.2"/>
    <row r="2970" s="1" customFormat="1" x14ac:dyDescent="0.2"/>
    <row r="2971" s="1" customFormat="1" x14ac:dyDescent="0.2"/>
    <row r="2972" s="1" customFormat="1" x14ac:dyDescent="0.2"/>
    <row r="2973" s="1" customFormat="1" x14ac:dyDescent="0.2"/>
    <row r="2974" s="1" customFormat="1" x14ac:dyDescent="0.2"/>
    <row r="2975" s="1" customFormat="1" x14ac:dyDescent="0.2"/>
    <row r="2976" s="1" customFormat="1" x14ac:dyDescent="0.2"/>
    <row r="2977" s="1" customFormat="1" x14ac:dyDescent="0.2"/>
    <row r="2978" s="1" customFormat="1" x14ac:dyDescent="0.2"/>
    <row r="2979" s="1" customFormat="1" x14ac:dyDescent="0.2"/>
    <row r="2980" s="1" customFormat="1" x14ac:dyDescent="0.2"/>
    <row r="2981" s="1" customFormat="1" x14ac:dyDescent="0.2"/>
    <row r="2982" s="1" customFormat="1" x14ac:dyDescent="0.2"/>
    <row r="2983" s="1" customFormat="1" x14ac:dyDescent="0.2"/>
    <row r="2984" s="1" customFormat="1" x14ac:dyDescent="0.2"/>
    <row r="2985" s="1" customFormat="1" x14ac:dyDescent="0.2"/>
    <row r="2986" s="1" customFormat="1" x14ac:dyDescent="0.2"/>
    <row r="2987" s="1" customFormat="1" x14ac:dyDescent="0.2"/>
    <row r="2988" s="1" customFormat="1" x14ac:dyDescent="0.2"/>
    <row r="2989" s="1" customFormat="1" x14ac:dyDescent="0.2"/>
    <row r="2990" s="1" customFormat="1" x14ac:dyDescent="0.2"/>
    <row r="2991" s="1" customFormat="1" x14ac:dyDescent="0.2"/>
    <row r="2992" s="1" customFormat="1" x14ac:dyDescent="0.2"/>
    <row r="2993" s="1" customFormat="1" x14ac:dyDescent="0.2"/>
    <row r="2994" s="1" customFormat="1" x14ac:dyDescent="0.2"/>
    <row r="2995" s="1" customFormat="1" x14ac:dyDescent="0.2"/>
    <row r="2996" s="1" customFormat="1" x14ac:dyDescent="0.2"/>
    <row r="2997" s="1" customFormat="1" x14ac:dyDescent="0.2"/>
    <row r="2998" s="1" customFormat="1" x14ac:dyDescent="0.2"/>
    <row r="2999" s="1" customFormat="1" x14ac:dyDescent="0.2"/>
    <row r="3000" s="1" customFormat="1" x14ac:dyDescent="0.2"/>
    <row r="3001" s="1" customFormat="1" x14ac:dyDescent="0.2"/>
    <row r="3002" s="1" customFormat="1" x14ac:dyDescent="0.2"/>
    <row r="3003" s="1" customFormat="1" x14ac:dyDescent="0.2"/>
    <row r="3004" s="1" customFormat="1" x14ac:dyDescent="0.2"/>
    <row r="3005" s="1" customFormat="1" x14ac:dyDescent="0.2"/>
    <row r="3006" s="1" customFormat="1" x14ac:dyDescent="0.2"/>
    <row r="3007" s="1" customFormat="1" x14ac:dyDescent="0.2"/>
    <row r="3008" s="1" customFormat="1" x14ac:dyDescent="0.2"/>
    <row r="3009" s="1" customFormat="1" x14ac:dyDescent="0.2"/>
    <row r="3010" s="1" customFormat="1" x14ac:dyDescent="0.2"/>
    <row r="3011" s="1" customFormat="1" x14ac:dyDescent="0.2"/>
    <row r="3012" s="1" customFormat="1" x14ac:dyDescent="0.2"/>
    <row r="3013" s="1" customFormat="1" x14ac:dyDescent="0.2"/>
    <row r="3014" s="1" customFormat="1" x14ac:dyDescent="0.2"/>
    <row r="3015" s="1" customFormat="1" x14ac:dyDescent="0.2"/>
    <row r="3016" s="1" customFormat="1" x14ac:dyDescent="0.2"/>
    <row r="3017" s="1" customFormat="1" x14ac:dyDescent="0.2"/>
    <row r="3018" s="1" customFormat="1" x14ac:dyDescent="0.2"/>
    <row r="3019" s="1" customFormat="1" x14ac:dyDescent="0.2"/>
    <row r="3020" s="1" customFormat="1" x14ac:dyDescent="0.2"/>
    <row r="3021" s="1" customFormat="1" x14ac:dyDescent="0.2"/>
    <row r="3022" s="1" customFormat="1" x14ac:dyDescent="0.2"/>
    <row r="3023" s="1" customFormat="1" x14ac:dyDescent="0.2"/>
    <row r="3024" s="1" customFormat="1" x14ac:dyDescent="0.2"/>
    <row r="3025" s="1" customFormat="1" x14ac:dyDescent="0.2"/>
    <row r="3026" s="1" customFormat="1" x14ac:dyDescent="0.2"/>
    <row r="3027" s="1" customFormat="1" x14ac:dyDescent="0.2"/>
    <row r="3028" s="1" customFormat="1" x14ac:dyDescent="0.2"/>
    <row r="3029" s="1" customFormat="1" x14ac:dyDescent="0.2"/>
    <row r="3030" s="1" customFormat="1" x14ac:dyDescent="0.2"/>
    <row r="3031" s="1" customFormat="1" x14ac:dyDescent="0.2"/>
    <row r="3032" s="1" customFormat="1" x14ac:dyDescent="0.2"/>
    <row r="3033" s="1" customFormat="1" x14ac:dyDescent="0.2"/>
    <row r="3034" s="1" customFormat="1" x14ac:dyDescent="0.2"/>
    <row r="3035" s="1" customFormat="1" x14ac:dyDescent="0.2"/>
    <row r="3036" s="1" customFormat="1" x14ac:dyDescent="0.2"/>
    <row r="3037" s="1" customFormat="1" x14ac:dyDescent="0.2"/>
    <row r="3038" s="1" customFormat="1" x14ac:dyDescent="0.2"/>
    <row r="3039" s="1" customFormat="1" x14ac:dyDescent="0.2"/>
    <row r="3040" s="1" customFormat="1" x14ac:dyDescent="0.2"/>
    <row r="3041" s="1" customFormat="1" x14ac:dyDescent="0.2"/>
    <row r="3042" s="1" customFormat="1" x14ac:dyDescent="0.2"/>
    <row r="3043" s="1" customFormat="1" x14ac:dyDescent="0.2"/>
    <row r="3044" s="1" customFormat="1" x14ac:dyDescent="0.2"/>
    <row r="3045" s="1" customFormat="1" x14ac:dyDescent="0.2"/>
    <row r="3046" s="1" customFormat="1" x14ac:dyDescent="0.2"/>
    <row r="3047" s="1" customFormat="1" x14ac:dyDescent="0.2"/>
    <row r="3048" s="1" customFormat="1" x14ac:dyDescent="0.2"/>
    <row r="3049" s="1" customFormat="1" x14ac:dyDescent="0.2"/>
    <row r="3050" s="1" customFormat="1" x14ac:dyDescent="0.2"/>
    <row r="3051" s="1" customFormat="1" x14ac:dyDescent="0.2"/>
    <row r="3052" s="1" customFormat="1" x14ac:dyDescent="0.2"/>
    <row r="3053" s="1" customFormat="1" x14ac:dyDescent="0.2"/>
    <row r="3054" s="1" customFormat="1" x14ac:dyDescent="0.2"/>
    <row r="3055" s="1" customFormat="1" x14ac:dyDescent="0.2"/>
    <row r="3056" s="1" customFormat="1" x14ac:dyDescent="0.2"/>
    <row r="3057" s="1" customFormat="1" x14ac:dyDescent="0.2"/>
    <row r="3058" s="1" customFormat="1" x14ac:dyDescent="0.2"/>
    <row r="3059" s="1" customFormat="1" x14ac:dyDescent="0.2"/>
    <row r="3060" s="1" customFormat="1" x14ac:dyDescent="0.2"/>
    <row r="3061" s="1" customFormat="1" x14ac:dyDescent="0.2"/>
    <row r="3062" s="1" customFormat="1" x14ac:dyDescent="0.2"/>
  </sheetData>
  <conditionalFormatting sqref="B2694:B2855">
    <cfRule type="colorScale" priority="164">
      <colorScale>
        <cfvo type="min"/>
        <cfvo type="percentile" val="50"/>
        <cfvo type="max"/>
        <color rgb="FF63BE7B"/>
        <color rgb="FFFFEB84"/>
        <color rgb="FFF8696B"/>
      </colorScale>
    </cfRule>
  </conditionalFormatting>
  <conditionalFormatting sqref="D2694:D2855">
    <cfRule type="colorScale" priority="165">
      <colorScale>
        <cfvo type="min"/>
        <cfvo type="percentile" val="50"/>
        <cfvo type="max"/>
        <color rgb="FF63BE7B"/>
        <color rgb="FFFFEB84"/>
        <color rgb="FFF8696B"/>
      </colorScale>
    </cfRule>
  </conditionalFormatting>
  <pageMargins left="0.7" right="0.7" top="0.75" bottom="0.75" header="0.3" footer="0.3"/>
  <ignoredErrors>
    <ignoredError sqref="D6:D2744 D2745:D2851 D2852:D2855" formula="1"/>
  </ignoredErrors>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B050"/>
  </sheetPr>
  <dimension ref="A1"/>
  <sheetViews>
    <sheetView topLeftCell="A18" zoomScale="90" zoomScaleNormal="90" workbookViewId="0">
      <selection activeCell="Z61" sqref="Z61"/>
    </sheetView>
  </sheetViews>
  <sheetFormatPr baseColWidth="10" defaultColWidth="9.1640625" defaultRowHeight="15" x14ac:dyDescent="0.2"/>
  <cols>
    <col min="1" max="16384" width="9.1640625" style="1"/>
  </cols>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C253A-B2C5-4DDD-B301-98204FADED87}">
  <sheetPr codeName="Sheet6">
    <tabColor rgb="FF00B050"/>
  </sheetPr>
  <dimension ref="A1:FH552"/>
  <sheetViews>
    <sheetView zoomScale="130" zoomScaleNormal="130" workbookViewId="0">
      <pane ySplit="5" topLeftCell="A220" activePane="bottomLeft" state="frozen"/>
      <selection activeCell="K1" sqref="K1"/>
      <selection pane="bottomLeft" activeCell="J273" sqref="J273"/>
    </sheetView>
  </sheetViews>
  <sheetFormatPr baseColWidth="10" defaultColWidth="8.83203125" defaultRowHeight="15" x14ac:dyDescent="0.2"/>
  <cols>
    <col min="1" max="1" width="10.6640625" style="6" bestFit="1" customWidth="1"/>
    <col min="2" max="2" width="9.1640625" style="6"/>
    <col min="3" max="3" width="9.1640625" style="6" customWidth="1"/>
    <col min="4" max="4" width="11.33203125" style="6" customWidth="1"/>
    <col min="5" max="5" width="9.1640625" style="6"/>
    <col min="6" max="164" width="9.1640625" style="1"/>
  </cols>
  <sheetData>
    <row r="1" spans="1:11" s="1" customFormat="1" x14ac:dyDescent="0.2">
      <c r="A1" s="49" t="s">
        <v>33</v>
      </c>
      <c r="B1" s="23"/>
      <c r="C1" s="21"/>
      <c r="D1" s="21"/>
      <c r="E1" s="21"/>
      <c r="K1" s="24"/>
    </row>
    <row r="2" spans="1:11" s="1" customFormat="1" x14ac:dyDescent="0.2">
      <c r="A2" s="3" t="s">
        <v>108</v>
      </c>
      <c r="B2" s="21"/>
      <c r="C2" s="21"/>
      <c r="D2" s="21"/>
      <c r="E2" s="21"/>
    </row>
    <row r="3" spans="1:11" s="1" customFormat="1" x14ac:dyDescent="0.2">
      <c r="A3" s="3" t="s">
        <v>109</v>
      </c>
      <c r="B3" s="21"/>
      <c r="C3" s="21"/>
      <c r="D3" s="21"/>
      <c r="E3" s="21"/>
    </row>
    <row r="4" spans="1:11" s="1" customFormat="1" x14ac:dyDescent="0.2">
      <c r="A4" s="21"/>
      <c r="B4" s="21"/>
      <c r="C4" s="21"/>
      <c r="D4" s="21"/>
      <c r="E4" s="21"/>
    </row>
    <row r="5" spans="1:11" x14ac:dyDescent="0.2">
      <c r="A5" s="46" t="s">
        <v>0</v>
      </c>
      <c r="B5" s="46" t="s">
        <v>30</v>
      </c>
      <c r="C5" s="46" t="s">
        <v>31</v>
      </c>
      <c r="D5" s="46" t="s">
        <v>32</v>
      </c>
      <c r="E5" s="46" t="s">
        <v>1</v>
      </c>
    </row>
    <row r="6" spans="1:11" x14ac:dyDescent="0.2">
      <c r="A6" s="47">
        <v>37012</v>
      </c>
      <c r="B6" s="27" t="s">
        <v>19</v>
      </c>
      <c r="C6" s="27">
        <f>LEN(B6)</f>
        <v>5</v>
      </c>
      <c r="D6" s="29">
        <v>-175</v>
      </c>
      <c r="E6" s="29">
        <f>VLOOKUP(A6,NFP!A:C,3)</f>
        <v>-53</v>
      </c>
      <c r="H6" s="1">
        <f>CORREL(Table3[[ADP ]],Table3[NFP])</f>
        <v>0.98376494231221856</v>
      </c>
      <c r="J6" s="45"/>
    </row>
    <row r="7" spans="1:11" x14ac:dyDescent="0.2">
      <c r="A7" s="47">
        <v>37043</v>
      </c>
      <c r="B7" s="27" t="s">
        <v>20</v>
      </c>
      <c r="C7" s="27">
        <f t="shared" ref="C7:C70" si="0">LEN(B7)</f>
        <v>5</v>
      </c>
      <c r="D7" s="29">
        <v>-230</v>
      </c>
      <c r="E7" s="29">
        <f>VLOOKUP(A7,NFP!A:C,3)</f>
        <v>-111</v>
      </c>
    </row>
    <row r="8" spans="1:11" x14ac:dyDescent="0.2">
      <c r="A8" s="47">
        <v>37073</v>
      </c>
      <c r="B8" s="27" t="s">
        <v>21</v>
      </c>
      <c r="C8" s="27">
        <f t="shared" si="0"/>
        <v>5</v>
      </c>
      <c r="D8" s="29">
        <v>-203</v>
      </c>
      <c r="E8" s="29">
        <f>VLOOKUP(A8,NFP!A:C,3)</f>
        <v>-122</v>
      </c>
    </row>
    <row r="9" spans="1:11" x14ac:dyDescent="0.2">
      <c r="A9" s="47">
        <v>37104</v>
      </c>
      <c r="B9" s="27" t="s">
        <v>22</v>
      </c>
      <c r="C9" s="27">
        <f t="shared" si="0"/>
        <v>5</v>
      </c>
      <c r="D9" s="48">
        <v>-246</v>
      </c>
      <c r="E9" s="29">
        <f>VLOOKUP(A9,NFP!A:C,3)</f>
        <v>-149</v>
      </c>
    </row>
    <row r="10" spans="1:11" x14ac:dyDescent="0.2">
      <c r="A10" s="47">
        <v>37135</v>
      </c>
      <c r="B10" s="27" t="s">
        <v>23</v>
      </c>
      <c r="C10" s="27">
        <f t="shared" si="0"/>
        <v>5</v>
      </c>
      <c r="D10" s="48">
        <v>-261</v>
      </c>
      <c r="E10" s="29">
        <f>VLOOKUP(A10,NFP!A:C,3)</f>
        <v>-257</v>
      </c>
    </row>
    <row r="11" spans="1:11" x14ac:dyDescent="0.2">
      <c r="A11" s="47">
        <v>37165</v>
      </c>
      <c r="B11" s="27" t="s">
        <v>24</v>
      </c>
      <c r="C11" s="27">
        <f t="shared" si="0"/>
        <v>5</v>
      </c>
      <c r="D11" s="48">
        <v>-380</v>
      </c>
      <c r="E11" s="29">
        <f>VLOOKUP(A11,NFP!A:C,3)</f>
        <v>-317</v>
      </c>
    </row>
    <row r="12" spans="1:11" x14ac:dyDescent="0.2">
      <c r="A12" s="47">
        <v>37196</v>
      </c>
      <c r="B12" s="27" t="s">
        <v>25</v>
      </c>
      <c r="C12" s="27">
        <f t="shared" si="0"/>
        <v>5</v>
      </c>
      <c r="D12" s="48">
        <v>-361</v>
      </c>
      <c r="E12" s="29">
        <f>VLOOKUP(A12,NFP!A:C,3)</f>
        <v>-312</v>
      </c>
    </row>
    <row r="13" spans="1:11" x14ac:dyDescent="0.2">
      <c r="A13" s="47">
        <v>37226</v>
      </c>
      <c r="B13" s="27" t="s">
        <v>26</v>
      </c>
      <c r="C13" s="27">
        <f t="shared" si="0"/>
        <v>5</v>
      </c>
      <c r="D13" s="48">
        <v>-223</v>
      </c>
      <c r="E13" s="29">
        <f>VLOOKUP(A13,NFP!A:C,3)</f>
        <v>-160</v>
      </c>
    </row>
    <row r="14" spans="1:11" x14ac:dyDescent="0.2">
      <c r="A14" s="47">
        <v>37257</v>
      </c>
      <c r="B14" s="27" t="s">
        <v>27</v>
      </c>
      <c r="C14" s="27">
        <f t="shared" si="0"/>
        <v>4</v>
      </c>
      <c r="D14" s="48">
        <v>-69</v>
      </c>
      <c r="E14" s="29">
        <f>VLOOKUP(A14,NFP!A:C,3)</f>
        <v>-130</v>
      </c>
    </row>
    <row r="15" spans="1:11" x14ac:dyDescent="0.2">
      <c r="A15" s="47">
        <v>37288</v>
      </c>
      <c r="B15" s="27" t="s">
        <v>28</v>
      </c>
      <c r="C15" s="27">
        <f t="shared" si="0"/>
        <v>4</v>
      </c>
      <c r="D15" s="48">
        <v>-91</v>
      </c>
      <c r="E15" s="29">
        <f>VLOOKUP(A15,NFP!A:C,3)</f>
        <v>-116</v>
      </c>
    </row>
    <row r="16" spans="1:11" x14ac:dyDescent="0.2">
      <c r="A16" s="47">
        <v>37316</v>
      </c>
      <c r="B16" s="27" t="s">
        <v>29</v>
      </c>
      <c r="C16" s="27">
        <f t="shared" si="0"/>
        <v>4</v>
      </c>
      <c r="D16" s="48">
        <v>-70</v>
      </c>
      <c r="E16" s="29">
        <f>VLOOKUP(A16,NFP!A:C,3)</f>
        <v>-19</v>
      </c>
    </row>
    <row r="17" spans="1:5" x14ac:dyDescent="0.2">
      <c r="A17" s="47">
        <v>37347</v>
      </c>
      <c r="B17" s="27" t="s">
        <v>29</v>
      </c>
      <c r="C17" s="27">
        <f t="shared" si="0"/>
        <v>4</v>
      </c>
      <c r="D17" s="48">
        <v>-70</v>
      </c>
      <c r="E17" s="29">
        <f>VLOOKUP(A17,NFP!A:C,3)</f>
        <v>-94</v>
      </c>
    </row>
    <row r="18" spans="1:5" x14ac:dyDescent="0.2">
      <c r="A18" s="47">
        <v>37377</v>
      </c>
      <c r="B18" s="27" t="s">
        <v>121</v>
      </c>
      <c r="C18" s="27">
        <f t="shared" si="0"/>
        <v>5</v>
      </c>
      <c r="D18" s="48">
        <v>-138</v>
      </c>
      <c r="E18" s="29">
        <f>VLOOKUP(A18,NFP!A:C,3)</f>
        <v>11</v>
      </c>
    </row>
    <row r="19" spans="1:5" x14ac:dyDescent="0.2">
      <c r="A19" s="47">
        <v>37408</v>
      </c>
      <c r="B19" s="27" t="s">
        <v>122</v>
      </c>
      <c r="C19" s="27">
        <f t="shared" si="0"/>
        <v>4</v>
      </c>
      <c r="D19" s="48">
        <v>-41</v>
      </c>
      <c r="E19" s="29">
        <f>VLOOKUP(A19,NFP!A:C,3)</f>
        <v>50</v>
      </c>
    </row>
    <row r="20" spans="1:5" x14ac:dyDescent="0.2">
      <c r="A20" s="47">
        <v>37438</v>
      </c>
      <c r="B20" s="27" t="s">
        <v>123</v>
      </c>
      <c r="C20" s="27">
        <f t="shared" si="0"/>
        <v>4</v>
      </c>
      <c r="D20" s="48">
        <v>-21</v>
      </c>
      <c r="E20" s="29">
        <f>VLOOKUP(A20,NFP!A:C,3)</f>
        <v>-94</v>
      </c>
    </row>
    <row r="21" spans="1:5" x14ac:dyDescent="0.2">
      <c r="A21" s="47">
        <v>37469</v>
      </c>
      <c r="B21" s="27" t="s">
        <v>124</v>
      </c>
      <c r="C21" s="27">
        <f t="shared" si="0"/>
        <v>3</v>
      </c>
      <c r="D21" s="48">
        <v>12</v>
      </c>
      <c r="E21" s="29">
        <f>VLOOKUP(A21,NFP!A:C,3)</f>
        <v>-3</v>
      </c>
    </row>
    <row r="22" spans="1:5" x14ac:dyDescent="0.2">
      <c r="A22" s="47">
        <v>37500</v>
      </c>
      <c r="B22" s="27" t="s">
        <v>125</v>
      </c>
      <c r="C22" s="27">
        <f t="shared" si="0"/>
        <v>5</v>
      </c>
      <c r="D22" s="48">
        <v>-150</v>
      </c>
      <c r="E22" s="29">
        <f>VLOOKUP(A22,NFP!A:C,3)</f>
        <v>-86</v>
      </c>
    </row>
    <row r="23" spans="1:5" x14ac:dyDescent="0.2">
      <c r="A23" s="47">
        <v>37530</v>
      </c>
      <c r="B23" s="27" t="s">
        <v>126</v>
      </c>
      <c r="C23" s="27">
        <f t="shared" si="0"/>
        <v>3</v>
      </c>
      <c r="D23" s="48">
        <v>47</v>
      </c>
      <c r="E23" s="29">
        <f>VLOOKUP(A23,NFP!A:C,3)</f>
        <v>127</v>
      </c>
    </row>
    <row r="24" spans="1:5" x14ac:dyDescent="0.2">
      <c r="A24" s="47">
        <v>37561</v>
      </c>
      <c r="B24" s="27" t="s">
        <v>127</v>
      </c>
      <c r="C24" s="27">
        <f t="shared" si="0"/>
        <v>4</v>
      </c>
      <c r="D24" s="48">
        <v>-11</v>
      </c>
      <c r="E24" s="29">
        <f>VLOOKUP(A24,NFP!A:C,3)</f>
        <v>-13</v>
      </c>
    </row>
    <row r="25" spans="1:5" x14ac:dyDescent="0.2">
      <c r="A25" s="47">
        <v>37591</v>
      </c>
      <c r="B25" s="27" t="s">
        <v>128</v>
      </c>
      <c r="C25" s="27">
        <f t="shared" si="0"/>
        <v>4</v>
      </c>
      <c r="D25" s="48">
        <v>-79</v>
      </c>
      <c r="E25" s="29">
        <f>VLOOKUP(A25,NFP!A:C,3)</f>
        <v>-143</v>
      </c>
    </row>
    <row r="26" spans="1:5" x14ac:dyDescent="0.2">
      <c r="A26" s="47">
        <v>37622</v>
      </c>
      <c r="B26" s="27" t="s">
        <v>129</v>
      </c>
      <c r="C26" s="27">
        <f t="shared" si="0"/>
        <v>5</v>
      </c>
      <c r="D26" s="48">
        <v>-113</v>
      </c>
      <c r="E26" s="29">
        <f>VLOOKUP(A26,NFP!A:C,3)</f>
        <v>108</v>
      </c>
    </row>
    <row r="27" spans="1:5" x14ac:dyDescent="0.2">
      <c r="A27" s="47">
        <v>37653</v>
      </c>
      <c r="B27" s="27" t="s">
        <v>130</v>
      </c>
      <c r="C27" s="27">
        <f t="shared" si="0"/>
        <v>3</v>
      </c>
      <c r="D27" s="48">
        <v>26</v>
      </c>
      <c r="E27" s="29">
        <f>VLOOKUP(A27,NFP!A:C,3)</f>
        <v>-136</v>
      </c>
    </row>
    <row r="28" spans="1:5" x14ac:dyDescent="0.2">
      <c r="A28" s="47">
        <v>37681</v>
      </c>
      <c r="B28" s="27" t="s">
        <v>131</v>
      </c>
      <c r="C28" s="27">
        <f t="shared" si="0"/>
        <v>4</v>
      </c>
      <c r="D28" s="48">
        <v>-42</v>
      </c>
      <c r="E28" s="29">
        <f>VLOOKUP(A28,NFP!A:C,3)</f>
        <v>-212</v>
      </c>
    </row>
    <row r="29" spans="1:5" x14ac:dyDescent="0.2">
      <c r="A29" s="47">
        <v>37712</v>
      </c>
      <c r="B29" s="27" t="s">
        <v>132</v>
      </c>
      <c r="C29" s="27">
        <f t="shared" si="0"/>
        <v>3</v>
      </c>
      <c r="D29" s="48">
        <v>-8</v>
      </c>
      <c r="E29" s="29">
        <f>VLOOKUP(A29,NFP!A:C,3)</f>
        <v>-55</v>
      </c>
    </row>
    <row r="30" spans="1:5" x14ac:dyDescent="0.2">
      <c r="A30" s="47">
        <v>37742</v>
      </c>
      <c r="B30" s="27" t="s">
        <v>133</v>
      </c>
      <c r="C30" s="27">
        <f t="shared" si="0"/>
        <v>4</v>
      </c>
      <c r="D30" s="48">
        <v>-75</v>
      </c>
      <c r="E30" s="29">
        <f>VLOOKUP(A30,NFP!A:C,3)</f>
        <v>19</v>
      </c>
    </row>
    <row r="31" spans="1:5" x14ac:dyDescent="0.2">
      <c r="A31" s="47">
        <v>37773</v>
      </c>
      <c r="B31" s="27" t="s">
        <v>134</v>
      </c>
      <c r="C31" s="27">
        <f t="shared" si="0"/>
        <v>4</v>
      </c>
      <c r="D31" s="48">
        <v>-25</v>
      </c>
      <c r="E31" s="29">
        <f>VLOOKUP(A31,NFP!A:C,3)</f>
        <v>-2</v>
      </c>
    </row>
    <row r="32" spans="1:5" x14ac:dyDescent="0.2">
      <c r="A32" s="47">
        <v>37803</v>
      </c>
      <c r="B32" s="27" t="s">
        <v>135</v>
      </c>
      <c r="C32" s="27">
        <f t="shared" si="0"/>
        <v>3</v>
      </c>
      <c r="D32" s="48">
        <v>28</v>
      </c>
      <c r="E32" s="29">
        <f>VLOOKUP(A32,NFP!A:C,3)</f>
        <v>-3</v>
      </c>
    </row>
    <row r="33" spans="1:5" x14ac:dyDescent="0.2">
      <c r="A33" s="47">
        <v>37834</v>
      </c>
      <c r="B33" s="27" t="s">
        <v>136</v>
      </c>
      <c r="C33" s="27">
        <f t="shared" si="0"/>
        <v>4</v>
      </c>
      <c r="D33" s="48">
        <v>-66</v>
      </c>
      <c r="E33" s="29">
        <f>VLOOKUP(A33,NFP!A:C,3)</f>
        <v>-42</v>
      </c>
    </row>
    <row r="34" spans="1:5" x14ac:dyDescent="0.2">
      <c r="A34" s="47">
        <v>37865</v>
      </c>
      <c r="B34" s="27" t="s">
        <v>137</v>
      </c>
      <c r="C34" s="27">
        <f t="shared" si="0"/>
        <v>3</v>
      </c>
      <c r="D34" s="48">
        <v>69</v>
      </c>
      <c r="E34" s="29">
        <f>VLOOKUP(A34,NFP!A:C,3)</f>
        <v>105</v>
      </c>
    </row>
    <row r="35" spans="1:5" x14ac:dyDescent="0.2">
      <c r="A35" s="47">
        <v>37895</v>
      </c>
      <c r="B35" s="27" t="s">
        <v>138</v>
      </c>
      <c r="C35" s="27">
        <f t="shared" si="0"/>
        <v>4</v>
      </c>
      <c r="D35" s="48">
        <v>174</v>
      </c>
      <c r="E35" s="29">
        <f>VLOOKUP(A35,NFP!A:C,3)</f>
        <v>200</v>
      </c>
    </row>
    <row r="36" spans="1:5" x14ac:dyDescent="0.2">
      <c r="A36" s="47">
        <v>37926</v>
      </c>
      <c r="B36" s="27" t="s">
        <v>139</v>
      </c>
      <c r="C36" s="27">
        <f t="shared" si="0"/>
        <v>4</v>
      </c>
      <c r="D36" s="48">
        <v>247</v>
      </c>
      <c r="E36" s="29">
        <f>VLOOKUP(A36,NFP!A:C,3)</f>
        <v>20</v>
      </c>
    </row>
    <row r="37" spans="1:5" x14ac:dyDescent="0.2">
      <c r="A37" s="47">
        <v>37956</v>
      </c>
      <c r="B37" s="27" t="s">
        <v>140</v>
      </c>
      <c r="C37" s="27">
        <f t="shared" si="0"/>
        <v>4</v>
      </c>
      <c r="D37" s="48">
        <v>167</v>
      </c>
      <c r="E37" s="29">
        <f>VLOOKUP(A37,NFP!A:C,3)</f>
        <v>114</v>
      </c>
    </row>
    <row r="38" spans="1:5" x14ac:dyDescent="0.2">
      <c r="A38" s="47">
        <v>37987</v>
      </c>
      <c r="B38" s="27" t="s">
        <v>141</v>
      </c>
      <c r="C38" s="27">
        <f t="shared" si="0"/>
        <v>3</v>
      </c>
      <c r="D38" s="48">
        <v>68</v>
      </c>
      <c r="E38" s="29">
        <f>VLOOKUP(A38,NFP!A:C,3)</f>
        <v>181</v>
      </c>
    </row>
    <row r="39" spans="1:5" x14ac:dyDescent="0.2">
      <c r="A39" s="47">
        <v>38018</v>
      </c>
      <c r="B39" s="27" t="s">
        <v>142</v>
      </c>
      <c r="C39" s="27">
        <f t="shared" si="0"/>
        <v>4</v>
      </c>
      <c r="D39" s="48">
        <v>166</v>
      </c>
      <c r="E39" s="29">
        <f>VLOOKUP(A39,NFP!A:C,3)</f>
        <v>56</v>
      </c>
    </row>
    <row r="40" spans="1:5" x14ac:dyDescent="0.2">
      <c r="A40" s="47">
        <v>38047</v>
      </c>
      <c r="B40" s="27" t="s">
        <v>143</v>
      </c>
      <c r="C40" s="27">
        <f t="shared" si="0"/>
        <v>4</v>
      </c>
      <c r="D40" s="48">
        <v>188</v>
      </c>
      <c r="E40" s="29">
        <f>VLOOKUP(A40,NFP!A:C,3)</f>
        <v>317</v>
      </c>
    </row>
    <row r="41" spans="1:5" x14ac:dyDescent="0.2">
      <c r="A41" s="47">
        <v>38078</v>
      </c>
      <c r="B41" s="27" t="s">
        <v>144</v>
      </c>
      <c r="C41" s="27">
        <f t="shared" si="0"/>
        <v>4</v>
      </c>
      <c r="D41" s="48">
        <v>170</v>
      </c>
      <c r="E41" s="29">
        <f>VLOOKUP(A41,NFP!A:C,3)</f>
        <v>269</v>
      </c>
    </row>
    <row r="42" spans="1:5" x14ac:dyDescent="0.2">
      <c r="A42" s="47">
        <v>38108</v>
      </c>
      <c r="B42" s="27" t="s">
        <v>145</v>
      </c>
      <c r="C42" s="27">
        <f t="shared" si="0"/>
        <v>3</v>
      </c>
      <c r="D42" s="48">
        <v>54</v>
      </c>
      <c r="E42" s="29">
        <f>VLOOKUP(A42,NFP!A:C,3)</f>
        <v>283</v>
      </c>
    </row>
    <row r="43" spans="1:5" x14ac:dyDescent="0.2">
      <c r="A43" s="47">
        <v>38139</v>
      </c>
      <c r="B43" s="27" t="s">
        <v>146</v>
      </c>
      <c r="C43" s="27">
        <f t="shared" si="0"/>
        <v>4</v>
      </c>
      <c r="D43" s="48">
        <v>169</v>
      </c>
      <c r="E43" s="29">
        <f>VLOOKUP(A43,NFP!A:C,3)</f>
        <v>99</v>
      </c>
    </row>
    <row r="44" spans="1:5" x14ac:dyDescent="0.2">
      <c r="A44" s="47">
        <v>38169</v>
      </c>
      <c r="B44" s="27" t="s">
        <v>147</v>
      </c>
      <c r="C44" s="27">
        <f t="shared" si="0"/>
        <v>3</v>
      </c>
      <c r="D44" s="48">
        <v>80</v>
      </c>
      <c r="E44" s="29">
        <f>VLOOKUP(A44,NFP!A:C,3)</f>
        <v>55</v>
      </c>
    </row>
    <row r="45" spans="1:5" x14ac:dyDescent="0.2">
      <c r="A45" s="47">
        <v>38200</v>
      </c>
      <c r="B45" s="27" t="s">
        <v>148</v>
      </c>
      <c r="C45" s="27">
        <f t="shared" si="0"/>
        <v>4</v>
      </c>
      <c r="D45" s="48">
        <v>187</v>
      </c>
      <c r="E45" s="29">
        <f>VLOOKUP(A45,NFP!A:C,3)</f>
        <v>89</v>
      </c>
    </row>
    <row r="46" spans="1:5" x14ac:dyDescent="0.2">
      <c r="A46" s="47">
        <v>38231</v>
      </c>
      <c r="B46" s="27" t="s">
        <v>144</v>
      </c>
      <c r="C46" s="27">
        <f t="shared" si="0"/>
        <v>4</v>
      </c>
      <c r="D46" s="48">
        <v>170</v>
      </c>
      <c r="E46" s="29">
        <f>VLOOKUP(A46,NFP!A:C,3)</f>
        <v>156</v>
      </c>
    </row>
    <row r="47" spans="1:5" x14ac:dyDescent="0.2">
      <c r="A47" s="47">
        <v>38261</v>
      </c>
      <c r="B47" s="27" t="s">
        <v>149</v>
      </c>
      <c r="C47" s="27">
        <f t="shared" si="0"/>
        <v>4</v>
      </c>
      <c r="D47" s="48">
        <v>136</v>
      </c>
      <c r="E47" s="29">
        <f>VLOOKUP(A47,NFP!A:C,3)</f>
        <v>354</v>
      </c>
    </row>
    <row r="48" spans="1:5" x14ac:dyDescent="0.2">
      <c r="A48" s="47">
        <v>38292</v>
      </c>
      <c r="B48" s="27" t="s">
        <v>150</v>
      </c>
      <c r="C48" s="27">
        <f t="shared" si="0"/>
        <v>4</v>
      </c>
      <c r="D48" s="48">
        <v>178</v>
      </c>
      <c r="E48" s="29">
        <f>VLOOKUP(A48,NFP!A:C,3)</f>
        <v>56</v>
      </c>
    </row>
    <row r="49" spans="1:5" x14ac:dyDescent="0.2">
      <c r="A49" s="47">
        <v>38322</v>
      </c>
      <c r="B49" s="27" t="s">
        <v>151</v>
      </c>
      <c r="C49" s="27">
        <f t="shared" si="0"/>
        <v>4</v>
      </c>
      <c r="D49" s="48">
        <v>254</v>
      </c>
      <c r="E49" s="29">
        <f>VLOOKUP(A49,NFP!A:C,3)</f>
        <v>121</v>
      </c>
    </row>
    <row r="50" spans="1:5" x14ac:dyDescent="0.2">
      <c r="A50" s="47">
        <v>38353</v>
      </c>
      <c r="B50" s="27" t="s">
        <v>152</v>
      </c>
      <c r="C50" s="27">
        <f t="shared" si="0"/>
        <v>4</v>
      </c>
      <c r="D50" s="48">
        <v>158</v>
      </c>
      <c r="E50" s="29">
        <f>VLOOKUP(A50,NFP!A:C,3)</f>
        <v>150</v>
      </c>
    </row>
    <row r="51" spans="1:5" x14ac:dyDescent="0.2">
      <c r="A51" s="47">
        <v>38384</v>
      </c>
      <c r="B51" s="27" t="s">
        <v>153</v>
      </c>
      <c r="C51" s="27">
        <f t="shared" si="0"/>
        <v>4</v>
      </c>
      <c r="D51" s="48">
        <v>145</v>
      </c>
      <c r="E51" s="29">
        <f>VLOOKUP(A51,NFP!A:C,3)</f>
        <v>258</v>
      </c>
    </row>
    <row r="52" spans="1:5" x14ac:dyDescent="0.2">
      <c r="A52" s="47">
        <v>38412</v>
      </c>
      <c r="B52" s="27" t="s">
        <v>154</v>
      </c>
      <c r="C52" s="27">
        <f t="shared" si="0"/>
        <v>4</v>
      </c>
      <c r="D52" s="48">
        <v>164</v>
      </c>
      <c r="E52" s="29">
        <f>VLOOKUP(A52,NFP!A:C,3)</f>
        <v>124</v>
      </c>
    </row>
    <row r="53" spans="1:5" x14ac:dyDescent="0.2">
      <c r="A53" s="47">
        <v>38443</v>
      </c>
      <c r="B53" s="27" t="s">
        <v>155</v>
      </c>
      <c r="C53" s="27">
        <f t="shared" si="0"/>
        <v>4</v>
      </c>
      <c r="D53" s="48">
        <v>300</v>
      </c>
      <c r="E53" s="29">
        <f>VLOOKUP(A53,NFP!A:C,3)</f>
        <v>362</v>
      </c>
    </row>
    <row r="54" spans="1:5" x14ac:dyDescent="0.2">
      <c r="A54" s="47">
        <v>38473</v>
      </c>
      <c r="B54" s="27" t="s">
        <v>156</v>
      </c>
      <c r="C54" s="27">
        <f t="shared" si="0"/>
        <v>4</v>
      </c>
      <c r="D54" s="48">
        <v>243</v>
      </c>
      <c r="E54" s="29">
        <f>VLOOKUP(A54,NFP!A:C,3)</f>
        <v>172</v>
      </c>
    </row>
    <row r="55" spans="1:5" x14ac:dyDescent="0.2">
      <c r="A55" s="47">
        <v>38504</v>
      </c>
      <c r="B55" s="27" t="s">
        <v>157</v>
      </c>
      <c r="C55" s="27">
        <f t="shared" si="0"/>
        <v>4</v>
      </c>
      <c r="D55" s="48">
        <v>273</v>
      </c>
      <c r="E55" s="29">
        <f>VLOOKUP(A55,NFP!A:C,3)</f>
        <v>252</v>
      </c>
    </row>
    <row r="56" spans="1:5" x14ac:dyDescent="0.2">
      <c r="A56" s="47">
        <v>38534</v>
      </c>
      <c r="B56" s="27" t="s">
        <v>158</v>
      </c>
      <c r="C56" s="27">
        <f t="shared" si="0"/>
        <v>4</v>
      </c>
      <c r="D56" s="48">
        <v>281</v>
      </c>
      <c r="E56" s="29">
        <f>VLOOKUP(A56,NFP!A:C,3)</f>
        <v>354</v>
      </c>
    </row>
    <row r="57" spans="1:5" x14ac:dyDescent="0.2">
      <c r="A57" s="47">
        <v>38565</v>
      </c>
      <c r="B57" s="27" t="s">
        <v>159</v>
      </c>
      <c r="C57" s="27">
        <f t="shared" si="0"/>
        <v>4</v>
      </c>
      <c r="D57" s="48">
        <v>190</v>
      </c>
      <c r="E57" s="29">
        <f>VLOOKUP(A57,NFP!A:C,3)</f>
        <v>202</v>
      </c>
    </row>
    <row r="58" spans="1:5" x14ac:dyDescent="0.2">
      <c r="A58" s="47">
        <v>38596</v>
      </c>
      <c r="B58" s="27" t="s">
        <v>160</v>
      </c>
      <c r="C58" s="27">
        <f t="shared" si="0"/>
        <v>4</v>
      </c>
      <c r="D58" s="48">
        <v>-35</v>
      </c>
      <c r="E58" s="29">
        <f>VLOOKUP(A58,NFP!A:C,3)</f>
        <v>68</v>
      </c>
    </row>
    <row r="59" spans="1:5" x14ac:dyDescent="0.2">
      <c r="A59" s="47">
        <v>38626</v>
      </c>
      <c r="B59" s="27" t="s">
        <v>161</v>
      </c>
      <c r="C59" s="27">
        <f t="shared" si="0"/>
        <v>4</v>
      </c>
      <c r="D59" s="48">
        <v>134</v>
      </c>
      <c r="E59" s="29">
        <f>VLOOKUP(A59,NFP!A:C,3)</f>
        <v>89</v>
      </c>
    </row>
    <row r="60" spans="1:5" x14ac:dyDescent="0.2">
      <c r="A60" s="47">
        <v>38657</v>
      </c>
      <c r="B60" s="27" t="s">
        <v>162</v>
      </c>
      <c r="C60" s="27">
        <f t="shared" si="0"/>
        <v>4</v>
      </c>
      <c r="D60" s="48">
        <v>253</v>
      </c>
      <c r="E60" s="29">
        <f>VLOOKUP(A60,NFP!A:C,3)</f>
        <v>338</v>
      </c>
    </row>
    <row r="61" spans="1:5" x14ac:dyDescent="0.2">
      <c r="A61" s="47">
        <v>38687</v>
      </c>
      <c r="B61" s="27" t="s">
        <v>163</v>
      </c>
      <c r="C61" s="27">
        <f t="shared" si="0"/>
        <v>4</v>
      </c>
      <c r="D61" s="48">
        <v>225</v>
      </c>
      <c r="E61" s="29">
        <f>VLOOKUP(A61,NFP!A:C,3)</f>
        <v>156</v>
      </c>
    </row>
    <row r="62" spans="1:5" x14ac:dyDescent="0.2">
      <c r="A62" s="47">
        <v>38718</v>
      </c>
      <c r="B62" s="27" t="s">
        <v>164</v>
      </c>
      <c r="C62" s="27">
        <f t="shared" si="0"/>
        <v>4</v>
      </c>
      <c r="D62" s="48">
        <v>296</v>
      </c>
      <c r="E62" s="29">
        <f>VLOOKUP(A62,NFP!A:C,3)</f>
        <v>280</v>
      </c>
    </row>
    <row r="63" spans="1:5" x14ac:dyDescent="0.2">
      <c r="A63" s="47">
        <v>38749</v>
      </c>
      <c r="B63" s="27" t="s">
        <v>165</v>
      </c>
      <c r="C63" s="27">
        <f t="shared" si="0"/>
        <v>4</v>
      </c>
      <c r="D63" s="48">
        <v>360</v>
      </c>
      <c r="E63" s="29">
        <f>VLOOKUP(A63,NFP!A:C,3)</f>
        <v>308</v>
      </c>
    </row>
    <row r="64" spans="1:5" x14ac:dyDescent="0.2">
      <c r="A64" s="47">
        <v>38777</v>
      </c>
      <c r="B64" s="27" t="s">
        <v>166</v>
      </c>
      <c r="C64" s="27">
        <f t="shared" si="0"/>
        <v>4</v>
      </c>
      <c r="D64" s="48">
        <v>208</v>
      </c>
      <c r="E64" s="29">
        <f>VLOOKUP(A64,NFP!A:C,3)</f>
        <v>310</v>
      </c>
    </row>
    <row r="65" spans="1:5" x14ac:dyDescent="0.2">
      <c r="A65" s="47">
        <v>38808</v>
      </c>
      <c r="B65" s="27" t="s">
        <v>147</v>
      </c>
      <c r="C65" s="27">
        <f t="shared" si="0"/>
        <v>3</v>
      </c>
      <c r="D65" s="48">
        <v>80</v>
      </c>
      <c r="E65" s="29">
        <f>VLOOKUP(A65,NFP!A:C,3)</f>
        <v>158</v>
      </c>
    </row>
    <row r="66" spans="1:5" x14ac:dyDescent="0.2">
      <c r="A66" s="47">
        <v>38838</v>
      </c>
      <c r="B66" s="27" t="s">
        <v>167</v>
      </c>
      <c r="C66" s="27">
        <f t="shared" si="0"/>
        <v>4</v>
      </c>
      <c r="D66" s="48">
        <v>175</v>
      </c>
      <c r="E66" s="29">
        <f>VLOOKUP(A66,NFP!A:C,3)</f>
        <v>39</v>
      </c>
    </row>
    <row r="67" spans="1:5" x14ac:dyDescent="0.2">
      <c r="A67" s="47">
        <v>38869</v>
      </c>
      <c r="B67" s="27" t="s">
        <v>168</v>
      </c>
      <c r="C67" s="27">
        <f t="shared" si="0"/>
        <v>4</v>
      </c>
      <c r="D67" s="48">
        <v>106</v>
      </c>
      <c r="E67" s="29">
        <f>VLOOKUP(A67,NFP!A:C,3)</f>
        <v>81</v>
      </c>
    </row>
    <row r="68" spans="1:5" x14ac:dyDescent="0.2">
      <c r="A68" s="47">
        <v>38899</v>
      </c>
      <c r="B68" s="27" t="s">
        <v>169</v>
      </c>
      <c r="C68" s="27">
        <f t="shared" si="0"/>
        <v>4</v>
      </c>
      <c r="D68" s="48">
        <v>123</v>
      </c>
      <c r="E68" s="29">
        <f>VLOOKUP(A68,NFP!A:C,3)</f>
        <v>195</v>
      </c>
    </row>
    <row r="69" spans="1:5" x14ac:dyDescent="0.2">
      <c r="A69" s="47">
        <v>38930</v>
      </c>
      <c r="B69" s="27" t="s">
        <v>170</v>
      </c>
      <c r="C69" s="27">
        <f t="shared" si="0"/>
        <v>4</v>
      </c>
      <c r="D69" s="48">
        <v>185</v>
      </c>
      <c r="E69" s="29">
        <f>VLOOKUP(A69,NFP!A:C,3)</f>
        <v>174</v>
      </c>
    </row>
    <row r="70" spans="1:5" x14ac:dyDescent="0.2">
      <c r="A70" s="47">
        <v>38961</v>
      </c>
      <c r="B70" s="27" t="s">
        <v>171</v>
      </c>
      <c r="C70" s="27">
        <f t="shared" si="0"/>
        <v>3</v>
      </c>
      <c r="D70" s="48">
        <v>58</v>
      </c>
      <c r="E70" s="29">
        <f>VLOOKUP(A70,NFP!A:C,3)</f>
        <v>149</v>
      </c>
    </row>
    <row r="71" spans="1:5" x14ac:dyDescent="0.2">
      <c r="A71" s="47">
        <v>38991</v>
      </c>
      <c r="B71" s="27" t="s">
        <v>172</v>
      </c>
      <c r="C71" s="27">
        <f t="shared" ref="C71:C134" si="1">LEN(B71)</f>
        <v>4</v>
      </c>
      <c r="D71" s="48">
        <v>109</v>
      </c>
      <c r="E71" s="29">
        <f>VLOOKUP(A71,NFP!A:C,3)</f>
        <v>9</v>
      </c>
    </row>
    <row r="72" spans="1:5" x14ac:dyDescent="0.2">
      <c r="A72" s="47">
        <v>39022</v>
      </c>
      <c r="B72" s="27" t="s">
        <v>173</v>
      </c>
      <c r="C72" s="27">
        <f t="shared" si="1"/>
        <v>4</v>
      </c>
      <c r="D72" s="48">
        <v>-13</v>
      </c>
      <c r="E72" s="29">
        <f>VLOOKUP(A72,NFP!A:C,3)</f>
        <v>211</v>
      </c>
    </row>
    <row r="73" spans="1:5" x14ac:dyDescent="0.2">
      <c r="A73" s="47">
        <v>39052</v>
      </c>
      <c r="B73" s="27" t="s">
        <v>174</v>
      </c>
      <c r="C73" s="27">
        <f t="shared" si="1"/>
        <v>4</v>
      </c>
      <c r="D73" s="48">
        <v>171</v>
      </c>
      <c r="E73" s="29">
        <f>VLOOKUP(A73,NFP!A:C,3)</f>
        <v>186</v>
      </c>
    </row>
    <row r="74" spans="1:5" x14ac:dyDescent="0.2">
      <c r="A74" s="47">
        <v>39083</v>
      </c>
      <c r="B74" s="27" t="s">
        <v>175</v>
      </c>
      <c r="C74" s="27">
        <f t="shared" si="1"/>
        <v>4</v>
      </c>
      <c r="D74" s="48">
        <v>241</v>
      </c>
      <c r="E74" s="29">
        <f>VLOOKUP(A74,NFP!A:C,3)</f>
        <v>228</v>
      </c>
    </row>
    <row r="75" spans="1:5" x14ac:dyDescent="0.2">
      <c r="A75" s="47">
        <v>39114</v>
      </c>
      <c r="B75" s="27" t="s">
        <v>176</v>
      </c>
      <c r="C75" s="27">
        <f t="shared" si="1"/>
        <v>4</v>
      </c>
      <c r="D75" s="48">
        <v>111</v>
      </c>
      <c r="E75" s="29">
        <f>VLOOKUP(A75,NFP!A:C,3)</f>
        <v>81</v>
      </c>
    </row>
    <row r="76" spans="1:5" x14ac:dyDescent="0.2">
      <c r="A76" s="47">
        <v>39142</v>
      </c>
      <c r="B76" s="27" t="s">
        <v>177</v>
      </c>
      <c r="C76" s="27">
        <f t="shared" si="1"/>
        <v>4</v>
      </c>
      <c r="D76" s="48">
        <v>154</v>
      </c>
      <c r="E76" s="29">
        <f>VLOOKUP(A76,NFP!A:C,3)</f>
        <v>235</v>
      </c>
    </row>
    <row r="77" spans="1:5" x14ac:dyDescent="0.2">
      <c r="A77" s="47">
        <v>39173</v>
      </c>
      <c r="B77" s="27" t="s">
        <v>178</v>
      </c>
      <c r="C77" s="27">
        <f t="shared" si="1"/>
        <v>3</v>
      </c>
      <c r="D77" s="48">
        <v>39</v>
      </c>
      <c r="E77" s="29">
        <f>VLOOKUP(A77,NFP!A:C,3)</f>
        <v>49</v>
      </c>
    </row>
    <row r="78" spans="1:5" x14ac:dyDescent="0.2">
      <c r="A78" s="47">
        <v>39203</v>
      </c>
      <c r="B78" s="27" t="s">
        <v>179</v>
      </c>
      <c r="C78" s="27">
        <f t="shared" si="1"/>
        <v>3</v>
      </c>
      <c r="D78" s="48">
        <v>82</v>
      </c>
      <c r="E78" s="29">
        <f>VLOOKUP(A78,NFP!A:C,3)</f>
        <v>151</v>
      </c>
    </row>
    <row r="79" spans="1:5" x14ac:dyDescent="0.2">
      <c r="A79" s="47">
        <v>39234</v>
      </c>
      <c r="B79" s="27" t="s">
        <v>180</v>
      </c>
      <c r="C79" s="27">
        <f t="shared" si="1"/>
        <v>3</v>
      </c>
      <c r="D79" s="48">
        <v>15</v>
      </c>
      <c r="E79" s="29">
        <f>VLOOKUP(A79,NFP!A:C,3)</f>
        <v>76</v>
      </c>
    </row>
    <row r="80" spans="1:5" x14ac:dyDescent="0.2">
      <c r="A80" s="47">
        <v>39264</v>
      </c>
      <c r="B80" s="27" t="s">
        <v>126</v>
      </c>
      <c r="C80" s="27">
        <f t="shared" si="1"/>
        <v>3</v>
      </c>
      <c r="D80" s="48">
        <v>47</v>
      </c>
      <c r="E80" s="29">
        <f>VLOOKUP(A80,NFP!A:C,3)</f>
        <v>-31</v>
      </c>
    </row>
    <row r="81" spans="1:5" x14ac:dyDescent="0.2">
      <c r="A81" s="47">
        <v>39295</v>
      </c>
      <c r="B81" s="27" t="s">
        <v>181</v>
      </c>
      <c r="C81" s="27">
        <f t="shared" si="1"/>
        <v>4</v>
      </c>
      <c r="D81" s="48">
        <v>-27</v>
      </c>
      <c r="E81" s="29">
        <f>VLOOKUP(A81,NFP!A:C,3)</f>
        <v>-23</v>
      </c>
    </row>
    <row r="82" spans="1:5" x14ac:dyDescent="0.2">
      <c r="A82" s="47">
        <v>39326</v>
      </c>
      <c r="B82" s="27" t="s">
        <v>182</v>
      </c>
      <c r="C82" s="27">
        <f t="shared" si="1"/>
        <v>3</v>
      </c>
      <c r="D82" s="48">
        <v>23</v>
      </c>
      <c r="E82" s="29">
        <f>VLOOKUP(A82,NFP!A:C,3)</f>
        <v>80</v>
      </c>
    </row>
    <row r="83" spans="1:5" x14ac:dyDescent="0.2">
      <c r="A83" s="47">
        <v>39356</v>
      </c>
      <c r="B83" s="27" t="s">
        <v>183</v>
      </c>
      <c r="C83" s="27">
        <f t="shared" si="1"/>
        <v>3</v>
      </c>
      <c r="D83" s="48">
        <v>44</v>
      </c>
      <c r="E83" s="29">
        <f>VLOOKUP(A83,NFP!A:C,3)</f>
        <v>79</v>
      </c>
    </row>
    <row r="84" spans="1:5" x14ac:dyDescent="0.2">
      <c r="A84" s="47">
        <v>39387</v>
      </c>
      <c r="B84" s="27" t="s">
        <v>171</v>
      </c>
      <c r="C84" s="27">
        <f t="shared" si="1"/>
        <v>3</v>
      </c>
      <c r="D84" s="48">
        <v>58</v>
      </c>
      <c r="E84" s="29">
        <f>VLOOKUP(A84,NFP!A:C,3)</f>
        <v>110</v>
      </c>
    </row>
    <row r="85" spans="1:5" x14ac:dyDescent="0.2">
      <c r="A85" s="47">
        <v>39417</v>
      </c>
      <c r="B85" s="27" t="s">
        <v>126</v>
      </c>
      <c r="C85" s="27">
        <f t="shared" si="1"/>
        <v>3</v>
      </c>
      <c r="D85" s="48">
        <v>47</v>
      </c>
      <c r="E85" s="29">
        <f>VLOOKUP(A85,NFP!A:C,3)</f>
        <v>108</v>
      </c>
    </row>
    <row r="86" spans="1:5" x14ac:dyDescent="0.2">
      <c r="A86" s="47">
        <v>39448</v>
      </c>
      <c r="B86" s="27" t="s">
        <v>184</v>
      </c>
      <c r="C86" s="27">
        <f t="shared" si="1"/>
        <v>4</v>
      </c>
      <c r="D86" s="48">
        <v>118</v>
      </c>
      <c r="E86" s="29">
        <f>VLOOKUP(A86,NFP!A:C,3)</f>
        <v>11</v>
      </c>
    </row>
    <row r="87" spans="1:5" x14ac:dyDescent="0.2">
      <c r="A87" s="47">
        <v>39479</v>
      </c>
      <c r="B87" s="27" t="s">
        <v>185</v>
      </c>
      <c r="C87" s="27">
        <f t="shared" si="1"/>
        <v>4</v>
      </c>
      <c r="D87" s="48">
        <v>-78</v>
      </c>
      <c r="E87" s="29">
        <f>VLOOKUP(A87,NFP!A:C,3)</f>
        <v>-79</v>
      </c>
    </row>
    <row r="88" spans="1:5" x14ac:dyDescent="0.2">
      <c r="A88" s="47">
        <v>39508</v>
      </c>
      <c r="B88" s="27" t="s">
        <v>186</v>
      </c>
      <c r="C88" s="27">
        <f t="shared" si="1"/>
        <v>5</v>
      </c>
      <c r="D88" s="48">
        <v>-181</v>
      </c>
      <c r="E88" s="29">
        <f>VLOOKUP(A88,NFP!A:C,3)</f>
        <v>-49</v>
      </c>
    </row>
    <row r="89" spans="1:5" x14ac:dyDescent="0.2">
      <c r="A89" s="47">
        <v>39539</v>
      </c>
      <c r="B89" s="27" t="s">
        <v>187</v>
      </c>
      <c r="C89" s="27">
        <f t="shared" si="1"/>
        <v>5</v>
      </c>
      <c r="D89" s="48">
        <v>-406</v>
      </c>
      <c r="E89" s="29">
        <f>VLOOKUP(A89,NFP!A:C,3)</f>
        <v>-240</v>
      </c>
    </row>
    <row r="90" spans="1:5" x14ac:dyDescent="0.2">
      <c r="A90" s="47">
        <v>39569</v>
      </c>
      <c r="B90" s="27" t="s">
        <v>188</v>
      </c>
      <c r="C90" s="27">
        <f t="shared" si="1"/>
        <v>5</v>
      </c>
      <c r="D90" s="48">
        <v>-409</v>
      </c>
      <c r="E90" s="29">
        <f>VLOOKUP(A90,NFP!A:C,3)</f>
        <v>-177</v>
      </c>
    </row>
    <row r="91" spans="1:5" x14ac:dyDescent="0.2">
      <c r="A91" s="47">
        <v>39600</v>
      </c>
      <c r="B91" s="27" t="s">
        <v>189</v>
      </c>
      <c r="C91" s="27">
        <f t="shared" si="1"/>
        <v>5</v>
      </c>
      <c r="D91" s="48">
        <v>-465</v>
      </c>
      <c r="E91" s="29">
        <f>VLOOKUP(A91,NFP!A:C,3)</f>
        <v>-171</v>
      </c>
    </row>
    <row r="92" spans="1:5" x14ac:dyDescent="0.2">
      <c r="A92" s="47">
        <v>39630</v>
      </c>
      <c r="B92" s="27" t="s">
        <v>190</v>
      </c>
      <c r="C92" s="27">
        <f t="shared" si="1"/>
        <v>5</v>
      </c>
      <c r="D92" s="48">
        <v>-416</v>
      </c>
      <c r="E92" s="29">
        <f>VLOOKUP(A92,NFP!A:C,3)</f>
        <v>-196</v>
      </c>
    </row>
    <row r="93" spans="1:5" x14ac:dyDescent="0.2">
      <c r="A93" s="47">
        <v>39661</v>
      </c>
      <c r="B93" s="27" t="s">
        <v>191</v>
      </c>
      <c r="C93" s="27">
        <f t="shared" si="1"/>
        <v>5</v>
      </c>
      <c r="D93" s="48">
        <v>-430</v>
      </c>
      <c r="E93" s="29">
        <f>VLOOKUP(A93,NFP!A:C,3)</f>
        <v>-278</v>
      </c>
    </row>
    <row r="94" spans="1:5" x14ac:dyDescent="0.2">
      <c r="A94" s="47">
        <v>39692</v>
      </c>
      <c r="B94" s="27" t="s">
        <v>192</v>
      </c>
      <c r="C94" s="27">
        <f t="shared" si="1"/>
        <v>5</v>
      </c>
      <c r="D94" s="48">
        <v>-489</v>
      </c>
      <c r="E94" s="29">
        <f>VLOOKUP(A94,NFP!A:C,3)</f>
        <v>-460</v>
      </c>
    </row>
    <row r="95" spans="1:5" x14ac:dyDescent="0.2">
      <c r="A95" s="47">
        <v>39722</v>
      </c>
      <c r="B95" s="27" t="s">
        <v>191</v>
      </c>
      <c r="C95" s="27">
        <f t="shared" si="1"/>
        <v>5</v>
      </c>
      <c r="D95" s="48">
        <v>-430</v>
      </c>
      <c r="E95" s="29">
        <f>VLOOKUP(A95,NFP!A:C,3)</f>
        <v>-481</v>
      </c>
    </row>
    <row r="96" spans="1:5" x14ac:dyDescent="0.2">
      <c r="A96" s="47">
        <v>39753</v>
      </c>
      <c r="B96" s="27" t="s">
        <v>193</v>
      </c>
      <c r="C96" s="27">
        <f t="shared" si="1"/>
        <v>5</v>
      </c>
      <c r="D96" s="48">
        <v>-620</v>
      </c>
      <c r="E96" s="29">
        <f>VLOOKUP(A96,NFP!A:C,3)</f>
        <v>-727</v>
      </c>
    </row>
    <row r="97" spans="1:5" x14ac:dyDescent="0.2">
      <c r="A97" s="47">
        <v>39783</v>
      </c>
      <c r="B97" s="27" t="s">
        <v>194</v>
      </c>
      <c r="C97" s="27">
        <f t="shared" si="1"/>
        <v>5</v>
      </c>
      <c r="D97" s="48">
        <v>-510</v>
      </c>
      <c r="E97" s="29">
        <f>VLOOKUP(A97,NFP!A:C,3)</f>
        <v>-706</v>
      </c>
    </row>
    <row r="98" spans="1:5" x14ac:dyDescent="0.2">
      <c r="A98" s="47">
        <v>39814</v>
      </c>
      <c r="B98" s="27" t="s">
        <v>195</v>
      </c>
      <c r="C98" s="27">
        <f t="shared" si="1"/>
        <v>5</v>
      </c>
      <c r="D98" s="48">
        <v>-584</v>
      </c>
      <c r="E98" s="29">
        <f>VLOOKUP(A98,NFP!A:C,3)</f>
        <v>-784</v>
      </c>
    </row>
    <row r="99" spans="1:5" x14ac:dyDescent="0.2">
      <c r="A99" s="47">
        <v>39845</v>
      </c>
      <c r="B99" s="27" t="s">
        <v>196</v>
      </c>
      <c r="C99" s="27">
        <f t="shared" si="1"/>
        <v>5</v>
      </c>
      <c r="D99" s="48">
        <v>-706</v>
      </c>
      <c r="E99" s="29">
        <f>VLOOKUP(A99,NFP!A:C,3)</f>
        <v>-743</v>
      </c>
    </row>
    <row r="100" spans="1:5" x14ac:dyDescent="0.2">
      <c r="A100" s="47">
        <v>39873</v>
      </c>
      <c r="B100" s="27" t="s">
        <v>197</v>
      </c>
      <c r="C100" s="27">
        <f t="shared" si="1"/>
        <v>5</v>
      </c>
      <c r="D100" s="48">
        <v>-417</v>
      </c>
      <c r="E100" s="29">
        <f>VLOOKUP(A100,NFP!A:C,3)</f>
        <v>-800</v>
      </c>
    </row>
    <row r="101" spans="1:5" x14ac:dyDescent="0.2">
      <c r="A101" s="47">
        <v>39904</v>
      </c>
      <c r="B101" s="27" t="s">
        <v>198</v>
      </c>
      <c r="C101" s="27">
        <f t="shared" si="1"/>
        <v>5</v>
      </c>
      <c r="D101" s="48">
        <v>-325</v>
      </c>
      <c r="E101" s="29">
        <f>VLOOKUP(A101,NFP!A:C,3)</f>
        <v>-695</v>
      </c>
    </row>
    <row r="102" spans="1:5" x14ac:dyDescent="0.2">
      <c r="A102" s="47">
        <v>39934</v>
      </c>
      <c r="B102" s="27" t="s">
        <v>199</v>
      </c>
      <c r="C102" s="27">
        <f t="shared" si="1"/>
        <v>5</v>
      </c>
      <c r="D102" s="48">
        <v>-244</v>
      </c>
      <c r="E102" s="29">
        <f>VLOOKUP(A102,NFP!A:C,3)</f>
        <v>-342</v>
      </c>
    </row>
    <row r="103" spans="1:5" x14ac:dyDescent="0.2">
      <c r="A103" s="47">
        <v>39965</v>
      </c>
      <c r="B103" s="27" t="s">
        <v>200</v>
      </c>
      <c r="C103" s="27">
        <f t="shared" si="1"/>
        <v>5</v>
      </c>
      <c r="D103" s="48">
        <v>-334</v>
      </c>
      <c r="E103" s="29">
        <f>VLOOKUP(A103,NFP!A:C,3)</f>
        <v>-467</v>
      </c>
    </row>
    <row r="104" spans="1:5" x14ac:dyDescent="0.2">
      <c r="A104" s="47">
        <v>39995</v>
      </c>
      <c r="B104" s="27" t="s">
        <v>201</v>
      </c>
      <c r="C104" s="27">
        <f t="shared" si="1"/>
        <v>5</v>
      </c>
      <c r="D104" s="48">
        <v>-180</v>
      </c>
      <c r="E104" s="29">
        <f>VLOOKUP(A104,NFP!A:C,3)</f>
        <v>-340</v>
      </c>
    </row>
    <row r="105" spans="1:5" x14ac:dyDescent="0.2">
      <c r="A105" s="47">
        <v>40026</v>
      </c>
      <c r="B105" s="27" t="s">
        <v>202</v>
      </c>
      <c r="C105" s="27">
        <f t="shared" si="1"/>
        <v>5</v>
      </c>
      <c r="D105" s="48">
        <v>-212</v>
      </c>
      <c r="E105" s="29">
        <f>VLOOKUP(A105,NFP!A:C,3)</f>
        <v>-183</v>
      </c>
    </row>
    <row r="106" spans="1:5" x14ac:dyDescent="0.2">
      <c r="A106" s="47">
        <v>40057</v>
      </c>
      <c r="B106" s="27" t="s">
        <v>203</v>
      </c>
      <c r="C106" s="27">
        <f t="shared" si="1"/>
        <v>5</v>
      </c>
      <c r="D106" s="48">
        <v>-126</v>
      </c>
      <c r="E106" s="29">
        <f>VLOOKUP(A106,NFP!A:C,3)</f>
        <v>-241</v>
      </c>
    </row>
    <row r="107" spans="1:5" x14ac:dyDescent="0.2">
      <c r="A107" s="47">
        <v>40087</v>
      </c>
      <c r="B107" s="27" t="s">
        <v>204</v>
      </c>
      <c r="C107" s="27">
        <f t="shared" si="1"/>
        <v>5</v>
      </c>
      <c r="D107" s="48">
        <v>-114</v>
      </c>
      <c r="E107" s="29">
        <f>VLOOKUP(A107,NFP!A:C,3)</f>
        <v>-199</v>
      </c>
    </row>
    <row r="108" spans="1:5" x14ac:dyDescent="0.2">
      <c r="A108" s="47">
        <v>40118</v>
      </c>
      <c r="B108" s="27" t="s">
        <v>205</v>
      </c>
      <c r="C108" s="27">
        <f t="shared" si="1"/>
        <v>5</v>
      </c>
      <c r="D108" s="48">
        <v>-374</v>
      </c>
      <c r="E108" s="29">
        <f>VLOOKUP(A108,NFP!A:C,3)</f>
        <v>12</v>
      </c>
    </row>
    <row r="109" spans="1:5" x14ac:dyDescent="0.2">
      <c r="A109" s="47">
        <v>40148</v>
      </c>
      <c r="B109" s="27" t="s">
        <v>202</v>
      </c>
      <c r="C109" s="27">
        <f t="shared" si="1"/>
        <v>5</v>
      </c>
      <c r="D109" s="48">
        <v>-212</v>
      </c>
      <c r="E109" s="29">
        <f>VLOOKUP(A109,NFP!A:C,3)</f>
        <v>-269</v>
      </c>
    </row>
    <row r="110" spans="1:5" x14ac:dyDescent="0.2">
      <c r="A110" s="47">
        <v>40179</v>
      </c>
      <c r="B110" s="27" t="s">
        <v>206</v>
      </c>
      <c r="C110" s="27">
        <f t="shared" si="1"/>
        <v>5</v>
      </c>
      <c r="D110" s="48">
        <v>-137</v>
      </c>
      <c r="E110" s="29">
        <f>VLOOKUP(A110,NFP!A:C,3)</f>
        <v>2</v>
      </c>
    </row>
    <row r="111" spans="1:5" x14ac:dyDescent="0.2">
      <c r="A111" s="47">
        <v>40210</v>
      </c>
      <c r="B111" s="27" t="s">
        <v>207</v>
      </c>
      <c r="C111" s="27">
        <f t="shared" si="1"/>
        <v>5</v>
      </c>
      <c r="D111" s="48">
        <v>-219</v>
      </c>
      <c r="E111" s="29">
        <f>VLOOKUP(A111,NFP!A:C,3)</f>
        <v>-92</v>
      </c>
    </row>
    <row r="112" spans="1:5" x14ac:dyDescent="0.2">
      <c r="A112" s="47">
        <v>40238</v>
      </c>
      <c r="B112" s="27" t="s">
        <v>129</v>
      </c>
      <c r="C112" s="27">
        <f t="shared" si="1"/>
        <v>5</v>
      </c>
      <c r="D112" s="48">
        <v>-113</v>
      </c>
      <c r="E112" s="29">
        <f>VLOOKUP(A112,NFP!A:C,3)</f>
        <v>181</v>
      </c>
    </row>
    <row r="113" spans="1:5" x14ac:dyDescent="0.2">
      <c r="A113" s="47">
        <v>40269</v>
      </c>
      <c r="B113" s="27" t="s">
        <v>208</v>
      </c>
      <c r="C113" s="27">
        <f t="shared" si="1"/>
        <v>4</v>
      </c>
      <c r="D113" s="48">
        <v>147</v>
      </c>
      <c r="E113" s="29">
        <f>VLOOKUP(A113,NFP!A:C,3)</f>
        <v>231</v>
      </c>
    </row>
    <row r="114" spans="1:5" x14ac:dyDescent="0.2">
      <c r="A114" s="47">
        <v>40299</v>
      </c>
      <c r="B114" s="27" t="s">
        <v>209</v>
      </c>
      <c r="C114" s="27">
        <f t="shared" si="1"/>
        <v>4</v>
      </c>
      <c r="D114" s="48">
        <v>152</v>
      </c>
      <c r="E114" s="29">
        <f>VLOOKUP(A114,NFP!A:C,3)</f>
        <v>540</v>
      </c>
    </row>
    <row r="115" spans="1:5" x14ac:dyDescent="0.2">
      <c r="A115" s="47">
        <v>40330</v>
      </c>
      <c r="B115" s="27" t="s">
        <v>210</v>
      </c>
      <c r="C115" s="27">
        <f t="shared" si="1"/>
        <v>4</v>
      </c>
      <c r="D115" s="48">
        <v>102</v>
      </c>
      <c r="E115" s="29">
        <f>VLOOKUP(A115,NFP!A:C,3)</f>
        <v>-139</v>
      </c>
    </row>
    <row r="116" spans="1:5" x14ac:dyDescent="0.2">
      <c r="A116" s="47">
        <v>40360</v>
      </c>
      <c r="B116" s="27" t="s">
        <v>211</v>
      </c>
      <c r="C116" s="27">
        <f t="shared" si="1"/>
        <v>4</v>
      </c>
      <c r="D116" s="48">
        <v>159</v>
      </c>
      <c r="E116" s="29">
        <f>VLOOKUP(A116,NFP!A:C,3)</f>
        <v>-84</v>
      </c>
    </row>
    <row r="117" spans="1:5" x14ac:dyDescent="0.2">
      <c r="A117" s="47">
        <v>40391</v>
      </c>
      <c r="B117" s="27" t="s">
        <v>212</v>
      </c>
      <c r="C117" s="27">
        <f t="shared" si="1"/>
        <v>3</v>
      </c>
      <c r="D117" s="48">
        <v>99</v>
      </c>
      <c r="E117" s="29">
        <f>VLOOKUP(A117,NFP!A:C,3)</f>
        <v>-5</v>
      </c>
    </row>
    <row r="118" spans="1:5" x14ac:dyDescent="0.2">
      <c r="A118" s="47">
        <v>40422</v>
      </c>
      <c r="B118" s="27" t="s">
        <v>213</v>
      </c>
      <c r="C118" s="27">
        <f t="shared" si="1"/>
        <v>4</v>
      </c>
      <c r="D118" s="48">
        <v>117</v>
      </c>
      <c r="E118" s="29">
        <f>VLOOKUP(A118,NFP!A:C,3)</f>
        <v>-65</v>
      </c>
    </row>
    <row r="119" spans="1:5" x14ac:dyDescent="0.2">
      <c r="A119" s="47">
        <v>40452</v>
      </c>
      <c r="B119" s="27" t="s">
        <v>214</v>
      </c>
      <c r="C119" s="27">
        <f t="shared" si="1"/>
        <v>4</v>
      </c>
      <c r="D119" s="48">
        <v>219</v>
      </c>
      <c r="E119" s="29">
        <f>VLOOKUP(A119,NFP!A:C,3)</f>
        <v>268</v>
      </c>
    </row>
    <row r="120" spans="1:5" x14ac:dyDescent="0.2">
      <c r="A120" s="47">
        <v>40483</v>
      </c>
      <c r="B120" s="27" t="s">
        <v>215</v>
      </c>
      <c r="C120" s="27">
        <f t="shared" si="1"/>
        <v>4</v>
      </c>
      <c r="D120" s="48">
        <v>141</v>
      </c>
      <c r="E120" s="29">
        <f>VLOOKUP(A120,NFP!A:C,3)</f>
        <v>125</v>
      </c>
    </row>
    <row r="121" spans="1:5" x14ac:dyDescent="0.2">
      <c r="A121" s="47">
        <v>40513</v>
      </c>
      <c r="B121" s="27" t="s">
        <v>216</v>
      </c>
      <c r="C121" s="27">
        <f t="shared" si="1"/>
        <v>3</v>
      </c>
      <c r="D121" s="48">
        <v>85</v>
      </c>
      <c r="E121" s="29">
        <f>VLOOKUP(A121,NFP!A:C,3)</f>
        <v>72</v>
      </c>
    </row>
    <row r="122" spans="1:5" x14ac:dyDescent="0.2">
      <c r="A122" s="47">
        <v>40544</v>
      </c>
      <c r="B122" s="27" t="s">
        <v>217</v>
      </c>
      <c r="C122" s="27">
        <f t="shared" si="1"/>
        <v>4</v>
      </c>
      <c r="D122" s="48">
        <v>137</v>
      </c>
      <c r="E122" s="29">
        <f>VLOOKUP(A122,NFP!A:C,3)</f>
        <v>19</v>
      </c>
    </row>
    <row r="123" spans="1:5" x14ac:dyDescent="0.2">
      <c r="A123" s="47">
        <v>40575</v>
      </c>
      <c r="B123" s="27" t="s">
        <v>154</v>
      </c>
      <c r="C123" s="27">
        <f t="shared" si="1"/>
        <v>4</v>
      </c>
      <c r="D123" s="48">
        <v>164</v>
      </c>
      <c r="E123" s="29">
        <f>VLOOKUP(A123,NFP!A:C,3)</f>
        <v>212</v>
      </c>
    </row>
    <row r="124" spans="1:5" x14ac:dyDescent="0.2">
      <c r="A124" s="47">
        <v>40603</v>
      </c>
      <c r="B124" s="27" t="s">
        <v>218</v>
      </c>
      <c r="C124" s="27">
        <f t="shared" si="1"/>
        <v>4</v>
      </c>
      <c r="D124" s="48">
        <v>213</v>
      </c>
      <c r="E124" s="29">
        <f>VLOOKUP(A124,NFP!A:C,3)</f>
        <v>235</v>
      </c>
    </row>
    <row r="125" spans="1:5" x14ac:dyDescent="0.2">
      <c r="A125" s="47">
        <v>40634</v>
      </c>
      <c r="B125" s="27" t="s">
        <v>219</v>
      </c>
      <c r="C125" s="27">
        <f t="shared" si="1"/>
        <v>4</v>
      </c>
      <c r="D125" s="48">
        <v>299</v>
      </c>
      <c r="E125" s="29">
        <f>VLOOKUP(A125,NFP!A:C,3)</f>
        <v>314</v>
      </c>
    </row>
    <row r="126" spans="1:5" x14ac:dyDescent="0.2">
      <c r="A126" s="47">
        <v>40664</v>
      </c>
      <c r="B126" s="27" t="s">
        <v>151</v>
      </c>
      <c r="C126" s="27">
        <f t="shared" si="1"/>
        <v>4</v>
      </c>
      <c r="D126" s="48">
        <v>254</v>
      </c>
      <c r="E126" s="29">
        <f>VLOOKUP(A126,NFP!A:C,3)</f>
        <v>101</v>
      </c>
    </row>
    <row r="127" spans="1:5" x14ac:dyDescent="0.2">
      <c r="A127" s="47">
        <v>40695</v>
      </c>
      <c r="B127" s="27" t="s">
        <v>220</v>
      </c>
      <c r="C127" s="27">
        <f t="shared" si="1"/>
        <v>4</v>
      </c>
      <c r="D127" s="48">
        <v>263</v>
      </c>
      <c r="E127" s="29">
        <f>VLOOKUP(A127,NFP!A:C,3)</f>
        <v>236</v>
      </c>
    </row>
    <row r="128" spans="1:5" x14ac:dyDescent="0.2">
      <c r="A128" s="47">
        <v>40725</v>
      </c>
      <c r="B128" s="27" t="s">
        <v>218</v>
      </c>
      <c r="C128" s="27">
        <f t="shared" si="1"/>
        <v>4</v>
      </c>
      <c r="D128" s="48">
        <v>213</v>
      </c>
      <c r="E128" s="29">
        <f>VLOOKUP(A128,NFP!A:C,3)</f>
        <v>60</v>
      </c>
    </row>
    <row r="129" spans="1:5" x14ac:dyDescent="0.2">
      <c r="A129" s="47">
        <v>40756</v>
      </c>
      <c r="B129" s="27" t="s">
        <v>221</v>
      </c>
      <c r="C129" s="27">
        <f t="shared" si="1"/>
        <v>4</v>
      </c>
      <c r="D129" s="48">
        <v>216</v>
      </c>
      <c r="E129" s="29">
        <f>VLOOKUP(A129,NFP!A:C,3)</f>
        <v>126</v>
      </c>
    </row>
    <row r="130" spans="1:5" x14ac:dyDescent="0.2">
      <c r="A130" s="47">
        <v>40787</v>
      </c>
      <c r="B130" s="27" t="s">
        <v>222</v>
      </c>
      <c r="C130" s="27">
        <f t="shared" si="1"/>
        <v>4</v>
      </c>
      <c r="D130" s="48">
        <v>227</v>
      </c>
      <c r="E130" s="29">
        <f>VLOOKUP(A130,NFP!A:C,3)</f>
        <v>233</v>
      </c>
    </row>
    <row r="131" spans="1:5" x14ac:dyDescent="0.2">
      <c r="A131" s="47">
        <v>40817</v>
      </c>
      <c r="B131" s="27" t="s">
        <v>223</v>
      </c>
      <c r="C131" s="27">
        <f t="shared" si="1"/>
        <v>4</v>
      </c>
      <c r="D131" s="48">
        <v>191</v>
      </c>
      <c r="E131" s="29">
        <f>VLOOKUP(A131,NFP!A:C,3)</f>
        <v>204</v>
      </c>
    </row>
    <row r="132" spans="1:5" x14ac:dyDescent="0.2">
      <c r="A132" s="47">
        <v>40848</v>
      </c>
      <c r="B132" s="27" t="s">
        <v>224</v>
      </c>
      <c r="C132" s="27">
        <f t="shared" si="1"/>
        <v>4</v>
      </c>
      <c r="D132" s="48">
        <v>127</v>
      </c>
      <c r="E132" s="29">
        <f>VLOOKUP(A132,NFP!A:C,3)</f>
        <v>132</v>
      </c>
    </row>
    <row r="133" spans="1:5" x14ac:dyDescent="0.2">
      <c r="A133" s="47">
        <v>40878</v>
      </c>
      <c r="B133" s="27" t="s">
        <v>225</v>
      </c>
      <c r="C133" s="27">
        <f t="shared" si="1"/>
        <v>4</v>
      </c>
      <c r="D133" s="48">
        <v>194</v>
      </c>
      <c r="E133" s="29">
        <f>VLOOKUP(A133,NFP!A:C,3)</f>
        <v>202</v>
      </c>
    </row>
    <row r="134" spans="1:5" x14ac:dyDescent="0.2">
      <c r="A134" s="47">
        <v>40909</v>
      </c>
      <c r="B134" s="27" t="s">
        <v>226</v>
      </c>
      <c r="C134" s="27">
        <f t="shared" si="1"/>
        <v>4</v>
      </c>
      <c r="D134" s="48">
        <v>199</v>
      </c>
      <c r="E134" s="29">
        <f>VLOOKUP(A134,NFP!A:C,3)</f>
        <v>354</v>
      </c>
    </row>
    <row r="135" spans="1:5" x14ac:dyDescent="0.2">
      <c r="A135" s="47">
        <v>40940</v>
      </c>
      <c r="B135" s="27" t="s">
        <v>158</v>
      </c>
      <c r="C135" s="27">
        <f t="shared" ref="C135:C198" si="2">LEN(B135)</f>
        <v>4</v>
      </c>
      <c r="D135" s="48">
        <v>281</v>
      </c>
      <c r="E135" s="29">
        <f>VLOOKUP(A135,NFP!A:C,3)</f>
        <v>262</v>
      </c>
    </row>
    <row r="136" spans="1:5" x14ac:dyDescent="0.2">
      <c r="A136" s="47">
        <v>40969</v>
      </c>
      <c r="B136" s="27" t="s">
        <v>227</v>
      </c>
      <c r="C136" s="27">
        <f t="shared" si="2"/>
        <v>4</v>
      </c>
      <c r="D136" s="48">
        <v>250</v>
      </c>
      <c r="E136" s="29">
        <f>VLOOKUP(A136,NFP!A:C,3)</f>
        <v>240</v>
      </c>
    </row>
    <row r="137" spans="1:5" x14ac:dyDescent="0.2">
      <c r="A137" s="47">
        <v>41000</v>
      </c>
      <c r="B137" s="27" t="s">
        <v>228</v>
      </c>
      <c r="C137" s="27">
        <f t="shared" si="2"/>
        <v>3</v>
      </c>
      <c r="D137" s="48">
        <v>83</v>
      </c>
      <c r="E137" s="29">
        <f>VLOOKUP(A137,NFP!A:C,3)</f>
        <v>82</v>
      </c>
    </row>
    <row r="138" spans="1:5" x14ac:dyDescent="0.2">
      <c r="A138" s="47">
        <v>41030</v>
      </c>
      <c r="B138" s="27" t="s">
        <v>229</v>
      </c>
      <c r="C138" s="27">
        <f t="shared" si="2"/>
        <v>4</v>
      </c>
      <c r="D138" s="48">
        <v>153</v>
      </c>
      <c r="E138" s="29">
        <f>VLOOKUP(A138,NFP!A:C,3)</f>
        <v>100</v>
      </c>
    </row>
    <row r="139" spans="1:5" x14ac:dyDescent="0.2">
      <c r="A139" s="47">
        <v>41061</v>
      </c>
      <c r="B139" s="27" t="s">
        <v>230</v>
      </c>
      <c r="C139" s="27">
        <f t="shared" si="2"/>
        <v>3</v>
      </c>
      <c r="D139" s="48">
        <v>79</v>
      </c>
      <c r="E139" s="29">
        <f>VLOOKUP(A139,NFP!A:C,3)</f>
        <v>73</v>
      </c>
    </row>
    <row r="140" spans="1:5" x14ac:dyDescent="0.2">
      <c r="A140" s="47">
        <v>41091</v>
      </c>
      <c r="B140" s="27" t="s">
        <v>231</v>
      </c>
      <c r="C140" s="27">
        <f t="shared" si="2"/>
        <v>4</v>
      </c>
      <c r="D140" s="48">
        <v>142</v>
      </c>
      <c r="E140" s="29">
        <f>VLOOKUP(A140,NFP!A:C,3)</f>
        <v>152</v>
      </c>
    </row>
    <row r="141" spans="1:5" x14ac:dyDescent="0.2">
      <c r="A141" s="47">
        <v>41122</v>
      </c>
      <c r="B141" s="27" t="s">
        <v>232</v>
      </c>
      <c r="C141" s="27">
        <f t="shared" si="2"/>
        <v>4</v>
      </c>
      <c r="D141" s="48">
        <v>184</v>
      </c>
      <c r="E141" s="29">
        <f>VLOOKUP(A141,NFP!A:C,3)</f>
        <v>172</v>
      </c>
    </row>
    <row r="142" spans="1:5" x14ac:dyDescent="0.2">
      <c r="A142" s="47">
        <v>41153</v>
      </c>
      <c r="B142" s="27" t="s">
        <v>233</v>
      </c>
      <c r="C142" s="27">
        <f t="shared" si="2"/>
        <v>4</v>
      </c>
      <c r="D142" s="48">
        <v>150</v>
      </c>
      <c r="E142" s="29">
        <f>VLOOKUP(A142,NFP!A:C,3)</f>
        <v>187</v>
      </c>
    </row>
    <row r="143" spans="1:5" x14ac:dyDescent="0.2">
      <c r="A143" s="47">
        <v>41183</v>
      </c>
      <c r="B143" s="27" t="s">
        <v>222</v>
      </c>
      <c r="C143" s="27">
        <f t="shared" si="2"/>
        <v>4</v>
      </c>
      <c r="D143" s="48">
        <v>227</v>
      </c>
      <c r="E143" s="29">
        <f>VLOOKUP(A143,NFP!A:C,3)</f>
        <v>159</v>
      </c>
    </row>
    <row r="144" spans="1:5" x14ac:dyDescent="0.2">
      <c r="A144" s="47">
        <v>41214</v>
      </c>
      <c r="B144" s="27" t="s">
        <v>211</v>
      </c>
      <c r="C144" s="27">
        <f t="shared" si="2"/>
        <v>4</v>
      </c>
      <c r="D144" s="48">
        <v>159</v>
      </c>
      <c r="E144" s="29">
        <f>VLOOKUP(A144,NFP!A:C,3)</f>
        <v>156</v>
      </c>
    </row>
    <row r="145" spans="1:5" x14ac:dyDescent="0.2">
      <c r="A145" s="47">
        <v>41244</v>
      </c>
      <c r="B145" s="27" t="s">
        <v>234</v>
      </c>
      <c r="C145" s="27">
        <f t="shared" si="2"/>
        <v>4</v>
      </c>
      <c r="D145" s="48">
        <v>231</v>
      </c>
      <c r="E145" s="29">
        <f>VLOOKUP(A145,NFP!A:C,3)</f>
        <v>239</v>
      </c>
    </row>
    <row r="146" spans="1:5" x14ac:dyDescent="0.2">
      <c r="A146" s="47">
        <v>41275</v>
      </c>
      <c r="B146" s="27" t="s">
        <v>166</v>
      </c>
      <c r="C146" s="27">
        <f t="shared" si="2"/>
        <v>4</v>
      </c>
      <c r="D146" s="48">
        <v>208</v>
      </c>
      <c r="E146" s="29">
        <f>VLOOKUP(A146,NFP!A:C,3)</f>
        <v>191</v>
      </c>
    </row>
    <row r="147" spans="1:5" x14ac:dyDescent="0.2">
      <c r="A147" s="47">
        <v>41306</v>
      </c>
      <c r="B147" s="27" t="s">
        <v>235</v>
      </c>
      <c r="C147" s="27">
        <f t="shared" si="2"/>
        <v>4</v>
      </c>
      <c r="D147" s="48">
        <v>203</v>
      </c>
      <c r="E147" s="29">
        <f>VLOOKUP(A147,NFP!A:C,3)</f>
        <v>278</v>
      </c>
    </row>
    <row r="148" spans="1:5" x14ac:dyDescent="0.2">
      <c r="A148" s="47">
        <v>41334</v>
      </c>
      <c r="B148" s="27" t="s">
        <v>236</v>
      </c>
      <c r="C148" s="27">
        <f t="shared" si="2"/>
        <v>4</v>
      </c>
      <c r="D148" s="48">
        <v>181</v>
      </c>
      <c r="E148" s="29">
        <f>VLOOKUP(A148,NFP!A:C,3)</f>
        <v>139</v>
      </c>
    </row>
    <row r="149" spans="1:5" x14ac:dyDescent="0.2">
      <c r="A149" s="47">
        <v>41365</v>
      </c>
      <c r="B149" s="27" t="s">
        <v>237</v>
      </c>
      <c r="C149" s="27">
        <f t="shared" si="2"/>
        <v>4</v>
      </c>
      <c r="D149" s="48">
        <v>126</v>
      </c>
      <c r="E149" s="29">
        <f>VLOOKUP(A149,NFP!A:C,3)</f>
        <v>191</v>
      </c>
    </row>
    <row r="150" spans="1:5" x14ac:dyDescent="0.2">
      <c r="A150" s="47">
        <v>41395</v>
      </c>
      <c r="B150" s="27" t="s">
        <v>238</v>
      </c>
      <c r="C150" s="27">
        <f t="shared" si="2"/>
        <v>4</v>
      </c>
      <c r="D150" s="48">
        <v>210</v>
      </c>
      <c r="E150" s="29">
        <f>VLOOKUP(A150,NFP!A:C,3)</f>
        <v>222</v>
      </c>
    </row>
    <row r="151" spans="1:5" x14ac:dyDescent="0.2">
      <c r="A151" s="47">
        <v>41426</v>
      </c>
      <c r="B151" s="27" t="s">
        <v>239</v>
      </c>
      <c r="C151" s="27">
        <f t="shared" si="2"/>
        <v>4</v>
      </c>
      <c r="D151" s="48">
        <v>217</v>
      </c>
      <c r="E151" s="29">
        <f>VLOOKUP(A151,NFP!A:C,3)</f>
        <v>181</v>
      </c>
    </row>
    <row r="152" spans="1:5" x14ac:dyDescent="0.2">
      <c r="A152" s="47">
        <v>41456</v>
      </c>
      <c r="B152" s="27" t="s">
        <v>240</v>
      </c>
      <c r="C152" s="27">
        <f t="shared" si="2"/>
        <v>4</v>
      </c>
      <c r="D152" s="48">
        <v>157</v>
      </c>
      <c r="E152" s="29">
        <f>VLOOKUP(A152,NFP!A:C,3)</f>
        <v>112</v>
      </c>
    </row>
    <row r="153" spans="1:5" x14ac:dyDescent="0.2">
      <c r="A153" s="47">
        <v>41487</v>
      </c>
      <c r="B153" s="27" t="s">
        <v>241</v>
      </c>
      <c r="C153" s="27">
        <f t="shared" si="2"/>
        <v>4</v>
      </c>
      <c r="D153" s="48">
        <v>206</v>
      </c>
      <c r="E153" s="29">
        <f>VLOOKUP(A153,NFP!A:C,3)</f>
        <v>242</v>
      </c>
    </row>
    <row r="154" spans="1:5" x14ac:dyDescent="0.2">
      <c r="A154" s="47">
        <v>41518</v>
      </c>
      <c r="B154" s="27" t="s">
        <v>156</v>
      </c>
      <c r="C154" s="27">
        <f t="shared" si="2"/>
        <v>4</v>
      </c>
      <c r="D154" s="48">
        <v>243</v>
      </c>
      <c r="E154" s="29">
        <f>VLOOKUP(A154,NFP!A:C,3)</f>
        <v>187</v>
      </c>
    </row>
    <row r="155" spans="1:5" x14ac:dyDescent="0.2">
      <c r="A155" s="47">
        <v>41548</v>
      </c>
      <c r="B155" s="27" t="s">
        <v>242</v>
      </c>
      <c r="C155" s="27">
        <f t="shared" si="2"/>
        <v>4</v>
      </c>
      <c r="D155" s="48">
        <v>211</v>
      </c>
      <c r="E155" s="29">
        <f>VLOOKUP(A155,NFP!A:C,3)</f>
        <v>225</v>
      </c>
    </row>
    <row r="156" spans="1:5" x14ac:dyDescent="0.2">
      <c r="A156" s="47">
        <v>41579</v>
      </c>
      <c r="B156" s="27" t="s">
        <v>243</v>
      </c>
      <c r="C156" s="27">
        <f t="shared" si="2"/>
        <v>4</v>
      </c>
      <c r="D156" s="48">
        <v>195</v>
      </c>
      <c r="E156" s="29">
        <f>VLOOKUP(A156,NFP!A:C,3)</f>
        <v>264</v>
      </c>
    </row>
    <row r="157" spans="1:5" x14ac:dyDescent="0.2">
      <c r="A157" s="47">
        <v>41609</v>
      </c>
      <c r="B157" s="27" t="s">
        <v>150</v>
      </c>
      <c r="C157" s="27">
        <f t="shared" si="2"/>
        <v>4</v>
      </c>
      <c r="D157" s="48">
        <v>178</v>
      </c>
      <c r="E157" s="29">
        <f>VLOOKUP(A157,NFP!A:C,3)</f>
        <v>69</v>
      </c>
    </row>
    <row r="158" spans="1:5" x14ac:dyDescent="0.2">
      <c r="A158" s="47">
        <v>41640</v>
      </c>
      <c r="B158" s="27" t="s">
        <v>244</v>
      </c>
      <c r="C158" s="27">
        <f t="shared" si="2"/>
        <v>4</v>
      </c>
      <c r="D158" s="48">
        <v>212</v>
      </c>
      <c r="E158" s="29">
        <f>VLOOKUP(A158,NFP!A:C,3)</f>
        <v>175</v>
      </c>
    </row>
    <row r="159" spans="1:5" x14ac:dyDescent="0.2">
      <c r="A159" s="47">
        <v>41671</v>
      </c>
      <c r="B159" s="27" t="s">
        <v>159</v>
      </c>
      <c r="C159" s="27">
        <f t="shared" si="2"/>
        <v>4</v>
      </c>
      <c r="D159" s="48">
        <v>190</v>
      </c>
      <c r="E159" s="29">
        <f>VLOOKUP(A159,NFP!A:C,3)</f>
        <v>166</v>
      </c>
    </row>
    <row r="160" spans="1:5" x14ac:dyDescent="0.2">
      <c r="A160" s="47">
        <v>41699</v>
      </c>
      <c r="B160" s="27" t="s">
        <v>245</v>
      </c>
      <c r="C160" s="27">
        <f t="shared" si="2"/>
        <v>4</v>
      </c>
      <c r="D160" s="48">
        <v>179</v>
      </c>
      <c r="E160" s="29">
        <f>VLOOKUP(A160,NFP!A:C,3)</f>
        <v>254</v>
      </c>
    </row>
    <row r="161" spans="1:5" x14ac:dyDescent="0.2">
      <c r="A161" s="47">
        <v>41730</v>
      </c>
      <c r="B161" s="27" t="s">
        <v>246</v>
      </c>
      <c r="C161" s="27">
        <f t="shared" si="2"/>
        <v>4</v>
      </c>
      <c r="D161" s="48">
        <v>278</v>
      </c>
      <c r="E161" s="29">
        <f>VLOOKUP(A161,NFP!A:C,3)</f>
        <v>325</v>
      </c>
    </row>
    <row r="162" spans="1:5" x14ac:dyDescent="0.2">
      <c r="A162" s="47">
        <v>41760</v>
      </c>
      <c r="B162" s="27" t="s">
        <v>247</v>
      </c>
      <c r="C162" s="27">
        <f t="shared" si="2"/>
        <v>4</v>
      </c>
      <c r="D162" s="48">
        <v>202</v>
      </c>
      <c r="E162" s="29">
        <f>VLOOKUP(A162,NFP!A:C,3)</f>
        <v>218</v>
      </c>
    </row>
    <row r="163" spans="1:5" x14ac:dyDescent="0.2">
      <c r="A163" s="47">
        <v>41791</v>
      </c>
      <c r="B163" s="27" t="s">
        <v>248</v>
      </c>
      <c r="C163" s="27">
        <f t="shared" si="2"/>
        <v>4</v>
      </c>
      <c r="D163" s="48">
        <v>292</v>
      </c>
      <c r="E163" s="29">
        <f>VLOOKUP(A163,NFP!A:C,3)</f>
        <v>326</v>
      </c>
    </row>
    <row r="164" spans="1:5" x14ac:dyDescent="0.2">
      <c r="A164" s="47">
        <v>41821</v>
      </c>
      <c r="B164" s="27" t="s">
        <v>249</v>
      </c>
      <c r="C164" s="27">
        <f t="shared" si="2"/>
        <v>4</v>
      </c>
      <c r="D164" s="48">
        <v>223</v>
      </c>
      <c r="E164" s="29">
        <f>VLOOKUP(A164,NFP!A:C,3)</f>
        <v>232</v>
      </c>
    </row>
    <row r="165" spans="1:5" x14ac:dyDescent="0.2">
      <c r="A165" s="47">
        <v>41852</v>
      </c>
      <c r="B165" s="27" t="s">
        <v>250</v>
      </c>
      <c r="C165" s="27">
        <f t="shared" si="2"/>
        <v>4</v>
      </c>
      <c r="D165" s="48">
        <v>230</v>
      </c>
      <c r="E165" s="29">
        <f>VLOOKUP(A165,NFP!A:C,3)</f>
        <v>188</v>
      </c>
    </row>
    <row r="166" spans="1:5" x14ac:dyDescent="0.2">
      <c r="A166" s="47">
        <v>41883</v>
      </c>
      <c r="B166" s="27" t="s">
        <v>251</v>
      </c>
      <c r="C166" s="27">
        <f t="shared" si="2"/>
        <v>4</v>
      </c>
      <c r="D166" s="48">
        <v>251</v>
      </c>
      <c r="E166" s="29">
        <f>VLOOKUP(A166,NFP!A:C,3)</f>
        <v>309</v>
      </c>
    </row>
    <row r="167" spans="1:5" x14ac:dyDescent="0.2">
      <c r="A167" s="47">
        <v>41913</v>
      </c>
      <c r="B167" s="27" t="s">
        <v>252</v>
      </c>
      <c r="C167" s="27">
        <f t="shared" si="2"/>
        <v>4</v>
      </c>
      <c r="D167" s="48">
        <v>252</v>
      </c>
      <c r="E167" s="29">
        <f>VLOOKUP(A167,NFP!A:C,3)</f>
        <v>252</v>
      </c>
    </row>
    <row r="168" spans="1:5" x14ac:dyDescent="0.2">
      <c r="A168" s="47">
        <v>41944</v>
      </c>
      <c r="B168" s="27" t="s">
        <v>243</v>
      </c>
      <c r="C168" s="27">
        <f t="shared" si="2"/>
        <v>4</v>
      </c>
      <c r="D168" s="48">
        <v>195</v>
      </c>
      <c r="E168" s="29">
        <f>VLOOKUP(A168,NFP!A:C,3)</f>
        <v>291</v>
      </c>
    </row>
    <row r="169" spans="1:5" x14ac:dyDescent="0.2">
      <c r="A169" s="47">
        <v>41974</v>
      </c>
      <c r="B169" s="27" t="s">
        <v>248</v>
      </c>
      <c r="C169" s="27">
        <f t="shared" si="2"/>
        <v>4</v>
      </c>
      <c r="D169" s="48">
        <v>292</v>
      </c>
      <c r="E169" s="29">
        <f>VLOOKUP(A169,NFP!A:C,3)</f>
        <v>268</v>
      </c>
    </row>
    <row r="170" spans="1:5" x14ac:dyDescent="0.2">
      <c r="A170" s="47">
        <v>42005</v>
      </c>
      <c r="B170" s="27" t="s">
        <v>223</v>
      </c>
      <c r="C170" s="27">
        <f t="shared" si="2"/>
        <v>4</v>
      </c>
      <c r="D170" s="48">
        <v>191</v>
      </c>
      <c r="E170" s="29">
        <f>VLOOKUP(A170,NFP!A:C,3)</f>
        <v>191</v>
      </c>
    </row>
    <row r="171" spans="1:5" x14ac:dyDescent="0.2">
      <c r="A171" s="47">
        <v>42036</v>
      </c>
      <c r="B171" s="27" t="s">
        <v>253</v>
      </c>
      <c r="C171" s="27">
        <f t="shared" si="2"/>
        <v>4</v>
      </c>
      <c r="D171" s="48">
        <v>226</v>
      </c>
      <c r="E171" s="29">
        <f>VLOOKUP(A171,NFP!A:C,3)</f>
        <v>271</v>
      </c>
    </row>
    <row r="172" spans="1:5" x14ac:dyDescent="0.2">
      <c r="A172" s="47">
        <v>42064</v>
      </c>
      <c r="B172" s="27" t="s">
        <v>150</v>
      </c>
      <c r="C172" s="27">
        <f t="shared" si="2"/>
        <v>4</v>
      </c>
      <c r="D172" s="48">
        <v>178</v>
      </c>
      <c r="E172" s="29">
        <f>VLOOKUP(A172,NFP!A:C,3)</f>
        <v>71</v>
      </c>
    </row>
    <row r="173" spans="1:5" x14ac:dyDescent="0.2">
      <c r="A173" s="47">
        <v>42095</v>
      </c>
      <c r="B173" s="27" t="s">
        <v>245</v>
      </c>
      <c r="C173" s="27">
        <f t="shared" si="2"/>
        <v>4</v>
      </c>
      <c r="D173" s="48">
        <v>179</v>
      </c>
      <c r="E173" s="29">
        <f>VLOOKUP(A173,NFP!A:C,3)</f>
        <v>284</v>
      </c>
    </row>
    <row r="174" spans="1:5" x14ac:dyDescent="0.2">
      <c r="A174" s="47">
        <v>42125</v>
      </c>
      <c r="B174" s="27" t="s">
        <v>164</v>
      </c>
      <c r="C174" s="27">
        <f t="shared" si="2"/>
        <v>4</v>
      </c>
      <c r="D174" s="48">
        <v>296</v>
      </c>
      <c r="E174" s="29">
        <f>VLOOKUP(A174,NFP!A:C,3)</f>
        <v>331</v>
      </c>
    </row>
    <row r="175" spans="1:5" x14ac:dyDescent="0.2">
      <c r="A175" s="47">
        <v>42156</v>
      </c>
      <c r="B175" s="27" t="s">
        <v>214</v>
      </c>
      <c r="C175" s="27">
        <f t="shared" si="2"/>
        <v>4</v>
      </c>
      <c r="D175" s="48">
        <v>219</v>
      </c>
      <c r="E175" s="29">
        <f>VLOOKUP(A175,NFP!A:C,3)</f>
        <v>174</v>
      </c>
    </row>
    <row r="176" spans="1:5" x14ac:dyDescent="0.2">
      <c r="A176" s="47">
        <v>42186</v>
      </c>
      <c r="B176" s="27" t="s">
        <v>159</v>
      </c>
      <c r="C176" s="27">
        <f t="shared" si="2"/>
        <v>4</v>
      </c>
      <c r="D176" s="48">
        <v>190</v>
      </c>
      <c r="E176" s="29">
        <f>VLOOKUP(A176,NFP!A:C,3)</f>
        <v>302</v>
      </c>
    </row>
    <row r="177" spans="1:5" x14ac:dyDescent="0.2">
      <c r="A177" s="47">
        <v>42217</v>
      </c>
      <c r="B177" s="27" t="s">
        <v>159</v>
      </c>
      <c r="C177" s="27">
        <f t="shared" si="2"/>
        <v>4</v>
      </c>
      <c r="D177" s="48">
        <v>190</v>
      </c>
      <c r="E177" s="29">
        <f>VLOOKUP(A177,NFP!A:C,3)</f>
        <v>125</v>
      </c>
    </row>
    <row r="178" spans="1:5" x14ac:dyDescent="0.2">
      <c r="A178" s="47">
        <v>42248</v>
      </c>
      <c r="B178" s="27" t="s">
        <v>254</v>
      </c>
      <c r="C178" s="27">
        <f t="shared" si="2"/>
        <v>4</v>
      </c>
      <c r="D178" s="48">
        <v>204</v>
      </c>
      <c r="E178" s="29">
        <f>VLOOKUP(A178,NFP!A:C,3)</f>
        <v>155</v>
      </c>
    </row>
    <row r="179" spans="1:5" x14ac:dyDescent="0.2">
      <c r="A179" s="47">
        <v>42278</v>
      </c>
      <c r="B179" s="27" t="s">
        <v>255</v>
      </c>
      <c r="C179" s="27">
        <f t="shared" si="2"/>
        <v>4</v>
      </c>
      <c r="D179" s="48">
        <v>186</v>
      </c>
      <c r="E179" s="29">
        <f>VLOOKUP(A179,NFP!A:C,3)</f>
        <v>306</v>
      </c>
    </row>
    <row r="180" spans="1:5" x14ac:dyDescent="0.2">
      <c r="A180" s="47">
        <v>42309</v>
      </c>
      <c r="B180" s="27" t="s">
        <v>249</v>
      </c>
      <c r="C180" s="27">
        <f t="shared" si="2"/>
        <v>4</v>
      </c>
      <c r="D180" s="48">
        <v>223</v>
      </c>
      <c r="E180" s="29">
        <f>VLOOKUP(A180,NFP!A:C,3)</f>
        <v>237</v>
      </c>
    </row>
    <row r="181" spans="1:5" x14ac:dyDescent="0.2">
      <c r="A181" s="47">
        <v>42339</v>
      </c>
      <c r="B181" s="27" t="s">
        <v>256</v>
      </c>
      <c r="C181" s="27">
        <f t="shared" si="2"/>
        <v>4</v>
      </c>
      <c r="D181" s="48">
        <v>271</v>
      </c>
      <c r="E181" s="29">
        <f>VLOOKUP(A181,NFP!A:C,3)</f>
        <v>273</v>
      </c>
    </row>
    <row r="182" spans="1:5" x14ac:dyDescent="0.2">
      <c r="A182" s="47">
        <v>42370</v>
      </c>
      <c r="B182" s="27" t="s">
        <v>257</v>
      </c>
      <c r="C182" s="27">
        <f t="shared" si="2"/>
        <v>4</v>
      </c>
      <c r="D182" s="48">
        <v>130</v>
      </c>
      <c r="E182" s="29">
        <f>VLOOKUP(A182,NFP!A:C,3)</f>
        <v>108</v>
      </c>
    </row>
    <row r="183" spans="1:5" x14ac:dyDescent="0.2">
      <c r="A183" s="47">
        <v>42401</v>
      </c>
      <c r="B183" s="27" t="s">
        <v>175</v>
      </c>
      <c r="C183" s="27">
        <f t="shared" si="2"/>
        <v>4</v>
      </c>
      <c r="D183" s="48">
        <v>241</v>
      </c>
      <c r="E183" s="29">
        <f>VLOOKUP(A183,NFP!A:C,3)</f>
        <v>212</v>
      </c>
    </row>
    <row r="184" spans="1:5" x14ac:dyDescent="0.2">
      <c r="A184" s="47">
        <v>42430</v>
      </c>
      <c r="B184" s="27" t="s">
        <v>258</v>
      </c>
      <c r="C184" s="27">
        <f t="shared" si="2"/>
        <v>4</v>
      </c>
      <c r="D184" s="48">
        <v>205</v>
      </c>
      <c r="E184" s="29">
        <f>VLOOKUP(A184,NFP!A:C,3)</f>
        <v>237</v>
      </c>
    </row>
    <row r="185" spans="1:5" x14ac:dyDescent="0.2">
      <c r="A185" s="47">
        <v>42461</v>
      </c>
      <c r="B185" s="27" t="s">
        <v>144</v>
      </c>
      <c r="C185" s="27">
        <f t="shared" si="2"/>
        <v>4</v>
      </c>
      <c r="D185" s="48">
        <v>170</v>
      </c>
      <c r="E185" s="29">
        <f>VLOOKUP(A185,NFP!A:C,3)</f>
        <v>197</v>
      </c>
    </row>
    <row r="186" spans="1:5" x14ac:dyDescent="0.2">
      <c r="A186" s="47">
        <v>42491</v>
      </c>
      <c r="B186" s="27" t="s">
        <v>259</v>
      </c>
      <c r="C186" s="27">
        <f t="shared" si="2"/>
        <v>3</v>
      </c>
      <c r="D186" s="48">
        <v>84</v>
      </c>
      <c r="E186" s="29">
        <f>VLOOKUP(A186,NFP!A:C,3)</f>
        <v>41</v>
      </c>
    </row>
    <row r="187" spans="1:5" x14ac:dyDescent="0.2">
      <c r="A187" s="47">
        <v>42522</v>
      </c>
      <c r="B187" s="27" t="s">
        <v>260</v>
      </c>
      <c r="C187" s="27">
        <f t="shared" si="2"/>
        <v>4</v>
      </c>
      <c r="D187" s="48">
        <v>255</v>
      </c>
      <c r="E187" s="29">
        <f>VLOOKUP(A187,NFP!A:C,3)</f>
        <v>258</v>
      </c>
    </row>
    <row r="188" spans="1:5" x14ac:dyDescent="0.2">
      <c r="A188" s="47">
        <v>42552</v>
      </c>
      <c r="B188" s="27" t="s">
        <v>209</v>
      </c>
      <c r="C188" s="27">
        <f t="shared" si="2"/>
        <v>4</v>
      </c>
      <c r="D188" s="48">
        <v>152</v>
      </c>
      <c r="E188" s="29">
        <f>VLOOKUP(A188,NFP!A:C,3)</f>
        <v>371</v>
      </c>
    </row>
    <row r="189" spans="1:5" x14ac:dyDescent="0.2">
      <c r="A189" s="47">
        <v>42583</v>
      </c>
      <c r="B189" s="27" t="s">
        <v>261</v>
      </c>
      <c r="C189" s="27">
        <f t="shared" si="2"/>
        <v>4</v>
      </c>
      <c r="D189" s="48">
        <v>192</v>
      </c>
      <c r="E189" s="29">
        <f>VLOOKUP(A189,NFP!A:C,3)</f>
        <v>143</v>
      </c>
    </row>
    <row r="190" spans="1:5" x14ac:dyDescent="0.2">
      <c r="A190" s="47">
        <v>42614</v>
      </c>
      <c r="B190" s="27" t="s">
        <v>236</v>
      </c>
      <c r="C190" s="27">
        <f t="shared" si="2"/>
        <v>4</v>
      </c>
      <c r="D190" s="48">
        <v>181</v>
      </c>
      <c r="E190" s="29">
        <f>VLOOKUP(A190,NFP!A:C,3)</f>
        <v>289</v>
      </c>
    </row>
    <row r="191" spans="1:5" x14ac:dyDescent="0.2">
      <c r="A191" s="47">
        <v>42644</v>
      </c>
      <c r="B191" s="27" t="s">
        <v>262</v>
      </c>
      <c r="C191" s="27">
        <f t="shared" si="2"/>
        <v>3</v>
      </c>
      <c r="D191" s="48">
        <v>91</v>
      </c>
      <c r="E191" s="29">
        <f>VLOOKUP(A191,NFP!A:C,3)</f>
        <v>118</v>
      </c>
    </row>
    <row r="192" spans="1:5" x14ac:dyDescent="0.2">
      <c r="A192" s="47">
        <v>42675</v>
      </c>
      <c r="B192" s="27" t="s">
        <v>263</v>
      </c>
      <c r="C192" s="27">
        <f t="shared" si="2"/>
        <v>4</v>
      </c>
      <c r="D192" s="48">
        <v>236</v>
      </c>
      <c r="E192" s="29">
        <f>VLOOKUP(A192,NFP!A:C,3)</f>
        <v>130</v>
      </c>
    </row>
    <row r="193" spans="1:5" x14ac:dyDescent="0.2">
      <c r="A193" s="47">
        <v>42705</v>
      </c>
      <c r="B193" s="27" t="s">
        <v>264</v>
      </c>
      <c r="C193" s="27">
        <f t="shared" si="2"/>
        <v>4</v>
      </c>
      <c r="D193" s="48">
        <v>105</v>
      </c>
      <c r="E193" s="29">
        <f>VLOOKUP(A193,NFP!A:C,3)</f>
        <v>214</v>
      </c>
    </row>
    <row r="194" spans="1:5" x14ac:dyDescent="0.2">
      <c r="A194" s="47">
        <v>42736</v>
      </c>
      <c r="B194" s="27" t="s">
        <v>265</v>
      </c>
      <c r="C194" s="27">
        <f t="shared" si="2"/>
        <v>4</v>
      </c>
      <c r="D194" s="48">
        <v>224</v>
      </c>
      <c r="E194" s="29">
        <f>VLOOKUP(A194,NFP!A:C,3)</f>
        <v>197</v>
      </c>
    </row>
    <row r="195" spans="1:5" x14ac:dyDescent="0.2">
      <c r="A195" s="47">
        <v>42767</v>
      </c>
      <c r="B195" s="27" t="s">
        <v>266</v>
      </c>
      <c r="C195" s="27">
        <f t="shared" si="2"/>
        <v>4</v>
      </c>
      <c r="D195" s="48">
        <v>237</v>
      </c>
      <c r="E195" s="29">
        <f>VLOOKUP(A195,NFP!A:C,3)</f>
        <v>183</v>
      </c>
    </row>
    <row r="196" spans="1:5" x14ac:dyDescent="0.2">
      <c r="A196" s="47">
        <v>42795</v>
      </c>
      <c r="B196" s="27" t="s">
        <v>267</v>
      </c>
      <c r="C196" s="27">
        <f t="shared" si="2"/>
        <v>4</v>
      </c>
      <c r="D196" s="48">
        <v>209</v>
      </c>
      <c r="E196" s="29">
        <f>VLOOKUP(A196,NFP!A:C,3)</f>
        <v>139</v>
      </c>
    </row>
    <row r="197" spans="1:5" x14ac:dyDescent="0.2">
      <c r="A197" s="47">
        <v>42826</v>
      </c>
      <c r="B197" s="27" t="s">
        <v>268</v>
      </c>
      <c r="C197" s="27">
        <f t="shared" si="2"/>
        <v>4</v>
      </c>
      <c r="D197" s="48">
        <v>173</v>
      </c>
      <c r="E197" s="29">
        <f>VLOOKUP(A197,NFP!A:C,3)</f>
        <v>220</v>
      </c>
    </row>
    <row r="198" spans="1:5" x14ac:dyDescent="0.2">
      <c r="A198" s="47">
        <v>42856</v>
      </c>
      <c r="B198" s="27" t="s">
        <v>144</v>
      </c>
      <c r="C198" s="27">
        <f t="shared" si="2"/>
        <v>4</v>
      </c>
      <c r="D198" s="48">
        <v>170</v>
      </c>
      <c r="E198" s="29">
        <f>VLOOKUP(A198,NFP!A:C,3)</f>
        <v>141</v>
      </c>
    </row>
    <row r="199" spans="1:5" x14ac:dyDescent="0.2">
      <c r="A199" s="47">
        <v>42887</v>
      </c>
      <c r="B199" s="27" t="s">
        <v>269</v>
      </c>
      <c r="C199" s="27">
        <f t="shared" ref="C199:C222" si="3">LEN(B199)</f>
        <v>4</v>
      </c>
      <c r="D199" s="48">
        <v>135</v>
      </c>
      <c r="E199" s="29">
        <f>VLOOKUP(A199,NFP!A:C,3)</f>
        <v>211</v>
      </c>
    </row>
    <row r="200" spans="1:5" x14ac:dyDescent="0.2">
      <c r="A200" s="47">
        <v>42917</v>
      </c>
      <c r="B200" s="27" t="s">
        <v>270</v>
      </c>
      <c r="C200" s="27">
        <f t="shared" si="3"/>
        <v>4</v>
      </c>
      <c r="D200" s="48">
        <v>183</v>
      </c>
      <c r="E200" s="29">
        <f>VLOOKUP(A200,NFP!A:C,3)</f>
        <v>228</v>
      </c>
    </row>
    <row r="201" spans="1:5" x14ac:dyDescent="0.2">
      <c r="A201" s="47">
        <v>42948</v>
      </c>
      <c r="B201" s="27" t="s">
        <v>138</v>
      </c>
      <c r="C201" s="27">
        <f t="shared" si="3"/>
        <v>4</v>
      </c>
      <c r="D201" s="48">
        <v>174</v>
      </c>
      <c r="E201" s="29">
        <f>VLOOKUP(A201,NFP!A:C,3)</f>
        <v>190</v>
      </c>
    </row>
    <row r="202" spans="1:5" x14ac:dyDescent="0.2">
      <c r="A202" s="47">
        <v>42979</v>
      </c>
      <c r="B202" s="27" t="s">
        <v>176</v>
      </c>
      <c r="C202" s="27">
        <f t="shared" si="3"/>
        <v>4</v>
      </c>
      <c r="D202" s="48">
        <v>111</v>
      </c>
      <c r="E202" s="29">
        <f>VLOOKUP(A202,NFP!A:C,3)</f>
        <v>42</v>
      </c>
    </row>
    <row r="203" spans="1:5" x14ac:dyDescent="0.2">
      <c r="A203" s="47">
        <v>43009</v>
      </c>
      <c r="B203" s="27" t="s">
        <v>152</v>
      </c>
      <c r="C203" s="27">
        <f t="shared" si="3"/>
        <v>4</v>
      </c>
      <c r="D203" s="48">
        <v>158</v>
      </c>
      <c r="E203" s="29">
        <f>VLOOKUP(A203,NFP!A:C,3)</f>
        <v>249</v>
      </c>
    </row>
    <row r="204" spans="1:5" x14ac:dyDescent="0.2">
      <c r="A204" s="47">
        <v>43040</v>
      </c>
      <c r="B204" s="27" t="s">
        <v>271</v>
      </c>
      <c r="C204" s="27">
        <f t="shared" si="3"/>
        <v>4</v>
      </c>
      <c r="D204" s="48">
        <v>207</v>
      </c>
      <c r="E204" s="29">
        <f>VLOOKUP(A204,NFP!A:C,3)</f>
        <v>196</v>
      </c>
    </row>
    <row r="205" spans="1:5" x14ac:dyDescent="0.2">
      <c r="A205" s="47">
        <v>43070</v>
      </c>
      <c r="B205" s="27" t="s">
        <v>175</v>
      </c>
      <c r="C205" s="27">
        <f t="shared" si="3"/>
        <v>4</v>
      </c>
      <c r="D205" s="48">
        <v>241</v>
      </c>
      <c r="E205" s="29">
        <f>VLOOKUP(A205,NFP!A:C,3)</f>
        <v>179</v>
      </c>
    </row>
    <row r="206" spans="1:5" x14ac:dyDescent="0.2">
      <c r="A206" s="47">
        <v>43101</v>
      </c>
      <c r="B206" s="27" t="s">
        <v>252</v>
      </c>
      <c r="C206" s="27">
        <f t="shared" si="3"/>
        <v>4</v>
      </c>
      <c r="D206" s="48">
        <v>252</v>
      </c>
      <c r="E206" s="29">
        <f>VLOOKUP(A206,NFP!A:C,3)</f>
        <v>81</v>
      </c>
    </row>
    <row r="207" spans="1:5" x14ac:dyDescent="0.2">
      <c r="A207" s="47">
        <v>43132</v>
      </c>
      <c r="B207" s="27" t="s">
        <v>214</v>
      </c>
      <c r="C207" s="27">
        <f t="shared" si="3"/>
        <v>4</v>
      </c>
      <c r="D207" s="48">
        <v>219</v>
      </c>
      <c r="E207" s="29">
        <f>VLOOKUP(A207,NFP!A:C,3)</f>
        <v>378</v>
      </c>
    </row>
    <row r="208" spans="1:5" x14ac:dyDescent="0.2">
      <c r="A208" s="47">
        <v>43160</v>
      </c>
      <c r="B208" s="27" t="s">
        <v>218</v>
      </c>
      <c r="C208" s="27">
        <f t="shared" si="3"/>
        <v>4</v>
      </c>
      <c r="D208" s="48">
        <v>213</v>
      </c>
      <c r="E208" s="29">
        <f>VLOOKUP(A208,NFP!A:C,3)</f>
        <v>195</v>
      </c>
    </row>
    <row r="209" spans="1:5" x14ac:dyDescent="0.2">
      <c r="A209" s="47">
        <v>43191</v>
      </c>
      <c r="B209" s="27" t="s">
        <v>150</v>
      </c>
      <c r="C209" s="27">
        <f t="shared" si="3"/>
        <v>4</v>
      </c>
      <c r="D209" s="48">
        <v>178</v>
      </c>
      <c r="E209" s="29">
        <f>VLOOKUP(A209,NFP!A:C,3)</f>
        <v>153</v>
      </c>
    </row>
    <row r="210" spans="1:5" x14ac:dyDescent="0.2">
      <c r="A210" s="47">
        <v>43221</v>
      </c>
      <c r="B210" s="27" t="s">
        <v>272</v>
      </c>
      <c r="C210" s="27">
        <f t="shared" si="3"/>
        <v>4</v>
      </c>
      <c r="D210" s="48">
        <v>276</v>
      </c>
      <c r="E210" s="29">
        <f>VLOOKUP(A210,NFP!A:C,3)</f>
        <v>270</v>
      </c>
    </row>
    <row r="211" spans="1:5" x14ac:dyDescent="0.2">
      <c r="A211" s="47">
        <v>43252</v>
      </c>
      <c r="B211" s="27" t="s">
        <v>273</v>
      </c>
      <c r="C211" s="27">
        <f t="shared" si="3"/>
        <v>4</v>
      </c>
      <c r="D211" s="48">
        <v>221</v>
      </c>
      <c r="E211" s="29">
        <f>VLOOKUP(A211,NFP!A:C,3)</f>
        <v>214</v>
      </c>
    </row>
    <row r="212" spans="1:5" x14ac:dyDescent="0.2">
      <c r="A212" s="47">
        <v>43282</v>
      </c>
      <c r="B212" s="27" t="s">
        <v>274</v>
      </c>
      <c r="C212" s="27">
        <f t="shared" si="3"/>
        <v>4</v>
      </c>
      <c r="D212" s="48">
        <v>284</v>
      </c>
      <c r="E212" s="29">
        <f>VLOOKUP(A212,NFP!A:C,3)</f>
        <v>149</v>
      </c>
    </row>
    <row r="213" spans="1:5" x14ac:dyDescent="0.2">
      <c r="A213" s="47">
        <v>43313</v>
      </c>
      <c r="B213" s="27" t="s">
        <v>211</v>
      </c>
      <c r="C213" s="27">
        <f t="shared" si="3"/>
        <v>4</v>
      </c>
      <c r="D213" s="48">
        <v>159</v>
      </c>
      <c r="E213" s="29">
        <f>VLOOKUP(A213,NFP!A:C,3)</f>
        <v>229</v>
      </c>
    </row>
    <row r="214" spans="1:5" x14ac:dyDescent="0.2">
      <c r="A214" s="47">
        <v>43344</v>
      </c>
      <c r="B214" s="27" t="s">
        <v>226</v>
      </c>
      <c r="C214" s="27">
        <f t="shared" si="3"/>
        <v>4</v>
      </c>
      <c r="D214" s="48">
        <v>199</v>
      </c>
      <c r="E214" s="29">
        <f>VLOOKUP(A214,NFP!A:C,3)</f>
        <v>105</v>
      </c>
    </row>
    <row r="215" spans="1:5" x14ac:dyDescent="0.2">
      <c r="A215" s="47">
        <v>43374</v>
      </c>
      <c r="B215" s="27" t="s">
        <v>275</v>
      </c>
      <c r="C215" s="27">
        <f t="shared" si="3"/>
        <v>4</v>
      </c>
      <c r="D215" s="48">
        <v>238</v>
      </c>
      <c r="E215" s="29">
        <f>VLOOKUP(A215,NFP!A:C,3)</f>
        <v>212</v>
      </c>
    </row>
    <row r="216" spans="1:5" x14ac:dyDescent="0.2">
      <c r="A216" s="47">
        <v>43405</v>
      </c>
      <c r="B216" s="27" t="s">
        <v>149</v>
      </c>
      <c r="C216" s="27">
        <f t="shared" si="3"/>
        <v>4</v>
      </c>
      <c r="D216" s="48">
        <v>136</v>
      </c>
      <c r="E216" s="29">
        <f>VLOOKUP(A216,NFP!A:C,3)</f>
        <v>92</v>
      </c>
    </row>
    <row r="217" spans="1:5" x14ac:dyDescent="0.2">
      <c r="A217" s="47">
        <v>43435</v>
      </c>
      <c r="B217" s="27" t="s">
        <v>276</v>
      </c>
      <c r="C217" s="27">
        <f t="shared" si="3"/>
        <v>4</v>
      </c>
      <c r="D217" s="48">
        <v>249</v>
      </c>
      <c r="E217" s="29">
        <f>VLOOKUP(A217,NFP!A:C,3)</f>
        <v>240</v>
      </c>
    </row>
    <row r="218" spans="1:5" x14ac:dyDescent="0.2">
      <c r="A218" s="47">
        <v>43466</v>
      </c>
      <c r="B218" s="27" t="s">
        <v>277</v>
      </c>
      <c r="C218" s="27">
        <f t="shared" si="3"/>
        <v>4</v>
      </c>
      <c r="D218" s="48">
        <v>264</v>
      </c>
      <c r="E218" s="29">
        <f>VLOOKUP(A218,NFP!A:C,3)</f>
        <v>237</v>
      </c>
    </row>
    <row r="219" spans="1:5" x14ac:dyDescent="0.2">
      <c r="A219" s="47">
        <v>43497</v>
      </c>
      <c r="B219" s="27" t="s">
        <v>278</v>
      </c>
      <c r="C219" s="27">
        <f t="shared" si="3"/>
        <v>4</v>
      </c>
      <c r="D219" s="48">
        <v>220</v>
      </c>
      <c r="E219" s="29">
        <f>VLOOKUP(A219,NFP!A:C,3)</f>
        <v>-50</v>
      </c>
    </row>
    <row r="220" spans="1:5" x14ac:dyDescent="0.2">
      <c r="A220" s="47">
        <v>43525</v>
      </c>
      <c r="B220" s="27" t="s">
        <v>152</v>
      </c>
      <c r="C220" s="27">
        <f t="shared" si="3"/>
        <v>4</v>
      </c>
      <c r="D220" s="48">
        <v>158</v>
      </c>
      <c r="E220" s="29">
        <f>VLOOKUP(A220,NFP!A:C,3)</f>
        <v>168</v>
      </c>
    </row>
    <row r="221" spans="1:5" x14ac:dyDescent="0.2">
      <c r="A221" s="47">
        <v>43556</v>
      </c>
      <c r="B221" s="27" t="s">
        <v>260</v>
      </c>
      <c r="C221" s="27">
        <f t="shared" si="3"/>
        <v>4</v>
      </c>
      <c r="D221" s="48">
        <v>255</v>
      </c>
      <c r="E221" s="29">
        <f>VLOOKUP(A221,NFP!A:C,3)</f>
        <v>219</v>
      </c>
    </row>
    <row r="222" spans="1:5" x14ac:dyDescent="0.2">
      <c r="A222" s="47">
        <v>43586</v>
      </c>
      <c r="B222" s="27" t="s">
        <v>279</v>
      </c>
      <c r="C222" s="27">
        <f t="shared" si="3"/>
        <v>3</v>
      </c>
      <c r="D222" s="48">
        <v>46</v>
      </c>
      <c r="E222" s="29">
        <f>VLOOKUP(A222,NFP!A:C,3)</f>
        <v>63</v>
      </c>
    </row>
    <row r="223" spans="1:5" s="1" customFormat="1" x14ac:dyDescent="0.2">
      <c r="A223" s="47">
        <v>43617</v>
      </c>
      <c r="B223" s="27" t="s">
        <v>280</v>
      </c>
      <c r="C223" s="27">
        <f t="shared" ref="C223:C224" si="4">LEN(B223)</f>
        <v>4</v>
      </c>
      <c r="D223" s="48">
        <v>107</v>
      </c>
      <c r="E223" s="29">
        <f>VLOOKUP(A223,NFP!A:C,3)</f>
        <v>175</v>
      </c>
    </row>
    <row r="224" spans="1:5" s="1" customFormat="1" x14ac:dyDescent="0.2">
      <c r="A224" s="47">
        <v>43647</v>
      </c>
      <c r="B224" s="27" t="s">
        <v>281</v>
      </c>
      <c r="C224" s="27">
        <f t="shared" si="4"/>
        <v>4</v>
      </c>
      <c r="D224" s="48">
        <v>143</v>
      </c>
      <c r="E224" s="29">
        <f>VLOOKUP(A224,NFP!A:C,3)</f>
        <v>193</v>
      </c>
    </row>
    <row r="225" spans="1:5" s="1" customFormat="1" x14ac:dyDescent="0.2">
      <c r="A225" s="47">
        <v>43678</v>
      </c>
      <c r="B225" s="27" t="s">
        <v>211</v>
      </c>
      <c r="C225" s="27">
        <f t="shared" ref="C225:C227" si="5">LEN(B225)</f>
        <v>4</v>
      </c>
      <c r="D225" s="48">
        <v>159</v>
      </c>
      <c r="E225" s="29">
        <f>VLOOKUP(A225,NFP!A:C,3)</f>
        <v>195</v>
      </c>
    </row>
    <row r="226" spans="1:5" s="1" customFormat="1" x14ac:dyDescent="0.2">
      <c r="A226" s="47">
        <v>43709</v>
      </c>
      <c r="B226" s="27" t="s">
        <v>282</v>
      </c>
      <c r="C226" s="27">
        <f t="shared" si="5"/>
        <v>4</v>
      </c>
      <c r="D226" s="48">
        <v>124</v>
      </c>
      <c r="E226" s="29">
        <f>VLOOKUP(A226,NFP!A:C,3)</f>
        <v>221</v>
      </c>
    </row>
    <row r="227" spans="1:5" s="1" customFormat="1" x14ac:dyDescent="0.2">
      <c r="A227" s="47">
        <v>43739</v>
      </c>
      <c r="B227" s="27" t="s">
        <v>283</v>
      </c>
      <c r="C227" s="27">
        <f t="shared" si="5"/>
        <v>4</v>
      </c>
      <c r="D227" s="48">
        <v>151</v>
      </c>
      <c r="E227" s="29">
        <f>VLOOKUP(A227,NFP!A:C,3)</f>
        <v>195</v>
      </c>
    </row>
    <row r="228" spans="1:5" s="1" customFormat="1" x14ac:dyDescent="0.2">
      <c r="A228" s="47">
        <v>43770</v>
      </c>
      <c r="B228" s="27" t="s">
        <v>282</v>
      </c>
      <c r="C228" s="27">
        <f t="shared" ref="C228:C229" si="6">LEN(B228)</f>
        <v>4</v>
      </c>
      <c r="D228" s="48">
        <v>124</v>
      </c>
      <c r="E228" s="29">
        <f>VLOOKUP(A228,NFP!A:C,3)</f>
        <v>234</v>
      </c>
    </row>
    <row r="229" spans="1:5" s="1" customFormat="1" x14ac:dyDescent="0.2">
      <c r="A229" s="47">
        <v>43800</v>
      </c>
      <c r="B229" s="27" t="s">
        <v>226</v>
      </c>
      <c r="C229" s="27">
        <f t="shared" si="6"/>
        <v>4</v>
      </c>
      <c r="D229" s="48">
        <v>199</v>
      </c>
      <c r="E229" s="29">
        <f>VLOOKUP(A229,NFP!A:C,3)</f>
        <v>161</v>
      </c>
    </row>
    <row r="230" spans="1:5" s="1" customFormat="1" x14ac:dyDescent="0.2">
      <c r="A230" s="47">
        <v>43831</v>
      </c>
      <c r="B230" s="27" t="s">
        <v>267</v>
      </c>
      <c r="C230" s="27">
        <f t="shared" ref="C230:C231" si="7">LEN(B230)</f>
        <v>4</v>
      </c>
      <c r="D230" s="48">
        <v>209</v>
      </c>
      <c r="E230" s="29">
        <f>VLOOKUP(A230,NFP!A:C,3)</f>
        <v>315</v>
      </c>
    </row>
    <row r="231" spans="1:5" s="1" customFormat="1" x14ac:dyDescent="0.2">
      <c r="A231" s="47">
        <v>43862</v>
      </c>
      <c r="B231" s="27" t="s">
        <v>270</v>
      </c>
      <c r="C231" s="27">
        <f t="shared" si="7"/>
        <v>4</v>
      </c>
      <c r="D231" s="48">
        <v>183</v>
      </c>
      <c r="E231" s="29">
        <f>VLOOKUP(A231,NFP!A:C,3)</f>
        <v>289</v>
      </c>
    </row>
    <row r="232" spans="1:5" s="1" customFormat="1" x14ac:dyDescent="0.2">
      <c r="A232" s="47">
        <v>43891</v>
      </c>
      <c r="B232" s="27" t="s">
        <v>284</v>
      </c>
      <c r="C232" s="27">
        <f t="shared" ref="C232:C233" si="8">LEN(B232)</f>
        <v>6</v>
      </c>
      <c r="D232" s="48">
        <v>-149</v>
      </c>
      <c r="E232" s="29">
        <f>VLOOKUP(A232,NFP!A:C,3)</f>
        <v>-1683</v>
      </c>
    </row>
    <row r="233" spans="1:5" s="1" customFormat="1" x14ac:dyDescent="0.2">
      <c r="A233" s="47">
        <v>43922</v>
      </c>
      <c r="B233" s="27" t="s">
        <v>286</v>
      </c>
      <c r="C233" s="27">
        <f t="shared" si="8"/>
        <v>8</v>
      </c>
      <c r="D233" s="48">
        <v>-19557</v>
      </c>
      <c r="E233" s="29">
        <f>VLOOKUP(A233,NFP!A:C,3)</f>
        <v>-20679</v>
      </c>
    </row>
    <row r="234" spans="1:5" s="1" customFormat="1" x14ac:dyDescent="0.2">
      <c r="A234" s="47">
        <v>43952</v>
      </c>
      <c r="B234" s="27" t="s">
        <v>285</v>
      </c>
      <c r="C234" s="27">
        <f t="shared" ref="C234:C235" si="9">LEN(B234)</f>
        <v>5</v>
      </c>
      <c r="D234" s="48">
        <v>3065</v>
      </c>
      <c r="E234" s="29">
        <f>VLOOKUP(A234,NFP!A:C,3)</f>
        <v>2833</v>
      </c>
    </row>
    <row r="235" spans="1:5" s="1" customFormat="1" x14ac:dyDescent="0.2">
      <c r="A235" s="47">
        <v>43983</v>
      </c>
      <c r="B235" s="27" t="s">
        <v>287</v>
      </c>
      <c r="C235" s="27">
        <f t="shared" si="9"/>
        <v>5</v>
      </c>
      <c r="D235" s="48">
        <v>2369</v>
      </c>
      <c r="E235" s="29">
        <f>VLOOKUP(A235,NFP!A:C,3)</f>
        <v>4846</v>
      </c>
    </row>
    <row r="236" spans="1:5" s="1" customFormat="1" x14ac:dyDescent="0.2">
      <c r="A236" s="47">
        <v>44013</v>
      </c>
      <c r="B236" s="27" t="s">
        <v>140</v>
      </c>
      <c r="C236" s="27">
        <f t="shared" ref="C236:C238" si="10">LEN(B236)</f>
        <v>4</v>
      </c>
      <c r="D236" s="48">
        <v>167</v>
      </c>
      <c r="E236" s="29">
        <f>VLOOKUP(A236,NFP!A:C,3)</f>
        <v>1726</v>
      </c>
    </row>
    <row r="237" spans="1:5" s="1" customFormat="1" x14ac:dyDescent="0.2">
      <c r="A237" s="47">
        <v>44044</v>
      </c>
      <c r="B237" s="27" t="s">
        <v>288</v>
      </c>
      <c r="C237" s="27">
        <f t="shared" si="10"/>
        <v>4</v>
      </c>
      <c r="D237" s="48">
        <v>428</v>
      </c>
      <c r="E237" s="29">
        <f>VLOOKUP(A237,NFP!A:C,3)</f>
        <v>1583</v>
      </c>
    </row>
    <row r="238" spans="1:5" s="1" customFormat="1" x14ac:dyDescent="0.2">
      <c r="A238" s="47">
        <v>44075</v>
      </c>
      <c r="B238" s="27" t="s">
        <v>289</v>
      </c>
      <c r="C238" s="27">
        <f t="shared" si="10"/>
        <v>4</v>
      </c>
      <c r="D238" s="48">
        <v>749</v>
      </c>
      <c r="E238" s="29">
        <f>VLOOKUP(A238,NFP!A:C,3)</f>
        <v>716</v>
      </c>
    </row>
    <row r="239" spans="1:5" s="1" customFormat="1" x14ac:dyDescent="0.2">
      <c r="A239" s="47">
        <v>44105</v>
      </c>
      <c r="B239" s="27" t="s">
        <v>290</v>
      </c>
      <c r="C239" s="27">
        <f t="shared" ref="C239:C240" si="11">LEN(B239)</f>
        <v>4</v>
      </c>
      <c r="D239" s="48">
        <v>365</v>
      </c>
      <c r="E239" s="29">
        <f>VLOOKUP(A239,NFP!A:C,3)</f>
        <v>680</v>
      </c>
    </row>
    <row r="240" spans="1:5" s="1" customFormat="1" x14ac:dyDescent="0.2">
      <c r="A240" s="47">
        <v>44136</v>
      </c>
      <c r="B240" s="27" t="s">
        <v>291</v>
      </c>
      <c r="C240" s="27">
        <f t="shared" si="11"/>
        <v>4</v>
      </c>
      <c r="D240" s="48">
        <v>307</v>
      </c>
      <c r="E240" s="29">
        <f>VLOOKUP(A240,NFP!A:C,3)</f>
        <v>264</v>
      </c>
    </row>
    <row r="241" spans="1:5" s="1" customFormat="1" x14ac:dyDescent="0.2">
      <c r="A241" s="47">
        <v>44166</v>
      </c>
      <c r="B241" s="27" t="s">
        <v>292</v>
      </c>
      <c r="C241" s="27">
        <f t="shared" ref="C241:C242" si="12">LEN(B241)</f>
        <v>6</v>
      </c>
      <c r="D241" s="48">
        <v>-123</v>
      </c>
      <c r="E241" s="29">
        <f>VLOOKUP(A241,NFP!A:C,3)</f>
        <v>-306</v>
      </c>
    </row>
    <row r="242" spans="1:5" s="1" customFormat="1" x14ac:dyDescent="0.2">
      <c r="A242" s="47">
        <v>44197</v>
      </c>
      <c r="B242" s="27" t="s">
        <v>138</v>
      </c>
      <c r="C242" s="27">
        <f t="shared" si="12"/>
        <v>4</v>
      </c>
      <c r="D242" s="48">
        <v>174</v>
      </c>
      <c r="E242" s="29">
        <f>VLOOKUP(A242,NFP!A:C,3)</f>
        <v>233</v>
      </c>
    </row>
    <row r="243" spans="1:5" s="1" customFormat="1" x14ac:dyDescent="0.2">
      <c r="A243" s="47">
        <v>44228</v>
      </c>
      <c r="B243" s="27" t="s">
        <v>213</v>
      </c>
      <c r="C243" s="27">
        <f t="shared" ref="C243:C245" si="13">LEN(B243)</f>
        <v>4</v>
      </c>
      <c r="D243" s="48">
        <v>117</v>
      </c>
      <c r="E243" s="29">
        <f>VLOOKUP(A243,NFP!A:C,3)</f>
        <v>536</v>
      </c>
    </row>
    <row r="244" spans="1:5" s="1" customFormat="1" x14ac:dyDescent="0.2">
      <c r="A244" s="47">
        <v>44256</v>
      </c>
      <c r="B244" s="27" t="s">
        <v>293</v>
      </c>
      <c r="C244" s="27">
        <f t="shared" si="13"/>
        <v>4</v>
      </c>
      <c r="D244" s="48">
        <v>517</v>
      </c>
      <c r="E244" s="29">
        <f>VLOOKUP(A244,NFP!A:C,3)</f>
        <v>785</v>
      </c>
    </row>
    <row r="245" spans="1:5" s="1" customFormat="1" x14ac:dyDescent="0.2">
      <c r="A245" s="47">
        <v>44287</v>
      </c>
      <c r="B245" s="27" t="s">
        <v>294</v>
      </c>
      <c r="C245" s="27">
        <f t="shared" si="13"/>
        <v>4</v>
      </c>
      <c r="D245" s="48">
        <v>742</v>
      </c>
      <c r="E245" s="29">
        <f>VLOOKUP(A245,NFP!A:C,3)</f>
        <v>269</v>
      </c>
    </row>
    <row r="246" spans="1:5" s="1" customFormat="1" x14ac:dyDescent="0.2">
      <c r="A246" s="47">
        <v>44317</v>
      </c>
      <c r="B246" s="27" t="s">
        <v>295</v>
      </c>
      <c r="C246" s="27">
        <f t="shared" ref="C246:C247" si="14">LEN(B246)</f>
        <v>4</v>
      </c>
      <c r="D246" s="48">
        <v>978</v>
      </c>
      <c r="E246" s="29">
        <f>VLOOKUP(A246,NFP!A:C,3)</f>
        <v>614</v>
      </c>
    </row>
    <row r="247" spans="1:5" s="1" customFormat="1" x14ac:dyDescent="0.2">
      <c r="A247" s="47">
        <v>44348</v>
      </c>
      <c r="B247" s="27" t="s">
        <v>296</v>
      </c>
      <c r="C247" s="27">
        <f t="shared" si="14"/>
        <v>4</v>
      </c>
      <c r="D247" s="48">
        <v>692</v>
      </c>
      <c r="E247" s="29">
        <f>VLOOKUP(A247,NFP!A:C,3)</f>
        <v>962</v>
      </c>
    </row>
    <row r="248" spans="1:5" s="1" customFormat="1" x14ac:dyDescent="0.2">
      <c r="A248" s="47">
        <v>44378</v>
      </c>
      <c r="B248" s="27" t="s">
        <v>297</v>
      </c>
      <c r="C248" s="27">
        <f t="shared" ref="C248:C249" si="15">LEN(B248)</f>
        <v>4</v>
      </c>
      <c r="D248" s="48">
        <v>330</v>
      </c>
      <c r="E248" s="29">
        <f>VLOOKUP(A248,NFP!A:C,3)</f>
        <v>1053</v>
      </c>
    </row>
    <row r="249" spans="1:5" s="1" customFormat="1" x14ac:dyDescent="0.2">
      <c r="A249" s="47">
        <v>44409</v>
      </c>
      <c r="B249" s="27" t="s">
        <v>298</v>
      </c>
      <c r="C249" s="27">
        <f t="shared" si="15"/>
        <v>4</v>
      </c>
      <c r="D249" s="48">
        <v>374</v>
      </c>
      <c r="E249" s="29">
        <f>VLOOKUP(A249,NFP!A:C,3)</f>
        <v>235</v>
      </c>
    </row>
    <row r="250" spans="1:5" s="1" customFormat="1" x14ac:dyDescent="0.2">
      <c r="A250" s="21"/>
      <c r="B250" s="21"/>
      <c r="C250" s="21"/>
      <c r="D250" s="21"/>
      <c r="E250" s="21"/>
    </row>
    <row r="251" spans="1:5" s="1" customFormat="1" x14ac:dyDescent="0.2">
      <c r="A251" s="21"/>
      <c r="B251" s="21"/>
      <c r="C251" s="21"/>
      <c r="D251" s="21"/>
      <c r="E251" s="21"/>
    </row>
    <row r="252" spans="1:5" s="1" customFormat="1" x14ac:dyDescent="0.2">
      <c r="A252" s="21"/>
      <c r="B252" s="21"/>
      <c r="C252" s="21"/>
      <c r="D252" s="21"/>
      <c r="E252" s="21"/>
    </row>
    <row r="253" spans="1:5" s="1" customFormat="1" x14ac:dyDescent="0.2">
      <c r="A253" s="21"/>
      <c r="B253" s="21"/>
      <c r="C253" s="21"/>
      <c r="D253" s="21"/>
      <c r="E253" s="21"/>
    </row>
    <row r="254" spans="1:5" s="1" customFormat="1" x14ac:dyDescent="0.2">
      <c r="A254" s="21"/>
      <c r="B254" s="21"/>
      <c r="C254" s="21"/>
      <c r="D254" s="21"/>
      <c r="E254" s="21"/>
    </row>
    <row r="255" spans="1:5" s="1" customFormat="1" x14ac:dyDescent="0.2">
      <c r="A255" s="21"/>
      <c r="B255" s="21"/>
      <c r="C255" s="21"/>
      <c r="D255" s="21"/>
      <c r="E255" s="21"/>
    </row>
    <row r="256" spans="1:5" s="1" customFormat="1" x14ac:dyDescent="0.2">
      <c r="A256" s="21"/>
      <c r="B256" s="21"/>
      <c r="C256" s="21"/>
      <c r="D256" s="21"/>
      <c r="E256" s="21"/>
    </row>
    <row r="257" spans="1:5" s="1" customFormat="1" x14ac:dyDescent="0.2">
      <c r="A257" s="21"/>
      <c r="B257" s="21"/>
      <c r="C257" s="21"/>
      <c r="D257" s="21"/>
      <c r="E257" s="21"/>
    </row>
    <row r="258" spans="1:5" s="1" customFormat="1" x14ac:dyDescent="0.2">
      <c r="A258" s="21"/>
      <c r="B258" s="21"/>
      <c r="C258" s="21"/>
      <c r="D258" s="21"/>
      <c r="E258" s="21"/>
    </row>
    <row r="259" spans="1:5" s="1" customFormat="1" x14ac:dyDescent="0.2">
      <c r="A259" s="21"/>
      <c r="B259" s="21"/>
      <c r="C259" s="21"/>
      <c r="D259" s="21"/>
      <c r="E259" s="21"/>
    </row>
    <row r="260" spans="1:5" s="1" customFormat="1" x14ac:dyDescent="0.2">
      <c r="A260" s="21"/>
      <c r="B260" s="21"/>
      <c r="C260" s="21"/>
      <c r="D260" s="21"/>
      <c r="E260" s="21"/>
    </row>
    <row r="261" spans="1:5" s="1" customFormat="1" x14ac:dyDescent="0.2">
      <c r="A261" s="21"/>
      <c r="B261" s="21"/>
      <c r="C261" s="21"/>
      <c r="D261" s="21"/>
      <c r="E261" s="21"/>
    </row>
    <row r="262" spans="1:5" s="1" customFormat="1" x14ac:dyDescent="0.2">
      <c r="A262" s="21"/>
      <c r="B262" s="21"/>
      <c r="C262" s="21"/>
      <c r="D262" s="21"/>
      <c r="E262" s="21"/>
    </row>
    <row r="263" spans="1:5" s="1" customFormat="1" x14ac:dyDescent="0.2">
      <c r="A263" s="21"/>
      <c r="B263" s="21"/>
      <c r="C263" s="21"/>
      <c r="D263" s="21"/>
      <c r="E263" s="21"/>
    </row>
    <row r="264" spans="1:5" s="1" customFormat="1" x14ac:dyDescent="0.2">
      <c r="A264" s="21"/>
      <c r="B264" s="21"/>
      <c r="C264" s="21"/>
      <c r="D264" s="21"/>
      <c r="E264" s="21"/>
    </row>
    <row r="265" spans="1:5" s="1" customFormat="1" x14ac:dyDescent="0.2">
      <c r="A265" s="21"/>
      <c r="B265" s="21"/>
      <c r="C265" s="21"/>
      <c r="D265" s="21"/>
      <c r="E265" s="21"/>
    </row>
    <row r="266" spans="1:5" s="1" customFormat="1" x14ac:dyDescent="0.2">
      <c r="A266" s="21"/>
      <c r="B266" s="21"/>
      <c r="C266" s="21"/>
      <c r="D266" s="21"/>
      <c r="E266" s="21"/>
    </row>
    <row r="267" spans="1:5" s="1" customFormat="1" x14ac:dyDescent="0.2">
      <c r="A267" s="21"/>
      <c r="B267" s="21"/>
      <c r="C267" s="21"/>
      <c r="D267" s="21"/>
      <c r="E267" s="21"/>
    </row>
    <row r="268" spans="1:5" s="1" customFormat="1" x14ac:dyDescent="0.2">
      <c r="A268" s="21"/>
      <c r="B268" s="21"/>
      <c r="C268" s="21"/>
      <c r="D268" s="21"/>
      <c r="E268" s="21"/>
    </row>
    <row r="269" spans="1:5" s="1" customFormat="1" x14ac:dyDescent="0.2">
      <c r="A269" s="21"/>
      <c r="B269" s="21"/>
      <c r="C269" s="21"/>
      <c r="D269" s="21"/>
      <c r="E269" s="21"/>
    </row>
    <row r="270" spans="1:5" s="1" customFormat="1" x14ac:dyDescent="0.2">
      <c r="A270" s="21"/>
      <c r="B270" s="21"/>
      <c r="C270" s="21"/>
      <c r="D270" s="21"/>
      <c r="E270" s="21"/>
    </row>
    <row r="271" spans="1:5" s="1" customFormat="1" x14ac:dyDescent="0.2">
      <c r="A271" s="21"/>
      <c r="B271" s="21"/>
      <c r="C271" s="21"/>
      <c r="D271" s="21"/>
      <c r="E271" s="21"/>
    </row>
    <row r="272" spans="1:5" s="1" customFormat="1" x14ac:dyDescent="0.2">
      <c r="A272" s="21"/>
      <c r="B272" s="21"/>
      <c r="C272" s="21"/>
      <c r="D272" s="21"/>
      <c r="E272" s="21"/>
    </row>
    <row r="273" spans="1:5" s="1" customFormat="1" x14ac:dyDescent="0.2">
      <c r="A273" s="21"/>
      <c r="B273" s="21"/>
      <c r="C273" s="21"/>
      <c r="D273" s="21"/>
      <c r="E273" s="21"/>
    </row>
    <row r="274" spans="1:5" s="1" customFormat="1" x14ac:dyDescent="0.2">
      <c r="A274" s="21"/>
      <c r="B274" s="21"/>
      <c r="C274" s="21"/>
      <c r="D274" s="21"/>
      <c r="E274" s="21"/>
    </row>
    <row r="275" spans="1:5" s="1" customFormat="1" x14ac:dyDescent="0.2">
      <c r="A275" s="21"/>
      <c r="B275" s="21"/>
      <c r="C275" s="21"/>
      <c r="D275" s="21"/>
      <c r="E275" s="21"/>
    </row>
    <row r="276" spans="1:5" s="1" customFormat="1" x14ac:dyDescent="0.2">
      <c r="A276" s="21"/>
      <c r="B276" s="21"/>
      <c r="C276" s="21"/>
      <c r="D276" s="21"/>
      <c r="E276" s="21"/>
    </row>
    <row r="277" spans="1:5" s="1" customFormat="1" x14ac:dyDescent="0.2">
      <c r="A277" s="21"/>
      <c r="B277" s="21"/>
      <c r="C277" s="21"/>
      <c r="D277" s="21"/>
      <c r="E277" s="21"/>
    </row>
    <row r="278" spans="1:5" s="1" customFormat="1" x14ac:dyDescent="0.2">
      <c r="A278" s="21"/>
      <c r="B278" s="21"/>
      <c r="C278" s="21"/>
      <c r="D278" s="21"/>
      <c r="E278" s="21"/>
    </row>
    <row r="279" spans="1:5" s="1" customFormat="1" x14ac:dyDescent="0.2">
      <c r="A279" s="21"/>
      <c r="B279" s="21"/>
      <c r="C279" s="21"/>
      <c r="D279" s="21"/>
      <c r="E279" s="21"/>
    </row>
    <row r="280" spans="1:5" s="1" customFormat="1" x14ac:dyDescent="0.2">
      <c r="A280" s="21"/>
      <c r="B280" s="21"/>
      <c r="C280" s="21"/>
      <c r="D280" s="21"/>
      <c r="E280" s="21"/>
    </row>
    <row r="281" spans="1:5" s="1" customFormat="1" x14ac:dyDescent="0.2">
      <c r="A281" s="21"/>
      <c r="B281" s="21"/>
      <c r="C281" s="21"/>
      <c r="D281" s="21"/>
      <c r="E281" s="21"/>
    </row>
    <row r="282" spans="1:5" s="1" customFormat="1" x14ac:dyDescent="0.2">
      <c r="A282" s="21"/>
      <c r="B282" s="21"/>
      <c r="C282" s="21"/>
      <c r="D282" s="21"/>
      <c r="E282" s="21"/>
    </row>
    <row r="283" spans="1:5" s="1" customFormat="1" x14ac:dyDescent="0.2">
      <c r="A283" s="21"/>
      <c r="B283" s="21"/>
      <c r="C283" s="21"/>
      <c r="D283" s="21"/>
      <c r="E283" s="21"/>
    </row>
    <row r="284" spans="1:5" s="1" customFormat="1" x14ac:dyDescent="0.2">
      <c r="A284" s="21"/>
      <c r="B284" s="21"/>
      <c r="C284" s="21"/>
      <c r="D284" s="21"/>
      <c r="E284" s="21"/>
    </row>
    <row r="285" spans="1:5" s="1" customFormat="1" x14ac:dyDescent="0.2">
      <c r="A285" s="21"/>
      <c r="B285" s="21"/>
      <c r="C285" s="21"/>
      <c r="D285" s="21"/>
      <c r="E285" s="21"/>
    </row>
    <row r="286" spans="1:5" s="1" customFormat="1" x14ac:dyDescent="0.2">
      <c r="A286" s="21"/>
      <c r="B286" s="21"/>
      <c r="C286" s="21"/>
      <c r="D286" s="21"/>
      <c r="E286" s="21"/>
    </row>
    <row r="287" spans="1:5" s="1" customFormat="1" x14ac:dyDescent="0.2">
      <c r="A287" s="21"/>
      <c r="B287" s="21"/>
      <c r="C287" s="21"/>
      <c r="D287" s="21"/>
      <c r="E287" s="21"/>
    </row>
    <row r="288" spans="1:5" s="1" customFormat="1" x14ac:dyDescent="0.2">
      <c r="A288" s="21"/>
      <c r="B288" s="21"/>
      <c r="C288" s="21"/>
      <c r="D288" s="21"/>
      <c r="E288" s="21"/>
    </row>
    <row r="289" spans="1:5" s="1" customFormat="1" x14ac:dyDescent="0.2">
      <c r="A289" s="21"/>
      <c r="B289" s="21"/>
      <c r="C289" s="21"/>
      <c r="D289" s="21"/>
      <c r="E289" s="21"/>
    </row>
    <row r="290" spans="1:5" s="1" customFormat="1" x14ac:dyDescent="0.2">
      <c r="A290" s="21"/>
      <c r="B290" s="21"/>
      <c r="C290" s="21"/>
      <c r="D290" s="21"/>
      <c r="E290" s="21"/>
    </row>
    <row r="291" spans="1:5" s="1" customFormat="1" x14ac:dyDescent="0.2">
      <c r="A291" s="21"/>
      <c r="B291" s="21"/>
      <c r="C291" s="21"/>
      <c r="D291" s="21"/>
      <c r="E291" s="21"/>
    </row>
    <row r="292" spans="1:5" s="1" customFormat="1" x14ac:dyDescent="0.2">
      <c r="A292" s="21"/>
      <c r="B292" s="21"/>
      <c r="C292" s="21"/>
      <c r="D292" s="21"/>
      <c r="E292" s="21"/>
    </row>
    <row r="293" spans="1:5" s="1" customFormat="1" x14ac:dyDescent="0.2">
      <c r="A293" s="21"/>
      <c r="B293" s="21"/>
      <c r="C293" s="21"/>
      <c r="D293" s="21"/>
      <c r="E293" s="21"/>
    </row>
    <row r="294" spans="1:5" s="1" customFormat="1" x14ac:dyDescent="0.2">
      <c r="A294" s="21"/>
      <c r="B294" s="21"/>
      <c r="C294" s="21"/>
      <c r="D294" s="21"/>
      <c r="E294" s="21"/>
    </row>
    <row r="295" spans="1:5" s="1" customFormat="1" x14ac:dyDescent="0.2">
      <c r="A295" s="21"/>
      <c r="B295" s="21"/>
      <c r="C295" s="21"/>
      <c r="D295" s="21"/>
      <c r="E295" s="21"/>
    </row>
    <row r="296" spans="1:5" s="1" customFormat="1" x14ac:dyDescent="0.2">
      <c r="A296" s="21"/>
      <c r="B296" s="21"/>
      <c r="C296" s="21"/>
      <c r="D296" s="21"/>
      <c r="E296" s="21"/>
    </row>
    <row r="297" spans="1:5" s="1" customFormat="1" x14ac:dyDescent="0.2">
      <c r="A297" s="21"/>
      <c r="B297" s="21"/>
      <c r="C297" s="21"/>
      <c r="D297" s="21"/>
      <c r="E297" s="21"/>
    </row>
    <row r="298" spans="1:5" s="1" customFormat="1" x14ac:dyDescent="0.2">
      <c r="A298" s="21"/>
      <c r="B298" s="21"/>
      <c r="C298" s="21"/>
      <c r="D298" s="21"/>
      <c r="E298" s="21"/>
    </row>
    <row r="299" spans="1:5" s="1" customFormat="1" x14ac:dyDescent="0.2">
      <c r="A299" s="21"/>
      <c r="B299" s="21"/>
      <c r="C299" s="21"/>
      <c r="D299" s="21"/>
      <c r="E299" s="21"/>
    </row>
    <row r="300" spans="1:5" s="1" customFormat="1" x14ac:dyDescent="0.2">
      <c r="A300" s="21"/>
      <c r="B300" s="21"/>
      <c r="C300" s="21"/>
      <c r="D300" s="21"/>
      <c r="E300" s="21"/>
    </row>
    <row r="301" spans="1:5" s="1" customFormat="1" x14ac:dyDescent="0.2">
      <c r="A301" s="21"/>
      <c r="B301" s="21"/>
      <c r="C301" s="21"/>
      <c r="D301" s="21"/>
      <c r="E301" s="21"/>
    </row>
    <row r="302" spans="1:5" s="1" customFormat="1" x14ac:dyDescent="0.2">
      <c r="A302" s="21"/>
      <c r="B302" s="21"/>
      <c r="C302" s="21"/>
      <c r="D302" s="21"/>
      <c r="E302" s="21"/>
    </row>
    <row r="303" spans="1:5" s="1" customFormat="1" x14ac:dyDescent="0.2">
      <c r="A303" s="21"/>
      <c r="B303" s="21"/>
      <c r="C303" s="21"/>
      <c r="D303" s="21"/>
      <c r="E303" s="21"/>
    </row>
    <row r="304" spans="1:5" s="1" customFormat="1" x14ac:dyDescent="0.2">
      <c r="A304" s="21"/>
      <c r="B304" s="21"/>
      <c r="C304" s="21"/>
      <c r="D304" s="21"/>
      <c r="E304" s="21"/>
    </row>
    <row r="305" spans="1:5" s="1" customFormat="1" x14ac:dyDescent="0.2">
      <c r="A305" s="21"/>
      <c r="B305" s="21"/>
      <c r="C305" s="21"/>
      <c r="D305" s="21"/>
      <c r="E305" s="21"/>
    </row>
    <row r="306" spans="1:5" s="1" customFormat="1" x14ac:dyDescent="0.2">
      <c r="A306" s="21"/>
      <c r="B306" s="21"/>
      <c r="C306" s="21"/>
      <c r="D306" s="21"/>
      <c r="E306" s="21"/>
    </row>
    <row r="307" spans="1:5" s="1" customFormat="1" x14ac:dyDescent="0.2">
      <c r="A307" s="21"/>
      <c r="B307" s="21"/>
      <c r="C307" s="21"/>
      <c r="D307" s="21"/>
      <c r="E307" s="21"/>
    </row>
    <row r="308" spans="1:5" s="1" customFormat="1" x14ac:dyDescent="0.2">
      <c r="A308" s="21"/>
      <c r="B308" s="21"/>
      <c r="C308" s="21"/>
      <c r="D308" s="21"/>
      <c r="E308" s="21"/>
    </row>
    <row r="309" spans="1:5" s="1" customFormat="1" x14ac:dyDescent="0.2">
      <c r="A309" s="21"/>
      <c r="B309" s="21"/>
      <c r="C309" s="21"/>
      <c r="D309" s="21"/>
      <c r="E309" s="21"/>
    </row>
    <row r="310" spans="1:5" s="1" customFormat="1" x14ac:dyDescent="0.2">
      <c r="A310" s="21"/>
      <c r="B310" s="21"/>
      <c r="C310" s="21"/>
      <c r="D310" s="21"/>
      <c r="E310" s="21"/>
    </row>
    <row r="311" spans="1:5" s="1" customFormat="1" x14ac:dyDescent="0.2">
      <c r="A311" s="21"/>
      <c r="B311" s="21"/>
      <c r="C311" s="21"/>
      <c r="D311" s="21"/>
      <c r="E311" s="21"/>
    </row>
    <row r="312" spans="1:5" s="1" customFormat="1" x14ac:dyDescent="0.2">
      <c r="A312" s="21"/>
      <c r="B312" s="21"/>
      <c r="C312" s="21"/>
      <c r="D312" s="21"/>
      <c r="E312" s="21"/>
    </row>
    <row r="313" spans="1:5" s="1" customFormat="1" x14ac:dyDescent="0.2">
      <c r="A313" s="21"/>
      <c r="B313" s="21"/>
      <c r="C313" s="21"/>
      <c r="D313" s="21"/>
      <c r="E313" s="21"/>
    </row>
    <row r="314" spans="1:5" s="1" customFormat="1" x14ac:dyDescent="0.2">
      <c r="A314" s="21"/>
      <c r="B314" s="21"/>
      <c r="C314" s="21"/>
      <c r="D314" s="21"/>
      <c r="E314" s="21"/>
    </row>
    <row r="315" spans="1:5" s="1" customFormat="1" x14ac:dyDescent="0.2">
      <c r="A315" s="21"/>
      <c r="B315" s="21"/>
      <c r="C315" s="21"/>
      <c r="D315" s="21"/>
      <c r="E315" s="21"/>
    </row>
    <row r="316" spans="1:5" s="1" customFormat="1" x14ac:dyDescent="0.2">
      <c r="A316" s="21"/>
      <c r="B316" s="21"/>
      <c r="C316" s="21"/>
      <c r="D316" s="21"/>
      <c r="E316" s="21"/>
    </row>
    <row r="317" spans="1:5" s="1" customFormat="1" x14ac:dyDescent="0.2">
      <c r="A317" s="21"/>
      <c r="B317" s="21"/>
      <c r="C317" s="21"/>
      <c r="D317" s="21"/>
      <c r="E317" s="21"/>
    </row>
    <row r="318" spans="1:5" s="1" customFormat="1" x14ac:dyDescent="0.2">
      <c r="A318" s="21"/>
      <c r="B318" s="21"/>
      <c r="C318" s="21"/>
      <c r="D318" s="21"/>
      <c r="E318" s="21"/>
    </row>
    <row r="319" spans="1:5" s="1" customFormat="1" x14ac:dyDescent="0.2">
      <c r="A319" s="21"/>
      <c r="B319" s="21"/>
      <c r="C319" s="21"/>
      <c r="D319" s="21"/>
      <c r="E319" s="21"/>
    </row>
    <row r="320" spans="1:5" s="1" customFormat="1" x14ac:dyDescent="0.2">
      <c r="A320" s="21"/>
      <c r="B320" s="21"/>
      <c r="C320" s="21"/>
      <c r="D320" s="21"/>
      <c r="E320" s="21"/>
    </row>
    <row r="321" spans="1:5" s="1" customFormat="1" x14ac:dyDescent="0.2">
      <c r="A321" s="21"/>
      <c r="B321" s="21"/>
      <c r="C321" s="21"/>
      <c r="D321" s="21"/>
      <c r="E321" s="21"/>
    </row>
    <row r="322" spans="1:5" s="1" customFormat="1" x14ac:dyDescent="0.2">
      <c r="A322" s="21"/>
      <c r="B322" s="21"/>
      <c r="C322" s="21"/>
      <c r="D322" s="21"/>
      <c r="E322" s="21"/>
    </row>
    <row r="323" spans="1:5" s="1" customFormat="1" x14ac:dyDescent="0.2">
      <c r="A323" s="21"/>
      <c r="B323" s="21"/>
      <c r="C323" s="21"/>
      <c r="D323" s="21"/>
      <c r="E323" s="21"/>
    </row>
    <row r="324" spans="1:5" s="1" customFormat="1" x14ac:dyDescent="0.2">
      <c r="A324" s="21"/>
      <c r="B324" s="21"/>
      <c r="C324" s="21"/>
      <c r="D324" s="21"/>
      <c r="E324" s="21"/>
    </row>
    <row r="325" spans="1:5" s="1" customFormat="1" x14ac:dyDescent="0.2">
      <c r="A325" s="21"/>
      <c r="B325" s="21"/>
      <c r="C325" s="21"/>
      <c r="D325" s="21"/>
      <c r="E325" s="21"/>
    </row>
    <row r="326" spans="1:5" s="1" customFormat="1" x14ac:dyDescent="0.2">
      <c r="A326" s="21"/>
      <c r="B326" s="21"/>
      <c r="C326" s="21"/>
      <c r="D326" s="21"/>
      <c r="E326" s="21"/>
    </row>
    <row r="327" spans="1:5" s="1" customFormat="1" x14ac:dyDescent="0.2">
      <c r="A327" s="21"/>
      <c r="B327" s="21"/>
      <c r="C327" s="21"/>
      <c r="D327" s="21"/>
      <c r="E327" s="21"/>
    </row>
    <row r="328" spans="1:5" s="1" customFormat="1" x14ac:dyDescent="0.2">
      <c r="A328" s="21"/>
      <c r="B328" s="21"/>
      <c r="C328" s="21"/>
      <c r="D328" s="21"/>
      <c r="E328" s="21"/>
    </row>
    <row r="329" spans="1:5" s="1" customFormat="1" x14ac:dyDescent="0.2">
      <c r="A329" s="21"/>
      <c r="B329" s="21"/>
      <c r="C329" s="21"/>
      <c r="D329" s="21"/>
      <c r="E329" s="21"/>
    </row>
    <row r="330" spans="1:5" s="1" customFormat="1" x14ac:dyDescent="0.2">
      <c r="A330" s="21"/>
      <c r="B330" s="21"/>
      <c r="C330" s="21"/>
      <c r="D330" s="21"/>
      <c r="E330" s="21"/>
    </row>
    <row r="331" spans="1:5" s="1" customFormat="1" x14ac:dyDescent="0.2">
      <c r="A331" s="21"/>
      <c r="B331" s="21"/>
      <c r="C331" s="21"/>
      <c r="D331" s="21"/>
      <c r="E331" s="21"/>
    </row>
    <row r="332" spans="1:5" s="1" customFormat="1" x14ac:dyDescent="0.2">
      <c r="A332" s="21"/>
      <c r="B332" s="21"/>
      <c r="C332" s="21"/>
      <c r="D332" s="21"/>
      <c r="E332" s="21"/>
    </row>
    <row r="333" spans="1:5" s="1" customFormat="1" x14ac:dyDescent="0.2">
      <c r="A333" s="21"/>
      <c r="B333" s="21"/>
      <c r="C333" s="21"/>
      <c r="D333" s="21"/>
      <c r="E333" s="21"/>
    </row>
    <row r="334" spans="1:5" s="1" customFormat="1" x14ac:dyDescent="0.2">
      <c r="A334" s="21"/>
      <c r="B334" s="21"/>
      <c r="C334" s="21"/>
      <c r="D334" s="21"/>
      <c r="E334" s="21"/>
    </row>
    <row r="335" spans="1:5" s="1" customFormat="1" x14ac:dyDescent="0.2">
      <c r="A335" s="21"/>
      <c r="B335" s="21"/>
      <c r="C335" s="21"/>
      <c r="D335" s="21"/>
      <c r="E335" s="21"/>
    </row>
    <row r="336" spans="1:5" s="1" customFormat="1" x14ac:dyDescent="0.2">
      <c r="A336" s="21"/>
      <c r="B336" s="21"/>
      <c r="C336" s="21"/>
      <c r="D336" s="21"/>
      <c r="E336" s="21"/>
    </row>
    <row r="337" spans="1:5" s="1" customFormat="1" x14ac:dyDescent="0.2">
      <c r="A337" s="21"/>
      <c r="B337" s="21"/>
      <c r="C337" s="21"/>
      <c r="D337" s="21"/>
      <c r="E337" s="21"/>
    </row>
    <row r="338" spans="1:5" s="1" customFormat="1" x14ac:dyDescent="0.2">
      <c r="A338" s="21"/>
      <c r="B338" s="21"/>
      <c r="C338" s="21"/>
      <c r="D338" s="21"/>
      <c r="E338" s="21"/>
    </row>
    <row r="339" spans="1:5" s="1" customFormat="1" x14ac:dyDescent="0.2">
      <c r="A339" s="21"/>
      <c r="B339" s="21"/>
      <c r="C339" s="21"/>
      <c r="D339" s="21"/>
      <c r="E339" s="21"/>
    </row>
    <row r="340" spans="1:5" s="1" customFormat="1" x14ac:dyDescent="0.2">
      <c r="A340" s="21"/>
      <c r="B340" s="21"/>
      <c r="C340" s="21"/>
      <c r="D340" s="21"/>
      <c r="E340" s="21"/>
    </row>
    <row r="341" spans="1:5" s="1" customFormat="1" x14ac:dyDescent="0.2">
      <c r="A341" s="21"/>
      <c r="B341" s="21"/>
      <c r="C341" s="21"/>
      <c r="D341" s="21"/>
      <c r="E341" s="21"/>
    </row>
    <row r="342" spans="1:5" s="1" customFormat="1" x14ac:dyDescent="0.2">
      <c r="A342" s="21"/>
      <c r="B342" s="21"/>
      <c r="C342" s="21"/>
      <c r="D342" s="21"/>
      <c r="E342" s="21"/>
    </row>
    <row r="343" spans="1:5" s="1" customFormat="1" x14ac:dyDescent="0.2">
      <c r="A343" s="21"/>
      <c r="B343" s="21"/>
      <c r="C343" s="21"/>
      <c r="D343" s="21"/>
      <c r="E343" s="21"/>
    </row>
    <row r="344" spans="1:5" s="1" customFormat="1" x14ac:dyDescent="0.2">
      <c r="A344" s="21"/>
      <c r="B344" s="21"/>
      <c r="C344" s="21"/>
      <c r="D344" s="21"/>
      <c r="E344" s="21"/>
    </row>
    <row r="345" spans="1:5" s="1" customFormat="1" x14ac:dyDescent="0.2">
      <c r="A345" s="21"/>
      <c r="B345" s="21"/>
      <c r="C345" s="21"/>
      <c r="D345" s="21"/>
      <c r="E345" s="21"/>
    </row>
    <row r="346" spans="1:5" s="1" customFormat="1" x14ac:dyDescent="0.2">
      <c r="A346" s="21"/>
      <c r="B346" s="21"/>
      <c r="C346" s="21"/>
      <c r="D346" s="21"/>
      <c r="E346" s="21"/>
    </row>
    <row r="347" spans="1:5" s="1" customFormat="1" x14ac:dyDescent="0.2">
      <c r="A347" s="21"/>
      <c r="B347" s="21"/>
      <c r="C347" s="21"/>
      <c r="D347" s="21"/>
      <c r="E347" s="21"/>
    </row>
    <row r="348" spans="1:5" s="1" customFormat="1" x14ac:dyDescent="0.2">
      <c r="A348" s="21"/>
      <c r="B348" s="21"/>
      <c r="C348" s="21"/>
      <c r="D348" s="21"/>
      <c r="E348" s="21"/>
    </row>
    <row r="349" spans="1:5" s="1" customFormat="1" x14ac:dyDescent="0.2">
      <c r="A349" s="21"/>
      <c r="B349" s="21"/>
      <c r="C349" s="21"/>
      <c r="D349" s="21"/>
      <c r="E349" s="21"/>
    </row>
    <row r="350" spans="1:5" s="1" customFormat="1" x14ac:dyDescent="0.2">
      <c r="A350" s="21"/>
      <c r="B350" s="21"/>
      <c r="C350" s="21"/>
      <c r="D350" s="21"/>
      <c r="E350" s="21"/>
    </row>
    <row r="351" spans="1:5" s="1" customFormat="1" x14ac:dyDescent="0.2">
      <c r="A351" s="21"/>
      <c r="B351" s="21"/>
      <c r="C351" s="21"/>
      <c r="D351" s="21"/>
      <c r="E351" s="21"/>
    </row>
    <row r="352" spans="1:5" s="1" customFormat="1" x14ac:dyDescent="0.2">
      <c r="A352" s="21"/>
      <c r="B352" s="21"/>
      <c r="C352" s="21"/>
      <c r="D352" s="21"/>
      <c r="E352" s="21"/>
    </row>
    <row r="353" spans="1:5" s="1" customFormat="1" x14ac:dyDescent="0.2">
      <c r="A353" s="21"/>
      <c r="B353" s="21"/>
      <c r="C353" s="21"/>
      <c r="D353" s="21"/>
      <c r="E353" s="21"/>
    </row>
    <row r="354" spans="1:5" s="1" customFormat="1" x14ac:dyDescent="0.2">
      <c r="A354" s="21"/>
      <c r="B354" s="21"/>
      <c r="C354" s="21"/>
      <c r="D354" s="21"/>
      <c r="E354" s="21"/>
    </row>
    <row r="355" spans="1:5" s="1" customFormat="1" x14ac:dyDescent="0.2">
      <c r="A355" s="21"/>
      <c r="B355" s="21"/>
      <c r="C355" s="21"/>
      <c r="D355" s="21"/>
      <c r="E355" s="21"/>
    </row>
    <row r="356" spans="1:5" s="1" customFormat="1" x14ac:dyDescent="0.2">
      <c r="A356" s="21"/>
      <c r="B356" s="21"/>
      <c r="C356" s="21"/>
      <c r="D356" s="21"/>
      <c r="E356" s="21"/>
    </row>
    <row r="357" spans="1:5" s="1" customFormat="1" x14ac:dyDescent="0.2">
      <c r="A357" s="21"/>
      <c r="B357" s="21"/>
      <c r="C357" s="21"/>
      <c r="D357" s="21"/>
      <c r="E357" s="21"/>
    </row>
    <row r="358" spans="1:5" s="1" customFormat="1" x14ac:dyDescent="0.2">
      <c r="A358" s="21"/>
      <c r="B358" s="21"/>
      <c r="C358" s="21"/>
      <c r="D358" s="21"/>
      <c r="E358" s="21"/>
    </row>
    <row r="359" spans="1:5" s="1" customFormat="1" x14ac:dyDescent="0.2">
      <c r="A359" s="21"/>
      <c r="B359" s="21"/>
      <c r="C359" s="21"/>
      <c r="D359" s="21"/>
      <c r="E359" s="21"/>
    </row>
    <row r="360" spans="1:5" s="1" customFormat="1" x14ac:dyDescent="0.2">
      <c r="A360" s="21"/>
      <c r="B360" s="21"/>
      <c r="C360" s="21"/>
      <c r="D360" s="21"/>
      <c r="E360" s="21"/>
    </row>
    <row r="361" spans="1:5" s="1" customFormat="1" x14ac:dyDescent="0.2">
      <c r="A361" s="21"/>
      <c r="B361" s="21"/>
      <c r="C361" s="21"/>
      <c r="D361" s="21"/>
      <c r="E361" s="21"/>
    </row>
    <row r="362" spans="1:5" s="1" customFormat="1" x14ac:dyDescent="0.2">
      <c r="A362" s="21"/>
      <c r="B362" s="21"/>
      <c r="C362" s="21"/>
      <c r="D362" s="21"/>
      <c r="E362" s="21"/>
    </row>
    <row r="363" spans="1:5" s="1" customFormat="1" x14ac:dyDescent="0.2">
      <c r="A363" s="21"/>
      <c r="B363" s="21"/>
      <c r="C363" s="21"/>
      <c r="D363" s="21"/>
      <c r="E363" s="21"/>
    </row>
    <row r="364" spans="1:5" s="1" customFormat="1" x14ac:dyDescent="0.2">
      <c r="A364" s="21"/>
      <c r="B364" s="21"/>
      <c r="C364" s="21"/>
      <c r="D364" s="21"/>
      <c r="E364" s="21"/>
    </row>
    <row r="365" spans="1:5" s="1" customFormat="1" x14ac:dyDescent="0.2">
      <c r="A365" s="21"/>
      <c r="B365" s="21"/>
      <c r="C365" s="21"/>
      <c r="D365" s="21"/>
      <c r="E365" s="21"/>
    </row>
    <row r="366" spans="1:5" s="1" customFormat="1" x14ac:dyDescent="0.2">
      <c r="A366" s="21"/>
      <c r="B366" s="21"/>
      <c r="C366" s="21"/>
      <c r="D366" s="21"/>
      <c r="E366" s="21"/>
    </row>
    <row r="367" spans="1:5" s="1" customFormat="1" x14ac:dyDescent="0.2">
      <c r="A367" s="21"/>
      <c r="B367" s="21"/>
      <c r="C367" s="21"/>
      <c r="D367" s="21"/>
      <c r="E367" s="21"/>
    </row>
    <row r="368" spans="1:5" s="1" customFormat="1" x14ac:dyDescent="0.2">
      <c r="A368" s="21"/>
      <c r="B368" s="21"/>
      <c r="C368" s="21"/>
      <c r="D368" s="21"/>
      <c r="E368" s="21"/>
    </row>
    <row r="369" spans="1:5" s="1" customFormat="1" x14ac:dyDescent="0.2">
      <c r="A369" s="21"/>
      <c r="B369" s="21"/>
      <c r="C369" s="21"/>
      <c r="D369" s="21"/>
      <c r="E369" s="21"/>
    </row>
    <row r="370" spans="1:5" s="1" customFormat="1" x14ac:dyDescent="0.2">
      <c r="A370" s="21"/>
      <c r="B370" s="21"/>
      <c r="C370" s="21"/>
      <c r="D370" s="21"/>
      <c r="E370" s="21"/>
    </row>
    <row r="371" spans="1:5" s="1" customFormat="1" x14ac:dyDescent="0.2">
      <c r="A371" s="21"/>
      <c r="B371" s="21"/>
      <c r="C371" s="21"/>
      <c r="D371" s="21"/>
      <c r="E371" s="21"/>
    </row>
    <row r="372" spans="1:5" s="1" customFormat="1" x14ac:dyDescent="0.2">
      <c r="A372" s="21"/>
      <c r="B372" s="21"/>
      <c r="C372" s="21"/>
      <c r="D372" s="21"/>
      <c r="E372" s="21"/>
    </row>
    <row r="373" spans="1:5" s="1" customFormat="1" x14ac:dyDescent="0.2">
      <c r="A373" s="21"/>
      <c r="B373" s="21"/>
      <c r="C373" s="21"/>
      <c r="D373" s="21"/>
      <c r="E373" s="21"/>
    </row>
    <row r="374" spans="1:5" s="1" customFormat="1" x14ac:dyDescent="0.2">
      <c r="A374" s="21"/>
      <c r="B374" s="21"/>
      <c r="C374" s="21"/>
      <c r="D374" s="21"/>
      <c r="E374" s="21"/>
    </row>
    <row r="375" spans="1:5" s="1" customFormat="1" x14ac:dyDescent="0.2">
      <c r="A375" s="21"/>
      <c r="B375" s="21"/>
      <c r="C375" s="21"/>
      <c r="D375" s="21"/>
      <c r="E375" s="21"/>
    </row>
    <row r="376" spans="1:5" s="1" customFormat="1" x14ac:dyDescent="0.2">
      <c r="A376" s="21"/>
      <c r="B376" s="21"/>
      <c r="C376" s="21"/>
      <c r="D376" s="21"/>
      <c r="E376" s="21"/>
    </row>
    <row r="377" spans="1:5" s="1" customFormat="1" x14ac:dyDescent="0.2">
      <c r="A377" s="21"/>
      <c r="B377" s="21"/>
      <c r="C377" s="21"/>
      <c r="D377" s="21"/>
      <c r="E377" s="21"/>
    </row>
    <row r="378" spans="1:5" s="1" customFormat="1" x14ac:dyDescent="0.2">
      <c r="A378" s="21"/>
      <c r="B378" s="21"/>
      <c r="C378" s="21"/>
      <c r="D378" s="21"/>
      <c r="E378" s="21"/>
    </row>
    <row r="379" spans="1:5" s="1" customFormat="1" x14ac:dyDescent="0.2">
      <c r="A379" s="21"/>
      <c r="B379" s="21"/>
      <c r="C379" s="21"/>
      <c r="D379" s="21"/>
      <c r="E379" s="21"/>
    </row>
    <row r="380" spans="1:5" s="1" customFormat="1" x14ac:dyDescent="0.2">
      <c r="A380" s="21"/>
      <c r="B380" s="21"/>
      <c r="C380" s="21"/>
      <c r="D380" s="21"/>
      <c r="E380" s="21"/>
    </row>
    <row r="381" spans="1:5" s="1" customFormat="1" x14ac:dyDescent="0.2">
      <c r="A381" s="21"/>
      <c r="B381" s="21"/>
      <c r="C381" s="21"/>
      <c r="D381" s="21"/>
      <c r="E381" s="21"/>
    </row>
    <row r="382" spans="1:5" s="1" customFormat="1" x14ac:dyDescent="0.2">
      <c r="A382" s="21"/>
      <c r="B382" s="21"/>
      <c r="C382" s="21"/>
      <c r="D382" s="21"/>
      <c r="E382" s="21"/>
    </row>
    <row r="383" spans="1:5" s="1" customFormat="1" x14ac:dyDescent="0.2">
      <c r="A383" s="21"/>
      <c r="B383" s="21"/>
      <c r="C383" s="21"/>
      <c r="D383" s="21"/>
      <c r="E383" s="21"/>
    </row>
    <row r="384" spans="1:5" s="1" customFormat="1" x14ac:dyDescent="0.2">
      <c r="A384" s="21"/>
      <c r="B384" s="21"/>
      <c r="C384" s="21"/>
      <c r="D384" s="21"/>
      <c r="E384" s="21"/>
    </row>
    <row r="385" spans="1:5" s="1" customFormat="1" x14ac:dyDescent="0.2">
      <c r="A385" s="21"/>
      <c r="B385" s="21"/>
      <c r="C385" s="21"/>
      <c r="D385" s="21"/>
      <c r="E385" s="21"/>
    </row>
    <row r="386" spans="1:5" s="1" customFormat="1" x14ac:dyDescent="0.2">
      <c r="A386" s="21"/>
      <c r="B386" s="21"/>
      <c r="C386" s="21"/>
      <c r="D386" s="21"/>
      <c r="E386" s="21"/>
    </row>
    <row r="387" spans="1:5" s="1" customFormat="1" x14ac:dyDescent="0.2">
      <c r="A387" s="21"/>
      <c r="B387" s="21"/>
      <c r="C387" s="21"/>
      <c r="D387" s="21"/>
      <c r="E387" s="21"/>
    </row>
    <row r="388" spans="1:5" s="1" customFormat="1" x14ac:dyDescent="0.2">
      <c r="A388" s="21"/>
      <c r="B388" s="21"/>
      <c r="C388" s="21"/>
      <c r="D388" s="21"/>
      <c r="E388" s="21"/>
    </row>
    <row r="389" spans="1:5" s="1" customFormat="1" x14ac:dyDescent="0.2">
      <c r="A389" s="21"/>
      <c r="B389" s="21"/>
      <c r="C389" s="21"/>
      <c r="D389" s="21"/>
      <c r="E389" s="21"/>
    </row>
    <row r="390" spans="1:5" s="1" customFormat="1" x14ac:dyDescent="0.2">
      <c r="A390" s="21"/>
      <c r="B390" s="21"/>
      <c r="C390" s="21"/>
      <c r="D390" s="21"/>
      <c r="E390" s="21"/>
    </row>
    <row r="391" spans="1:5" s="1" customFormat="1" x14ac:dyDescent="0.2">
      <c r="A391" s="21"/>
      <c r="B391" s="21"/>
      <c r="C391" s="21"/>
      <c r="D391" s="21"/>
      <c r="E391" s="21"/>
    </row>
    <row r="392" spans="1:5" s="1" customFormat="1" x14ac:dyDescent="0.2">
      <c r="A392" s="21"/>
      <c r="B392" s="21"/>
      <c r="C392" s="21"/>
      <c r="D392" s="21"/>
      <c r="E392" s="21"/>
    </row>
    <row r="393" spans="1:5" s="1" customFormat="1" x14ac:dyDescent="0.2">
      <c r="A393" s="21"/>
      <c r="B393" s="21"/>
      <c r="C393" s="21"/>
      <c r="D393" s="21"/>
      <c r="E393" s="21"/>
    </row>
    <row r="394" spans="1:5" s="1" customFormat="1" x14ac:dyDescent="0.2">
      <c r="A394" s="21"/>
      <c r="B394" s="21"/>
      <c r="C394" s="21"/>
      <c r="D394" s="21"/>
      <c r="E394" s="21"/>
    </row>
    <row r="395" spans="1:5" s="1" customFormat="1" x14ac:dyDescent="0.2">
      <c r="A395" s="21"/>
      <c r="B395" s="21"/>
      <c r="C395" s="21"/>
      <c r="D395" s="21"/>
      <c r="E395" s="21"/>
    </row>
    <row r="396" spans="1:5" s="1" customFormat="1" x14ac:dyDescent="0.2">
      <c r="A396" s="21"/>
      <c r="B396" s="21"/>
      <c r="C396" s="21"/>
      <c r="D396" s="21"/>
      <c r="E396" s="21"/>
    </row>
    <row r="397" spans="1:5" s="1" customFormat="1" x14ac:dyDescent="0.2">
      <c r="A397" s="21"/>
      <c r="B397" s="21"/>
      <c r="C397" s="21"/>
      <c r="D397" s="21"/>
      <c r="E397" s="21"/>
    </row>
    <row r="398" spans="1:5" s="1" customFormat="1" x14ac:dyDescent="0.2">
      <c r="A398" s="21"/>
      <c r="B398" s="21"/>
      <c r="C398" s="21"/>
      <c r="D398" s="21"/>
      <c r="E398" s="21"/>
    </row>
    <row r="399" spans="1:5" s="1" customFormat="1" x14ac:dyDescent="0.2">
      <c r="A399" s="21"/>
      <c r="B399" s="21"/>
      <c r="C399" s="21"/>
      <c r="D399" s="21"/>
      <c r="E399" s="21"/>
    </row>
    <row r="400" spans="1:5" s="1" customFormat="1" x14ac:dyDescent="0.2">
      <c r="A400" s="21"/>
      <c r="B400" s="21"/>
      <c r="C400" s="21"/>
      <c r="D400" s="21"/>
      <c r="E400" s="21"/>
    </row>
    <row r="401" spans="1:5" s="1" customFormat="1" x14ac:dyDescent="0.2">
      <c r="A401" s="21"/>
      <c r="B401" s="21"/>
      <c r="C401" s="21"/>
      <c r="D401" s="21"/>
      <c r="E401" s="21"/>
    </row>
    <row r="402" spans="1:5" s="1" customFormat="1" x14ac:dyDescent="0.2">
      <c r="A402" s="21"/>
      <c r="B402" s="21"/>
      <c r="C402" s="21"/>
      <c r="D402" s="21"/>
      <c r="E402" s="21"/>
    </row>
    <row r="403" spans="1:5" s="1" customFormat="1" x14ac:dyDescent="0.2">
      <c r="A403" s="21"/>
      <c r="B403" s="21"/>
      <c r="C403" s="21"/>
      <c r="D403" s="21"/>
      <c r="E403" s="21"/>
    </row>
    <row r="404" spans="1:5" s="1" customFormat="1" x14ac:dyDescent="0.2">
      <c r="A404" s="21"/>
      <c r="B404" s="21"/>
      <c r="C404" s="21"/>
      <c r="D404" s="21"/>
      <c r="E404" s="21"/>
    </row>
    <row r="405" spans="1:5" s="1" customFormat="1" x14ac:dyDescent="0.2">
      <c r="A405" s="21"/>
      <c r="B405" s="21"/>
      <c r="C405" s="21"/>
      <c r="D405" s="21"/>
      <c r="E405" s="21"/>
    </row>
    <row r="406" spans="1:5" s="1" customFormat="1" x14ac:dyDescent="0.2">
      <c r="A406" s="21"/>
      <c r="B406" s="21"/>
      <c r="C406" s="21"/>
      <c r="D406" s="21"/>
      <c r="E406" s="21"/>
    </row>
    <row r="407" spans="1:5" s="1" customFormat="1" x14ac:dyDescent="0.2">
      <c r="A407" s="21"/>
      <c r="B407" s="21"/>
      <c r="C407" s="21"/>
      <c r="D407" s="21"/>
      <c r="E407" s="21"/>
    </row>
    <row r="408" spans="1:5" s="1" customFormat="1" x14ac:dyDescent="0.2">
      <c r="A408" s="21"/>
      <c r="B408" s="21"/>
      <c r="C408" s="21"/>
      <c r="D408" s="21"/>
      <c r="E408" s="21"/>
    </row>
    <row r="409" spans="1:5" s="1" customFormat="1" x14ac:dyDescent="0.2">
      <c r="A409" s="21"/>
      <c r="B409" s="21"/>
      <c r="C409" s="21"/>
      <c r="D409" s="21"/>
      <c r="E409" s="21"/>
    </row>
    <row r="410" spans="1:5" s="1" customFormat="1" x14ac:dyDescent="0.2">
      <c r="A410" s="21"/>
      <c r="B410" s="21"/>
      <c r="C410" s="21"/>
      <c r="D410" s="21"/>
      <c r="E410" s="21"/>
    </row>
    <row r="411" spans="1:5" s="1" customFormat="1" x14ac:dyDescent="0.2">
      <c r="A411" s="21"/>
      <c r="B411" s="21"/>
      <c r="C411" s="21"/>
      <c r="D411" s="21"/>
      <c r="E411" s="21"/>
    </row>
    <row r="412" spans="1:5" s="1" customFormat="1" x14ac:dyDescent="0.2">
      <c r="A412" s="21"/>
      <c r="B412" s="21"/>
      <c r="C412" s="21"/>
      <c r="D412" s="21"/>
      <c r="E412" s="21"/>
    </row>
    <row r="413" spans="1:5" s="1" customFormat="1" x14ac:dyDescent="0.2">
      <c r="A413" s="21"/>
      <c r="B413" s="21"/>
      <c r="C413" s="21"/>
      <c r="D413" s="21"/>
      <c r="E413" s="21"/>
    </row>
    <row r="414" spans="1:5" s="1" customFormat="1" x14ac:dyDescent="0.2">
      <c r="A414" s="21"/>
      <c r="B414" s="21"/>
      <c r="C414" s="21"/>
      <c r="D414" s="21"/>
      <c r="E414" s="21"/>
    </row>
    <row r="415" spans="1:5" s="1" customFormat="1" x14ac:dyDescent="0.2">
      <c r="A415" s="21"/>
      <c r="B415" s="21"/>
      <c r="C415" s="21"/>
      <c r="D415" s="21"/>
      <c r="E415" s="21"/>
    </row>
    <row r="416" spans="1:5" s="1" customFormat="1" x14ac:dyDescent="0.2">
      <c r="A416" s="21"/>
      <c r="B416" s="21"/>
      <c r="C416" s="21"/>
      <c r="D416" s="21"/>
      <c r="E416" s="21"/>
    </row>
    <row r="417" spans="1:5" s="1" customFormat="1" x14ac:dyDescent="0.2">
      <c r="A417" s="21"/>
      <c r="B417" s="21"/>
      <c r="C417" s="21"/>
      <c r="D417" s="21"/>
      <c r="E417" s="21"/>
    </row>
    <row r="418" spans="1:5" s="1" customFormat="1" x14ac:dyDescent="0.2">
      <c r="A418" s="21"/>
      <c r="B418" s="21"/>
      <c r="C418" s="21"/>
      <c r="D418" s="21"/>
      <c r="E418" s="21"/>
    </row>
    <row r="419" spans="1:5" s="1" customFormat="1" x14ac:dyDescent="0.2">
      <c r="A419" s="21"/>
      <c r="B419" s="21"/>
      <c r="C419" s="21"/>
      <c r="D419" s="21"/>
      <c r="E419" s="21"/>
    </row>
    <row r="420" spans="1:5" s="1" customFormat="1" x14ac:dyDescent="0.2">
      <c r="A420" s="21"/>
      <c r="B420" s="21"/>
      <c r="C420" s="21"/>
      <c r="D420" s="21"/>
      <c r="E420" s="21"/>
    </row>
    <row r="421" spans="1:5" s="1" customFormat="1" x14ac:dyDescent="0.2">
      <c r="A421" s="21"/>
      <c r="B421" s="21"/>
      <c r="C421" s="21"/>
      <c r="D421" s="21"/>
      <c r="E421" s="21"/>
    </row>
    <row r="422" spans="1:5" s="1" customFormat="1" x14ac:dyDescent="0.2">
      <c r="A422" s="21"/>
      <c r="B422" s="21"/>
      <c r="C422" s="21"/>
      <c r="D422" s="21"/>
      <c r="E422" s="21"/>
    </row>
    <row r="423" spans="1:5" s="1" customFormat="1" x14ac:dyDescent="0.2">
      <c r="A423" s="21"/>
      <c r="B423" s="21"/>
      <c r="C423" s="21"/>
      <c r="D423" s="21"/>
      <c r="E423" s="21"/>
    </row>
    <row r="424" spans="1:5" s="1" customFormat="1" x14ac:dyDescent="0.2">
      <c r="A424" s="21"/>
      <c r="B424" s="21"/>
      <c r="C424" s="21"/>
      <c r="D424" s="21"/>
      <c r="E424" s="21"/>
    </row>
    <row r="425" spans="1:5" s="1" customFormat="1" x14ac:dyDescent="0.2">
      <c r="A425" s="21"/>
      <c r="B425" s="21"/>
      <c r="C425" s="21"/>
      <c r="D425" s="21"/>
      <c r="E425" s="21"/>
    </row>
    <row r="426" spans="1:5" s="1" customFormat="1" x14ac:dyDescent="0.2">
      <c r="A426" s="21"/>
      <c r="B426" s="21"/>
      <c r="C426" s="21"/>
      <c r="D426" s="21"/>
      <c r="E426" s="21"/>
    </row>
    <row r="427" spans="1:5" s="1" customFormat="1" x14ac:dyDescent="0.2">
      <c r="A427" s="21"/>
      <c r="B427" s="21"/>
      <c r="C427" s="21"/>
      <c r="D427" s="21"/>
      <c r="E427" s="21"/>
    </row>
    <row r="428" spans="1:5" s="1" customFormat="1" x14ac:dyDescent="0.2">
      <c r="A428" s="21"/>
      <c r="B428" s="21"/>
      <c r="C428" s="21"/>
      <c r="D428" s="21"/>
      <c r="E428" s="21"/>
    </row>
    <row r="429" spans="1:5" s="1" customFormat="1" x14ac:dyDescent="0.2">
      <c r="A429" s="21"/>
      <c r="B429" s="21"/>
      <c r="C429" s="21"/>
      <c r="D429" s="21"/>
      <c r="E429" s="21"/>
    </row>
    <row r="430" spans="1:5" s="1" customFormat="1" x14ac:dyDescent="0.2">
      <c r="A430" s="21"/>
      <c r="B430" s="21"/>
      <c r="C430" s="21"/>
      <c r="D430" s="21"/>
      <c r="E430" s="21"/>
    </row>
    <row r="431" spans="1:5" s="1" customFormat="1" x14ac:dyDescent="0.2">
      <c r="A431" s="21"/>
      <c r="B431" s="21"/>
      <c r="C431" s="21"/>
      <c r="D431" s="21"/>
      <c r="E431" s="21"/>
    </row>
    <row r="432" spans="1:5" s="1" customFormat="1" x14ac:dyDescent="0.2">
      <c r="A432" s="21"/>
      <c r="B432" s="21"/>
      <c r="C432" s="21"/>
      <c r="D432" s="21"/>
      <c r="E432" s="21"/>
    </row>
    <row r="433" spans="1:5" s="1" customFormat="1" x14ac:dyDescent="0.2">
      <c r="A433" s="21"/>
      <c r="B433" s="21"/>
      <c r="C433" s="21"/>
      <c r="D433" s="21"/>
      <c r="E433" s="21"/>
    </row>
    <row r="434" spans="1:5" s="1" customFormat="1" x14ac:dyDescent="0.2">
      <c r="A434" s="21"/>
      <c r="B434" s="21"/>
      <c r="C434" s="21"/>
      <c r="D434" s="21"/>
      <c r="E434" s="21"/>
    </row>
    <row r="435" spans="1:5" s="1" customFormat="1" x14ac:dyDescent="0.2">
      <c r="A435" s="21"/>
      <c r="B435" s="21"/>
      <c r="C435" s="21"/>
      <c r="D435" s="21"/>
      <c r="E435" s="21"/>
    </row>
    <row r="436" spans="1:5" s="1" customFormat="1" x14ac:dyDescent="0.2">
      <c r="A436" s="21"/>
      <c r="B436" s="21"/>
      <c r="C436" s="21"/>
      <c r="D436" s="21"/>
      <c r="E436" s="21"/>
    </row>
    <row r="437" spans="1:5" s="1" customFormat="1" x14ac:dyDescent="0.2">
      <c r="A437" s="21"/>
      <c r="B437" s="21"/>
      <c r="C437" s="21"/>
      <c r="D437" s="21"/>
      <c r="E437" s="21"/>
    </row>
    <row r="438" spans="1:5" s="1" customFormat="1" x14ac:dyDescent="0.2">
      <c r="A438" s="21"/>
      <c r="B438" s="21"/>
      <c r="C438" s="21"/>
      <c r="D438" s="21"/>
      <c r="E438" s="21"/>
    </row>
    <row r="439" spans="1:5" s="1" customFormat="1" x14ac:dyDescent="0.2">
      <c r="A439" s="21"/>
      <c r="B439" s="21"/>
      <c r="C439" s="21"/>
      <c r="D439" s="21"/>
      <c r="E439" s="21"/>
    </row>
    <row r="440" spans="1:5" s="1" customFormat="1" x14ac:dyDescent="0.2">
      <c r="A440" s="21"/>
      <c r="B440" s="21"/>
      <c r="C440" s="21"/>
      <c r="D440" s="21"/>
      <c r="E440" s="21"/>
    </row>
    <row r="441" spans="1:5" s="1" customFormat="1" x14ac:dyDescent="0.2">
      <c r="A441" s="21"/>
      <c r="B441" s="21"/>
      <c r="C441" s="21"/>
      <c r="D441" s="21"/>
      <c r="E441" s="21"/>
    </row>
    <row r="442" spans="1:5" s="1" customFormat="1" x14ac:dyDescent="0.2">
      <c r="A442" s="21"/>
      <c r="B442" s="21"/>
      <c r="C442" s="21"/>
      <c r="D442" s="21"/>
      <c r="E442" s="21"/>
    </row>
    <row r="443" spans="1:5" s="1" customFormat="1" x14ac:dyDescent="0.2">
      <c r="A443" s="21"/>
      <c r="B443" s="21"/>
      <c r="C443" s="21"/>
      <c r="D443" s="21"/>
      <c r="E443" s="21"/>
    </row>
    <row r="444" spans="1:5" s="1" customFormat="1" x14ac:dyDescent="0.2">
      <c r="A444" s="21"/>
      <c r="B444" s="21"/>
      <c r="C444" s="21"/>
      <c r="D444" s="21"/>
      <c r="E444" s="21"/>
    </row>
    <row r="445" spans="1:5" s="1" customFormat="1" x14ac:dyDescent="0.2">
      <c r="A445" s="21"/>
      <c r="B445" s="21"/>
      <c r="C445" s="21"/>
      <c r="D445" s="21"/>
      <c r="E445" s="21"/>
    </row>
    <row r="446" spans="1:5" s="1" customFormat="1" x14ac:dyDescent="0.2">
      <c r="A446" s="21"/>
      <c r="B446" s="21"/>
      <c r="C446" s="21"/>
      <c r="D446" s="21"/>
      <c r="E446" s="21"/>
    </row>
    <row r="447" spans="1:5" s="1" customFormat="1" x14ac:dyDescent="0.2">
      <c r="A447" s="21"/>
      <c r="B447" s="21"/>
      <c r="C447" s="21"/>
      <c r="D447" s="21"/>
      <c r="E447" s="21"/>
    </row>
    <row r="448" spans="1:5" s="1" customFormat="1" x14ac:dyDescent="0.2">
      <c r="A448" s="21"/>
      <c r="B448" s="21"/>
      <c r="C448" s="21"/>
      <c r="D448" s="21"/>
      <c r="E448" s="21"/>
    </row>
    <row r="449" spans="1:5" s="1" customFormat="1" x14ac:dyDescent="0.2">
      <c r="A449" s="21"/>
      <c r="B449" s="21"/>
      <c r="C449" s="21"/>
      <c r="D449" s="21"/>
      <c r="E449" s="21"/>
    </row>
    <row r="450" spans="1:5" s="1" customFormat="1" x14ac:dyDescent="0.2">
      <c r="A450" s="21"/>
      <c r="B450" s="21"/>
      <c r="C450" s="21"/>
      <c r="D450" s="21"/>
      <c r="E450" s="21"/>
    </row>
    <row r="451" spans="1:5" s="1" customFormat="1" x14ac:dyDescent="0.2">
      <c r="A451" s="21"/>
      <c r="B451" s="21"/>
      <c r="C451" s="21"/>
      <c r="D451" s="21"/>
      <c r="E451" s="21"/>
    </row>
    <row r="452" spans="1:5" s="1" customFormat="1" x14ac:dyDescent="0.2">
      <c r="A452" s="21"/>
      <c r="B452" s="21"/>
      <c r="C452" s="21"/>
      <c r="D452" s="21"/>
      <c r="E452" s="21"/>
    </row>
    <row r="453" spans="1:5" s="1" customFormat="1" x14ac:dyDescent="0.2">
      <c r="A453" s="21"/>
      <c r="B453" s="21"/>
      <c r="C453" s="21"/>
      <c r="D453" s="21"/>
      <c r="E453" s="21"/>
    </row>
    <row r="454" spans="1:5" s="1" customFormat="1" x14ac:dyDescent="0.2">
      <c r="A454" s="21"/>
      <c r="B454" s="21"/>
      <c r="C454" s="21"/>
      <c r="D454" s="21"/>
      <c r="E454" s="21"/>
    </row>
    <row r="455" spans="1:5" s="1" customFormat="1" x14ac:dyDescent="0.2">
      <c r="A455" s="21"/>
      <c r="B455" s="21"/>
      <c r="C455" s="21"/>
      <c r="D455" s="21"/>
      <c r="E455" s="21"/>
    </row>
    <row r="456" spans="1:5" s="1" customFormat="1" x14ac:dyDescent="0.2">
      <c r="A456" s="21"/>
      <c r="B456" s="21"/>
      <c r="C456" s="21"/>
      <c r="D456" s="21"/>
      <c r="E456" s="21"/>
    </row>
    <row r="457" spans="1:5" s="1" customFormat="1" x14ac:dyDescent="0.2">
      <c r="A457" s="21"/>
      <c r="B457" s="21"/>
      <c r="C457" s="21"/>
      <c r="D457" s="21"/>
      <c r="E457" s="21"/>
    </row>
    <row r="458" spans="1:5" s="1" customFormat="1" x14ac:dyDescent="0.2">
      <c r="A458" s="21"/>
      <c r="B458" s="21"/>
      <c r="C458" s="21"/>
      <c r="D458" s="21"/>
      <c r="E458" s="21"/>
    </row>
    <row r="459" spans="1:5" s="1" customFormat="1" x14ac:dyDescent="0.2">
      <c r="A459" s="21"/>
      <c r="B459" s="21"/>
      <c r="C459" s="21"/>
      <c r="D459" s="21"/>
      <c r="E459" s="21"/>
    </row>
    <row r="460" spans="1:5" s="1" customFormat="1" x14ac:dyDescent="0.2">
      <c r="A460" s="21"/>
      <c r="B460" s="21"/>
      <c r="C460" s="21"/>
      <c r="D460" s="21"/>
      <c r="E460" s="21"/>
    </row>
    <row r="461" spans="1:5" s="1" customFormat="1" x14ac:dyDescent="0.2">
      <c r="A461" s="21"/>
      <c r="B461" s="21"/>
      <c r="C461" s="21"/>
      <c r="D461" s="21"/>
      <c r="E461" s="21"/>
    </row>
    <row r="462" spans="1:5" s="1" customFormat="1" x14ac:dyDescent="0.2">
      <c r="A462" s="21"/>
      <c r="B462" s="21"/>
      <c r="C462" s="21"/>
      <c r="D462" s="21"/>
      <c r="E462" s="21"/>
    </row>
    <row r="463" spans="1:5" s="1" customFormat="1" x14ac:dyDescent="0.2">
      <c r="A463" s="21"/>
      <c r="B463" s="21"/>
      <c r="C463" s="21"/>
      <c r="D463" s="21"/>
      <c r="E463" s="21"/>
    </row>
    <row r="464" spans="1:5" s="1" customFormat="1" x14ac:dyDescent="0.2">
      <c r="A464" s="21"/>
      <c r="B464" s="21"/>
      <c r="C464" s="21"/>
      <c r="D464" s="21"/>
      <c r="E464" s="21"/>
    </row>
    <row r="465" spans="1:5" s="1" customFormat="1" x14ac:dyDescent="0.2">
      <c r="A465" s="21"/>
      <c r="B465" s="21"/>
      <c r="C465" s="21"/>
      <c r="D465" s="21"/>
      <c r="E465" s="21"/>
    </row>
    <row r="466" spans="1:5" s="1" customFormat="1" x14ac:dyDescent="0.2">
      <c r="A466" s="21"/>
      <c r="B466" s="21"/>
      <c r="C466" s="21"/>
      <c r="D466" s="21"/>
      <c r="E466" s="21"/>
    </row>
    <row r="467" spans="1:5" s="1" customFormat="1" x14ac:dyDescent="0.2">
      <c r="A467" s="21"/>
      <c r="B467" s="21"/>
      <c r="C467" s="21"/>
      <c r="D467" s="21"/>
      <c r="E467" s="21"/>
    </row>
    <row r="468" spans="1:5" s="1" customFormat="1" x14ac:dyDescent="0.2">
      <c r="A468" s="21"/>
      <c r="B468" s="21"/>
      <c r="C468" s="21"/>
      <c r="D468" s="21"/>
      <c r="E468" s="21"/>
    </row>
    <row r="469" spans="1:5" s="1" customFormat="1" x14ac:dyDescent="0.2">
      <c r="A469" s="21"/>
      <c r="B469" s="21"/>
      <c r="C469" s="21"/>
      <c r="D469" s="21"/>
      <c r="E469" s="21"/>
    </row>
    <row r="470" spans="1:5" s="1" customFormat="1" x14ac:dyDescent="0.2">
      <c r="A470" s="21"/>
      <c r="B470" s="21"/>
      <c r="C470" s="21"/>
      <c r="D470" s="21"/>
      <c r="E470" s="21"/>
    </row>
    <row r="471" spans="1:5" s="1" customFormat="1" x14ac:dyDescent="0.2">
      <c r="A471" s="21"/>
      <c r="B471" s="21"/>
      <c r="C471" s="21"/>
      <c r="D471" s="21"/>
      <c r="E471" s="21"/>
    </row>
    <row r="472" spans="1:5" s="1" customFormat="1" x14ac:dyDescent="0.2">
      <c r="A472" s="21"/>
      <c r="B472" s="21"/>
      <c r="C472" s="21"/>
      <c r="D472" s="21"/>
      <c r="E472" s="21"/>
    </row>
    <row r="473" spans="1:5" s="1" customFormat="1" x14ac:dyDescent="0.2">
      <c r="A473" s="21"/>
      <c r="B473" s="21"/>
      <c r="C473" s="21"/>
      <c r="D473" s="21"/>
      <c r="E473" s="21"/>
    </row>
    <row r="474" spans="1:5" s="1" customFormat="1" x14ac:dyDescent="0.2">
      <c r="A474" s="21"/>
      <c r="B474" s="21"/>
      <c r="C474" s="21"/>
      <c r="D474" s="21"/>
      <c r="E474" s="21"/>
    </row>
    <row r="475" spans="1:5" s="1" customFormat="1" x14ac:dyDescent="0.2">
      <c r="A475" s="21"/>
      <c r="B475" s="21"/>
      <c r="C475" s="21"/>
      <c r="D475" s="21"/>
      <c r="E475" s="21"/>
    </row>
    <row r="476" spans="1:5" s="1" customFormat="1" x14ac:dyDescent="0.2">
      <c r="A476" s="21"/>
      <c r="B476" s="21"/>
      <c r="C476" s="21"/>
      <c r="D476" s="21"/>
      <c r="E476" s="21"/>
    </row>
    <row r="477" spans="1:5" s="1" customFormat="1" x14ac:dyDescent="0.2">
      <c r="A477" s="21"/>
      <c r="B477" s="21"/>
      <c r="C477" s="21"/>
      <c r="D477" s="21"/>
      <c r="E477" s="21"/>
    </row>
    <row r="478" spans="1:5" s="1" customFormat="1" x14ac:dyDescent="0.2">
      <c r="A478" s="21"/>
      <c r="B478" s="21"/>
      <c r="C478" s="21"/>
      <c r="D478" s="21"/>
      <c r="E478" s="21"/>
    </row>
    <row r="479" spans="1:5" s="1" customFormat="1" x14ac:dyDescent="0.2">
      <c r="A479" s="21"/>
      <c r="B479" s="21"/>
      <c r="C479" s="21"/>
      <c r="D479" s="21"/>
      <c r="E479" s="21"/>
    </row>
    <row r="480" spans="1:5" s="1" customFormat="1" x14ac:dyDescent="0.2">
      <c r="A480" s="21"/>
      <c r="B480" s="21"/>
      <c r="C480" s="21"/>
      <c r="D480" s="21"/>
      <c r="E480" s="21"/>
    </row>
    <row r="481" spans="1:5" s="1" customFormat="1" x14ac:dyDescent="0.2">
      <c r="A481" s="21"/>
      <c r="B481" s="21"/>
      <c r="C481" s="21"/>
      <c r="D481" s="21"/>
      <c r="E481" s="21"/>
    </row>
    <row r="482" spans="1:5" s="1" customFormat="1" x14ac:dyDescent="0.2">
      <c r="A482" s="21"/>
      <c r="B482" s="21"/>
      <c r="C482" s="21"/>
      <c r="D482" s="21"/>
      <c r="E482" s="21"/>
    </row>
    <row r="483" spans="1:5" s="1" customFormat="1" x14ac:dyDescent="0.2">
      <c r="A483" s="21"/>
      <c r="B483" s="21"/>
      <c r="C483" s="21"/>
      <c r="D483" s="21"/>
      <c r="E483" s="21"/>
    </row>
    <row r="484" spans="1:5" s="1" customFormat="1" x14ac:dyDescent="0.2">
      <c r="A484" s="21"/>
      <c r="B484" s="21"/>
      <c r="C484" s="21"/>
      <c r="D484" s="21"/>
      <c r="E484" s="21"/>
    </row>
    <row r="485" spans="1:5" s="1" customFormat="1" x14ac:dyDescent="0.2">
      <c r="A485" s="21"/>
      <c r="B485" s="21"/>
      <c r="C485" s="21"/>
      <c r="D485" s="21"/>
      <c r="E485" s="21"/>
    </row>
    <row r="486" spans="1:5" s="1" customFormat="1" x14ac:dyDescent="0.2">
      <c r="A486" s="21"/>
      <c r="B486" s="21"/>
      <c r="C486" s="21"/>
      <c r="D486" s="21"/>
      <c r="E486" s="21"/>
    </row>
    <row r="487" spans="1:5" s="1" customFormat="1" x14ac:dyDescent="0.2">
      <c r="A487" s="21"/>
      <c r="B487" s="21"/>
      <c r="C487" s="21"/>
      <c r="D487" s="21"/>
      <c r="E487" s="21"/>
    </row>
    <row r="488" spans="1:5" s="1" customFormat="1" x14ac:dyDescent="0.2">
      <c r="A488" s="21"/>
      <c r="B488" s="21"/>
      <c r="C488" s="21"/>
      <c r="D488" s="21"/>
      <c r="E488" s="21"/>
    </row>
    <row r="489" spans="1:5" s="1" customFormat="1" x14ac:dyDescent="0.2">
      <c r="A489" s="21"/>
      <c r="B489" s="21"/>
      <c r="C489" s="21"/>
      <c r="D489" s="21"/>
      <c r="E489" s="21"/>
    </row>
    <row r="490" spans="1:5" s="1" customFormat="1" x14ac:dyDescent="0.2">
      <c r="A490" s="21"/>
      <c r="B490" s="21"/>
      <c r="C490" s="21"/>
      <c r="D490" s="21"/>
      <c r="E490" s="21"/>
    </row>
    <row r="491" spans="1:5" s="1" customFormat="1" x14ac:dyDescent="0.2">
      <c r="A491" s="21"/>
      <c r="B491" s="21"/>
      <c r="C491" s="21"/>
      <c r="D491" s="21"/>
      <c r="E491" s="21"/>
    </row>
    <row r="492" spans="1:5" s="1" customFormat="1" x14ac:dyDescent="0.2">
      <c r="A492" s="21"/>
      <c r="B492" s="21"/>
      <c r="C492" s="21"/>
      <c r="D492" s="21"/>
      <c r="E492" s="21"/>
    </row>
    <row r="493" spans="1:5" s="1" customFormat="1" x14ac:dyDescent="0.2">
      <c r="A493" s="21"/>
      <c r="B493" s="21"/>
      <c r="C493" s="21"/>
      <c r="D493" s="21"/>
      <c r="E493" s="21"/>
    </row>
    <row r="494" spans="1:5" s="1" customFormat="1" x14ac:dyDescent="0.2">
      <c r="A494" s="21"/>
      <c r="B494" s="21"/>
      <c r="C494" s="21"/>
      <c r="D494" s="21"/>
      <c r="E494" s="21"/>
    </row>
    <row r="495" spans="1:5" s="1" customFormat="1" x14ac:dyDescent="0.2">
      <c r="A495" s="21"/>
      <c r="B495" s="21"/>
      <c r="C495" s="21"/>
      <c r="D495" s="21"/>
      <c r="E495" s="21"/>
    </row>
    <row r="496" spans="1:5" s="1" customFormat="1" x14ac:dyDescent="0.2">
      <c r="A496" s="21"/>
      <c r="B496" s="21"/>
      <c r="C496" s="21"/>
      <c r="D496" s="21"/>
      <c r="E496" s="21"/>
    </row>
    <row r="497" spans="1:5" s="1" customFormat="1" x14ac:dyDescent="0.2">
      <c r="A497" s="21"/>
      <c r="B497" s="21"/>
      <c r="C497" s="21"/>
      <c r="D497" s="21"/>
      <c r="E497" s="21"/>
    </row>
    <row r="498" spans="1:5" s="1" customFormat="1" x14ac:dyDescent="0.2">
      <c r="A498" s="21"/>
      <c r="B498" s="21"/>
      <c r="C498" s="21"/>
      <c r="D498" s="21"/>
      <c r="E498" s="21"/>
    </row>
    <row r="499" spans="1:5" s="1" customFormat="1" x14ac:dyDescent="0.2">
      <c r="A499" s="21"/>
      <c r="B499" s="21"/>
      <c r="C499" s="21"/>
      <c r="D499" s="21"/>
      <c r="E499" s="21"/>
    </row>
    <row r="500" spans="1:5" s="1" customFormat="1" x14ac:dyDescent="0.2">
      <c r="A500" s="21"/>
      <c r="B500" s="21"/>
      <c r="C500" s="21"/>
      <c r="D500" s="21"/>
      <c r="E500" s="21"/>
    </row>
    <row r="501" spans="1:5" s="1" customFormat="1" x14ac:dyDescent="0.2">
      <c r="A501" s="21"/>
      <c r="B501" s="21"/>
      <c r="C501" s="21"/>
      <c r="D501" s="21"/>
      <c r="E501" s="21"/>
    </row>
    <row r="502" spans="1:5" s="1" customFormat="1" x14ac:dyDescent="0.2">
      <c r="A502" s="21"/>
      <c r="B502" s="21"/>
      <c r="C502" s="21"/>
      <c r="D502" s="21"/>
      <c r="E502" s="21"/>
    </row>
    <row r="503" spans="1:5" s="1" customFormat="1" x14ac:dyDescent="0.2">
      <c r="A503" s="21"/>
      <c r="B503" s="21"/>
      <c r="C503" s="21"/>
      <c r="D503" s="21"/>
      <c r="E503" s="21"/>
    </row>
    <row r="504" spans="1:5" s="1" customFormat="1" x14ac:dyDescent="0.2">
      <c r="A504" s="21"/>
      <c r="B504" s="21"/>
      <c r="C504" s="21"/>
      <c r="D504" s="21"/>
      <c r="E504" s="21"/>
    </row>
    <row r="505" spans="1:5" s="1" customFormat="1" x14ac:dyDescent="0.2">
      <c r="A505" s="21"/>
      <c r="B505" s="21"/>
      <c r="C505" s="21"/>
      <c r="D505" s="21"/>
      <c r="E505" s="21"/>
    </row>
    <row r="506" spans="1:5" s="1" customFormat="1" x14ac:dyDescent="0.2">
      <c r="A506" s="21"/>
      <c r="B506" s="21"/>
      <c r="C506" s="21"/>
      <c r="D506" s="21"/>
      <c r="E506" s="21"/>
    </row>
    <row r="507" spans="1:5" s="1" customFormat="1" x14ac:dyDescent="0.2">
      <c r="A507" s="21"/>
      <c r="B507" s="21"/>
      <c r="C507" s="21"/>
      <c r="D507" s="21"/>
      <c r="E507" s="21"/>
    </row>
    <row r="508" spans="1:5" s="1" customFormat="1" x14ac:dyDescent="0.2">
      <c r="A508" s="21"/>
      <c r="B508" s="21"/>
      <c r="C508" s="21"/>
      <c r="D508" s="21"/>
      <c r="E508" s="21"/>
    </row>
    <row r="509" spans="1:5" s="1" customFormat="1" x14ac:dyDescent="0.2">
      <c r="A509" s="21"/>
      <c r="B509" s="21"/>
      <c r="C509" s="21"/>
      <c r="D509" s="21"/>
      <c r="E509" s="21"/>
    </row>
    <row r="510" spans="1:5" s="1" customFormat="1" x14ac:dyDescent="0.2">
      <c r="A510" s="21"/>
      <c r="B510" s="21"/>
      <c r="C510" s="21"/>
      <c r="D510" s="21"/>
      <c r="E510" s="21"/>
    </row>
    <row r="511" spans="1:5" s="1" customFormat="1" x14ac:dyDescent="0.2">
      <c r="A511" s="21"/>
      <c r="B511" s="21"/>
      <c r="C511" s="21"/>
      <c r="D511" s="21"/>
      <c r="E511" s="21"/>
    </row>
    <row r="512" spans="1:5" s="1" customFormat="1" x14ac:dyDescent="0.2">
      <c r="A512" s="21"/>
      <c r="B512" s="21"/>
      <c r="C512" s="21"/>
      <c r="D512" s="21"/>
      <c r="E512" s="21"/>
    </row>
    <row r="513" spans="1:5" s="1" customFormat="1" x14ac:dyDescent="0.2">
      <c r="A513" s="21"/>
      <c r="B513" s="21"/>
      <c r="C513" s="21"/>
      <c r="D513" s="21"/>
      <c r="E513" s="21"/>
    </row>
    <row r="514" spans="1:5" s="1" customFormat="1" x14ac:dyDescent="0.2">
      <c r="A514" s="21"/>
      <c r="B514" s="21"/>
      <c r="C514" s="21"/>
      <c r="D514" s="21"/>
      <c r="E514" s="21"/>
    </row>
    <row r="515" spans="1:5" s="1" customFormat="1" x14ac:dyDescent="0.2">
      <c r="A515" s="21"/>
      <c r="B515" s="21"/>
      <c r="C515" s="21"/>
      <c r="D515" s="21"/>
      <c r="E515" s="21"/>
    </row>
    <row r="516" spans="1:5" s="1" customFormat="1" x14ac:dyDescent="0.2">
      <c r="A516" s="21"/>
      <c r="B516" s="21"/>
      <c r="C516" s="21"/>
      <c r="D516" s="21"/>
      <c r="E516" s="21"/>
    </row>
    <row r="517" spans="1:5" s="1" customFormat="1" x14ac:dyDescent="0.2">
      <c r="A517" s="21"/>
      <c r="B517" s="21"/>
      <c r="C517" s="21"/>
      <c r="D517" s="21"/>
      <c r="E517" s="21"/>
    </row>
    <row r="518" spans="1:5" s="1" customFormat="1" x14ac:dyDescent="0.2">
      <c r="A518" s="21"/>
      <c r="B518" s="21"/>
      <c r="C518" s="21"/>
      <c r="D518" s="21"/>
      <c r="E518" s="21"/>
    </row>
    <row r="519" spans="1:5" s="1" customFormat="1" x14ac:dyDescent="0.2">
      <c r="A519" s="21"/>
      <c r="B519" s="21"/>
      <c r="C519" s="21"/>
      <c r="D519" s="21"/>
      <c r="E519" s="21"/>
    </row>
    <row r="520" spans="1:5" s="1" customFormat="1" x14ac:dyDescent="0.2">
      <c r="A520" s="21"/>
      <c r="B520" s="21"/>
      <c r="C520" s="21"/>
      <c r="D520" s="21"/>
      <c r="E520" s="21"/>
    </row>
    <row r="521" spans="1:5" s="1" customFormat="1" x14ac:dyDescent="0.2">
      <c r="A521" s="21"/>
      <c r="B521" s="21"/>
      <c r="C521" s="21"/>
      <c r="D521" s="21"/>
      <c r="E521" s="21"/>
    </row>
    <row r="522" spans="1:5" s="1" customFormat="1" x14ac:dyDescent="0.2">
      <c r="A522" s="21"/>
      <c r="B522" s="21"/>
      <c r="C522" s="21"/>
      <c r="D522" s="21"/>
      <c r="E522" s="21"/>
    </row>
    <row r="523" spans="1:5" s="1" customFormat="1" x14ac:dyDescent="0.2">
      <c r="A523" s="21"/>
      <c r="B523" s="21"/>
      <c r="C523" s="21"/>
      <c r="D523" s="21"/>
      <c r="E523" s="21"/>
    </row>
    <row r="524" spans="1:5" s="1" customFormat="1" x14ac:dyDescent="0.2">
      <c r="A524" s="21"/>
      <c r="B524" s="21"/>
      <c r="C524" s="21"/>
      <c r="D524" s="21"/>
      <c r="E524" s="21"/>
    </row>
    <row r="525" spans="1:5" s="1" customFormat="1" x14ac:dyDescent="0.2">
      <c r="A525" s="21"/>
      <c r="B525" s="21"/>
      <c r="C525" s="21"/>
      <c r="D525" s="21"/>
      <c r="E525" s="21"/>
    </row>
    <row r="526" spans="1:5" s="1" customFormat="1" x14ac:dyDescent="0.2">
      <c r="A526" s="21"/>
      <c r="B526" s="21"/>
      <c r="C526" s="21"/>
      <c r="D526" s="21"/>
      <c r="E526" s="21"/>
    </row>
    <row r="527" spans="1:5" s="1" customFormat="1" x14ac:dyDescent="0.2">
      <c r="A527" s="21"/>
      <c r="B527" s="21"/>
      <c r="C527" s="21"/>
      <c r="D527" s="21"/>
      <c r="E527" s="21"/>
    </row>
    <row r="528" spans="1:5" s="1" customFormat="1" x14ac:dyDescent="0.2">
      <c r="A528" s="21"/>
      <c r="B528" s="21"/>
      <c r="C528" s="21"/>
      <c r="D528" s="21"/>
      <c r="E528" s="21"/>
    </row>
    <row r="529" spans="1:5" s="1" customFormat="1" x14ac:dyDescent="0.2">
      <c r="A529" s="21"/>
      <c r="B529" s="21"/>
      <c r="C529" s="21"/>
      <c r="D529" s="21"/>
      <c r="E529" s="21"/>
    </row>
    <row r="530" spans="1:5" s="1" customFormat="1" x14ac:dyDescent="0.2">
      <c r="A530" s="21"/>
      <c r="B530" s="21"/>
      <c r="C530" s="21"/>
      <c r="D530" s="21"/>
      <c r="E530" s="21"/>
    </row>
    <row r="531" spans="1:5" s="1" customFormat="1" x14ac:dyDescent="0.2">
      <c r="A531" s="21"/>
      <c r="B531" s="21"/>
      <c r="C531" s="21"/>
      <c r="D531" s="21"/>
      <c r="E531" s="21"/>
    </row>
    <row r="532" spans="1:5" s="1" customFormat="1" x14ac:dyDescent="0.2">
      <c r="A532" s="21"/>
      <c r="B532" s="21"/>
      <c r="C532" s="21"/>
      <c r="D532" s="21"/>
      <c r="E532" s="21"/>
    </row>
    <row r="533" spans="1:5" s="1" customFormat="1" x14ac:dyDescent="0.2">
      <c r="A533" s="21"/>
      <c r="B533" s="21"/>
      <c r="C533" s="21"/>
      <c r="D533" s="21"/>
      <c r="E533" s="21"/>
    </row>
    <row r="534" spans="1:5" s="1" customFormat="1" x14ac:dyDescent="0.2">
      <c r="A534" s="21"/>
      <c r="B534" s="21"/>
      <c r="C534" s="21"/>
      <c r="D534" s="21"/>
      <c r="E534" s="21"/>
    </row>
    <row r="535" spans="1:5" s="1" customFormat="1" x14ac:dyDescent="0.2">
      <c r="A535" s="21"/>
      <c r="B535" s="21"/>
      <c r="C535" s="21"/>
      <c r="D535" s="21"/>
      <c r="E535" s="21"/>
    </row>
    <row r="536" spans="1:5" s="1" customFormat="1" x14ac:dyDescent="0.2">
      <c r="A536" s="21"/>
      <c r="B536" s="21"/>
      <c r="C536" s="21"/>
      <c r="D536" s="21"/>
      <c r="E536" s="21"/>
    </row>
    <row r="537" spans="1:5" s="1" customFormat="1" x14ac:dyDescent="0.2">
      <c r="A537" s="21"/>
      <c r="B537" s="21"/>
      <c r="C537" s="21"/>
      <c r="D537" s="21"/>
      <c r="E537" s="21"/>
    </row>
    <row r="538" spans="1:5" s="1" customFormat="1" x14ac:dyDescent="0.2">
      <c r="A538" s="21"/>
      <c r="B538" s="21"/>
      <c r="C538" s="21"/>
      <c r="D538" s="21"/>
      <c r="E538" s="21"/>
    </row>
    <row r="539" spans="1:5" s="1" customFormat="1" x14ac:dyDescent="0.2">
      <c r="A539" s="21"/>
      <c r="B539" s="21"/>
      <c r="C539" s="21"/>
      <c r="D539" s="21"/>
      <c r="E539" s="21"/>
    </row>
    <row r="540" spans="1:5" s="1" customFormat="1" x14ac:dyDescent="0.2">
      <c r="A540" s="21"/>
      <c r="B540" s="21"/>
      <c r="C540" s="21"/>
      <c r="D540" s="21"/>
      <c r="E540" s="21"/>
    </row>
    <row r="541" spans="1:5" s="1" customFormat="1" x14ac:dyDescent="0.2">
      <c r="A541" s="21"/>
      <c r="B541" s="21"/>
      <c r="C541" s="21"/>
      <c r="D541" s="21"/>
      <c r="E541" s="21"/>
    </row>
    <row r="542" spans="1:5" s="1" customFormat="1" x14ac:dyDescent="0.2">
      <c r="A542" s="21"/>
      <c r="B542" s="21"/>
      <c r="C542" s="21"/>
      <c r="D542" s="21"/>
      <c r="E542" s="21"/>
    </row>
    <row r="543" spans="1:5" s="1" customFormat="1" x14ac:dyDescent="0.2">
      <c r="A543" s="21"/>
      <c r="B543" s="21"/>
      <c r="C543" s="21"/>
      <c r="D543" s="21"/>
      <c r="E543" s="21"/>
    </row>
    <row r="544" spans="1:5" s="1" customFormat="1" x14ac:dyDescent="0.2">
      <c r="A544" s="21"/>
      <c r="B544" s="21"/>
      <c r="C544" s="21"/>
      <c r="D544" s="21"/>
      <c r="E544" s="21"/>
    </row>
    <row r="545" spans="1:5" s="1" customFormat="1" x14ac:dyDescent="0.2">
      <c r="A545" s="21"/>
      <c r="B545" s="21"/>
      <c r="C545" s="21"/>
      <c r="D545" s="21"/>
      <c r="E545" s="21"/>
    </row>
    <row r="546" spans="1:5" s="1" customFormat="1" x14ac:dyDescent="0.2">
      <c r="A546" s="21"/>
      <c r="B546" s="21"/>
      <c r="C546" s="21"/>
      <c r="D546" s="21"/>
      <c r="E546" s="21"/>
    </row>
    <row r="547" spans="1:5" s="1" customFormat="1" x14ac:dyDescent="0.2">
      <c r="A547" s="21"/>
      <c r="B547" s="21"/>
      <c r="C547" s="21"/>
      <c r="D547" s="21"/>
      <c r="E547" s="21"/>
    </row>
    <row r="548" spans="1:5" s="1" customFormat="1" x14ac:dyDescent="0.2">
      <c r="A548" s="21"/>
      <c r="B548" s="21"/>
      <c r="C548" s="21"/>
      <c r="D548" s="21"/>
      <c r="E548" s="21"/>
    </row>
    <row r="549" spans="1:5" s="1" customFormat="1" x14ac:dyDescent="0.2">
      <c r="A549" s="21"/>
      <c r="B549" s="21"/>
      <c r="C549" s="21"/>
      <c r="D549" s="21"/>
      <c r="E549" s="21"/>
    </row>
    <row r="550" spans="1:5" s="1" customFormat="1" x14ac:dyDescent="0.2">
      <c r="A550" s="21"/>
      <c r="B550" s="21"/>
      <c r="C550" s="21"/>
      <c r="D550" s="21"/>
      <c r="E550" s="21"/>
    </row>
    <row r="551" spans="1:5" s="1" customFormat="1" x14ac:dyDescent="0.2">
      <c r="A551" s="21"/>
      <c r="B551" s="21"/>
      <c r="C551" s="21"/>
      <c r="D551" s="21"/>
      <c r="E551" s="21"/>
    </row>
    <row r="552" spans="1:5" s="1" customFormat="1" x14ac:dyDescent="0.2">
      <c r="A552" s="21"/>
      <c r="B552" s="21"/>
      <c r="C552" s="21"/>
      <c r="D552" s="21"/>
      <c r="E552" s="21"/>
    </row>
  </sheetData>
  <hyperlinks>
    <hyperlink ref="A1" r:id="rId1" xr:uid="{3629E1D1-1499-4693-94BD-0D80B051BB0F}"/>
    <hyperlink ref="A2" r:id="rId2" xr:uid="{A4AD6FB6-77AA-41CC-BE18-73AA3C03B884}"/>
    <hyperlink ref="A3" r:id="rId3" xr:uid="{9316C1F7-C41D-4948-85F8-04D8AC354ACF}"/>
  </hyperlinks>
  <pageMargins left="0.7" right="0.7" top="0.75" bottom="0.75" header="0.3" footer="0.3"/>
  <drawing r:id="rId4"/>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06660-1632-4484-B91B-0F78EAE78913}">
  <sheetPr codeName="Sheet7">
    <tabColor theme="9" tint="-0.249977111117893"/>
  </sheetPr>
  <dimension ref="A1:AL797"/>
  <sheetViews>
    <sheetView tabSelected="1" workbookViewId="0">
      <pane xSplit="1" ySplit="1" topLeftCell="H2" activePane="bottomRight" state="frozen"/>
      <selection activeCell="S60" sqref="S60"/>
      <selection pane="topRight" activeCell="S60" sqref="S60"/>
      <selection pane="bottomLeft" activeCell="S60" sqref="S60"/>
      <selection pane="bottomRight" activeCell="AC36" sqref="AC36"/>
    </sheetView>
  </sheetViews>
  <sheetFormatPr baseColWidth="10" defaultColWidth="9.1640625" defaultRowHeight="15" x14ac:dyDescent="0.2"/>
  <cols>
    <col min="1" max="4" width="9.1640625" style="68"/>
    <col min="5" max="5" width="10.6640625" style="68" bestFit="1" customWidth="1"/>
    <col min="6" max="6" width="10.6640625" style="68" customWidth="1"/>
    <col min="7" max="16384" width="9.1640625" style="68"/>
  </cols>
  <sheetData>
    <row r="1" spans="1:38" x14ac:dyDescent="0.2">
      <c r="A1" s="69"/>
      <c r="B1" s="69" t="s">
        <v>49</v>
      </c>
      <c r="C1" s="69" t="s">
        <v>50</v>
      </c>
      <c r="D1" s="69" t="s">
        <v>51</v>
      </c>
      <c r="E1" s="69" t="s">
        <v>52</v>
      </c>
      <c r="F1" s="69" t="s">
        <v>53</v>
      </c>
      <c r="G1" s="69" t="s">
        <v>54</v>
      </c>
      <c r="H1" s="69" t="s">
        <v>55</v>
      </c>
      <c r="I1" s="69" t="s">
        <v>56</v>
      </c>
      <c r="J1" s="69" t="s">
        <v>57</v>
      </c>
      <c r="K1" s="69" t="s">
        <v>58</v>
      </c>
      <c r="L1" s="69" t="s">
        <v>59</v>
      </c>
      <c r="M1" s="69" t="s">
        <v>60</v>
      </c>
      <c r="N1" s="69" t="s">
        <v>61</v>
      </c>
      <c r="O1" s="69" t="s">
        <v>62</v>
      </c>
      <c r="P1" s="69" t="s">
        <v>63</v>
      </c>
      <c r="Q1" s="69" t="s">
        <v>64</v>
      </c>
      <c r="R1" s="69" t="s">
        <v>65</v>
      </c>
      <c r="S1" s="69" t="s">
        <v>66</v>
      </c>
      <c r="T1" s="69" t="s">
        <v>67</v>
      </c>
      <c r="U1" s="69" t="s">
        <v>68</v>
      </c>
      <c r="V1" s="69" t="s">
        <v>69</v>
      </c>
      <c r="W1" s="69" t="s">
        <v>70</v>
      </c>
      <c r="X1" s="69" t="s">
        <v>71</v>
      </c>
      <c r="Y1" s="69" t="s">
        <v>72</v>
      </c>
      <c r="Z1" s="69" t="s">
        <v>73</v>
      </c>
      <c r="AA1" s="69" t="s">
        <v>74</v>
      </c>
      <c r="AB1" s="69" t="s">
        <v>75</v>
      </c>
      <c r="AC1" s="69" t="s">
        <v>76</v>
      </c>
      <c r="AD1" s="69" t="s">
        <v>77</v>
      </c>
      <c r="AE1" s="69" t="s">
        <v>78</v>
      </c>
      <c r="AF1" s="69" t="s">
        <v>79</v>
      </c>
      <c r="AG1" s="69" t="s">
        <v>80</v>
      </c>
      <c r="AH1" s="69" t="s">
        <v>81</v>
      </c>
      <c r="AI1" s="69" t="s">
        <v>82</v>
      </c>
      <c r="AJ1" s="69" t="s">
        <v>83</v>
      </c>
      <c r="AK1" s="69" t="s">
        <v>84</v>
      </c>
      <c r="AL1" s="69" t="s">
        <v>120</v>
      </c>
    </row>
    <row r="2" spans="1:38" x14ac:dyDescent="0.2">
      <c r="A2" s="10">
        <v>20090</v>
      </c>
      <c r="B2" s="69"/>
      <c r="C2" s="69"/>
      <c r="D2" s="69"/>
      <c r="E2" s="69">
        <v>4.8</v>
      </c>
      <c r="F2" s="69"/>
      <c r="G2" s="69"/>
      <c r="H2" s="69"/>
      <c r="I2" s="69"/>
      <c r="J2" s="69"/>
      <c r="K2" s="69"/>
      <c r="L2" s="69"/>
      <c r="M2" s="69"/>
      <c r="N2" s="69"/>
      <c r="O2" s="69"/>
      <c r="P2" s="69"/>
      <c r="Q2" s="69"/>
      <c r="R2" s="69"/>
      <c r="S2" s="69"/>
      <c r="T2" s="69"/>
      <c r="U2" s="69">
        <v>2.6</v>
      </c>
      <c r="V2" s="69"/>
      <c r="W2" s="69"/>
      <c r="X2" s="69"/>
      <c r="Y2" s="69"/>
      <c r="Z2" s="69"/>
      <c r="AA2" s="69"/>
      <c r="AB2" s="69"/>
      <c r="AC2" s="69"/>
      <c r="AD2" s="69"/>
      <c r="AE2" s="69"/>
      <c r="AF2" s="69"/>
      <c r="AG2" s="69"/>
      <c r="AH2" s="69"/>
      <c r="AI2" s="69">
        <v>4.9000000000000004</v>
      </c>
      <c r="AJ2" s="69"/>
      <c r="AK2" s="69"/>
      <c r="AL2" s="69"/>
    </row>
    <row r="3" spans="1:38" x14ac:dyDescent="0.2">
      <c r="A3" s="10">
        <v>20121</v>
      </c>
      <c r="B3" s="69"/>
      <c r="C3" s="69"/>
      <c r="D3" s="69"/>
      <c r="E3" s="69">
        <v>4.7</v>
      </c>
      <c r="F3" s="69"/>
      <c r="G3" s="69"/>
      <c r="H3" s="69"/>
      <c r="I3" s="69"/>
      <c r="J3" s="69"/>
      <c r="K3" s="69"/>
      <c r="L3" s="69"/>
      <c r="M3" s="69"/>
      <c r="N3" s="69"/>
      <c r="O3" s="69"/>
      <c r="P3" s="69"/>
      <c r="Q3" s="69"/>
      <c r="R3" s="69"/>
      <c r="S3" s="69"/>
      <c r="T3" s="69"/>
      <c r="U3" s="69">
        <v>2.5</v>
      </c>
      <c r="V3" s="69"/>
      <c r="W3" s="69"/>
      <c r="X3" s="69"/>
      <c r="Y3" s="69"/>
      <c r="Z3" s="69"/>
      <c r="AA3" s="69"/>
      <c r="AB3" s="69"/>
      <c r="AC3" s="69"/>
      <c r="AD3" s="69"/>
      <c r="AE3" s="69"/>
      <c r="AF3" s="69"/>
      <c r="AG3" s="69"/>
      <c r="AH3" s="69"/>
      <c r="AI3" s="69">
        <v>4.7</v>
      </c>
      <c r="AJ3" s="69"/>
      <c r="AK3" s="69"/>
      <c r="AL3" s="69"/>
    </row>
    <row r="4" spans="1:38" x14ac:dyDescent="0.2">
      <c r="A4" s="10">
        <v>20149</v>
      </c>
      <c r="B4" s="69"/>
      <c r="C4" s="69"/>
      <c r="D4" s="69"/>
      <c r="E4" s="69">
        <v>4.9000000000000004</v>
      </c>
      <c r="F4" s="69"/>
      <c r="G4" s="69"/>
      <c r="H4" s="69"/>
      <c r="I4" s="69"/>
      <c r="J4" s="69"/>
      <c r="K4" s="69"/>
      <c r="L4" s="69"/>
      <c r="M4" s="69"/>
      <c r="N4" s="69"/>
      <c r="O4" s="69"/>
      <c r="P4" s="69"/>
      <c r="Q4" s="69"/>
      <c r="R4" s="69"/>
      <c r="S4" s="69"/>
      <c r="T4" s="69"/>
      <c r="U4" s="69">
        <v>2.2999999999999998</v>
      </c>
      <c r="V4" s="69"/>
      <c r="W4" s="69"/>
      <c r="X4" s="69"/>
      <c r="Y4" s="69"/>
      <c r="Z4" s="69"/>
      <c r="AA4" s="69"/>
      <c r="AB4" s="69"/>
      <c r="AC4" s="69"/>
      <c r="AD4" s="69"/>
      <c r="AE4" s="69"/>
      <c r="AF4" s="69"/>
      <c r="AG4" s="69"/>
      <c r="AH4" s="69"/>
      <c r="AI4" s="69">
        <v>4.5999999999999996</v>
      </c>
      <c r="AJ4" s="69"/>
      <c r="AK4" s="69"/>
      <c r="AL4" s="69"/>
    </row>
    <row r="5" spans="1:38" x14ac:dyDescent="0.2">
      <c r="A5" s="10">
        <v>20180</v>
      </c>
      <c r="B5" s="69"/>
      <c r="C5" s="69"/>
      <c r="D5" s="69"/>
      <c r="E5" s="69">
        <v>4.5</v>
      </c>
      <c r="F5" s="69"/>
      <c r="G5" s="69"/>
      <c r="H5" s="69"/>
      <c r="I5" s="69"/>
      <c r="J5" s="69"/>
      <c r="K5" s="69"/>
      <c r="L5" s="69"/>
      <c r="M5" s="69"/>
      <c r="N5" s="69"/>
      <c r="O5" s="69"/>
      <c r="P5" s="69"/>
      <c r="Q5" s="69"/>
      <c r="R5" s="69"/>
      <c r="S5" s="69"/>
      <c r="T5" s="69"/>
      <c r="U5" s="69">
        <v>2.5</v>
      </c>
      <c r="V5" s="69"/>
      <c r="W5" s="69"/>
      <c r="X5" s="69"/>
      <c r="Y5" s="69"/>
      <c r="Z5" s="69"/>
      <c r="AA5" s="69"/>
      <c r="AB5" s="69"/>
      <c r="AC5" s="69"/>
      <c r="AD5" s="69"/>
      <c r="AE5" s="69"/>
      <c r="AF5" s="69"/>
      <c r="AG5" s="69"/>
      <c r="AH5" s="69"/>
      <c r="AI5" s="69">
        <v>4.7</v>
      </c>
      <c r="AJ5" s="69"/>
      <c r="AK5" s="69"/>
      <c r="AL5" s="69"/>
    </row>
    <row r="6" spans="1:38" x14ac:dyDescent="0.2">
      <c r="A6" s="10">
        <v>20210</v>
      </c>
      <c r="B6" s="69"/>
      <c r="C6" s="69"/>
      <c r="D6" s="69"/>
      <c r="E6" s="69">
        <v>4.5</v>
      </c>
      <c r="F6" s="69"/>
      <c r="G6" s="69"/>
      <c r="H6" s="69"/>
      <c r="I6" s="69"/>
      <c r="J6" s="69"/>
      <c r="K6" s="69"/>
      <c r="L6" s="69"/>
      <c r="M6" s="69"/>
      <c r="N6" s="69"/>
      <c r="O6" s="69"/>
      <c r="P6" s="69"/>
      <c r="Q6" s="69"/>
      <c r="R6" s="69"/>
      <c r="S6" s="69"/>
      <c r="T6" s="69"/>
      <c r="U6" s="69">
        <v>2.4</v>
      </c>
      <c r="V6" s="69"/>
      <c r="W6" s="69"/>
      <c r="X6" s="69"/>
      <c r="Y6" s="69"/>
      <c r="Z6" s="69"/>
      <c r="AA6" s="69"/>
      <c r="AB6" s="69"/>
      <c r="AC6" s="69"/>
      <c r="AD6" s="69"/>
      <c r="AE6" s="69"/>
      <c r="AF6" s="69"/>
      <c r="AG6" s="69"/>
      <c r="AH6" s="69"/>
      <c r="AI6" s="69">
        <v>4.3</v>
      </c>
      <c r="AJ6" s="69"/>
      <c r="AK6" s="69"/>
      <c r="AL6" s="69"/>
    </row>
    <row r="7" spans="1:38" x14ac:dyDescent="0.2">
      <c r="A7" s="10">
        <v>20241</v>
      </c>
      <c r="B7" s="69"/>
      <c r="C7" s="69"/>
      <c r="D7" s="69"/>
      <c r="E7" s="69">
        <v>4.3</v>
      </c>
      <c r="F7" s="69"/>
      <c r="G7" s="69"/>
      <c r="H7" s="69"/>
      <c r="I7" s="69"/>
      <c r="J7" s="69"/>
      <c r="K7" s="69"/>
      <c r="L7" s="69"/>
      <c r="M7" s="69"/>
      <c r="N7" s="69"/>
      <c r="O7" s="69"/>
      <c r="P7" s="69"/>
      <c r="Q7" s="69"/>
      <c r="R7" s="69"/>
      <c r="S7" s="69"/>
      <c r="T7" s="69"/>
      <c r="U7" s="69">
        <v>2.6</v>
      </c>
      <c r="V7" s="69"/>
      <c r="W7" s="69"/>
      <c r="X7" s="69"/>
      <c r="Y7" s="69"/>
      <c r="Z7" s="69"/>
      <c r="AA7" s="69"/>
      <c r="AB7" s="69"/>
      <c r="AC7" s="69"/>
      <c r="AD7" s="69"/>
      <c r="AE7" s="69"/>
      <c r="AF7" s="69"/>
      <c r="AG7" s="69"/>
      <c r="AH7" s="69"/>
      <c r="AI7" s="69">
        <v>4.2</v>
      </c>
      <c r="AJ7" s="69"/>
      <c r="AK7" s="69"/>
      <c r="AL7" s="69"/>
    </row>
    <row r="8" spans="1:38" x14ac:dyDescent="0.2">
      <c r="A8" s="10">
        <v>20271</v>
      </c>
      <c r="B8" s="69"/>
      <c r="C8" s="69"/>
      <c r="D8" s="69"/>
      <c r="E8" s="69">
        <v>4.3</v>
      </c>
      <c r="F8" s="69"/>
      <c r="G8" s="69"/>
      <c r="H8" s="69"/>
      <c r="I8" s="69"/>
      <c r="J8" s="69"/>
      <c r="K8" s="69"/>
      <c r="L8" s="69"/>
      <c r="M8" s="69"/>
      <c r="N8" s="69"/>
      <c r="O8" s="69"/>
      <c r="P8" s="69"/>
      <c r="Q8" s="69"/>
      <c r="R8" s="69"/>
      <c r="S8" s="69"/>
      <c r="T8" s="69"/>
      <c r="U8" s="69">
        <v>2.6</v>
      </c>
      <c r="V8" s="69"/>
      <c r="W8" s="69"/>
      <c r="X8" s="69"/>
      <c r="Y8" s="69"/>
      <c r="Z8" s="69"/>
      <c r="AA8" s="69"/>
      <c r="AB8" s="69"/>
      <c r="AC8" s="69"/>
      <c r="AD8" s="69"/>
      <c r="AE8" s="69"/>
      <c r="AF8" s="69"/>
      <c r="AG8" s="69"/>
      <c r="AH8" s="69"/>
      <c r="AI8" s="69">
        <v>4</v>
      </c>
      <c r="AJ8" s="69"/>
      <c r="AK8" s="69"/>
      <c r="AL8" s="69"/>
    </row>
    <row r="9" spans="1:38" x14ac:dyDescent="0.2">
      <c r="A9" s="10">
        <v>20302</v>
      </c>
      <c r="B9" s="69"/>
      <c r="C9" s="69"/>
      <c r="D9" s="69"/>
      <c r="E9" s="69">
        <v>3.8</v>
      </c>
      <c r="F9" s="69"/>
      <c r="G9" s="69"/>
      <c r="H9" s="69"/>
      <c r="I9" s="69"/>
      <c r="J9" s="69"/>
      <c r="K9" s="69"/>
      <c r="L9" s="69"/>
      <c r="M9" s="69"/>
      <c r="N9" s="69"/>
      <c r="O9" s="69"/>
      <c r="P9" s="69"/>
      <c r="Q9" s="69"/>
      <c r="R9" s="69"/>
      <c r="S9" s="69"/>
      <c r="T9" s="69"/>
      <c r="U9" s="69">
        <v>2.6</v>
      </c>
      <c r="V9" s="69"/>
      <c r="W9" s="69"/>
      <c r="X9" s="69"/>
      <c r="Y9" s="69"/>
      <c r="Z9" s="69"/>
      <c r="AA9" s="69"/>
      <c r="AB9" s="69"/>
      <c r="AC9" s="69"/>
      <c r="AD9" s="69"/>
      <c r="AE9" s="69"/>
      <c r="AF9" s="69"/>
      <c r="AG9" s="69"/>
      <c r="AH9" s="69"/>
      <c r="AI9" s="69">
        <v>4.2</v>
      </c>
      <c r="AJ9" s="69"/>
      <c r="AK9" s="69"/>
      <c r="AL9" s="69"/>
    </row>
    <row r="10" spans="1:38" x14ac:dyDescent="0.2">
      <c r="A10" s="10">
        <v>20333</v>
      </c>
      <c r="B10" s="69"/>
      <c r="C10" s="69"/>
      <c r="D10" s="69"/>
      <c r="E10" s="69">
        <v>4.0999999999999996</v>
      </c>
      <c r="F10" s="69"/>
      <c r="G10" s="69"/>
      <c r="H10" s="69"/>
      <c r="I10" s="69"/>
      <c r="J10" s="69"/>
      <c r="K10" s="69"/>
      <c r="L10" s="69"/>
      <c r="M10" s="69"/>
      <c r="N10" s="69"/>
      <c r="O10" s="69"/>
      <c r="P10" s="69"/>
      <c r="Q10" s="69"/>
      <c r="R10" s="69"/>
      <c r="S10" s="69"/>
      <c r="T10" s="69"/>
      <c r="U10" s="69">
        <v>2.6</v>
      </c>
      <c r="V10" s="69"/>
      <c r="W10" s="69"/>
      <c r="X10" s="69"/>
      <c r="Y10" s="69"/>
      <c r="Z10" s="69"/>
      <c r="AA10" s="69"/>
      <c r="AB10" s="69"/>
      <c r="AC10" s="69"/>
      <c r="AD10" s="69"/>
      <c r="AE10" s="69"/>
      <c r="AF10" s="69"/>
      <c r="AG10" s="69"/>
      <c r="AH10" s="69"/>
      <c r="AI10" s="69">
        <v>4.0999999999999996</v>
      </c>
      <c r="AJ10" s="69"/>
      <c r="AK10" s="69"/>
      <c r="AL10" s="69"/>
    </row>
    <row r="11" spans="1:38" x14ac:dyDescent="0.2">
      <c r="A11" s="10">
        <v>20363</v>
      </c>
      <c r="B11" s="69"/>
      <c r="C11" s="69"/>
      <c r="D11" s="69"/>
      <c r="E11" s="69">
        <v>4</v>
      </c>
      <c r="F11" s="69"/>
      <c r="G11" s="69"/>
      <c r="H11" s="69"/>
      <c r="I11" s="69"/>
      <c r="J11" s="69"/>
      <c r="K11" s="69"/>
      <c r="L11" s="69"/>
      <c r="M11" s="69"/>
      <c r="N11" s="69"/>
      <c r="O11" s="69"/>
      <c r="P11" s="69"/>
      <c r="Q11" s="69"/>
      <c r="R11" s="69"/>
      <c r="S11" s="69"/>
      <c r="T11" s="69"/>
      <c r="U11" s="69">
        <v>2.7</v>
      </c>
      <c r="V11" s="69"/>
      <c r="W11" s="69"/>
      <c r="X11" s="69"/>
      <c r="Y11" s="69"/>
      <c r="Z11" s="69"/>
      <c r="AA11" s="69"/>
      <c r="AB11" s="69"/>
      <c r="AC11" s="69"/>
      <c r="AD11" s="69"/>
      <c r="AE11" s="69"/>
      <c r="AF11" s="69"/>
      <c r="AG11" s="69"/>
      <c r="AH11" s="69"/>
      <c r="AI11" s="69">
        <v>4.3</v>
      </c>
      <c r="AJ11" s="69"/>
      <c r="AK11" s="69"/>
      <c r="AL11" s="69"/>
    </row>
    <row r="12" spans="1:38" x14ac:dyDescent="0.2">
      <c r="A12" s="10">
        <v>20394</v>
      </c>
      <c r="B12" s="69"/>
      <c r="C12" s="69"/>
      <c r="D12" s="69"/>
      <c r="E12" s="69">
        <v>3.8</v>
      </c>
      <c r="F12" s="69"/>
      <c r="G12" s="69"/>
      <c r="H12" s="69"/>
      <c r="I12" s="69"/>
      <c r="J12" s="69"/>
      <c r="K12" s="69"/>
      <c r="L12" s="69"/>
      <c r="M12" s="69"/>
      <c r="N12" s="69"/>
      <c r="O12" s="69"/>
      <c r="P12" s="69"/>
      <c r="Q12" s="69"/>
      <c r="R12" s="69"/>
      <c r="S12" s="69"/>
      <c r="T12" s="69"/>
      <c r="U12" s="69">
        <v>2.4</v>
      </c>
      <c r="V12" s="69"/>
      <c r="W12" s="69"/>
      <c r="X12" s="69"/>
      <c r="Y12" s="69"/>
      <c r="Z12" s="69"/>
      <c r="AA12" s="69"/>
      <c r="AB12" s="69"/>
      <c r="AC12" s="69"/>
      <c r="AD12" s="69"/>
      <c r="AE12" s="69"/>
      <c r="AF12" s="69"/>
      <c r="AG12" s="69"/>
      <c r="AH12" s="69"/>
      <c r="AI12" s="69">
        <v>4.2</v>
      </c>
      <c r="AJ12" s="69"/>
      <c r="AK12" s="69"/>
      <c r="AL12" s="69"/>
    </row>
    <row r="13" spans="1:38" x14ac:dyDescent="0.2">
      <c r="A13" s="10">
        <v>20424</v>
      </c>
      <c r="B13" s="69"/>
      <c r="C13" s="69"/>
      <c r="D13" s="69"/>
      <c r="E13" s="69">
        <v>3.7</v>
      </c>
      <c r="F13" s="69"/>
      <c r="G13" s="69"/>
      <c r="H13" s="69"/>
      <c r="I13" s="69"/>
      <c r="J13" s="69"/>
      <c r="K13" s="69"/>
      <c r="L13" s="69"/>
      <c r="M13" s="69"/>
      <c r="N13" s="69"/>
      <c r="O13" s="69"/>
      <c r="P13" s="69"/>
      <c r="Q13" s="69"/>
      <c r="R13" s="69"/>
      <c r="S13" s="69"/>
      <c r="T13" s="69"/>
      <c r="U13" s="69">
        <v>2.4</v>
      </c>
      <c r="V13" s="69"/>
      <c r="W13" s="69"/>
      <c r="X13" s="69"/>
      <c r="Y13" s="69"/>
      <c r="Z13" s="69"/>
      <c r="AA13" s="69"/>
      <c r="AB13" s="69"/>
      <c r="AC13" s="69"/>
      <c r="AD13" s="69"/>
      <c r="AE13" s="69"/>
      <c r="AF13" s="69"/>
      <c r="AG13" s="69"/>
      <c r="AH13" s="69"/>
      <c r="AI13" s="69">
        <v>4.2</v>
      </c>
      <c r="AJ13" s="69"/>
      <c r="AK13" s="69"/>
      <c r="AL13" s="69"/>
    </row>
    <row r="14" spans="1:38" x14ac:dyDescent="0.2">
      <c r="A14" s="10">
        <v>20455</v>
      </c>
      <c r="B14" s="69"/>
      <c r="C14" s="69"/>
      <c r="D14" s="69"/>
      <c r="E14" s="69">
        <v>3.7</v>
      </c>
      <c r="F14" s="69"/>
      <c r="G14" s="69"/>
      <c r="H14" s="69"/>
      <c r="I14" s="69"/>
      <c r="J14" s="69"/>
      <c r="K14" s="69"/>
      <c r="L14" s="69"/>
      <c r="M14" s="69"/>
      <c r="N14" s="69"/>
      <c r="O14" s="69"/>
      <c r="P14" s="69"/>
      <c r="Q14" s="69"/>
      <c r="R14" s="69"/>
      <c r="S14" s="69"/>
      <c r="T14" s="69"/>
      <c r="U14" s="69">
        <v>2.5</v>
      </c>
      <c r="V14" s="69"/>
      <c r="W14" s="69"/>
      <c r="X14" s="69"/>
      <c r="Y14" s="69"/>
      <c r="Z14" s="69"/>
      <c r="AA14" s="69"/>
      <c r="AB14" s="69"/>
      <c r="AC14" s="69"/>
      <c r="AD14" s="69"/>
      <c r="AE14" s="69"/>
      <c r="AF14" s="69"/>
      <c r="AG14" s="69"/>
      <c r="AH14" s="69"/>
      <c r="AI14" s="69">
        <v>4</v>
      </c>
      <c r="AJ14" s="69"/>
      <c r="AK14" s="69"/>
      <c r="AL14" s="69"/>
    </row>
    <row r="15" spans="1:38" x14ac:dyDescent="0.2">
      <c r="A15" s="10">
        <v>20486</v>
      </c>
      <c r="B15" s="69"/>
      <c r="C15" s="69"/>
      <c r="D15" s="69"/>
      <c r="E15" s="69">
        <v>3.8</v>
      </c>
      <c r="F15" s="69"/>
      <c r="G15" s="69"/>
      <c r="H15" s="69"/>
      <c r="I15" s="69"/>
      <c r="J15" s="69"/>
      <c r="K15" s="69"/>
      <c r="L15" s="69"/>
      <c r="M15" s="69"/>
      <c r="N15" s="69"/>
      <c r="O15" s="69"/>
      <c r="P15" s="69"/>
      <c r="Q15" s="69"/>
      <c r="R15" s="69"/>
      <c r="S15" s="69"/>
      <c r="T15" s="69"/>
      <c r="U15" s="69">
        <v>2.6</v>
      </c>
      <c r="V15" s="69"/>
      <c r="W15" s="69"/>
      <c r="X15" s="69"/>
      <c r="Y15" s="69"/>
      <c r="Z15" s="69"/>
      <c r="AA15" s="69"/>
      <c r="AB15" s="69"/>
      <c r="AC15" s="69"/>
      <c r="AD15" s="69"/>
      <c r="AE15" s="69"/>
      <c r="AF15" s="69"/>
      <c r="AG15" s="69"/>
      <c r="AH15" s="69"/>
      <c r="AI15" s="69">
        <v>3.9</v>
      </c>
      <c r="AJ15" s="69"/>
      <c r="AK15" s="69"/>
      <c r="AL15" s="69"/>
    </row>
    <row r="16" spans="1:38" x14ac:dyDescent="0.2">
      <c r="A16" s="10">
        <v>20515</v>
      </c>
      <c r="B16" s="69"/>
      <c r="C16" s="69"/>
      <c r="D16" s="69"/>
      <c r="E16" s="69">
        <v>3.6</v>
      </c>
      <c r="F16" s="69"/>
      <c r="G16" s="69"/>
      <c r="H16" s="69"/>
      <c r="I16" s="69"/>
      <c r="J16" s="69"/>
      <c r="K16" s="69"/>
      <c r="L16" s="69"/>
      <c r="M16" s="69"/>
      <c r="N16" s="69"/>
      <c r="O16" s="69"/>
      <c r="P16" s="69"/>
      <c r="Q16" s="69"/>
      <c r="R16" s="69"/>
      <c r="S16" s="69"/>
      <c r="T16" s="69"/>
      <c r="U16" s="69">
        <v>2.7</v>
      </c>
      <c r="V16" s="69"/>
      <c r="W16" s="69"/>
      <c r="X16" s="69"/>
      <c r="Y16" s="69"/>
      <c r="Z16" s="69"/>
      <c r="AA16" s="69"/>
      <c r="AB16" s="69"/>
      <c r="AC16" s="69"/>
      <c r="AD16" s="69"/>
      <c r="AE16" s="69"/>
      <c r="AF16" s="69"/>
      <c r="AG16" s="69"/>
      <c r="AH16" s="69"/>
      <c r="AI16" s="69">
        <v>4.2</v>
      </c>
      <c r="AJ16" s="69"/>
      <c r="AK16" s="69"/>
      <c r="AL16" s="69"/>
    </row>
    <row r="17" spans="1:38" x14ac:dyDescent="0.2">
      <c r="A17" s="10">
        <v>20546</v>
      </c>
      <c r="B17" s="69"/>
      <c r="C17" s="69"/>
      <c r="D17" s="69"/>
      <c r="E17" s="69">
        <v>3.5</v>
      </c>
      <c r="F17" s="69"/>
      <c r="G17" s="69"/>
      <c r="H17" s="69"/>
      <c r="I17" s="69"/>
      <c r="J17" s="69"/>
      <c r="K17" s="69"/>
      <c r="L17" s="69"/>
      <c r="M17" s="69"/>
      <c r="N17" s="69"/>
      <c r="O17" s="69"/>
      <c r="P17" s="69"/>
      <c r="Q17" s="69"/>
      <c r="R17" s="69"/>
      <c r="S17" s="69"/>
      <c r="T17" s="69"/>
      <c r="U17" s="69">
        <v>2.4</v>
      </c>
      <c r="V17" s="69"/>
      <c r="W17" s="69"/>
      <c r="X17" s="69"/>
      <c r="Y17" s="69"/>
      <c r="Z17" s="69"/>
      <c r="AA17" s="69"/>
      <c r="AB17" s="69"/>
      <c r="AC17" s="69"/>
      <c r="AD17" s="69"/>
      <c r="AE17" s="69"/>
      <c r="AF17" s="69"/>
      <c r="AG17" s="69"/>
      <c r="AH17" s="69"/>
      <c r="AI17" s="69">
        <v>4</v>
      </c>
      <c r="AJ17" s="69"/>
      <c r="AK17" s="69"/>
      <c r="AL17" s="69"/>
    </row>
    <row r="18" spans="1:38" x14ac:dyDescent="0.2">
      <c r="A18" s="10">
        <v>20576</v>
      </c>
      <c r="B18" s="69"/>
      <c r="C18" s="69"/>
      <c r="D18" s="69"/>
      <c r="E18" s="69">
        <v>3.4</v>
      </c>
      <c r="F18" s="69"/>
      <c r="G18" s="69"/>
      <c r="H18" s="69"/>
      <c r="I18" s="69"/>
      <c r="J18" s="69"/>
      <c r="K18" s="69"/>
      <c r="L18" s="69"/>
      <c r="M18" s="69"/>
      <c r="N18" s="69"/>
      <c r="O18" s="69"/>
      <c r="P18" s="69"/>
      <c r="Q18" s="69"/>
      <c r="R18" s="69"/>
      <c r="S18" s="69"/>
      <c r="T18" s="69"/>
      <c r="U18" s="69">
        <v>2.2999999999999998</v>
      </c>
      <c r="V18" s="69"/>
      <c r="W18" s="69"/>
      <c r="X18" s="69"/>
      <c r="Y18" s="69"/>
      <c r="Z18" s="69"/>
      <c r="AA18" s="69"/>
      <c r="AB18" s="69"/>
      <c r="AC18" s="69"/>
      <c r="AD18" s="69"/>
      <c r="AE18" s="69"/>
      <c r="AF18" s="69"/>
      <c r="AG18" s="69"/>
      <c r="AH18" s="69"/>
      <c r="AI18" s="69">
        <v>4.3</v>
      </c>
      <c r="AJ18" s="69"/>
      <c r="AK18" s="69"/>
      <c r="AL18" s="69"/>
    </row>
    <row r="19" spans="1:38" x14ac:dyDescent="0.2">
      <c r="A19" s="10">
        <v>20607</v>
      </c>
      <c r="B19" s="69"/>
      <c r="C19" s="69"/>
      <c r="D19" s="69"/>
      <c r="E19" s="69">
        <v>3.2</v>
      </c>
      <c r="F19" s="69"/>
      <c r="G19" s="69"/>
      <c r="H19" s="69"/>
      <c r="I19" s="69"/>
      <c r="J19" s="69"/>
      <c r="K19" s="69"/>
      <c r="L19" s="69"/>
      <c r="M19" s="69"/>
      <c r="N19" s="69"/>
      <c r="O19" s="69"/>
      <c r="P19" s="69"/>
      <c r="Q19" s="69"/>
      <c r="R19" s="69"/>
      <c r="S19" s="69"/>
      <c r="T19" s="69"/>
      <c r="U19" s="69">
        <v>2.2000000000000002</v>
      </c>
      <c r="V19" s="69"/>
      <c r="W19" s="69"/>
      <c r="X19" s="69"/>
      <c r="Y19" s="69"/>
      <c r="Z19" s="69"/>
      <c r="AA19" s="69"/>
      <c r="AB19" s="69"/>
      <c r="AC19" s="69"/>
      <c r="AD19" s="69"/>
      <c r="AE19" s="69"/>
      <c r="AF19" s="69"/>
      <c r="AG19" s="69"/>
      <c r="AH19" s="69"/>
      <c r="AI19" s="69">
        <v>4.3</v>
      </c>
      <c r="AJ19" s="69"/>
      <c r="AK19" s="69"/>
      <c r="AL19" s="69"/>
    </row>
    <row r="20" spans="1:38" x14ac:dyDescent="0.2">
      <c r="A20" s="10">
        <v>20637</v>
      </c>
      <c r="B20" s="69"/>
      <c r="C20" s="69"/>
      <c r="D20" s="69"/>
      <c r="E20" s="69">
        <v>3</v>
      </c>
      <c r="F20" s="69"/>
      <c r="G20" s="69"/>
      <c r="H20" s="69"/>
      <c r="I20" s="69"/>
      <c r="J20" s="69"/>
      <c r="K20" s="69"/>
      <c r="L20" s="69"/>
      <c r="M20" s="69"/>
      <c r="N20" s="69"/>
      <c r="O20" s="69"/>
      <c r="P20" s="69"/>
      <c r="Q20" s="69"/>
      <c r="R20" s="69"/>
      <c r="S20" s="69"/>
      <c r="T20" s="69"/>
      <c r="U20" s="69">
        <v>2.1</v>
      </c>
      <c r="V20" s="69"/>
      <c r="W20" s="69"/>
      <c r="X20" s="69"/>
      <c r="Y20" s="69"/>
      <c r="Z20" s="69"/>
      <c r="AA20" s="69"/>
      <c r="AB20" s="69"/>
      <c r="AC20" s="69"/>
      <c r="AD20" s="69"/>
      <c r="AE20" s="69"/>
      <c r="AF20" s="69"/>
      <c r="AG20" s="69"/>
      <c r="AH20" s="69"/>
      <c r="AI20" s="69">
        <v>4.4000000000000004</v>
      </c>
      <c r="AJ20" s="69"/>
      <c r="AK20" s="69"/>
      <c r="AL20" s="69"/>
    </row>
    <row r="21" spans="1:38" x14ac:dyDescent="0.2">
      <c r="A21" s="10">
        <v>20668</v>
      </c>
      <c r="B21" s="69"/>
      <c r="C21" s="69"/>
      <c r="D21" s="69"/>
      <c r="E21" s="69">
        <v>3</v>
      </c>
      <c r="F21" s="69"/>
      <c r="G21" s="69"/>
      <c r="H21" s="69"/>
      <c r="I21" s="69"/>
      <c r="J21" s="69"/>
      <c r="K21" s="69"/>
      <c r="L21" s="69"/>
      <c r="M21" s="69"/>
      <c r="N21" s="69"/>
      <c r="O21" s="69"/>
      <c r="P21" s="69"/>
      <c r="Q21" s="69"/>
      <c r="R21" s="69"/>
      <c r="S21" s="69"/>
      <c r="T21" s="69"/>
      <c r="U21" s="69">
        <v>2.1</v>
      </c>
      <c r="V21" s="69"/>
      <c r="W21" s="69"/>
      <c r="X21" s="69"/>
      <c r="Y21" s="69"/>
      <c r="Z21" s="69"/>
      <c r="AA21" s="69"/>
      <c r="AB21" s="69"/>
      <c r="AC21" s="69"/>
      <c r="AD21" s="69"/>
      <c r="AE21" s="69"/>
      <c r="AF21" s="69"/>
      <c r="AG21" s="69"/>
      <c r="AH21" s="69"/>
      <c r="AI21" s="69">
        <v>4.0999999999999996</v>
      </c>
      <c r="AJ21" s="69"/>
      <c r="AK21" s="69"/>
      <c r="AL21" s="69"/>
    </row>
    <row r="22" spans="1:38" x14ac:dyDescent="0.2">
      <c r="A22" s="10">
        <v>20699</v>
      </c>
      <c r="B22" s="69"/>
      <c r="C22" s="69"/>
      <c r="D22" s="69"/>
      <c r="E22" s="69">
        <v>3.1</v>
      </c>
      <c r="F22" s="69"/>
      <c r="G22" s="69"/>
      <c r="H22" s="69"/>
      <c r="I22" s="69"/>
      <c r="J22" s="69"/>
      <c r="K22" s="69"/>
      <c r="L22" s="69"/>
      <c r="M22" s="69"/>
      <c r="N22" s="69"/>
      <c r="O22" s="69"/>
      <c r="P22" s="69"/>
      <c r="Q22" s="69"/>
      <c r="R22" s="69"/>
      <c r="S22" s="69"/>
      <c r="T22" s="69"/>
      <c r="U22" s="69">
        <v>2.2000000000000002</v>
      </c>
      <c r="V22" s="69"/>
      <c r="W22" s="69"/>
      <c r="X22" s="69"/>
      <c r="Y22" s="69"/>
      <c r="Z22" s="69"/>
      <c r="AA22" s="69"/>
      <c r="AB22" s="69"/>
      <c r="AC22" s="69"/>
      <c r="AD22" s="69"/>
      <c r="AE22" s="69"/>
      <c r="AF22" s="69"/>
      <c r="AG22" s="69"/>
      <c r="AH22" s="69"/>
      <c r="AI22" s="69">
        <v>3.9</v>
      </c>
      <c r="AJ22" s="69"/>
      <c r="AK22" s="69"/>
      <c r="AL22" s="69"/>
    </row>
    <row r="23" spans="1:38" x14ac:dyDescent="0.2">
      <c r="A23" s="10">
        <v>20729</v>
      </c>
      <c r="B23" s="69"/>
      <c r="C23" s="69"/>
      <c r="D23" s="69"/>
      <c r="E23" s="69">
        <v>2.8</v>
      </c>
      <c r="F23" s="69"/>
      <c r="G23" s="69"/>
      <c r="H23" s="69"/>
      <c r="I23" s="69"/>
      <c r="J23" s="69"/>
      <c r="K23" s="69"/>
      <c r="L23" s="69"/>
      <c r="M23" s="69"/>
      <c r="N23" s="69"/>
      <c r="O23" s="69"/>
      <c r="P23" s="69"/>
      <c r="Q23" s="69"/>
      <c r="R23" s="69"/>
      <c r="S23" s="69"/>
      <c r="T23" s="69"/>
      <c r="U23" s="69">
        <v>2</v>
      </c>
      <c r="V23" s="69"/>
      <c r="W23" s="69"/>
      <c r="X23" s="69"/>
      <c r="Y23" s="69"/>
      <c r="Z23" s="69"/>
      <c r="AA23" s="69"/>
      <c r="AB23" s="69"/>
      <c r="AC23" s="69"/>
      <c r="AD23" s="69"/>
      <c r="AE23" s="69"/>
      <c r="AF23" s="69"/>
      <c r="AG23" s="69"/>
      <c r="AH23" s="69"/>
      <c r="AI23" s="69">
        <v>3.9</v>
      </c>
      <c r="AJ23" s="69"/>
      <c r="AK23" s="69"/>
      <c r="AL23" s="69"/>
    </row>
    <row r="24" spans="1:38" x14ac:dyDescent="0.2">
      <c r="A24" s="10">
        <v>20760</v>
      </c>
      <c r="B24" s="69"/>
      <c r="C24" s="69"/>
      <c r="D24" s="69"/>
      <c r="E24" s="69">
        <v>3.1</v>
      </c>
      <c r="F24" s="69"/>
      <c r="G24" s="69"/>
      <c r="H24" s="69"/>
      <c r="I24" s="69"/>
      <c r="J24" s="69"/>
      <c r="K24" s="69"/>
      <c r="L24" s="69"/>
      <c r="M24" s="69"/>
      <c r="N24" s="69"/>
      <c r="O24" s="69"/>
      <c r="P24" s="69"/>
      <c r="Q24" s="69"/>
      <c r="R24" s="69"/>
      <c r="S24" s="69"/>
      <c r="T24" s="69"/>
      <c r="U24" s="69">
        <v>2.2000000000000002</v>
      </c>
      <c r="V24" s="69"/>
      <c r="W24" s="69"/>
      <c r="X24" s="69"/>
      <c r="Y24" s="69"/>
      <c r="Z24" s="69"/>
      <c r="AA24" s="69"/>
      <c r="AB24" s="69"/>
      <c r="AC24" s="69"/>
      <c r="AD24" s="69"/>
      <c r="AE24" s="69"/>
      <c r="AF24" s="69"/>
      <c r="AG24" s="69"/>
      <c r="AH24" s="69"/>
      <c r="AI24" s="69">
        <v>4.3</v>
      </c>
      <c r="AJ24" s="69"/>
      <c r="AK24" s="69"/>
      <c r="AL24" s="69"/>
    </row>
    <row r="25" spans="1:38" x14ac:dyDescent="0.2">
      <c r="A25" s="10">
        <v>20790</v>
      </c>
      <c r="B25" s="69"/>
      <c r="C25" s="69"/>
      <c r="D25" s="69"/>
      <c r="E25" s="69">
        <v>3.4</v>
      </c>
      <c r="F25" s="69"/>
      <c r="G25" s="69"/>
      <c r="H25" s="69"/>
      <c r="I25" s="69"/>
      <c r="J25" s="69"/>
      <c r="K25" s="69"/>
      <c r="L25" s="69"/>
      <c r="M25" s="69"/>
      <c r="N25" s="69"/>
      <c r="O25" s="69"/>
      <c r="P25" s="69"/>
      <c r="Q25" s="69"/>
      <c r="R25" s="69"/>
      <c r="S25" s="69"/>
      <c r="T25" s="69"/>
      <c r="U25" s="69">
        <v>2.2999999999999998</v>
      </c>
      <c r="V25" s="69"/>
      <c r="W25" s="69"/>
      <c r="X25" s="69"/>
      <c r="Y25" s="69"/>
      <c r="Z25" s="69"/>
      <c r="AA25" s="69"/>
      <c r="AB25" s="69"/>
      <c r="AC25" s="69"/>
      <c r="AD25" s="69"/>
      <c r="AE25" s="69"/>
      <c r="AF25" s="69"/>
      <c r="AG25" s="69"/>
      <c r="AH25" s="69"/>
      <c r="AI25" s="69">
        <v>4.2</v>
      </c>
      <c r="AJ25" s="69"/>
      <c r="AK25" s="69"/>
      <c r="AL25" s="69"/>
    </row>
    <row r="26" spans="1:38" x14ac:dyDescent="0.2">
      <c r="A26" s="10">
        <v>20821</v>
      </c>
      <c r="B26" s="69"/>
      <c r="C26" s="69"/>
      <c r="D26" s="69"/>
      <c r="E26" s="69">
        <v>3.8</v>
      </c>
      <c r="F26" s="69"/>
      <c r="G26" s="69"/>
      <c r="H26" s="69"/>
      <c r="I26" s="69"/>
      <c r="J26" s="69"/>
      <c r="K26" s="69"/>
      <c r="L26" s="69"/>
      <c r="M26" s="69"/>
      <c r="N26" s="69"/>
      <c r="O26" s="69"/>
      <c r="P26" s="69"/>
      <c r="Q26" s="69"/>
      <c r="R26" s="69"/>
      <c r="S26" s="69"/>
      <c r="T26" s="69"/>
      <c r="U26" s="69">
        <v>2.1</v>
      </c>
      <c r="V26" s="69"/>
      <c r="W26" s="69"/>
      <c r="X26" s="69"/>
      <c r="Y26" s="69"/>
      <c r="Z26" s="69"/>
      <c r="AA26" s="69"/>
      <c r="AB26" s="69"/>
      <c r="AC26" s="69"/>
      <c r="AD26" s="69"/>
      <c r="AE26" s="69"/>
      <c r="AF26" s="69"/>
      <c r="AG26" s="69"/>
      <c r="AH26" s="69"/>
      <c r="AI26" s="69">
        <v>4.2</v>
      </c>
      <c r="AJ26" s="69"/>
      <c r="AK26" s="69"/>
      <c r="AL26" s="69"/>
    </row>
    <row r="27" spans="1:38" x14ac:dyDescent="0.2">
      <c r="A27" s="10">
        <v>20852</v>
      </c>
      <c r="B27" s="69"/>
      <c r="C27" s="69"/>
      <c r="D27" s="69"/>
      <c r="E27" s="69">
        <v>3.9</v>
      </c>
      <c r="F27" s="69"/>
      <c r="G27" s="69"/>
      <c r="H27" s="69"/>
      <c r="I27" s="69"/>
      <c r="J27" s="69"/>
      <c r="K27" s="69"/>
      <c r="L27" s="69"/>
      <c r="M27" s="69"/>
      <c r="N27" s="69"/>
      <c r="O27" s="69"/>
      <c r="P27" s="69"/>
      <c r="Q27" s="69"/>
      <c r="R27" s="69"/>
      <c r="S27" s="69"/>
      <c r="T27" s="69"/>
      <c r="U27" s="69">
        <v>2</v>
      </c>
      <c r="V27" s="69"/>
      <c r="W27" s="69"/>
      <c r="X27" s="69"/>
      <c r="Y27" s="69"/>
      <c r="Z27" s="69"/>
      <c r="AA27" s="69"/>
      <c r="AB27" s="69"/>
      <c r="AC27" s="69"/>
      <c r="AD27" s="69"/>
      <c r="AE27" s="69"/>
      <c r="AF27" s="69"/>
      <c r="AG27" s="69"/>
      <c r="AH27" s="69"/>
      <c r="AI27" s="69">
        <v>3.9</v>
      </c>
      <c r="AJ27" s="69"/>
      <c r="AK27" s="69"/>
      <c r="AL27" s="69"/>
    </row>
    <row r="28" spans="1:38" x14ac:dyDescent="0.2">
      <c r="A28" s="10">
        <v>20880</v>
      </c>
      <c r="B28" s="69"/>
      <c r="C28" s="69"/>
      <c r="D28" s="69"/>
      <c r="E28" s="69">
        <v>4.0999999999999996</v>
      </c>
      <c r="F28" s="69"/>
      <c r="G28" s="69"/>
      <c r="H28" s="69"/>
      <c r="I28" s="69"/>
      <c r="J28" s="69"/>
      <c r="K28" s="69"/>
      <c r="L28" s="69"/>
      <c r="M28" s="69"/>
      <c r="N28" s="69"/>
      <c r="O28" s="69"/>
      <c r="P28" s="69"/>
      <c r="Q28" s="69"/>
      <c r="R28" s="69"/>
      <c r="S28" s="69"/>
      <c r="T28" s="69"/>
      <c r="U28" s="69">
        <v>2</v>
      </c>
      <c r="V28" s="69"/>
      <c r="W28" s="69"/>
      <c r="X28" s="69"/>
      <c r="Y28" s="69"/>
      <c r="Z28" s="69"/>
      <c r="AA28" s="69"/>
      <c r="AB28" s="69"/>
      <c r="AC28" s="69"/>
      <c r="AD28" s="69"/>
      <c r="AE28" s="69"/>
      <c r="AF28" s="69"/>
      <c r="AG28" s="69"/>
      <c r="AH28" s="69"/>
      <c r="AI28" s="69">
        <v>3.7</v>
      </c>
      <c r="AJ28" s="69"/>
      <c r="AK28" s="69"/>
      <c r="AL28" s="69"/>
    </row>
    <row r="29" spans="1:38" x14ac:dyDescent="0.2">
      <c r="A29" s="10">
        <v>20911</v>
      </c>
      <c r="B29" s="69"/>
      <c r="C29" s="69"/>
      <c r="D29" s="69"/>
      <c r="E29" s="69">
        <v>4.2</v>
      </c>
      <c r="F29" s="69"/>
      <c r="G29" s="69"/>
      <c r="H29" s="69"/>
      <c r="I29" s="69"/>
      <c r="J29" s="69"/>
      <c r="K29" s="69"/>
      <c r="L29" s="69"/>
      <c r="M29" s="69"/>
      <c r="N29" s="69"/>
      <c r="O29" s="69"/>
      <c r="P29" s="69"/>
      <c r="Q29" s="69"/>
      <c r="R29" s="69"/>
      <c r="S29" s="69"/>
      <c r="T29" s="69"/>
      <c r="U29" s="69">
        <v>2</v>
      </c>
      <c r="V29" s="69"/>
      <c r="W29" s="69"/>
      <c r="X29" s="69"/>
      <c r="Y29" s="69"/>
      <c r="Z29" s="69"/>
      <c r="AA29" s="69"/>
      <c r="AB29" s="69"/>
      <c r="AC29" s="69"/>
      <c r="AD29" s="69"/>
      <c r="AE29" s="69"/>
      <c r="AF29" s="69"/>
      <c r="AG29" s="69"/>
      <c r="AH29" s="69"/>
      <c r="AI29" s="69">
        <v>3.9</v>
      </c>
      <c r="AJ29" s="69"/>
      <c r="AK29" s="69"/>
      <c r="AL29" s="69"/>
    </row>
    <row r="30" spans="1:38" x14ac:dyDescent="0.2">
      <c r="A30" s="10">
        <v>20941</v>
      </c>
      <c r="B30" s="69"/>
      <c r="C30" s="69"/>
      <c r="D30" s="69"/>
      <c r="E30" s="69">
        <v>3.9</v>
      </c>
      <c r="F30" s="69"/>
      <c r="G30" s="69"/>
      <c r="H30" s="69"/>
      <c r="I30" s="69"/>
      <c r="J30" s="69"/>
      <c r="K30" s="69"/>
      <c r="L30" s="69"/>
      <c r="M30" s="69"/>
      <c r="N30" s="69"/>
      <c r="O30" s="69"/>
      <c r="P30" s="69"/>
      <c r="Q30" s="69"/>
      <c r="R30" s="69"/>
      <c r="S30" s="69"/>
      <c r="T30" s="69"/>
      <c r="U30" s="69">
        <v>1.9</v>
      </c>
      <c r="V30" s="69"/>
      <c r="W30" s="69"/>
      <c r="X30" s="69"/>
      <c r="Y30" s="69"/>
      <c r="Z30" s="69"/>
      <c r="AA30" s="69"/>
      <c r="AB30" s="69"/>
      <c r="AC30" s="69"/>
      <c r="AD30" s="69"/>
      <c r="AE30" s="69"/>
      <c r="AF30" s="69"/>
      <c r="AG30" s="69"/>
      <c r="AH30" s="69"/>
      <c r="AI30" s="69">
        <v>4.0999999999999996</v>
      </c>
      <c r="AJ30" s="69"/>
      <c r="AK30" s="69"/>
      <c r="AL30" s="69"/>
    </row>
    <row r="31" spans="1:38" x14ac:dyDescent="0.2">
      <c r="A31" s="10">
        <v>20972</v>
      </c>
      <c r="B31" s="69"/>
      <c r="C31" s="69"/>
      <c r="D31" s="69"/>
      <c r="E31" s="69">
        <v>4.3</v>
      </c>
      <c r="F31" s="69"/>
      <c r="G31" s="69"/>
      <c r="H31" s="69"/>
      <c r="I31" s="69"/>
      <c r="J31" s="69"/>
      <c r="K31" s="69"/>
      <c r="L31" s="69"/>
      <c r="M31" s="69"/>
      <c r="N31" s="69"/>
      <c r="O31" s="69"/>
      <c r="P31" s="69"/>
      <c r="Q31" s="69"/>
      <c r="R31" s="69"/>
      <c r="S31" s="69"/>
      <c r="T31" s="69"/>
      <c r="U31" s="69">
        <v>1.8</v>
      </c>
      <c r="V31" s="69"/>
      <c r="W31" s="69"/>
      <c r="X31" s="69"/>
      <c r="Y31" s="69"/>
      <c r="Z31" s="69"/>
      <c r="AA31" s="69"/>
      <c r="AB31" s="69"/>
      <c r="AC31" s="69"/>
      <c r="AD31" s="69"/>
      <c r="AE31" s="69"/>
      <c r="AF31" s="69"/>
      <c r="AG31" s="69"/>
      <c r="AH31" s="69"/>
      <c r="AI31" s="69">
        <v>4.3</v>
      </c>
      <c r="AJ31" s="69"/>
      <c r="AK31" s="69"/>
      <c r="AL31" s="69"/>
    </row>
    <row r="32" spans="1:38" x14ac:dyDescent="0.2">
      <c r="A32" s="10">
        <v>21002</v>
      </c>
      <c r="B32" s="69"/>
      <c r="C32" s="69"/>
      <c r="D32" s="69"/>
      <c r="E32" s="69">
        <v>4.5999999999999996</v>
      </c>
      <c r="F32" s="69"/>
      <c r="G32" s="69"/>
      <c r="H32" s="69"/>
      <c r="I32" s="69"/>
      <c r="J32" s="69"/>
      <c r="K32" s="69"/>
      <c r="L32" s="69"/>
      <c r="M32" s="69"/>
      <c r="N32" s="69"/>
      <c r="O32" s="69"/>
      <c r="P32" s="69"/>
      <c r="Q32" s="69"/>
      <c r="R32" s="69"/>
      <c r="S32" s="69"/>
      <c r="T32" s="69"/>
      <c r="U32" s="69">
        <v>1.8</v>
      </c>
      <c r="V32" s="69"/>
      <c r="W32" s="69"/>
      <c r="X32" s="69"/>
      <c r="Y32" s="69"/>
      <c r="Z32" s="69"/>
      <c r="AA32" s="69"/>
      <c r="AB32" s="69"/>
      <c r="AC32" s="69"/>
      <c r="AD32" s="69"/>
      <c r="AE32" s="69"/>
      <c r="AF32" s="69"/>
      <c r="AG32" s="69"/>
      <c r="AH32" s="69"/>
      <c r="AI32" s="69">
        <v>4.2</v>
      </c>
      <c r="AJ32" s="69"/>
      <c r="AK32" s="69"/>
      <c r="AL32" s="69"/>
    </row>
    <row r="33" spans="1:38" x14ac:dyDescent="0.2">
      <c r="A33" s="10">
        <v>21033</v>
      </c>
      <c r="B33" s="69"/>
      <c r="C33" s="69"/>
      <c r="D33" s="69"/>
      <c r="E33" s="69">
        <v>4.8</v>
      </c>
      <c r="F33" s="69"/>
      <c r="G33" s="69"/>
      <c r="H33" s="69"/>
      <c r="I33" s="69"/>
      <c r="J33" s="69"/>
      <c r="K33" s="69"/>
      <c r="L33" s="69"/>
      <c r="M33" s="69"/>
      <c r="N33" s="69"/>
      <c r="O33" s="69"/>
      <c r="P33" s="69"/>
      <c r="Q33" s="69"/>
      <c r="R33" s="69"/>
      <c r="S33" s="69"/>
      <c r="T33" s="69"/>
      <c r="U33" s="69">
        <v>1.8</v>
      </c>
      <c r="V33" s="69"/>
      <c r="W33" s="69"/>
      <c r="X33" s="69"/>
      <c r="Y33" s="69"/>
      <c r="Z33" s="69"/>
      <c r="AA33" s="69"/>
      <c r="AB33" s="69"/>
      <c r="AC33" s="69"/>
      <c r="AD33" s="69"/>
      <c r="AE33" s="69"/>
      <c r="AF33" s="69"/>
      <c r="AG33" s="69"/>
      <c r="AH33" s="69"/>
      <c r="AI33" s="69">
        <v>4.0999999999999996</v>
      </c>
      <c r="AJ33" s="69"/>
      <c r="AK33" s="69"/>
      <c r="AL33" s="69"/>
    </row>
    <row r="34" spans="1:38" x14ac:dyDescent="0.2">
      <c r="A34" s="10">
        <v>21064</v>
      </c>
      <c r="B34" s="69"/>
      <c r="C34" s="69"/>
      <c r="D34" s="69"/>
      <c r="E34" s="69">
        <v>5.4</v>
      </c>
      <c r="F34" s="69"/>
      <c r="G34" s="69"/>
      <c r="H34" s="69"/>
      <c r="I34" s="69"/>
      <c r="J34" s="69"/>
      <c r="K34" s="69"/>
      <c r="L34" s="69"/>
      <c r="M34" s="69"/>
      <c r="N34" s="69"/>
      <c r="O34" s="69"/>
      <c r="P34" s="69"/>
      <c r="Q34" s="69"/>
      <c r="R34" s="69"/>
      <c r="S34" s="69"/>
      <c r="T34" s="69"/>
      <c r="U34" s="69">
        <v>2</v>
      </c>
      <c r="V34" s="69"/>
      <c r="W34" s="69"/>
      <c r="X34" s="69"/>
      <c r="Y34" s="69"/>
      <c r="Z34" s="69"/>
      <c r="AA34" s="69"/>
      <c r="AB34" s="69"/>
      <c r="AC34" s="69"/>
      <c r="AD34" s="69"/>
      <c r="AE34" s="69"/>
      <c r="AF34" s="69"/>
      <c r="AG34" s="69"/>
      <c r="AH34" s="69"/>
      <c r="AI34" s="69">
        <v>4.4000000000000004</v>
      </c>
      <c r="AJ34" s="69"/>
      <c r="AK34" s="69"/>
      <c r="AL34" s="69"/>
    </row>
    <row r="35" spans="1:38" x14ac:dyDescent="0.2">
      <c r="A35" s="10">
        <v>21094</v>
      </c>
      <c r="B35" s="69"/>
      <c r="C35" s="69"/>
      <c r="D35" s="69"/>
      <c r="E35" s="69">
        <v>5.3</v>
      </c>
      <c r="F35" s="69"/>
      <c r="G35" s="69"/>
      <c r="H35" s="69"/>
      <c r="I35" s="69"/>
      <c r="J35" s="69"/>
      <c r="K35" s="69"/>
      <c r="L35" s="69"/>
      <c r="M35" s="69"/>
      <c r="N35" s="69"/>
      <c r="O35" s="69"/>
      <c r="P35" s="69"/>
      <c r="Q35" s="69"/>
      <c r="R35" s="69"/>
      <c r="S35" s="69"/>
      <c r="T35" s="69"/>
      <c r="U35" s="69">
        <v>2</v>
      </c>
      <c r="V35" s="69"/>
      <c r="W35" s="69"/>
      <c r="X35" s="69"/>
      <c r="Y35" s="69"/>
      <c r="Z35" s="69"/>
      <c r="AA35" s="69"/>
      <c r="AB35" s="69"/>
      <c r="AC35" s="69"/>
      <c r="AD35" s="69"/>
      <c r="AE35" s="69"/>
      <c r="AF35" s="69"/>
      <c r="AG35" s="69"/>
      <c r="AH35" s="69"/>
      <c r="AI35" s="69">
        <v>4.5</v>
      </c>
      <c r="AJ35" s="69"/>
      <c r="AK35" s="69"/>
      <c r="AL35" s="69"/>
    </row>
    <row r="36" spans="1:38" x14ac:dyDescent="0.2">
      <c r="A36" s="10">
        <v>21125</v>
      </c>
      <c r="B36" s="69"/>
      <c r="C36" s="69"/>
      <c r="D36" s="69"/>
      <c r="E36" s="69">
        <v>6.2</v>
      </c>
      <c r="F36" s="69"/>
      <c r="G36" s="69"/>
      <c r="H36" s="69"/>
      <c r="I36" s="69"/>
      <c r="J36" s="69"/>
      <c r="K36" s="69"/>
      <c r="L36" s="69"/>
      <c r="M36" s="69"/>
      <c r="N36" s="69"/>
      <c r="O36" s="69"/>
      <c r="P36" s="69"/>
      <c r="Q36" s="69"/>
      <c r="R36" s="69"/>
      <c r="S36" s="69"/>
      <c r="T36" s="69"/>
      <c r="U36" s="69">
        <v>1.9</v>
      </c>
      <c r="V36" s="69"/>
      <c r="W36" s="69"/>
      <c r="X36" s="69"/>
      <c r="Y36" s="69"/>
      <c r="Z36" s="69"/>
      <c r="AA36" s="69"/>
      <c r="AB36" s="69"/>
      <c r="AC36" s="69"/>
      <c r="AD36" s="69"/>
      <c r="AE36" s="69"/>
      <c r="AF36" s="69"/>
      <c r="AG36" s="69"/>
      <c r="AH36" s="69"/>
      <c r="AI36" s="69">
        <v>5.0999999999999996</v>
      </c>
      <c r="AJ36" s="69"/>
      <c r="AK36" s="69"/>
      <c r="AL36" s="69"/>
    </row>
    <row r="37" spans="1:38" x14ac:dyDescent="0.2">
      <c r="A37" s="10">
        <v>21155</v>
      </c>
      <c r="B37" s="69"/>
      <c r="C37" s="69"/>
      <c r="D37" s="69"/>
      <c r="E37" s="69">
        <v>6.5</v>
      </c>
      <c r="F37" s="69"/>
      <c r="G37" s="69"/>
      <c r="H37" s="69"/>
      <c r="I37" s="69"/>
      <c r="J37" s="69"/>
      <c r="K37" s="69"/>
      <c r="L37" s="69"/>
      <c r="M37" s="69"/>
      <c r="N37" s="69"/>
      <c r="O37" s="69"/>
      <c r="P37" s="69"/>
      <c r="Q37" s="69"/>
      <c r="R37" s="69"/>
      <c r="S37" s="69"/>
      <c r="T37" s="69"/>
      <c r="U37" s="69">
        <v>1.8</v>
      </c>
      <c r="V37" s="69"/>
      <c r="W37" s="69"/>
      <c r="X37" s="69"/>
      <c r="Y37" s="69"/>
      <c r="Z37" s="69"/>
      <c r="AA37" s="69"/>
      <c r="AB37" s="69"/>
      <c r="AC37" s="69"/>
      <c r="AD37" s="69"/>
      <c r="AE37" s="69"/>
      <c r="AF37" s="69"/>
      <c r="AG37" s="69"/>
      <c r="AH37" s="69"/>
      <c r="AI37" s="69">
        <v>5.2</v>
      </c>
      <c r="AJ37" s="69"/>
      <c r="AK37" s="69"/>
      <c r="AL37" s="69"/>
    </row>
    <row r="38" spans="1:38" x14ac:dyDescent="0.2">
      <c r="A38" s="10">
        <v>21186</v>
      </c>
      <c r="B38" s="69"/>
      <c r="C38" s="69"/>
      <c r="D38" s="69"/>
      <c r="E38" s="69">
        <v>6.5</v>
      </c>
      <c r="F38" s="69"/>
      <c r="G38" s="69"/>
      <c r="H38" s="69"/>
      <c r="I38" s="69"/>
      <c r="J38" s="69"/>
      <c r="K38" s="69"/>
      <c r="L38" s="69"/>
      <c r="M38" s="69"/>
      <c r="N38" s="69"/>
      <c r="O38" s="69"/>
      <c r="P38" s="69"/>
      <c r="Q38" s="69"/>
      <c r="R38" s="69"/>
      <c r="S38" s="69"/>
      <c r="T38" s="69"/>
      <c r="U38" s="69">
        <v>1.9</v>
      </c>
      <c r="V38" s="69"/>
      <c r="W38" s="69"/>
      <c r="X38" s="69"/>
      <c r="Y38" s="69"/>
      <c r="Z38" s="69"/>
      <c r="AA38" s="69"/>
      <c r="AB38" s="69"/>
      <c r="AC38" s="69"/>
      <c r="AD38" s="69"/>
      <c r="AE38" s="69"/>
      <c r="AF38" s="69"/>
      <c r="AG38" s="69"/>
      <c r="AH38" s="69"/>
      <c r="AI38" s="69">
        <v>5.8</v>
      </c>
      <c r="AJ38" s="69"/>
      <c r="AK38" s="69"/>
      <c r="AL38" s="69"/>
    </row>
    <row r="39" spans="1:38" x14ac:dyDescent="0.2">
      <c r="A39" s="10">
        <v>21217</v>
      </c>
      <c r="B39" s="69"/>
      <c r="C39" s="69"/>
      <c r="D39" s="69"/>
      <c r="E39" s="69">
        <v>6.6</v>
      </c>
      <c r="F39" s="69"/>
      <c r="G39" s="69"/>
      <c r="H39" s="69"/>
      <c r="I39" s="69"/>
      <c r="J39" s="69"/>
      <c r="K39" s="69"/>
      <c r="L39" s="69"/>
      <c r="M39" s="69"/>
      <c r="N39" s="69"/>
      <c r="O39" s="69"/>
      <c r="P39" s="69"/>
      <c r="Q39" s="69"/>
      <c r="R39" s="69"/>
      <c r="S39" s="69"/>
      <c r="T39" s="69"/>
      <c r="U39" s="69">
        <v>1.9</v>
      </c>
      <c r="V39" s="69"/>
      <c r="W39" s="69"/>
      <c r="X39" s="69"/>
      <c r="Y39" s="69"/>
      <c r="Z39" s="69"/>
      <c r="AA39" s="69"/>
      <c r="AB39" s="69"/>
      <c r="AC39" s="69"/>
      <c r="AD39" s="69"/>
      <c r="AE39" s="69"/>
      <c r="AF39" s="69"/>
      <c r="AG39" s="69"/>
      <c r="AH39" s="69"/>
      <c r="AI39" s="69">
        <v>6.4</v>
      </c>
      <c r="AJ39" s="69"/>
      <c r="AK39" s="69"/>
      <c r="AL39" s="69"/>
    </row>
    <row r="40" spans="1:38" x14ac:dyDescent="0.2">
      <c r="A40" s="10">
        <v>21245</v>
      </c>
      <c r="B40" s="69"/>
      <c r="C40" s="69"/>
      <c r="D40" s="69"/>
      <c r="E40" s="69">
        <v>6.9</v>
      </c>
      <c r="F40" s="69"/>
      <c r="G40" s="69"/>
      <c r="H40" s="69"/>
      <c r="I40" s="69"/>
      <c r="J40" s="69"/>
      <c r="K40" s="69"/>
      <c r="L40" s="69"/>
      <c r="M40" s="69"/>
      <c r="N40" s="69"/>
      <c r="O40" s="69"/>
      <c r="P40" s="69"/>
      <c r="Q40" s="69"/>
      <c r="R40" s="69"/>
      <c r="S40" s="69"/>
      <c r="T40" s="69"/>
      <c r="U40" s="69">
        <v>2</v>
      </c>
      <c r="V40" s="69"/>
      <c r="W40" s="69"/>
      <c r="X40" s="69"/>
      <c r="Y40" s="69"/>
      <c r="Z40" s="69"/>
      <c r="AA40" s="69"/>
      <c r="AB40" s="69"/>
      <c r="AC40" s="69"/>
      <c r="AD40" s="69"/>
      <c r="AE40" s="69"/>
      <c r="AF40" s="69"/>
      <c r="AG40" s="69"/>
      <c r="AH40" s="69"/>
      <c r="AI40" s="69">
        <v>6.7</v>
      </c>
      <c r="AJ40" s="69"/>
      <c r="AK40" s="69"/>
      <c r="AL40" s="69"/>
    </row>
    <row r="41" spans="1:38" x14ac:dyDescent="0.2">
      <c r="A41" s="10">
        <v>21276</v>
      </c>
      <c r="B41" s="69"/>
      <c r="C41" s="69"/>
      <c r="D41" s="69"/>
      <c r="E41" s="69">
        <v>6.9</v>
      </c>
      <c r="F41" s="69"/>
      <c r="G41" s="69"/>
      <c r="H41" s="69"/>
      <c r="I41" s="69"/>
      <c r="J41" s="69"/>
      <c r="K41" s="69"/>
      <c r="L41" s="69"/>
      <c r="M41" s="69"/>
      <c r="N41" s="69"/>
      <c r="O41" s="69"/>
      <c r="P41" s="69"/>
      <c r="Q41" s="69"/>
      <c r="R41" s="69"/>
      <c r="S41" s="69"/>
      <c r="T41" s="69"/>
      <c r="U41" s="69">
        <v>2</v>
      </c>
      <c r="V41" s="69"/>
      <c r="W41" s="69"/>
      <c r="X41" s="69"/>
      <c r="Y41" s="69"/>
      <c r="Z41" s="69"/>
      <c r="AA41" s="69"/>
      <c r="AB41" s="69"/>
      <c r="AC41" s="69"/>
      <c r="AD41" s="69"/>
      <c r="AE41" s="69"/>
      <c r="AF41" s="69"/>
      <c r="AG41" s="69"/>
      <c r="AH41" s="69"/>
      <c r="AI41" s="69">
        <v>7.4</v>
      </c>
      <c r="AJ41" s="69"/>
      <c r="AK41" s="69"/>
      <c r="AL41" s="69"/>
    </row>
    <row r="42" spans="1:38" x14ac:dyDescent="0.2">
      <c r="A42" s="10">
        <v>21306</v>
      </c>
      <c r="B42" s="69"/>
      <c r="C42" s="69"/>
      <c r="D42" s="69"/>
      <c r="E42" s="69">
        <v>7</v>
      </c>
      <c r="F42" s="69"/>
      <c r="G42" s="69"/>
      <c r="H42" s="69"/>
      <c r="I42" s="69"/>
      <c r="J42" s="69"/>
      <c r="K42" s="69"/>
      <c r="L42" s="69"/>
      <c r="M42" s="69"/>
      <c r="N42" s="69"/>
      <c r="O42" s="69"/>
      <c r="P42" s="69"/>
      <c r="Q42" s="69"/>
      <c r="R42" s="69"/>
      <c r="S42" s="69"/>
      <c r="T42" s="69"/>
      <c r="U42" s="69">
        <v>2</v>
      </c>
      <c r="V42" s="69"/>
      <c r="W42" s="69"/>
      <c r="X42" s="69"/>
      <c r="Y42" s="69"/>
      <c r="Z42" s="69"/>
      <c r="AA42" s="69"/>
      <c r="AB42" s="69"/>
      <c r="AC42" s="69"/>
      <c r="AD42" s="69"/>
      <c r="AE42" s="69"/>
      <c r="AF42" s="69"/>
      <c r="AG42" s="69"/>
      <c r="AH42" s="69"/>
      <c r="AI42" s="69">
        <v>7.4</v>
      </c>
      <c r="AJ42" s="69"/>
      <c r="AK42" s="69"/>
      <c r="AL42" s="69"/>
    </row>
    <row r="43" spans="1:38" x14ac:dyDescent="0.2">
      <c r="A43" s="10">
        <v>21337</v>
      </c>
      <c r="B43" s="69"/>
      <c r="C43" s="69"/>
      <c r="D43" s="69"/>
      <c r="E43" s="69">
        <v>7.9</v>
      </c>
      <c r="F43" s="69"/>
      <c r="G43" s="69"/>
      <c r="H43" s="69"/>
      <c r="I43" s="69"/>
      <c r="J43" s="69"/>
      <c r="K43" s="69"/>
      <c r="L43" s="69"/>
      <c r="M43" s="69"/>
      <c r="N43" s="69"/>
      <c r="O43" s="69"/>
      <c r="P43" s="69"/>
      <c r="Q43" s="69"/>
      <c r="R43" s="69"/>
      <c r="S43" s="69"/>
      <c r="T43" s="69"/>
      <c r="U43" s="69">
        <v>2.2000000000000002</v>
      </c>
      <c r="V43" s="69"/>
      <c r="W43" s="69"/>
      <c r="X43" s="69"/>
      <c r="Y43" s="69"/>
      <c r="Z43" s="69"/>
      <c r="AA43" s="69"/>
      <c r="AB43" s="69"/>
      <c r="AC43" s="69"/>
      <c r="AD43" s="69"/>
      <c r="AE43" s="69"/>
      <c r="AF43" s="69"/>
      <c r="AG43" s="69"/>
      <c r="AH43" s="69"/>
      <c r="AI43" s="69">
        <v>7.3</v>
      </c>
      <c r="AJ43" s="69"/>
      <c r="AK43" s="69"/>
      <c r="AL43" s="69"/>
    </row>
    <row r="44" spans="1:38" x14ac:dyDescent="0.2">
      <c r="A44" s="10">
        <v>21367</v>
      </c>
      <c r="B44" s="69"/>
      <c r="C44" s="69"/>
      <c r="D44" s="69"/>
      <c r="E44" s="69">
        <v>7.5</v>
      </c>
      <c r="F44" s="69"/>
      <c r="G44" s="69"/>
      <c r="H44" s="69"/>
      <c r="I44" s="69"/>
      <c r="J44" s="69"/>
      <c r="K44" s="69"/>
      <c r="L44" s="69"/>
      <c r="M44" s="69"/>
      <c r="N44" s="69"/>
      <c r="O44" s="69"/>
      <c r="P44" s="69"/>
      <c r="Q44" s="69"/>
      <c r="R44" s="69"/>
      <c r="S44" s="69"/>
      <c r="T44" s="69"/>
      <c r="U44" s="69">
        <v>2.1</v>
      </c>
      <c r="V44" s="69"/>
      <c r="W44" s="69"/>
      <c r="X44" s="69"/>
      <c r="Y44" s="69"/>
      <c r="Z44" s="69"/>
      <c r="AA44" s="69"/>
      <c r="AB44" s="69"/>
      <c r="AC44" s="69"/>
      <c r="AD44" s="69"/>
      <c r="AE44" s="69"/>
      <c r="AF44" s="69"/>
      <c r="AG44" s="69"/>
      <c r="AH44" s="69"/>
      <c r="AI44" s="69">
        <v>7.5</v>
      </c>
      <c r="AJ44" s="69"/>
      <c r="AK44" s="69"/>
      <c r="AL44" s="69"/>
    </row>
    <row r="45" spans="1:38" x14ac:dyDescent="0.2">
      <c r="A45" s="10">
        <v>21398</v>
      </c>
      <c r="B45" s="69"/>
      <c r="C45" s="69"/>
      <c r="D45" s="69"/>
      <c r="E45" s="69">
        <v>7.5</v>
      </c>
      <c r="F45" s="69"/>
      <c r="G45" s="69"/>
      <c r="H45" s="69"/>
      <c r="I45" s="69"/>
      <c r="J45" s="69"/>
      <c r="K45" s="69"/>
      <c r="L45" s="69"/>
      <c r="M45" s="69"/>
      <c r="N45" s="69"/>
      <c r="O45" s="69"/>
      <c r="P45" s="69"/>
      <c r="Q45" s="69"/>
      <c r="R45" s="69"/>
      <c r="S45" s="69"/>
      <c r="T45" s="69"/>
      <c r="U45" s="69">
        <v>2.2000000000000002</v>
      </c>
      <c r="V45" s="69"/>
      <c r="W45" s="69"/>
      <c r="X45" s="69"/>
      <c r="Y45" s="69"/>
      <c r="Z45" s="69"/>
      <c r="AA45" s="69"/>
      <c r="AB45" s="69"/>
      <c r="AC45" s="69"/>
      <c r="AD45" s="69"/>
      <c r="AE45" s="69"/>
      <c r="AF45" s="69"/>
      <c r="AG45" s="69"/>
      <c r="AH45" s="69"/>
      <c r="AI45" s="69">
        <v>7.4</v>
      </c>
      <c r="AJ45" s="69"/>
      <c r="AK45" s="69"/>
      <c r="AL45" s="69"/>
    </row>
    <row r="46" spans="1:38" x14ac:dyDescent="0.2">
      <c r="A46" s="10">
        <v>21429</v>
      </c>
      <c r="B46" s="69"/>
      <c r="C46" s="69"/>
      <c r="D46" s="69"/>
      <c r="E46" s="69">
        <v>7.1</v>
      </c>
      <c r="F46" s="69"/>
      <c r="G46" s="69"/>
      <c r="H46" s="69"/>
      <c r="I46" s="69"/>
      <c r="J46" s="69"/>
      <c r="K46" s="69"/>
      <c r="L46" s="69"/>
      <c r="M46" s="69"/>
      <c r="N46" s="69"/>
      <c r="O46" s="69"/>
      <c r="P46" s="69"/>
      <c r="Q46" s="69"/>
      <c r="R46" s="69"/>
      <c r="S46" s="69"/>
      <c r="T46" s="69"/>
      <c r="U46" s="69">
        <v>2.2000000000000002</v>
      </c>
      <c r="V46" s="69"/>
      <c r="W46" s="69"/>
      <c r="X46" s="69"/>
      <c r="Y46" s="69"/>
      <c r="Z46" s="69"/>
      <c r="AA46" s="69"/>
      <c r="AB46" s="69"/>
      <c r="AC46" s="69"/>
      <c r="AD46" s="69"/>
      <c r="AE46" s="69"/>
      <c r="AF46" s="69"/>
      <c r="AG46" s="69"/>
      <c r="AH46" s="69"/>
      <c r="AI46" s="69">
        <v>7.1</v>
      </c>
      <c r="AJ46" s="69"/>
      <c r="AK46" s="69"/>
      <c r="AL46" s="69"/>
    </row>
    <row r="47" spans="1:38" x14ac:dyDescent="0.2">
      <c r="A47" s="10">
        <v>21459</v>
      </c>
      <c r="B47" s="69"/>
      <c r="C47" s="69"/>
      <c r="D47" s="69"/>
      <c r="E47" s="69">
        <v>7.5</v>
      </c>
      <c r="F47" s="69"/>
      <c r="G47" s="69"/>
      <c r="H47" s="69"/>
      <c r="I47" s="69"/>
      <c r="J47" s="69"/>
      <c r="K47" s="69"/>
      <c r="L47" s="69"/>
      <c r="M47" s="69"/>
      <c r="N47" s="69"/>
      <c r="O47" s="69"/>
      <c r="P47" s="69"/>
      <c r="Q47" s="69"/>
      <c r="R47" s="69"/>
      <c r="S47" s="69"/>
      <c r="T47" s="69"/>
      <c r="U47" s="69">
        <v>2.1</v>
      </c>
      <c r="V47" s="69"/>
      <c r="W47" s="69"/>
      <c r="X47" s="69"/>
      <c r="Y47" s="69"/>
      <c r="Z47" s="69"/>
      <c r="AA47" s="69"/>
      <c r="AB47" s="69"/>
      <c r="AC47" s="69"/>
      <c r="AD47" s="69"/>
      <c r="AE47" s="69"/>
      <c r="AF47" s="69"/>
      <c r="AG47" s="69"/>
      <c r="AH47" s="69"/>
      <c r="AI47" s="69">
        <v>6.7</v>
      </c>
      <c r="AJ47" s="69"/>
      <c r="AK47" s="69"/>
      <c r="AL47" s="69"/>
    </row>
    <row r="48" spans="1:38" x14ac:dyDescent="0.2">
      <c r="A48" s="10">
        <v>21490</v>
      </c>
      <c r="B48" s="69"/>
      <c r="C48" s="69"/>
      <c r="D48" s="69"/>
      <c r="E48" s="69">
        <v>7.2</v>
      </c>
      <c r="F48" s="69"/>
      <c r="G48" s="69"/>
      <c r="H48" s="69"/>
      <c r="I48" s="69"/>
      <c r="J48" s="69"/>
      <c r="K48" s="69"/>
      <c r="L48" s="69"/>
      <c r="M48" s="69"/>
      <c r="N48" s="69"/>
      <c r="O48" s="69"/>
      <c r="P48" s="69"/>
      <c r="Q48" s="69"/>
      <c r="R48" s="69"/>
      <c r="S48" s="69"/>
      <c r="T48" s="69"/>
      <c r="U48" s="69">
        <v>2.1</v>
      </c>
      <c r="V48" s="69"/>
      <c r="W48" s="69"/>
      <c r="X48" s="69"/>
      <c r="Y48" s="69"/>
      <c r="Z48" s="69"/>
      <c r="AA48" s="69"/>
      <c r="AB48" s="69"/>
      <c r="AC48" s="69"/>
      <c r="AD48" s="69"/>
      <c r="AE48" s="69"/>
      <c r="AF48" s="69"/>
      <c r="AG48" s="69"/>
      <c r="AH48" s="69"/>
      <c r="AI48" s="69">
        <v>6.2</v>
      </c>
      <c r="AJ48" s="69"/>
      <c r="AK48" s="69"/>
      <c r="AL48" s="69"/>
    </row>
    <row r="49" spans="1:38" x14ac:dyDescent="0.2">
      <c r="A49" s="10">
        <v>21520</v>
      </c>
      <c r="B49" s="69"/>
      <c r="C49" s="69"/>
      <c r="D49" s="69"/>
      <c r="E49" s="69">
        <v>7</v>
      </c>
      <c r="F49" s="69"/>
      <c r="G49" s="69"/>
      <c r="H49" s="69"/>
      <c r="I49" s="69"/>
      <c r="J49" s="69"/>
      <c r="K49" s="69"/>
      <c r="L49" s="69"/>
      <c r="M49" s="69"/>
      <c r="N49" s="69"/>
      <c r="O49" s="69"/>
      <c r="P49" s="69"/>
      <c r="Q49" s="69"/>
      <c r="R49" s="69"/>
      <c r="S49" s="69"/>
      <c r="T49" s="69"/>
      <c r="U49" s="69">
        <v>2.1</v>
      </c>
      <c r="V49" s="69"/>
      <c r="W49" s="69"/>
      <c r="X49" s="69"/>
      <c r="Y49" s="69"/>
      <c r="Z49" s="69"/>
      <c r="AA49" s="69"/>
      <c r="AB49" s="69"/>
      <c r="AC49" s="69"/>
      <c r="AD49" s="69"/>
      <c r="AE49" s="69"/>
      <c r="AF49" s="69"/>
      <c r="AG49" s="69"/>
      <c r="AH49" s="69"/>
      <c r="AI49" s="69">
        <v>6.2</v>
      </c>
      <c r="AJ49" s="69"/>
      <c r="AK49" s="69"/>
      <c r="AL49" s="69"/>
    </row>
    <row r="50" spans="1:38" x14ac:dyDescent="0.2">
      <c r="A50" s="10">
        <v>21551</v>
      </c>
      <c r="B50" s="69"/>
      <c r="C50" s="69"/>
      <c r="D50" s="69"/>
      <c r="E50" s="69">
        <v>6.5</v>
      </c>
      <c r="F50" s="69"/>
      <c r="G50" s="69"/>
      <c r="H50" s="69"/>
      <c r="I50" s="69"/>
      <c r="J50" s="69"/>
      <c r="K50" s="69"/>
      <c r="L50" s="69"/>
      <c r="M50" s="69"/>
      <c r="N50" s="69"/>
      <c r="O50" s="69"/>
      <c r="P50" s="69"/>
      <c r="Q50" s="69"/>
      <c r="R50" s="69"/>
      <c r="S50" s="69"/>
      <c r="T50" s="69"/>
      <c r="U50" s="69">
        <v>2.4</v>
      </c>
      <c r="V50" s="69"/>
      <c r="W50" s="69"/>
      <c r="X50" s="69"/>
      <c r="Y50" s="69"/>
      <c r="Z50" s="69"/>
      <c r="AA50" s="69"/>
      <c r="AB50" s="69"/>
      <c r="AC50" s="69"/>
      <c r="AD50" s="69"/>
      <c r="AE50" s="69"/>
      <c r="AF50" s="69"/>
      <c r="AG50" s="69"/>
      <c r="AH50" s="69"/>
      <c r="AI50" s="69">
        <v>6</v>
      </c>
      <c r="AJ50" s="69"/>
      <c r="AK50" s="69"/>
      <c r="AL50" s="69"/>
    </row>
    <row r="51" spans="1:38" x14ac:dyDescent="0.2">
      <c r="A51" s="10">
        <v>21582</v>
      </c>
      <c r="B51" s="69"/>
      <c r="C51" s="69"/>
      <c r="D51" s="69"/>
      <c r="E51" s="69">
        <v>6.2</v>
      </c>
      <c r="F51" s="69"/>
      <c r="G51" s="69"/>
      <c r="H51" s="69"/>
      <c r="I51" s="69"/>
      <c r="J51" s="69"/>
      <c r="K51" s="69"/>
      <c r="L51" s="69"/>
      <c r="M51" s="69"/>
      <c r="N51" s="69"/>
      <c r="O51" s="69"/>
      <c r="P51" s="69"/>
      <c r="Q51" s="69"/>
      <c r="R51" s="69"/>
      <c r="S51" s="69"/>
      <c r="T51" s="69"/>
      <c r="U51" s="69">
        <v>2.5</v>
      </c>
      <c r="V51" s="69"/>
      <c r="W51" s="69"/>
      <c r="X51" s="69"/>
      <c r="Y51" s="69"/>
      <c r="Z51" s="69"/>
      <c r="AA51" s="69"/>
      <c r="AB51" s="69"/>
      <c r="AC51" s="69"/>
      <c r="AD51" s="69"/>
      <c r="AE51" s="69"/>
      <c r="AF51" s="69"/>
      <c r="AG51" s="69"/>
      <c r="AH51" s="69"/>
      <c r="AI51" s="69">
        <v>5.9</v>
      </c>
      <c r="AJ51" s="69"/>
      <c r="AK51" s="69"/>
      <c r="AL51" s="69"/>
    </row>
    <row r="52" spans="1:38" x14ac:dyDescent="0.2">
      <c r="A52" s="10">
        <v>21610</v>
      </c>
      <c r="B52" s="69"/>
      <c r="C52" s="69"/>
      <c r="D52" s="69"/>
      <c r="E52" s="69">
        <v>6</v>
      </c>
      <c r="F52" s="69"/>
      <c r="G52" s="69"/>
      <c r="H52" s="69"/>
      <c r="I52" s="69"/>
      <c r="J52" s="69"/>
      <c r="K52" s="69"/>
      <c r="L52" s="69"/>
      <c r="M52" s="69"/>
      <c r="N52" s="69"/>
      <c r="O52" s="69"/>
      <c r="P52" s="69"/>
      <c r="Q52" s="69"/>
      <c r="R52" s="69"/>
      <c r="S52" s="69"/>
      <c r="T52" s="69"/>
      <c r="U52" s="69">
        <v>2.4</v>
      </c>
      <c r="V52" s="69"/>
      <c r="W52" s="69"/>
      <c r="X52" s="69"/>
      <c r="Y52" s="69"/>
      <c r="Z52" s="69"/>
      <c r="AA52" s="69"/>
      <c r="AB52" s="69"/>
      <c r="AC52" s="69"/>
      <c r="AD52" s="69"/>
      <c r="AE52" s="69"/>
      <c r="AF52" s="69"/>
      <c r="AG52" s="69"/>
      <c r="AH52" s="69"/>
      <c r="AI52" s="69">
        <v>5.6</v>
      </c>
      <c r="AJ52" s="69"/>
      <c r="AK52" s="69"/>
      <c r="AL52" s="69"/>
    </row>
    <row r="53" spans="1:38" x14ac:dyDescent="0.2">
      <c r="A53" s="10">
        <v>21641</v>
      </c>
      <c r="B53" s="69"/>
      <c r="C53" s="69"/>
      <c r="D53" s="69"/>
      <c r="E53" s="69">
        <v>5.8</v>
      </c>
      <c r="F53" s="69"/>
      <c r="G53" s="69"/>
      <c r="H53" s="69"/>
      <c r="I53" s="69"/>
      <c r="J53" s="69"/>
      <c r="K53" s="69"/>
      <c r="L53" s="69"/>
      <c r="M53" s="69"/>
      <c r="N53" s="69"/>
      <c r="O53" s="69"/>
      <c r="P53" s="69"/>
      <c r="Q53" s="69"/>
      <c r="R53" s="69"/>
      <c r="S53" s="69"/>
      <c r="T53" s="69"/>
      <c r="U53" s="69">
        <v>2.2000000000000002</v>
      </c>
      <c r="V53" s="69"/>
      <c r="W53" s="69"/>
      <c r="X53" s="69"/>
      <c r="Y53" s="69"/>
      <c r="Z53" s="69"/>
      <c r="AA53" s="69"/>
      <c r="AB53" s="69"/>
      <c r="AC53" s="69"/>
      <c r="AD53" s="69"/>
      <c r="AE53" s="69"/>
      <c r="AF53" s="69"/>
      <c r="AG53" s="69"/>
      <c r="AH53" s="69"/>
      <c r="AI53" s="69">
        <v>5.2</v>
      </c>
      <c r="AJ53" s="69"/>
      <c r="AK53" s="69"/>
      <c r="AL53" s="69"/>
    </row>
    <row r="54" spans="1:38" x14ac:dyDescent="0.2">
      <c r="A54" s="10">
        <v>21671</v>
      </c>
      <c r="B54" s="69"/>
      <c r="C54" s="69"/>
      <c r="D54" s="69"/>
      <c r="E54" s="69">
        <v>6.3</v>
      </c>
      <c r="F54" s="69"/>
      <c r="G54" s="69"/>
      <c r="H54" s="69"/>
      <c r="I54" s="69"/>
      <c r="J54" s="69"/>
      <c r="K54" s="69"/>
      <c r="L54" s="69"/>
      <c r="M54" s="69"/>
      <c r="N54" s="69"/>
      <c r="O54" s="69"/>
      <c r="P54" s="69"/>
      <c r="Q54" s="69"/>
      <c r="R54" s="69"/>
      <c r="S54" s="69"/>
      <c r="T54" s="69"/>
      <c r="U54" s="69">
        <v>2.2000000000000002</v>
      </c>
      <c r="V54" s="69"/>
      <c r="W54" s="69"/>
      <c r="X54" s="69"/>
      <c r="Y54" s="69"/>
      <c r="Z54" s="69"/>
      <c r="AA54" s="69"/>
      <c r="AB54" s="69"/>
      <c r="AC54" s="69"/>
      <c r="AD54" s="69"/>
      <c r="AE54" s="69"/>
      <c r="AF54" s="69"/>
      <c r="AG54" s="69"/>
      <c r="AH54" s="69"/>
      <c r="AI54" s="69">
        <v>5.0999999999999996</v>
      </c>
      <c r="AJ54" s="69"/>
      <c r="AK54" s="69"/>
      <c r="AL54" s="69"/>
    </row>
    <row r="55" spans="1:38" x14ac:dyDescent="0.2">
      <c r="A55" s="10">
        <v>21702</v>
      </c>
      <c r="B55" s="69"/>
      <c r="C55" s="69"/>
      <c r="D55" s="69"/>
      <c r="E55" s="69">
        <v>5.6</v>
      </c>
      <c r="F55" s="69"/>
      <c r="G55" s="69"/>
      <c r="H55" s="69"/>
      <c r="I55" s="69"/>
      <c r="J55" s="69"/>
      <c r="K55" s="69"/>
      <c r="L55" s="69"/>
      <c r="M55" s="69"/>
      <c r="N55" s="69"/>
      <c r="O55" s="69"/>
      <c r="P55" s="69"/>
      <c r="Q55" s="69"/>
      <c r="R55" s="69"/>
      <c r="S55" s="69"/>
      <c r="T55" s="69"/>
      <c r="U55" s="69">
        <v>2.2999999999999998</v>
      </c>
      <c r="V55" s="69"/>
      <c r="W55" s="69"/>
      <c r="X55" s="69"/>
      <c r="Y55" s="69"/>
      <c r="Z55" s="69"/>
      <c r="AA55" s="69"/>
      <c r="AB55" s="69"/>
      <c r="AC55" s="69"/>
      <c r="AD55" s="69"/>
      <c r="AE55" s="69"/>
      <c r="AF55" s="69"/>
      <c r="AG55" s="69"/>
      <c r="AH55" s="69"/>
      <c r="AI55" s="69">
        <v>5</v>
      </c>
      <c r="AJ55" s="69"/>
      <c r="AK55" s="69"/>
      <c r="AL55" s="69"/>
    </row>
    <row r="56" spans="1:38" x14ac:dyDescent="0.2">
      <c r="A56" s="10">
        <v>21732</v>
      </c>
      <c r="B56" s="69"/>
      <c r="C56" s="69"/>
      <c r="D56" s="69"/>
      <c r="E56" s="69">
        <v>5.5</v>
      </c>
      <c r="F56" s="69"/>
      <c r="G56" s="69"/>
      <c r="H56" s="69"/>
      <c r="I56" s="69"/>
      <c r="J56" s="69"/>
      <c r="K56" s="69"/>
      <c r="L56" s="69"/>
      <c r="M56" s="69"/>
      <c r="N56" s="69"/>
      <c r="O56" s="69"/>
      <c r="P56" s="69"/>
      <c r="Q56" s="69"/>
      <c r="R56" s="69"/>
      <c r="S56" s="69"/>
      <c r="T56" s="69"/>
      <c r="U56" s="69">
        <v>2.2999999999999998</v>
      </c>
      <c r="V56" s="69"/>
      <c r="W56" s="69"/>
      <c r="X56" s="69"/>
      <c r="Y56" s="69"/>
      <c r="Z56" s="69"/>
      <c r="AA56" s="69"/>
      <c r="AB56" s="69"/>
      <c r="AC56" s="69"/>
      <c r="AD56" s="69"/>
      <c r="AE56" s="69"/>
      <c r="AF56" s="69"/>
      <c r="AG56" s="69"/>
      <c r="AH56" s="69"/>
      <c r="AI56" s="69">
        <v>5.0999999999999996</v>
      </c>
      <c r="AJ56" s="69"/>
      <c r="AK56" s="69"/>
      <c r="AL56" s="69"/>
    </row>
    <row r="57" spans="1:38" x14ac:dyDescent="0.2">
      <c r="A57" s="10">
        <v>21763</v>
      </c>
      <c r="B57" s="69"/>
      <c r="C57" s="69"/>
      <c r="D57" s="69"/>
      <c r="E57" s="69">
        <v>5.9</v>
      </c>
      <c r="F57" s="69"/>
      <c r="G57" s="69"/>
      <c r="H57" s="69"/>
      <c r="I57" s="69"/>
      <c r="J57" s="69"/>
      <c r="K57" s="69"/>
      <c r="L57" s="69"/>
      <c r="M57" s="69"/>
      <c r="N57" s="69"/>
      <c r="O57" s="69"/>
      <c r="P57" s="69"/>
      <c r="Q57" s="69"/>
      <c r="R57" s="69"/>
      <c r="S57" s="69"/>
      <c r="T57" s="69"/>
      <c r="U57" s="69">
        <v>2.2999999999999998</v>
      </c>
      <c r="V57" s="69"/>
      <c r="W57" s="69"/>
      <c r="X57" s="69"/>
      <c r="Y57" s="69"/>
      <c r="Z57" s="69"/>
      <c r="AA57" s="69"/>
      <c r="AB57" s="69"/>
      <c r="AC57" s="69"/>
      <c r="AD57" s="69"/>
      <c r="AE57" s="69"/>
      <c r="AF57" s="69"/>
      <c r="AG57" s="69"/>
      <c r="AH57" s="69"/>
      <c r="AI57" s="69">
        <v>5.2</v>
      </c>
      <c r="AJ57" s="69"/>
      <c r="AK57" s="69"/>
      <c r="AL57" s="69"/>
    </row>
    <row r="58" spans="1:38" x14ac:dyDescent="0.2">
      <c r="A58" s="10">
        <v>21794</v>
      </c>
      <c r="B58" s="69"/>
      <c r="C58" s="69"/>
      <c r="D58" s="69"/>
      <c r="E58" s="69">
        <v>5.4</v>
      </c>
      <c r="F58" s="69"/>
      <c r="G58" s="69"/>
      <c r="H58" s="69"/>
      <c r="I58" s="69"/>
      <c r="J58" s="69"/>
      <c r="K58" s="69"/>
      <c r="L58" s="69"/>
      <c r="M58" s="69"/>
      <c r="N58" s="69"/>
      <c r="O58" s="69"/>
      <c r="P58" s="69"/>
      <c r="Q58" s="69"/>
      <c r="R58" s="69"/>
      <c r="S58" s="69"/>
      <c r="T58" s="69"/>
      <c r="U58" s="69">
        <v>2</v>
      </c>
      <c r="V58" s="69"/>
      <c r="W58" s="69"/>
      <c r="X58" s="69"/>
      <c r="Y58" s="69"/>
      <c r="Z58" s="69"/>
      <c r="AA58" s="69"/>
      <c r="AB58" s="69"/>
      <c r="AC58" s="69"/>
      <c r="AD58" s="69"/>
      <c r="AE58" s="69"/>
      <c r="AF58" s="69"/>
      <c r="AG58" s="69"/>
      <c r="AH58" s="69"/>
      <c r="AI58" s="69">
        <v>5.5</v>
      </c>
      <c r="AJ58" s="69"/>
      <c r="AK58" s="69"/>
      <c r="AL58" s="69"/>
    </row>
    <row r="59" spans="1:38" x14ac:dyDescent="0.2">
      <c r="A59" s="10">
        <v>21824</v>
      </c>
      <c r="B59" s="69"/>
      <c r="C59" s="69"/>
      <c r="D59" s="69"/>
      <c r="E59" s="69">
        <v>5.5</v>
      </c>
      <c r="F59" s="69"/>
      <c r="G59" s="69"/>
      <c r="H59" s="69"/>
      <c r="I59" s="69"/>
      <c r="J59" s="69"/>
      <c r="K59" s="69"/>
      <c r="L59" s="69"/>
      <c r="M59" s="69"/>
      <c r="N59" s="69"/>
      <c r="O59" s="69"/>
      <c r="P59" s="69"/>
      <c r="Q59" s="69"/>
      <c r="R59" s="69"/>
      <c r="S59" s="69"/>
      <c r="T59" s="69"/>
      <c r="U59" s="69">
        <v>1.9</v>
      </c>
      <c r="V59" s="69"/>
      <c r="W59" s="69"/>
      <c r="X59" s="69"/>
      <c r="Y59" s="69"/>
      <c r="Z59" s="69"/>
      <c r="AA59" s="69"/>
      <c r="AB59" s="69"/>
      <c r="AC59" s="69"/>
      <c r="AD59" s="69"/>
      <c r="AE59" s="69"/>
      <c r="AF59" s="69"/>
      <c r="AG59" s="69"/>
      <c r="AH59" s="69"/>
      <c r="AI59" s="69">
        <v>5.7</v>
      </c>
      <c r="AJ59" s="69"/>
      <c r="AK59" s="69"/>
      <c r="AL59" s="69"/>
    </row>
    <row r="60" spans="1:38" x14ac:dyDescent="0.2">
      <c r="A60" s="10">
        <v>21855</v>
      </c>
      <c r="B60" s="69"/>
      <c r="C60" s="69"/>
      <c r="D60" s="69"/>
      <c r="E60" s="69">
        <v>5.8</v>
      </c>
      <c r="F60" s="69"/>
      <c r="G60" s="69"/>
      <c r="H60" s="69"/>
      <c r="I60" s="69"/>
      <c r="J60" s="69"/>
      <c r="K60" s="69"/>
      <c r="L60" s="69"/>
      <c r="M60" s="69"/>
      <c r="N60" s="69"/>
      <c r="O60" s="69"/>
      <c r="P60" s="69"/>
      <c r="Q60" s="69"/>
      <c r="R60" s="69"/>
      <c r="S60" s="69"/>
      <c r="T60" s="69"/>
      <c r="U60" s="69">
        <v>2</v>
      </c>
      <c r="V60" s="69"/>
      <c r="W60" s="69"/>
      <c r="X60" s="69"/>
      <c r="Y60" s="69"/>
      <c r="Z60" s="69"/>
      <c r="AA60" s="69"/>
      <c r="AB60" s="69"/>
      <c r="AC60" s="69"/>
      <c r="AD60" s="69"/>
      <c r="AE60" s="69"/>
      <c r="AF60" s="69"/>
      <c r="AG60" s="69"/>
      <c r="AH60" s="69"/>
      <c r="AI60" s="69">
        <v>5.8</v>
      </c>
      <c r="AJ60" s="69"/>
      <c r="AK60" s="69"/>
      <c r="AL60" s="69"/>
    </row>
    <row r="61" spans="1:38" x14ac:dyDescent="0.2">
      <c r="A61" s="10">
        <v>21885</v>
      </c>
      <c r="B61" s="69"/>
      <c r="C61" s="69"/>
      <c r="D61" s="69"/>
      <c r="E61" s="69">
        <v>6</v>
      </c>
      <c r="F61" s="69"/>
      <c r="G61" s="69"/>
      <c r="H61" s="69"/>
      <c r="I61" s="69"/>
      <c r="J61" s="69"/>
      <c r="K61" s="69"/>
      <c r="L61" s="69"/>
      <c r="M61" s="69"/>
      <c r="N61" s="69"/>
      <c r="O61" s="69"/>
      <c r="P61" s="69"/>
      <c r="Q61" s="69"/>
      <c r="R61" s="69"/>
      <c r="S61" s="69"/>
      <c r="T61" s="69"/>
      <c r="U61" s="69">
        <v>2</v>
      </c>
      <c r="V61" s="69"/>
      <c r="W61" s="69"/>
      <c r="X61" s="69"/>
      <c r="Y61" s="69"/>
      <c r="Z61" s="69"/>
      <c r="AA61" s="69"/>
      <c r="AB61" s="69"/>
      <c r="AC61" s="69"/>
      <c r="AD61" s="69"/>
      <c r="AE61" s="69"/>
      <c r="AF61" s="69"/>
      <c r="AG61" s="69"/>
      <c r="AH61" s="69"/>
      <c r="AI61" s="69">
        <v>5.3</v>
      </c>
      <c r="AJ61" s="69"/>
      <c r="AK61" s="69"/>
      <c r="AL61" s="69"/>
    </row>
    <row r="62" spans="1:38" x14ac:dyDescent="0.2">
      <c r="A62" s="10">
        <v>21916</v>
      </c>
      <c r="B62" s="69"/>
      <c r="C62" s="69"/>
      <c r="D62" s="69"/>
      <c r="E62" s="69">
        <v>6.1</v>
      </c>
      <c r="F62" s="69"/>
      <c r="G62" s="69"/>
      <c r="H62" s="69"/>
      <c r="I62" s="69"/>
      <c r="J62" s="69"/>
      <c r="K62" s="69"/>
      <c r="L62" s="69"/>
      <c r="M62" s="69"/>
      <c r="N62" s="69"/>
      <c r="O62" s="69"/>
      <c r="P62" s="69"/>
      <c r="Q62" s="69"/>
      <c r="R62" s="69"/>
      <c r="S62" s="69"/>
      <c r="T62" s="69"/>
      <c r="U62" s="69">
        <v>1.9</v>
      </c>
      <c r="V62" s="69"/>
      <c r="W62" s="69"/>
      <c r="X62" s="69"/>
      <c r="Y62" s="69"/>
      <c r="Z62" s="69"/>
      <c r="AA62" s="69"/>
      <c r="AB62" s="69"/>
      <c r="AC62" s="69"/>
      <c r="AD62" s="69"/>
      <c r="AE62" s="69"/>
      <c r="AF62" s="69"/>
      <c r="AG62" s="69"/>
      <c r="AH62" s="69"/>
      <c r="AI62" s="69">
        <v>5.2</v>
      </c>
      <c r="AJ62" s="69"/>
      <c r="AK62" s="69"/>
      <c r="AL62" s="69"/>
    </row>
    <row r="63" spans="1:38" x14ac:dyDescent="0.2">
      <c r="A63" s="10">
        <v>21947</v>
      </c>
      <c r="B63" s="69"/>
      <c r="C63" s="69"/>
      <c r="D63" s="69"/>
      <c r="E63" s="69">
        <v>6.4</v>
      </c>
      <c r="F63" s="69"/>
      <c r="G63" s="69"/>
      <c r="H63" s="69"/>
      <c r="I63" s="69"/>
      <c r="J63" s="69"/>
      <c r="K63" s="69"/>
      <c r="L63" s="69"/>
      <c r="M63" s="69"/>
      <c r="N63" s="69"/>
      <c r="O63" s="69"/>
      <c r="P63" s="69"/>
      <c r="Q63" s="69"/>
      <c r="R63" s="69"/>
      <c r="S63" s="69"/>
      <c r="T63" s="69"/>
      <c r="U63" s="69">
        <v>1.7</v>
      </c>
      <c r="V63" s="69"/>
      <c r="W63" s="69"/>
      <c r="X63" s="69"/>
      <c r="Y63" s="69"/>
      <c r="Z63" s="69"/>
      <c r="AA63" s="69"/>
      <c r="AB63" s="69"/>
      <c r="AC63" s="69"/>
      <c r="AD63" s="69"/>
      <c r="AE63" s="69"/>
      <c r="AF63" s="69"/>
      <c r="AG63" s="69"/>
      <c r="AH63" s="69"/>
      <c r="AI63" s="69">
        <v>4.8</v>
      </c>
      <c r="AJ63" s="69"/>
      <c r="AK63" s="69"/>
      <c r="AL63" s="69"/>
    </row>
    <row r="64" spans="1:38" x14ac:dyDescent="0.2">
      <c r="A64" s="10">
        <v>21976</v>
      </c>
      <c r="B64" s="69"/>
      <c r="C64" s="69"/>
      <c r="D64" s="69"/>
      <c r="E64" s="69">
        <v>6.5</v>
      </c>
      <c r="F64" s="69"/>
      <c r="G64" s="69"/>
      <c r="H64" s="69"/>
      <c r="I64" s="69"/>
      <c r="J64" s="69"/>
      <c r="K64" s="69"/>
      <c r="L64" s="69"/>
      <c r="M64" s="69"/>
      <c r="N64" s="69"/>
      <c r="O64" s="69"/>
      <c r="P64" s="69"/>
      <c r="Q64" s="69"/>
      <c r="R64" s="69"/>
      <c r="S64" s="69"/>
      <c r="T64" s="69"/>
      <c r="U64" s="69">
        <v>1.7</v>
      </c>
      <c r="V64" s="69"/>
      <c r="W64" s="69"/>
      <c r="X64" s="69"/>
      <c r="Y64" s="69"/>
      <c r="Z64" s="69"/>
      <c r="AA64" s="69"/>
      <c r="AB64" s="69"/>
      <c r="AC64" s="69"/>
      <c r="AD64" s="69"/>
      <c r="AE64" s="69"/>
      <c r="AF64" s="69"/>
      <c r="AG64" s="69"/>
      <c r="AH64" s="69"/>
      <c r="AI64" s="69">
        <v>5.4</v>
      </c>
      <c r="AJ64" s="69"/>
      <c r="AK64" s="69"/>
      <c r="AL64" s="69"/>
    </row>
    <row r="65" spans="1:38" x14ac:dyDescent="0.2">
      <c r="A65" s="10">
        <v>22007</v>
      </c>
      <c r="B65" s="69"/>
      <c r="C65" s="69"/>
      <c r="D65" s="69"/>
      <c r="E65" s="69">
        <v>6.8</v>
      </c>
      <c r="F65" s="69"/>
      <c r="G65" s="69"/>
      <c r="H65" s="69"/>
      <c r="I65" s="69"/>
      <c r="J65" s="69"/>
      <c r="K65" s="69"/>
      <c r="L65" s="69"/>
      <c r="M65" s="69"/>
      <c r="N65" s="69"/>
      <c r="O65" s="69"/>
      <c r="P65" s="69"/>
      <c r="Q65" s="69"/>
      <c r="R65" s="69"/>
      <c r="S65" s="69"/>
      <c r="T65" s="69"/>
      <c r="U65" s="69">
        <v>1.7</v>
      </c>
      <c r="V65" s="69"/>
      <c r="W65" s="69"/>
      <c r="X65" s="69"/>
      <c r="Y65" s="69"/>
      <c r="Z65" s="69"/>
      <c r="AA65" s="69"/>
      <c r="AB65" s="69"/>
      <c r="AC65" s="69"/>
      <c r="AD65" s="69"/>
      <c r="AE65" s="69"/>
      <c r="AF65" s="69"/>
      <c r="AG65" s="69"/>
      <c r="AH65" s="69"/>
      <c r="AI65" s="69">
        <v>5.2</v>
      </c>
      <c r="AJ65" s="69"/>
      <c r="AK65" s="69"/>
      <c r="AL65" s="69"/>
    </row>
    <row r="66" spans="1:38" x14ac:dyDescent="0.2">
      <c r="A66" s="10">
        <v>22037</v>
      </c>
      <c r="B66" s="69"/>
      <c r="C66" s="69"/>
      <c r="D66" s="69"/>
      <c r="E66" s="69">
        <v>7.2</v>
      </c>
      <c r="F66" s="69"/>
      <c r="G66" s="69"/>
      <c r="H66" s="69"/>
      <c r="I66" s="69"/>
      <c r="J66" s="69"/>
      <c r="K66" s="69"/>
      <c r="L66" s="69"/>
      <c r="M66" s="69"/>
      <c r="N66" s="69"/>
      <c r="O66" s="69"/>
      <c r="P66" s="69"/>
      <c r="Q66" s="69"/>
      <c r="R66" s="69"/>
      <c r="S66" s="69"/>
      <c r="T66" s="69"/>
      <c r="U66" s="69">
        <v>1.7</v>
      </c>
      <c r="V66" s="69"/>
      <c r="W66" s="69"/>
      <c r="X66" s="69"/>
      <c r="Y66" s="69"/>
      <c r="Z66" s="69"/>
      <c r="AA66" s="69"/>
      <c r="AB66" s="69"/>
      <c r="AC66" s="69"/>
      <c r="AD66" s="69"/>
      <c r="AE66" s="69"/>
      <c r="AF66" s="69"/>
      <c r="AG66" s="69"/>
      <c r="AH66" s="69"/>
      <c r="AI66" s="69">
        <v>5.0999999999999996</v>
      </c>
      <c r="AJ66" s="69"/>
      <c r="AK66" s="69"/>
      <c r="AL66" s="69"/>
    </row>
    <row r="67" spans="1:38" x14ac:dyDescent="0.2">
      <c r="A67" s="10">
        <v>22068</v>
      </c>
      <c r="B67" s="69"/>
      <c r="C67" s="69"/>
      <c r="D67" s="69"/>
      <c r="E67" s="69">
        <v>6.7</v>
      </c>
      <c r="F67" s="69"/>
      <c r="G67" s="69"/>
      <c r="H67" s="69"/>
      <c r="I67" s="69"/>
      <c r="J67" s="69"/>
      <c r="K67" s="69"/>
      <c r="L67" s="69"/>
      <c r="M67" s="69"/>
      <c r="N67" s="69"/>
      <c r="O67" s="69"/>
      <c r="P67" s="69"/>
      <c r="Q67" s="69"/>
      <c r="R67" s="69"/>
      <c r="S67" s="69"/>
      <c r="T67" s="69"/>
      <c r="U67" s="69">
        <v>1.6</v>
      </c>
      <c r="V67" s="69"/>
      <c r="W67" s="69"/>
      <c r="X67" s="69"/>
      <c r="Y67" s="69"/>
      <c r="Z67" s="69"/>
      <c r="AA67" s="69"/>
      <c r="AB67" s="69"/>
      <c r="AC67" s="69"/>
      <c r="AD67" s="69"/>
      <c r="AE67" s="69"/>
      <c r="AF67" s="69"/>
      <c r="AG67" s="69"/>
      <c r="AH67" s="69"/>
      <c r="AI67" s="69">
        <v>5.4</v>
      </c>
      <c r="AJ67" s="69"/>
      <c r="AK67" s="69"/>
      <c r="AL67" s="69"/>
    </row>
    <row r="68" spans="1:38" x14ac:dyDescent="0.2">
      <c r="A68" s="10">
        <v>22098</v>
      </c>
      <c r="B68" s="69"/>
      <c r="C68" s="69"/>
      <c r="D68" s="69"/>
      <c r="E68" s="69">
        <v>7.1</v>
      </c>
      <c r="F68" s="69"/>
      <c r="G68" s="69"/>
      <c r="H68" s="69"/>
      <c r="I68" s="69"/>
      <c r="J68" s="69"/>
      <c r="K68" s="69"/>
      <c r="L68" s="69"/>
      <c r="M68" s="69"/>
      <c r="N68" s="69"/>
      <c r="O68" s="69"/>
      <c r="P68" s="69"/>
      <c r="Q68" s="69"/>
      <c r="R68" s="69"/>
      <c r="S68" s="69"/>
      <c r="T68" s="69"/>
      <c r="U68" s="69">
        <v>1.5</v>
      </c>
      <c r="V68" s="69"/>
      <c r="W68" s="69"/>
      <c r="X68" s="69"/>
      <c r="Y68" s="69"/>
      <c r="Z68" s="69"/>
      <c r="AA68" s="69"/>
      <c r="AB68" s="69"/>
      <c r="AC68" s="69"/>
      <c r="AD68" s="69"/>
      <c r="AE68" s="69"/>
      <c r="AF68" s="69"/>
      <c r="AG68" s="69"/>
      <c r="AH68" s="69"/>
      <c r="AI68" s="69">
        <v>5.5</v>
      </c>
      <c r="AJ68" s="69"/>
      <c r="AK68" s="69"/>
      <c r="AL68" s="69"/>
    </row>
    <row r="69" spans="1:38" x14ac:dyDescent="0.2">
      <c r="A69" s="10">
        <v>22129</v>
      </c>
      <c r="B69" s="69"/>
      <c r="C69" s="69"/>
      <c r="D69" s="69"/>
      <c r="E69" s="69">
        <v>7.6</v>
      </c>
      <c r="F69" s="69"/>
      <c r="G69" s="69"/>
      <c r="H69" s="69"/>
      <c r="I69" s="69"/>
      <c r="J69" s="69"/>
      <c r="K69" s="69"/>
      <c r="L69" s="69"/>
      <c r="M69" s="69"/>
      <c r="N69" s="69"/>
      <c r="O69" s="69"/>
      <c r="P69" s="69"/>
      <c r="Q69" s="69"/>
      <c r="R69" s="69"/>
      <c r="S69" s="69"/>
      <c r="T69" s="69"/>
      <c r="U69" s="69">
        <v>1.6</v>
      </c>
      <c r="V69" s="69"/>
      <c r="W69" s="69"/>
      <c r="X69" s="69"/>
      <c r="Y69" s="69"/>
      <c r="Z69" s="69"/>
      <c r="AA69" s="69"/>
      <c r="AB69" s="69"/>
      <c r="AC69" s="69"/>
      <c r="AD69" s="69"/>
      <c r="AE69" s="69"/>
      <c r="AF69" s="69"/>
      <c r="AG69" s="69"/>
      <c r="AH69" s="69"/>
      <c r="AI69" s="69">
        <v>5.6</v>
      </c>
      <c r="AJ69" s="69"/>
      <c r="AK69" s="69"/>
      <c r="AL69" s="69"/>
    </row>
    <row r="70" spans="1:38" x14ac:dyDescent="0.2">
      <c r="A70" s="10">
        <v>22160</v>
      </c>
      <c r="B70" s="69"/>
      <c r="C70" s="69"/>
      <c r="D70" s="69"/>
      <c r="E70" s="69">
        <v>7.5</v>
      </c>
      <c r="F70" s="69"/>
      <c r="G70" s="69"/>
      <c r="H70" s="69"/>
      <c r="I70" s="69"/>
      <c r="J70" s="69"/>
      <c r="K70" s="69"/>
      <c r="L70" s="69"/>
      <c r="M70" s="69"/>
      <c r="N70" s="69"/>
      <c r="O70" s="69"/>
      <c r="P70" s="69"/>
      <c r="Q70" s="69"/>
      <c r="R70" s="69"/>
      <c r="S70" s="69"/>
      <c r="T70" s="69"/>
      <c r="U70" s="69">
        <v>1.6</v>
      </c>
      <c r="V70" s="69"/>
      <c r="W70" s="69"/>
      <c r="X70" s="69"/>
      <c r="Y70" s="69"/>
      <c r="Z70" s="69"/>
      <c r="AA70" s="69"/>
      <c r="AB70" s="69"/>
      <c r="AC70" s="69"/>
      <c r="AD70" s="69"/>
      <c r="AE70" s="69"/>
      <c r="AF70" s="69"/>
      <c r="AG70" s="69"/>
      <c r="AH70" s="69"/>
      <c r="AI70" s="69">
        <v>5.5</v>
      </c>
      <c r="AJ70" s="69"/>
      <c r="AK70" s="69"/>
      <c r="AL70" s="69"/>
    </row>
    <row r="71" spans="1:38" x14ac:dyDescent="0.2">
      <c r="A71" s="10">
        <v>22190</v>
      </c>
      <c r="B71" s="69"/>
      <c r="C71" s="69"/>
      <c r="D71" s="69"/>
      <c r="E71" s="69">
        <v>7.6</v>
      </c>
      <c r="F71" s="69"/>
      <c r="G71" s="69"/>
      <c r="H71" s="69"/>
      <c r="I71" s="69"/>
      <c r="J71" s="69"/>
      <c r="K71" s="69"/>
      <c r="L71" s="69"/>
      <c r="M71" s="69"/>
      <c r="N71" s="69"/>
      <c r="O71" s="69"/>
      <c r="P71" s="69"/>
      <c r="Q71" s="69"/>
      <c r="R71" s="69"/>
      <c r="S71" s="69"/>
      <c r="T71" s="69"/>
      <c r="U71" s="69">
        <v>1.4</v>
      </c>
      <c r="V71" s="69"/>
      <c r="W71" s="69"/>
      <c r="X71" s="69"/>
      <c r="Y71" s="69"/>
      <c r="Z71" s="69"/>
      <c r="AA71" s="69"/>
      <c r="AB71" s="69"/>
      <c r="AC71" s="69"/>
      <c r="AD71" s="69"/>
      <c r="AE71" s="69"/>
      <c r="AF71" s="69"/>
      <c r="AG71" s="69"/>
      <c r="AH71" s="69"/>
      <c r="AI71" s="69">
        <v>6.1</v>
      </c>
      <c r="AJ71" s="69"/>
      <c r="AK71" s="69"/>
      <c r="AL71" s="69"/>
    </row>
    <row r="72" spans="1:38" x14ac:dyDescent="0.2">
      <c r="A72" s="10">
        <v>22221</v>
      </c>
      <c r="B72" s="69"/>
      <c r="C72" s="69"/>
      <c r="D72" s="69"/>
      <c r="E72" s="69">
        <v>7.5</v>
      </c>
      <c r="F72" s="69"/>
      <c r="G72" s="69"/>
      <c r="H72" s="69"/>
      <c r="I72" s="69"/>
      <c r="J72" s="69"/>
      <c r="K72" s="69"/>
      <c r="L72" s="69"/>
      <c r="M72" s="69"/>
      <c r="N72" s="69"/>
      <c r="O72" s="69"/>
      <c r="P72" s="69"/>
      <c r="Q72" s="69"/>
      <c r="R72" s="69"/>
      <c r="S72" s="69"/>
      <c r="T72" s="69"/>
      <c r="U72" s="69">
        <v>1.5</v>
      </c>
      <c r="V72" s="69"/>
      <c r="W72" s="69"/>
      <c r="X72" s="69"/>
      <c r="Y72" s="69"/>
      <c r="Z72" s="69"/>
      <c r="AA72" s="69"/>
      <c r="AB72" s="69"/>
      <c r="AC72" s="69"/>
      <c r="AD72" s="69"/>
      <c r="AE72" s="69"/>
      <c r="AF72" s="69"/>
      <c r="AG72" s="69"/>
      <c r="AH72" s="69"/>
      <c r="AI72" s="69">
        <v>6.1</v>
      </c>
      <c r="AJ72" s="69"/>
      <c r="AK72" s="69"/>
      <c r="AL72" s="69"/>
    </row>
    <row r="73" spans="1:38" x14ac:dyDescent="0.2">
      <c r="A73" s="10">
        <v>22251</v>
      </c>
      <c r="B73" s="69"/>
      <c r="C73" s="69"/>
      <c r="D73" s="69"/>
      <c r="E73" s="69">
        <v>7.6</v>
      </c>
      <c r="F73" s="69"/>
      <c r="G73" s="69"/>
      <c r="H73" s="69"/>
      <c r="I73" s="69"/>
      <c r="J73" s="69"/>
      <c r="K73" s="69"/>
      <c r="L73" s="69"/>
      <c r="M73" s="69"/>
      <c r="N73" s="69"/>
      <c r="O73" s="69"/>
      <c r="P73" s="69"/>
      <c r="Q73" s="69"/>
      <c r="R73" s="69"/>
      <c r="S73" s="69"/>
      <c r="T73" s="69"/>
      <c r="U73" s="69">
        <v>1.5</v>
      </c>
      <c r="V73" s="69"/>
      <c r="W73" s="69"/>
      <c r="X73" s="69"/>
      <c r="Y73" s="69"/>
      <c r="Z73" s="69"/>
      <c r="AA73" s="69"/>
      <c r="AB73" s="69"/>
      <c r="AC73" s="69"/>
      <c r="AD73" s="69"/>
      <c r="AE73" s="69"/>
      <c r="AF73" s="69"/>
      <c r="AG73" s="69"/>
      <c r="AH73" s="69"/>
      <c r="AI73" s="69">
        <v>6.6</v>
      </c>
      <c r="AJ73" s="69"/>
      <c r="AK73" s="69"/>
      <c r="AL73" s="69"/>
    </row>
    <row r="74" spans="1:38" x14ac:dyDescent="0.2">
      <c r="A74" s="10">
        <v>22282</v>
      </c>
      <c r="B74" s="69"/>
      <c r="C74" s="69"/>
      <c r="D74" s="69"/>
      <c r="E74" s="69">
        <v>7.6</v>
      </c>
      <c r="F74" s="69"/>
      <c r="G74" s="69"/>
      <c r="H74" s="69"/>
      <c r="I74" s="69"/>
      <c r="J74" s="69"/>
      <c r="K74" s="69"/>
      <c r="L74" s="69"/>
      <c r="M74" s="69"/>
      <c r="N74" s="69"/>
      <c r="O74" s="69"/>
      <c r="P74" s="69"/>
      <c r="Q74" s="69"/>
      <c r="R74" s="69"/>
      <c r="S74" s="69"/>
      <c r="T74" s="69"/>
      <c r="U74" s="69">
        <v>1.5</v>
      </c>
      <c r="V74" s="69"/>
      <c r="W74" s="69"/>
      <c r="X74" s="69"/>
      <c r="Y74" s="69"/>
      <c r="Z74" s="69"/>
      <c r="AA74" s="69"/>
      <c r="AB74" s="69"/>
      <c r="AC74" s="69"/>
      <c r="AD74" s="69"/>
      <c r="AE74" s="69"/>
      <c r="AF74" s="69"/>
      <c r="AG74" s="69"/>
      <c r="AH74" s="69"/>
      <c r="AI74" s="69">
        <v>6.6</v>
      </c>
      <c r="AJ74" s="69"/>
      <c r="AK74" s="69"/>
      <c r="AL74" s="69"/>
    </row>
    <row r="75" spans="1:38" x14ac:dyDescent="0.2">
      <c r="A75" s="10">
        <v>22313</v>
      </c>
      <c r="B75" s="69"/>
      <c r="C75" s="69"/>
      <c r="D75" s="69"/>
      <c r="E75" s="69">
        <v>7.7</v>
      </c>
      <c r="F75" s="69"/>
      <c r="G75" s="69"/>
      <c r="H75" s="69"/>
      <c r="I75" s="69"/>
      <c r="J75" s="69"/>
      <c r="K75" s="69"/>
      <c r="L75" s="69"/>
      <c r="M75" s="69"/>
      <c r="N75" s="69"/>
      <c r="O75" s="69"/>
      <c r="P75" s="69"/>
      <c r="Q75" s="69"/>
      <c r="R75" s="69"/>
      <c r="S75" s="69"/>
      <c r="T75" s="69"/>
      <c r="U75" s="69">
        <v>1.5</v>
      </c>
      <c r="V75" s="69"/>
      <c r="W75" s="69"/>
      <c r="X75" s="69"/>
      <c r="Y75" s="69"/>
      <c r="Z75" s="69"/>
      <c r="AA75" s="69"/>
      <c r="AB75" s="69"/>
      <c r="AC75" s="69"/>
      <c r="AD75" s="69"/>
      <c r="AE75" s="69"/>
      <c r="AF75" s="69"/>
      <c r="AG75" s="69"/>
      <c r="AH75" s="69"/>
      <c r="AI75" s="69">
        <v>6.9</v>
      </c>
      <c r="AJ75" s="69"/>
      <c r="AK75" s="69"/>
      <c r="AL75" s="69"/>
    </row>
    <row r="76" spans="1:38" x14ac:dyDescent="0.2">
      <c r="A76" s="10">
        <v>22341</v>
      </c>
      <c r="B76" s="69"/>
      <c r="C76" s="69"/>
      <c r="D76" s="69"/>
      <c r="E76" s="69">
        <v>7.6</v>
      </c>
      <c r="F76" s="69"/>
      <c r="G76" s="69"/>
      <c r="H76" s="69"/>
      <c r="I76" s="69"/>
      <c r="J76" s="69"/>
      <c r="K76" s="69"/>
      <c r="L76" s="69"/>
      <c r="M76" s="69"/>
      <c r="N76" s="69"/>
      <c r="O76" s="69"/>
      <c r="P76" s="69"/>
      <c r="Q76" s="69"/>
      <c r="R76" s="69"/>
      <c r="S76" s="69"/>
      <c r="T76" s="69"/>
      <c r="U76" s="69">
        <v>1.3</v>
      </c>
      <c r="V76" s="69"/>
      <c r="W76" s="69"/>
      <c r="X76" s="69"/>
      <c r="Y76" s="69"/>
      <c r="Z76" s="69"/>
      <c r="AA76" s="69"/>
      <c r="AB76" s="69"/>
      <c r="AC76" s="69"/>
      <c r="AD76" s="69"/>
      <c r="AE76" s="69"/>
      <c r="AF76" s="69"/>
      <c r="AG76" s="69"/>
      <c r="AH76" s="69"/>
      <c r="AI76" s="69">
        <v>6.9</v>
      </c>
      <c r="AJ76" s="69"/>
      <c r="AK76" s="69"/>
      <c r="AL76" s="69"/>
    </row>
    <row r="77" spans="1:38" x14ac:dyDescent="0.2">
      <c r="A77" s="10">
        <v>22372</v>
      </c>
      <c r="B77" s="69"/>
      <c r="C77" s="69"/>
      <c r="D77" s="69"/>
      <c r="E77" s="69">
        <v>7.6</v>
      </c>
      <c r="F77" s="69"/>
      <c r="G77" s="69"/>
      <c r="H77" s="69"/>
      <c r="I77" s="69"/>
      <c r="J77" s="69"/>
      <c r="K77" s="69"/>
      <c r="L77" s="69"/>
      <c r="M77" s="69"/>
      <c r="N77" s="69"/>
      <c r="O77" s="69"/>
      <c r="P77" s="69"/>
      <c r="Q77" s="69"/>
      <c r="R77" s="69"/>
      <c r="S77" s="69"/>
      <c r="T77" s="69"/>
      <c r="U77" s="69">
        <v>1.4</v>
      </c>
      <c r="V77" s="69"/>
      <c r="W77" s="69"/>
      <c r="X77" s="69"/>
      <c r="Y77" s="69"/>
      <c r="Z77" s="69"/>
      <c r="AA77" s="69"/>
      <c r="AB77" s="69"/>
      <c r="AC77" s="69"/>
      <c r="AD77" s="69"/>
      <c r="AE77" s="69"/>
      <c r="AF77" s="69"/>
      <c r="AG77" s="69"/>
      <c r="AH77" s="69"/>
      <c r="AI77" s="69">
        <v>7</v>
      </c>
      <c r="AJ77" s="69"/>
      <c r="AK77" s="69"/>
      <c r="AL77" s="69"/>
    </row>
    <row r="78" spans="1:38" x14ac:dyDescent="0.2">
      <c r="A78" s="10">
        <v>22402</v>
      </c>
      <c r="B78" s="69"/>
      <c r="C78" s="69"/>
      <c r="D78" s="69"/>
      <c r="E78" s="69">
        <v>7.6</v>
      </c>
      <c r="F78" s="69"/>
      <c r="G78" s="69"/>
      <c r="H78" s="69"/>
      <c r="I78" s="69"/>
      <c r="J78" s="69"/>
      <c r="K78" s="69"/>
      <c r="L78" s="69"/>
      <c r="M78" s="69"/>
      <c r="N78" s="69"/>
      <c r="O78" s="69"/>
      <c r="P78" s="69"/>
      <c r="Q78" s="69"/>
      <c r="R78" s="69"/>
      <c r="S78" s="69"/>
      <c r="T78" s="69"/>
      <c r="U78" s="69">
        <v>1.5</v>
      </c>
      <c r="V78" s="69"/>
      <c r="W78" s="69"/>
      <c r="X78" s="69"/>
      <c r="Y78" s="69"/>
      <c r="Z78" s="69"/>
      <c r="AA78" s="69"/>
      <c r="AB78" s="69"/>
      <c r="AC78" s="69"/>
      <c r="AD78" s="69"/>
      <c r="AE78" s="69"/>
      <c r="AF78" s="69"/>
      <c r="AG78" s="69"/>
      <c r="AH78" s="69"/>
      <c r="AI78" s="69">
        <v>7.1</v>
      </c>
      <c r="AJ78" s="69"/>
      <c r="AK78" s="69"/>
      <c r="AL78" s="69"/>
    </row>
    <row r="79" spans="1:38" x14ac:dyDescent="0.2">
      <c r="A79" s="10">
        <v>22433</v>
      </c>
      <c r="B79" s="69"/>
      <c r="C79" s="69"/>
      <c r="D79" s="69"/>
      <c r="E79" s="69">
        <v>7.4</v>
      </c>
      <c r="F79" s="69"/>
      <c r="G79" s="69"/>
      <c r="H79" s="69"/>
      <c r="I79" s="69"/>
      <c r="J79" s="69"/>
      <c r="K79" s="69"/>
      <c r="L79" s="69"/>
      <c r="M79" s="69"/>
      <c r="N79" s="69"/>
      <c r="O79" s="69"/>
      <c r="P79" s="69"/>
      <c r="Q79" s="69"/>
      <c r="R79" s="69"/>
      <c r="S79" s="69"/>
      <c r="T79" s="69"/>
      <c r="U79" s="69">
        <v>1.5</v>
      </c>
      <c r="V79" s="69"/>
      <c r="W79" s="69"/>
      <c r="X79" s="69"/>
      <c r="Y79" s="69"/>
      <c r="Z79" s="69"/>
      <c r="AA79" s="69"/>
      <c r="AB79" s="69"/>
      <c r="AC79" s="69"/>
      <c r="AD79" s="69"/>
      <c r="AE79" s="69"/>
      <c r="AF79" s="69"/>
      <c r="AG79" s="69"/>
      <c r="AH79" s="69"/>
      <c r="AI79" s="69">
        <v>6.9</v>
      </c>
      <c r="AJ79" s="69"/>
      <c r="AK79" s="69"/>
      <c r="AL79" s="69"/>
    </row>
    <row r="80" spans="1:38" x14ac:dyDescent="0.2">
      <c r="A80" s="10">
        <v>22463</v>
      </c>
      <c r="B80" s="69"/>
      <c r="C80" s="69"/>
      <c r="D80" s="69"/>
      <c r="E80" s="69">
        <v>7.2</v>
      </c>
      <c r="F80" s="69"/>
      <c r="G80" s="69"/>
      <c r="H80" s="69"/>
      <c r="I80" s="69"/>
      <c r="J80" s="69"/>
      <c r="K80" s="69"/>
      <c r="L80" s="69"/>
      <c r="M80" s="69"/>
      <c r="N80" s="69"/>
      <c r="O80" s="69"/>
      <c r="P80" s="69"/>
      <c r="Q80" s="69"/>
      <c r="R80" s="69"/>
      <c r="S80" s="69"/>
      <c r="T80" s="69"/>
      <c r="U80" s="69">
        <v>1.5</v>
      </c>
      <c r="V80" s="69"/>
      <c r="W80" s="69"/>
      <c r="X80" s="69"/>
      <c r="Y80" s="69"/>
      <c r="Z80" s="69"/>
      <c r="AA80" s="69"/>
      <c r="AB80" s="69"/>
      <c r="AC80" s="69"/>
      <c r="AD80" s="69"/>
      <c r="AE80" s="69"/>
      <c r="AF80" s="69"/>
      <c r="AG80" s="69"/>
      <c r="AH80" s="69"/>
      <c r="AI80" s="69">
        <v>7</v>
      </c>
      <c r="AJ80" s="69"/>
      <c r="AK80" s="69"/>
      <c r="AL80" s="69"/>
    </row>
    <row r="81" spans="1:38" x14ac:dyDescent="0.2">
      <c r="A81" s="10">
        <v>22494</v>
      </c>
      <c r="B81" s="69"/>
      <c r="C81" s="69"/>
      <c r="D81" s="69"/>
      <c r="E81" s="69">
        <v>6.8</v>
      </c>
      <c r="F81" s="69"/>
      <c r="G81" s="69"/>
      <c r="H81" s="69"/>
      <c r="I81" s="69"/>
      <c r="J81" s="69"/>
      <c r="K81" s="69"/>
      <c r="L81" s="69"/>
      <c r="M81" s="69"/>
      <c r="N81" s="69"/>
      <c r="O81" s="69"/>
      <c r="P81" s="69"/>
      <c r="Q81" s="69"/>
      <c r="R81" s="69"/>
      <c r="S81" s="69"/>
      <c r="T81" s="69"/>
      <c r="U81" s="69">
        <v>1.4</v>
      </c>
      <c r="V81" s="69"/>
      <c r="W81" s="69"/>
      <c r="X81" s="69"/>
      <c r="Y81" s="69"/>
      <c r="Z81" s="69"/>
      <c r="AA81" s="69"/>
      <c r="AB81" s="69"/>
      <c r="AC81" s="69"/>
      <c r="AD81" s="69"/>
      <c r="AE81" s="69"/>
      <c r="AF81" s="69"/>
      <c r="AG81" s="69"/>
      <c r="AH81" s="69"/>
      <c r="AI81" s="69">
        <v>6.6</v>
      </c>
      <c r="AJ81" s="69"/>
      <c r="AK81" s="69"/>
      <c r="AL81" s="69"/>
    </row>
    <row r="82" spans="1:38" x14ac:dyDescent="0.2">
      <c r="A82" s="10">
        <v>22525</v>
      </c>
      <c r="B82" s="69"/>
      <c r="C82" s="69"/>
      <c r="D82" s="69"/>
      <c r="E82" s="69">
        <v>6.9</v>
      </c>
      <c r="F82" s="69"/>
      <c r="G82" s="69"/>
      <c r="H82" s="69"/>
      <c r="I82" s="69"/>
      <c r="J82" s="69"/>
      <c r="K82" s="69"/>
      <c r="L82" s="69"/>
      <c r="M82" s="69"/>
      <c r="N82" s="69"/>
      <c r="O82" s="69"/>
      <c r="P82" s="69"/>
      <c r="Q82" s="69"/>
      <c r="R82" s="69"/>
      <c r="S82" s="69"/>
      <c r="T82" s="69"/>
      <c r="U82" s="69">
        <v>1.4</v>
      </c>
      <c r="V82" s="69"/>
      <c r="W82" s="69"/>
      <c r="X82" s="69"/>
      <c r="Y82" s="69"/>
      <c r="Z82" s="69"/>
      <c r="AA82" s="69"/>
      <c r="AB82" s="69"/>
      <c r="AC82" s="69"/>
      <c r="AD82" s="69"/>
      <c r="AE82" s="69"/>
      <c r="AF82" s="69"/>
      <c r="AG82" s="69"/>
      <c r="AH82" s="69"/>
      <c r="AI82" s="69">
        <v>6.7</v>
      </c>
      <c r="AJ82" s="69"/>
      <c r="AK82" s="69"/>
      <c r="AL82" s="69"/>
    </row>
    <row r="83" spans="1:38" x14ac:dyDescent="0.2">
      <c r="A83" s="10">
        <v>22555</v>
      </c>
      <c r="B83" s="69"/>
      <c r="C83" s="69"/>
      <c r="D83" s="69"/>
      <c r="E83" s="69">
        <v>6.5</v>
      </c>
      <c r="F83" s="69"/>
      <c r="G83" s="69"/>
      <c r="H83" s="69"/>
      <c r="I83" s="69"/>
      <c r="J83" s="69"/>
      <c r="K83" s="69"/>
      <c r="L83" s="69"/>
      <c r="M83" s="69"/>
      <c r="N83" s="69"/>
      <c r="O83" s="69"/>
      <c r="P83" s="69"/>
      <c r="Q83" s="69"/>
      <c r="R83" s="69"/>
      <c r="S83" s="69"/>
      <c r="T83" s="69"/>
      <c r="U83" s="69">
        <v>1.4</v>
      </c>
      <c r="V83" s="69"/>
      <c r="W83" s="69"/>
      <c r="X83" s="69"/>
      <c r="Y83" s="69"/>
      <c r="Z83" s="69"/>
      <c r="AA83" s="69"/>
      <c r="AB83" s="69"/>
      <c r="AC83" s="69"/>
      <c r="AD83" s="69"/>
      <c r="AE83" s="69"/>
      <c r="AF83" s="69"/>
      <c r="AG83" s="69"/>
      <c r="AH83" s="69"/>
      <c r="AI83" s="69">
        <v>6.5</v>
      </c>
      <c r="AJ83" s="69"/>
      <c r="AK83" s="69"/>
      <c r="AL83" s="69"/>
    </row>
    <row r="84" spans="1:38" x14ac:dyDescent="0.2">
      <c r="A84" s="10">
        <v>22586</v>
      </c>
      <c r="B84" s="69"/>
      <c r="C84" s="69"/>
      <c r="D84" s="69"/>
      <c r="E84" s="69">
        <v>6.1</v>
      </c>
      <c r="F84" s="69"/>
      <c r="G84" s="69"/>
      <c r="H84" s="69"/>
      <c r="I84" s="69"/>
      <c r="J84" s="69"/>
      <c r="K84" s="69"/>
      <c r="L84" s="69"/>
      <c r="M84" s="69"/>
      <c r="N84" s="69"/>
      <c r="O84" s="69"/>
      <c r="P84" s="69"/>
      <c r="Q84" s="69"/>
      <c r="R84" s="69"/>
      <c r="S84" s="69"/>
      <c r="T84" s="69"/>
      <c r="U84" s="69">
        <v>1.5</v>
      </c>
      <c r="V84" s="69"/>
      <c r="W84" s="69"/>
      <c r="X84" s="69"/>
      <c r="Y84" s="69"/>
      <c r="Z84" s="69"/>
      <c r="AA84" s="69"/>
      <c r="AB84" s="69"/>
      <c r="AC84" s="69"/>
      <c r="AD84" s="69"/>
      <c r="AE84" s="69"/>
      <c r="AF84" s="69"/>
      <c r="AG84" s="69"/>
      <c r="AH84" s="69"/>
      <c r="AI84" s="69">
        <v>6.1</v>
      </c>
      <c r="AJ84" s="69"/>
      <c r="AK84" s="69"/>
      <c r="AL84" s="69"/>
    </row>
    <row r="85" spans="1:38" x14ac:dyDescent="0.2">
      <c r="A85" s="10">
        <v>22616</v>
      </c>
      <c r="B85" s="69"/>
      <c r="C85" s="69"/>
      <c r="D85" s="69"/>
      <c r="E85" s="69">
        <v>6</v>
      </c>
      <c r="F85" s="69"/>
      <c r="G85" s="69"/>
      <c r="H85" s="69"/>
      <c r="I85" s="69"/>
      <c r="J85" s="69"/>
      <c r="K85" s="69"/>
      <c r="L85" s="69"/>
      <c r="M85" s="69"/>
      <c r="N85" s="69"/>
      <c r="O85" s="69"/>
      <c r="P85" s="69"/>
      <c r="Q85" s="69"/>
      <c r="R85" s="69"/>
      <c r="S85" s="69"/>
      <c r="T85" s="69"/>
      <c r="U85" s="69">
        <v>1.4</v>
      </c>
      <c r="V85" s="69"/>
      <c r="W85" s="69"/>
      <c r="X85" s="69"/>
      <c r="Y85" s="69"/>
      <c r="Z85" s="69"/>
      <c r="AA85" s="69"/>
      <c r="AB85" s="69"/>
      <c r="AC85" s="69"/>
      <c r="AD85" s="69"/>
      <c r="AE85" s="69"/>
      <c r="AF85" s="69"/>
      <c r="AG85" s="69"/>
      <c r="AH85" s="69"/>
      <c r="AI85" s="69">
        <v>6</v>
      </c>
      <c r="AJ85" s="69"/>
      <c r="AK85" s="69"/>
      <c r="AL85" s="69"/>
    </row>
    <row r="86" spans="1:38" x14ac:dyDescent="0.2">
      <c r="A86" s="10">
        <v>22647</v>
      </c>
      <c r="B86" s="69"/>
      <c r="C86" s="69"/>
      <c r="D86" s="69"/>
      <c r="E86" s="69">
        <v>6</v>
      </c>
      <c r="F86" s="69"/>
      <c r="G86" s="69"/>
      <c r="H86" s="69"/>
      <c r="I86" s="69"/>
      <c r="J86" s="69"/>
      <c r="K86" s="69"/>
      <c r="L86" s="69"/>
      <c r="M86" s="69"/>
      <c r="N86" s="69"/>
      <c r="O86" s="69"/>
      <c r="P86" s="69"/>
      <c r="Q86" s="69"/>
      <c r="R86" s="69"/>
      <c r="S86" s="69"/>
      <c r="T86" s="69"/>
      <c r="U86" s="69">
        <v>1.3</v>
      </c>
      <c r="V86" s="69"/>
      <c r="W86" s="69"/>
      <c r="X86" s="69"/>
      <c r="Y86" s="69"/>
      <c r="Z86" s="69"/>
      <c r="AA86" s="69"/>
      <c r="AB86" s="69"/>
      <c r="AC86" s="69"/>
      <c r="AD86" s="69"/>
      <c r="AE86" s="69"/>
      <c r="AF86" s="69"/>
      <c r="AG86" s="69"/>
      <c r="AH86" s="69"/>
      <c r="AI86" s="69">
        <v>5.8</v>
      </c>
      <c r="AJ86" s="69"/>
      <c r="AK86" s="69"/>
      <c r="AL86" s="69"/>
    </row>
    <row r="87" spans="1:38" x14ac:dyDescent="0.2">
      <c r="A87" s="10">
        <v>22678</v>
      </c>
      <c r="B87" s="69"/>
      <c r="C87" s="69"/>
      <c r="D87" s="69"/>
      <c r="E87" s="69">
        <v>6.2</v>
      </c>
      <c r="F87" s="69"/>
      <c r="G87" s="69"/>
      <c r="H87" s="69"/>
      <c r="I87" s="69"/>
      <c r="J87" s="69"/>
      <c r="K87" s="69"/>
      <c r="L87" s="69"/>
      <c r="M87" s="69"/>
      <c r="N87" s="69"/>
      <c r="O87" s="69"/>
      <c r="P87" s="69"/>
      <c r="Q87" s="69"/>
      <c r="R87" s="69"/>
      <c r="S87" s="69"/>
      <c r="T87" s="69"/>
      <c r="U87" s="69">
        <v>1.3</v>
      </c>
      <c r="V87" s="69"/>
      <c r="W87" s="69"/>
      <c r="X87" s="69"/>
      <c r="Y87" s="69"/>
      <c r="Z87" s="69"/>
      <c r="AA87" s="69"/>
      <c r="AB87" s="69"/>
      <c r="AC87" s="69"/>
      <c r="AD87" s="69"/>
      <c r="AE87" s="69"/>
      <c r="AF87" s="69"/>
      <c r="AG87" s="69"/>
      <c r="AH87" s="69"/>
      <c r="AI87" s="69">
        <v>5.5</v>
      </c>
      <c r="AJ87" s="69"/>
      <c r="AK87" s="69"/>
      <c r="AL87" s="69"/>
    </row>
    <row r="88" spans="1:38" x14ac:dyDescent="0.2">
      <c r="A88" s="10">
        <v>22706</v>
      </c>
      <c r="B88" s="69"/>
      <c r="C88" s="69"/>
      <c r="D88" s="69"/>
      <c r="E88" s="69">
        <v>6</v>
      </c>
      <c r="F88" s="69"/>
      <c r="G88" s="69"/>
      <c r="H88" s="69"/>
      <c r="I88" s="69"/>
      <c r="J88" s="69"/>
      <c r="K88" s="69"/>
      <c r="L88" s="69"/>
      <c r="M88" s="69"/>
      <c r="N88" s="69"/>
      <c r="O88" s="69"/>
      <c r="P88" s="69"/>
      <c r="Q88" s="69"/>
      <c r="R88" s="69"/>
      <c r="S88" s="69"/>
      <c r="T88" s="69"/>
      <c r="U88" s="69">
        <v>1.3</v>
      </c>
      <c r="V88" s="69"/>
      <c r="W88" s="69"/>
      <c r="X88" s="69"/>
      <c r="Y88" s="69"/>
      <c r="Z88" s="69"/>
      <c r="AA88" s="69"/>
      <c r="AB88" s="69"/>
      <c r="AC88" s="69"/>
      <c r="AD88" s="69"/>
      <c r="AE88" s="69"/>
      <c r="AF88" s="69"/>
      <c r="AG88" s="69"/>
      <c r="AH88" s="69"/>
      <c r="AI88" s="69">
        <v>5.6</v>
      </c>
      <c r="AJ88" s="69"/>
      <c r="AK88" s="69"/>
      <c r="AL88" s="69"/>
    </row>
    <row r="89" spans="1:38" x14ac:dyDescent="0.2">
      <c r="A89" s="10">
        <v>22737</v>
      </c>
      <c r="B89" s="69"/>
      <c r="C89" s="69"/>
      <c r="D89" s="69"/>
      <c r="E89" s="69">
        <v>5.9</v>
      </c>
      <c r="F89" s="69"/>
      <c r="G89" s="69"/>
      <c r="H89" s="69"/>
      <c r="I89" s="69"/>
      <c r="J89" s="69"/>
      <c r="K89" s="69"/>
      <c r="L89" s="69"/>
      <c r="M89" s="69"/>
      <c r="N89" s="69"/>
      <c r="O89" s="69"/>
      <c r="P89" s="69"/>
      <c r="Q89" s="69"/>
      <c r="R89" s="69"/>
      <c r="S89" s="69"/>
      <c r="T89" s="69"/>
      <c r="U89" s="69">
        <v>1.4</v>
      </c>
      <c r="V89" s="69"/>
      <c r="W89" s="69"/>
      <c r="X89" s="69"/>
      <c r="Y89" s="69"/>
      <c r="Z89" s="69"/>
      <c r="AA89" s="69"/>
      <c r="AB89" s="69"/>
      <c r="AC89" s="69"/>
      <c r="AD89" s="69"/>
      <c r="AE89" s="69"/>
      <c r="AF89" s="69"/>
      <c r="AG89" s="69"/>
      <c r="AH89" s="69"/>
      <c r="AI89" s="69">
        <v>5.6</v>
      </c>
      <c r="AJ89" s="69"/>
      <c r="AK89" s="69"/>
      <c r="AL89" s="69"/>
    </row>
    <row r="90" spans="1:38" x14ac:dyDescent="0.2">
      <c r="A90" s="10">
        <v>22767</v>
      </c>
      <c r="B90" s="69"/>
      <c r="C90" s="69"/>
      <c r="D90" s="69"/>
      <c r="E90" s="69">
        <v>5.6</v>
      </c>
      <c r="F90" s="69"/>
      <c r="G90" s="69"/>
      <c r="H90" s="69"/>
      <c r="I90" s="69"/>
      <c r="J90" s="69"/>
      <c r="K90" s="69"/>
      <c r="L90" s="69"/>
      <c r="M90" s="69"/>
      <c r="N90" s="69"/>
      <c r="O90" s="69"/>
      <c r="P90" s="69"/>
      <c r="Q90" s="69"/>
      <c r="R90" s="69"/>
      <c r="S90" s="69"/>
      <c r="T90" s="69"/>
      <c r="U90" s="69">
        <v>1.2</v>
      </c>
      <c r="V90" s="69"/>
      <c r="W90" s="69"/>
      <c r="X90" s="69"/>
      <c r="Y90" s="69"/>
      <c r="Z90" s="69"/>
      <c r="AA90" s="69"/>
      <c r="AB90" s="69"/>
      <c r="AC90" s="69"/>
      <c r="AD90" s="69"/>
      <c r="AE90" s="69"/>
      <c r="AF90" s="69"/>
      <c r="AG90" s="69"/>
      <c r="AH90" s="69"/>
      <c r="AI90" s="69">
        <v>5.5</v>
      </c>
      <c r="AJ90" s="69"/>
      <c r="AK90" s="69"/>
      <c r="AL90" s="69"/>
    </row>
    <row r="91" spans="1:38" x14ac:dyDescent="0.2">
      <c r="A91" s="10">
        <v>22798</v>
      </c>
      <c r="B91" s="69"/>
      <c r="C91" s="69"/>
      <c r="D91" s="69"/>
      <c r="E91" s="69">
        <v>5.7</v>
      </c>
      <c r="F91" s="69"/>
      <c r="G91" s="69"/>
      <c r="H91" s="69"/>
      <c r="I91" s="69"/>
      <c r="J91" s="69"/>
      <c r="K91" s="69"/>
      <c r="L91" s="69"/>
      <c r="M91" s="69"/>
      <c r="N91" s="69"/>
      <c r="O91" s="69"/>
      <c r="P91" s="69"/>
      <c r="Q91" s="69"/>
      <c r="R91" s="69"/>
      <c r="S91" s="69"/>
      <c r="T91" s="69"/>
      <c r="U91" s="69">
        <v>1.3</v>
      </c>
      <c r="V91" s="69"/>
      <c r="W91" s="69"/>
      <c r="X91" s="69"/>
      <c r="Y91" s="69"/>
      <c r="Z91" s="69"/>
      <c r="AA91" s="69"/>
      <c r="AB91" s="69"/>
      <c r="AC91" s="69"/>
      <c r="AD91" s="69"/>
      <c r="AE91" s="69"/>
      <c r="AF91" s="69"/>
      <c r="AG91" s="69"/>
      <c r="AH91" s="69"/>
      <c r="AI91" s="69">
        <v>5.5</v>
      </c>
      <c r="AJ91" s="69"/>
      <c r="AK91" s="69"/>
      <c r="AL91" s="69"/>
    </row>
    <row r="92" spans="1:38" x14ac:dyDescent="0.2">
      <c r="A92" s="10">
        <v>22828</v>
      </c>
      <c r="B92" s="69"/>
      <c r="C92" s="69"/>
      <c r="D92" s="69"/>
      <c r="E92" s="69">
        <v>6</v>
      </c>
      <c r="F92" s="69"/>
      <c r="G92" s="69"/>
      <c r="H92" s="69"/>
      <c r="I92" s="69"/>
      <c r="J92" s="69"/>
      <c r="K92" s="69"/>
      <c r="L92" s="69"/>
      <c r="M92" s="69"/>
      <c r="N92" s="69"/>
      <c r="O92" s="69"/>
      <c r="P92" s="69"/>
      <c r="Q92" s="69"/>
      <c r="R92" s="69"/>
      <c r="S92" s="69"/>
      <c r="T92" s="69"/>
      <c r="U92" s="69">
        <v>1.3</v>
      </c>
      <c r="V92" s="69"/>
      <c r="W92" s="69"/>
      <c r="X92" s="69"/>
      <c r="Y92" s="69"/>
      <c r="Z92" s="69"/>
      <c r="AA92" s="69"/>
      <c r="AB92" s="69"/>
      <c r="AC92" s="69"/>
      <c r="AD92" s="69"/>
      <c r="AE92" s="69"/>
      <c r="AF92" s="69"/>
      <c r="AG92" s="69"/>
      <c r="AH92" s="69"/>
      <c r="AI92" s="69">
        <v>5.4</v>
      </c>
      <c r="AJ92" s="69"/>
      <c r="AK92" s="69"/>
      <c r="AL92" s="69"/>
    </row>
    <row r="93" spans="1:38" x14ac:dyDescent="0.2">
      <c r="A93" s="10">
        <v>22859</v>
      </c>
      <c r="B93" s="69"/>
      <c r="C93" s="69"/>
      <c r="D93" s="69"/>
      <c r="E93" s="69">
        <v>5.7</v>
      </c>
      <c r="F93" s="69"/>
      <c r="G93" s="69"/>
      <c r="H93" s="69"/>
      <c r="I93" s="69"/>
      <c r="J93" s="69"/>
      <c r="K93" s="69"/>
      <c r="L93" s="69"/>
      <c r="M93" s="69"/>
      <c r="N93" s="69"/>
      <c r="O93" s="69"/>
      <c r="P93" s="69"/>
      <c r="Q93" s="69"/>
      <c r="R93" s="69"/>
      <c r="S93" s="69"/>
      <c r="T93" s="69"/>
      <c r="U93" s="69">
        <v>1.2</v>
      </c>
      <c r="V93" s="69"/>
      <c r="W93" s="69"/>
      <c r="X93" s="69"/>
      <c r="Y93" s="69"/>
      <c r="Z93" s="69"/>
      <c r="AA93" s="69"/>
      <c r="AB93" s="69"/>
      <c r="AC93" s="69"/>
      <c r="AD93" s="69"/>
      <c r="AE93" s="69"/>
      <c r="AF93" s="69"/>
      <c r="AG93" s="69"/>
      <c r="AH93" s="69"/>
      <c r="AI93" s="69">
        <v>5.7</v>
      </c>
      <c r="AJ93" s="69"/>
      <c r="AK93" s="69"/>
      <c r="AL93" s="69"/>
    </row>
    <row r="94" spans="1:38" x14ac:dyDescent="0.2">
      <c r="A94" s="10">
        <v>22890</v>
      </c>
      <c r="B94" s="69"/>
      <c r="C94" s="69"/>
      <c r="D94" s="69"/>
      <c r="E94" s="69">
        <v>5.7</v>
      </c>
      <c r="F94" s="69"/>
      <c r="G94" s="69"/>
      <c r="H94" s="69"/>
      <c r="I94" s="69"/>
      <c r="J94" s="69"/>
      <c r="K94" s="69"/>
      <c r="L94" s="69"/>
      <c r="M94" s="69"/>
      <c r="N94" s="69"/>
      <c r="O94" s="69"/>
      <c r="P94" s="69"/>
      <c r="Q94" s="69"/>
      <c r="R94" s="69"/>
      <c r="S94" s="69"/>
      <c r="T94" s="69"/>
      <c r="U94" s="69">
        <v>1.2</v>
      </c>
      <c r="V94" s="69"/>
      <c r="W94" s="69"/>
      <c r="X94" s="69"/>
      <c r="Y94" s="69"/>
      <c r="Z94" s="69"/>
      <c r="AA94" s="69"/>
      <c r="AB94" s="69"/>
      <c r="AC94" s="69"/>
      <c r="AD94" s="69"/>
      <c r="AE94" s="69"/>
      <c r="AF94" s="69"/>
      <c r="AG94" s="69"/>
      <c r="AH94" s="69"/>
      <c r="AI94" s="69">
        <v>5.6</v>
      </c>
      <c r="AJ94" s="69"/>
      <c r="AK94" s="69"/>
      <c r="AL94" s="69"/>
    </row>
    <row r="95" spans="1:38" x14ac:dyDescent="0.2">
      <c r="A95" s="10">
        <v>22920</v>
      </c>
      <c r="B95" s="69"/>
      <c r="C95" s="69"/>
      <c r="D95" s="69"/>
      <c r="E95" s="69">
        <v>5.7</v>
      </c>
      <c r="F95" s="69"/>
      <c r="G95" s="69"/>
      <c r="H95" s="69"/>
      <c r="I95" s="69"/>
      <c r="J95" s="69"/>
      <c r="K95" s="69"/>
      <c r="L95" s="69"/>
      <c r="M95" s="69"/>
      <c r="N95" s="69"/>
      <c r="O95" s="69"/>
      <c r="P95" s="69"/>
      <c r="Q95" s="69"/>
      <c r="R95" s="69"/>
      <c r="S95" s="69"/>
      <c r="T95" s="69"/>
      <c r="U95" s="69">
        <v>1.4</v>
      </c>
      <c r="V95" s="69"/>
      <c r="W95" s="69"/>
      <c r="X95" s="69"/>
      <c r="Y95" s="69"/>
      <c r="Z95" s="69"/>
      <c r="AA95" s="69"/>
      <c r="AB95" s="69"/>
      <c r="AC95" s="69"/>
      <c r="AD95" s="69"/>
      <c r="AE95" s="69"/>
      <c r="AF95" s="69"/>
      <c r="AG95" s="69"/>
      <c r="AH95" s="69"/>
      <c r="AI95" s="69">
        <v>5.4</v>
      </c>
      <c r="AJ95" s="69"/>
      <c r="AK95" s="69"/>
      <c r="AL95" s="69"/>
    </row>
    <row r="96" spans="1:38" x14ac:dyDescent="0.2">
      <c r="A96" s="10">
        <v>22951</v>
      </c>
      <c r="B96" s="69"/>
      <c r="C96" s="69"/>
      <c r="D96" s="69"/>
      <c r="E96" s="69">
        <v>5.9</v>
      </c>
      <c r="F96" s="69"/>
      <c r="G96" s="69"/>
      <c r="H96" s="69"/>
      <c r="I96" s="69"/>
      <c r="J96" s="69"/>
      <c r="K96" s="69"/>
      <c r="L96" s="69"/>
      <c r="M96" s="69"/>
      <c r="N96" s="69"/>
      <c r="O96" s="69"/>
      <c r="P96" s="69"/>
      <c r="Q96" s="69"/>
      <c r="R96" s="69"/>
      <c r="S96" s="69"/>
      <c r="T96" s="69"/>
      <c r="U96" s="69">
        <v>1.3</v>
      </c>
      <c r="V96" s="69"/>
      <c r="W96" s="69"/>
      <c r="X96" s="69"/>
      <c r="Y96" s="69"/>
      <c r="Z96" s="69"/>
      <c r="AA96" s="69"/>
      <c r="AB96" s="69"/>
      <c r="AC96" s="69"/>
      <c r="AD96" s="69"/>
      <c r="AE96" s="69"/>
      <c r="AF96" s="69"/>
      <c r="AG96" s="69"/>
      <c r="AH96" s="69"/>
      <c r="AI96" s="69">
        <v>5.7</v>
      </c>
      <c r="AJ96" s="69"/>
      <c r="AK96" s="69"/>
      <c r="AL96" s="69"/>
    </row>
    <row r="97" spans="1:38" x14ac:dyDescent="0.2">
      <c r="A97" s="10">
        <v>22981</v>
      </c>
      <c r="B97" s="69"/>
      <c r="C97" s="69"/>
      <c r="D97" s="69"/>
      <c r="E97" s="69">
        <v>6</v>
      </c>
      <c r="F97" s="69"/>
      <c r="G97" s="69"/>
      <c r="H97" s="69"/>
      <c r="I97" s="69"/>
      <c r="J97" s="69"/>
      <c r="K97" s="69"/>
      <c r="L97" s="69"/>
      <c r="M97" s="69"/>
      <c r="N97" s="69"/>
      <c r="O97" s="69"/>
      <c r="P97" s="69"/>
      <c r="Q97" s="69"/>
      <c r="R97" s="69"/>
      <c r="S97" s="69"/>
      <c r="T97" s="69"/>
      <c r="U97" s="69">
        <v>1.3</v>
      </c>
      <c r="V97" s="69"/>
      <c r="W97" s="69"/>
      <c r="X97" s="69"/>
      <c r="Y97" s="69"/>
      <c r="Z97" s="69"/>
      <c r="AA97" s="69"/>
      <c r="AB97" s="69"/>
      <c r="AC97" s="69"/>
      <c r="AD97" s="69"/>
      <c r="AE97" s="69"/>
      <c r="AF97" s="69"/>
      <c r="AG97" s="69"/>
      <c r="AH97" s="69"/>
      <c r="AI97" s="69">
        <v>5.5</v>
      </c>
      <c r="AJ97" s="69"/>
      <c r="AK97" s="69"/>
      <c r="AL97" s="69"/>
    </row>
    <row r="98" spans="1:38" x14ac:dyDescent="0.2">
      <c r="A98" s="10">
        <v>23012</v>
      </c>
      <c r="B98" s="69"/>
      <c r="C98" s="69"/>
      <c r="D98" s="69"/>
      <c r="E98" s="69">
        <v>5.9</v>
      </c>
      <c r="F98" s="69"/>
      <c r="G98" s="69"/>
      <c r="H98" s="69"/>
      <c r="I98" s="69"/>
      <c r="J98" s="69"/>
      <c r="K98" s="69"/>
      <c r="L98" s="69"/>
      <c r="M98" s="69"/>
      <c r="N98" s="69"/>
      <c r="O98" s="69"/>
      <c r="P98" s="69"/>
      <c r="Q98" s="69"/>
      <c r="R98" s="69"/>
      <c r="S98" s="69"/>
      <c r="T98" s="69"/>
      <c r="U98" s="69">
        <v>1.4</v>
      </c>
      <c r="V98" s="69"/>
      <c r="W98" s="69"/>
      <c r="X98" s="69"/>
      <c r="Y98" s="69"/>
      <c r="Z98" s="69"/>
      <c r="AA98" s="69"/>
      <c r="AB98" s="69"/>
      <c r="AC98" s="69"/>
      <c r="AD98" s="69"/>
      <c r="AE98" s="69"/>
      <c r="AF98" s="69"/>
      <c r="AG98" s="69"/>
      <c r="AH98" s="69"/>
      <c r="AI98" s="69">
        <v>5.7</v>
      </c>
      <c r="AJ98" s="69"/>
      <c r="AK98" s="69"/>
      <c r="AL98" s="69"/>
    </row>
    <row r="99" spans="1:38" x14ac:dyDescent="0.2">
      <c r="A99" s="10">
        <v>23043</v>
      </c>
      <c r="B99" s="69"/>
      <c r="C99" s="69"/>
      <c r="D99" s="69"/>
      <c r="E99" s="69">
        <v>5.8</v>
      </c>
      <c r="F99" s="69"/>
      <c r="G99" s="69"/>
      <c r="H99" s="69"/>
      <c r="I99" s="69"/>
      <c r="J99" s="69"/>
      <c r="K99" s="69"/>
      <c r="L99" s="69"/>
      <c r="M99" s="69"/>
      <c r="N99" s="69"/>
      <c r="O99" s="69"/>
      <c r="P99" s="69"/>
      <c r="Q99" s="69"/>
      <c r="R99" s="69"/>
      <c r="S99" s="69"/>
      <c r="T99" s="69"/>
      <c r="U99" s="69">
        <v>1.4</v>
      </c>
      <c r="V99" s="69"/>
      <c r="W99" s="69"/>
      <c r="X99" s="69"/>
      <c r="Y99" s="69"/>
      <c r="Z99" s="69"/>
      <c r="AA99" s="69"/>
      <c r="AB99" s="69"/>
      <c r="AC99" s="69"/>
      <c r="AD99" s="69"/>
      <c r="AE99" s="69"/>
      <c r="AF99" s="69"/>
      <c r="AG99" s="69"/>
      <c r="AH99" s="69"/>
      <c r="AI99" s="69">
        <v>5.9</v>
      </c>
      <c r="AJ99" s="69"/>
      <c r="AK99" s="69"/>
      <c r="AL99" s="69"/>
    </row>
    <row r="100" spans="1:38" x14ac:dyDescent="0.2">
      <c r="A100" s="10">
        <v>23071</v>
      </c>
      <c r="B100" s="69"/>
      <c r="C100" s="69"/>
      <c r="D100" s="69"/>
      <c r="E100" s="69">
        <v>5.9</v>
      </c>
      <c r="F100" s="69"/>
      <c r="G100" s="69"/>
      <c r="H100" s="69"/>
      <c r="I100" s="69"/>
      <c r="J100" s="69"/>
      <c r="K100" s="69"/>
      <c r="L100" s="69"/>
      <c r="M100" s="69"/>
      <c r="N100" s="69"/>
      <c r="O100" s="69"/>
      <c r="P100" s="69"/>
      <c r="Q100" s="69"/>
      <c r="R100" s="69"/>
      <c r="S100" s="69"/>
      <c r="T100" s="69"/>
      <c r="U100" s="69">
        <v>1.4</v>
      </c>
      <c r="V100" s="69"/>
      <c r="W100" s="69"/>
      <c r="X100" s="69"/>
      <c r="Y100" s="69"/>
      <c r="Z100" s="69"/>
      <c r="AA100" s="69"/>
      <c r="AB100" s="69"/>
      <c r="AC100" s="69"/>
      <c r="AD100" s="69"/>
      <c r="AE100" s="69"/>
      <c r="AF100" s="69"/>
      <c r="AG100" s="69"/>
      <c r="AH100" s="69"/>
      <c r="AI100" s="69">
        <v>5.7</v>
      </c>
      <c r="AJ100" s="69"/>
      <c r="AK100" s="69"/>
      <c r="AL100" s="69"/>
    </row>
    <row r="101" spans="1:38" x14ac:dyDescent="0.2">
      <c r="A101" s="10">
        <v>23102</v>
      </c>
      <c r="B101" s="69"/>
      <c r="C101" s="69"/>
      <c r="D101" s="69"/>
      <c r="E101" s="69">
        <v>5.7</v>
      </c>
      <c r="F101" s="69"/>
      <c r="G101" s="69"/>
      <c r="H101" s="69"/>
      <c r="I101" s="69"/>
      <c r="J101" s="69"/>
      <c r="K101" s="69"/>
      <c r="L101" s="69"/>
      <c r="M101" s="69"/>
      <c r="N101" s="69"/>
      <c r="O101" s="69"/>
      <c r="P101" s="69"/>
      <c r="Q101" s="69"/>
      <c r="R101" s="69"/>
      <c r="S101" s="69"/>
      <c r="T101" s="69"/>
      <c r="U101" s="69">
        <v>1.2</v>
      </c>
      <c r="V101" s="69"/>
      <c r="W101" s="69"/>
      <c r="X101" s="69"/>
      <c r="Y101" s="69"/>
      <c r="Z101" s="69"/>
      <c r="AA101" s="69"/>
      <c r="AB101" s="69"/>
      <c r="AC101" s="69"/>
      <c r="AD101" s="69"/>
      <c r="AE101" s="69"/>
      <c r="AF101" s="69"/>
      <c r="AG101" s="69"/>
      <c r="AH101" s="69"/>
      <c r="AI101" s="69">
        <v>5.7</v>
      </c>
      <c r="AJ101" s="69"/>
      <c r="AK101" s="69"/>
      <c r="AL101" s="69"/>
    </row>
    <row r="102" spans="1:38" x14ac:dyDescent="0.2">
      <c r="A102" s="10">
        <v>23132</v>
      </c>
      <c r="B102" s="69"/>
      <c r="C102" s="69"/>
      <c r="D102" s="69"/>
      <c r="E102" s="69">
        <v>5.7</v>
      </c>
      <c r="F102" s="69"/>
      <c r="G102" s="69"/>
      <c r="H102" s="69"/>
      <c r="I102" s="69"/>
      <c r="J102" s="69"/>
      <c r="K102" s="69"/>
      <c r="L102" s="69"/>
      <c r="M102" s="69"/>
      <c r="N102" s="69"/>
      <c r="O102" s="69"/>
      <c r="P102" s="69"/>
      <c r="Q102" s="69"/>
      <c r="R102" s="69"/>
      <c r="S102" s="69"/>
      <c r="T102" s="69"/>
      <c r="U102" s="69">
        <v>1.3</v>
      </c>
      <c r="V102" s="69"/>
      <c r="W102" s="69"/>
      <c r="X102" s="69"/>
      <c r="Y102" s="69"/>
      <c r="Z102" s="69"/>
      <c r="AA102" s="69"/>
      <c r="AB102" s="69"/>
      <c r="AC102" s="69"/>
      <c r="AD102" s="69"/>
      <c r="AE102" s="69"/>
      <c r="AF102" s="69"/>
      <c r="AG102" s="69"/>
      <c r="AH102" s="69"/>
      <c r="AI102" s="69">
        <v>5.9</v>
      </c>
      <c r="AJ102" s="69"/>
      <c r="AK102" s="69"/>
      <c r="AL102" s="69"/>
    </row>
    <row r="103" spans="1:38" x14ac:dyDescent="0.2">
      <c r="A103" s="10">
        <v>23163</v>
      </c>
      <c r="B103" s="69"/>
      <c r="C103" s="69"/>
      <c r="D103" s="69"/>
      <c r="E103" s="69">
        <v>5.5</v>
      </c>
      <c r="F103" s="69"/>
      <c r="G103" s="69"/>
      <c r="H103" s="69"/>
      <c r="I103" s="69"/>
      <c r="J103" s="69"/>
      <c r="K103" s="69"/>
      <c r="L103" s="69"/>
      <c r="M103" s="69"/>
      <c r="N103" s="69"/>
      <c r="O103" s="69"/>
      <c r="P103" s="69"/>
      <c r="Q103" s="69"/>
      <c r="R103" s="69"/>
      <c r="S103" s="69"/>
      <c r="T103" s="69"/>
      <c r="U103" s="69">
        <v>1.1000000000000001</v>
      </c>
      <c r="V103" s="69"/>
      <c r="W103" s="69"/>
      <c r="X103" s="69"/>
      <c r="Y103" s="69"/>
      <c r="Z103" s="69"/>
      <c r="AA103" s="69"/>
      <c r="AB103" s="69"/>
      <c r="AC103" s="69"/>
      <c r="AD103" s="69"/>
      <c r="AE103" s="69"/>
      <c r="AF103" s="69"/>
      <c r="AG103" s="69"/>
      <c r="AH103" s="69"/>
      <c r="AI103" s="69">
        <v>5.6</v>
      </c>
      <c r="AJ103" s="69"/>
      <c r="AK103" s="69"/>
      <c r="AL103" s="69"/>
    </row>
    <row r="104" spans="1:38" x14ac:dyDescent="0.2">
      <c r="A104" s="10">
        <v>23193</v>
      </c>
      <c r="B104" s="69"/>
      <c r="C104" s="69"/>
      <c r="D104" s="69"/>
      <c r="E104" s="69">
        <v>5.4</v>
      </c>
      <c r="F104" s="69"/>
      <c r="G104" s="69"/>
      <c r="H104" s="69"/>
      <c r="I104" s="69"/>
      <c r="J104" s="69"/>
      <c r="K104" s="69"/>
      <c r="L104" s="69"/>
      <c r="M104" s="69"/>
      <c r="N104" s="69"/>
      <c r="O104" s="69"/>
      <c r="P104" s="69"/>
      <c r="Q104" s="69"/>
      <c r="R104" s="69"/>
      <c r="S104" s="69"/>
      <c r="T104" s="69"/>
      <c r="U104" s="69">
        <v>1.1000000000000001</v>
      </c>
      <c r="V104" s="69"/>
      <c r="W104" s="69"/>
      <c r="X104" s="69"/>
      <c r="Y104" s="69"/>
      <c r="Z104" s="69"/>
      <c r="AA104" s="69"/>
      <c r="AB104" s="69"/>
      <c r="AC104" s="69"/>
      <c r="AD104" s="69"/>
      <c r="AE104" s="69"/>
      <c r="AF104" s="69"/>
      <c r="AG104" s="69"/>
      <c r="AH104" s="69"/>
      <c r="AI104" s="69">
        <v>5.6</v>
      </c>
      <c r="AJ104" s="69"/>
      <c r="AK104" s="69"/>
      <c r="AL104" s="69"/>
    </row>
    <row r="105" spans="1:38" x14ac:dyDescent="0.2">
      <c r="A105" s="10">
        <v>23224</v>
      </c>
      <c r="B105" s="69"/>
      <c r="C105" s="69"/>
      <c r="D105" s="69"/>
      <c r="E105" s="69">
        <v>5.3</v>
      </c>
      <c r="F105" s="69"/>
      <c r="G105" s="69"/>
      <c r="H105" s="69"/>
      <c r="I105" s="69"/>
      <c r="J105" s="69"/>
      <c r="K105" s="69"/>
      <c r="L105" s="69"/>
      <c r="M105" s="69"/>
      <c r="N105" s="69"/>
      <c r="O105" s="69"/>
      <c r="P105" s="69"/>
      <c r="Q105" s="69"/>
      <c r="R105" s="69"/>
      <c r="S105" s="69"/>
      <c r="T105" s="69"/>
      <c r="U105" s="69">
        <v>1.2</v>
      </c>
      <c r="V105" s="69"/>
      <c r="W105" s="69"/>
      <c r="X105" s="69"/>
      <c r="Y105" s="69"/>
      <c r="Z105" s="69"/>
      <c r="AA105" s="69"/>
      <c r="AB105" s="69"/>
      <c r="AC105" s="69"/>
      <c r="AD105" s="69"/>
      <c r="AE105" s="69"/>
      <c r="AF105" s="69"/>
      <c r="AG105" s="69"/>
      <c r="AH105" s="69"/>
      <c r="AI105" s="69">
        <v>5.4</v>
      </c>
      <c r="AJ105" s="69"/>
      <c r="AK105" s="69"/>
      <c r="AL105" s="69"/>
    </row>
    <row r="106" spans="1:38" x14ac:dyDescent="0.2">
      <c r="A106" s="10">
        <v>23255</v>
      </c>
      <c r="B106" s="69"/>
      <c r="C106" s="69"/>
      <c r="D106" s="69"/>
      <c r="E106" s="69">
        <v>5.3</v>
      </c>
      <c r="F106" s="69"/>
      <c r="G106" s="69"/>
      <c r="H106" s="69"/>
      <c r="I106" s="69"/>
      <c r="J106" s="69"/>
      <c r="K106" s="69"/>
      <c r="L106" s="69"/>
      <c r="M106" s="69"/>
      <c r="N106" s="69"/>
      <c r="O106" s="69"/>
      <c r="P106" s="69"/>
      <c r="Q106" s="69"/>
      <c r="R106" s="69"/>
      <c r="S106" s="69"/>
      <c r="T106" s="69"/>
      <c r="U106" s="69">
        <v>1.3</v>
      </c>
      <c r="V106" s="69"/>
      <c r="W106" s="69"/>
      <c r="X106" s="69"/>
      <c r="Y106" s="69"/>
      <c r="Z106" s="69"/>
      <c r="AA106" s="69"/>
      <c r="AB106" s="69"/>
      <c r="AC106" s="69"/>
      <c r="AD106" s="69"/>
      <c r="AE106" s="69"/>
      <c r="AF106" s="69"/>
      <c r="AG106" s="69"/>
      <c r="AH106" s="69"/>
      <c r="AI106" s="69">
        <v>5.5</v>
      </c>
      <c r="AJ106" s="69"/>
      <c r="AK106" s="69"/>
      <c r="AL106" s="69"/>
    </row>
    <row r="107" spans="1:38" x14ac:dyDescent="0.2">
      <c r="A107" s="10">
        <v>23285</v>
      </c>
      <c r="B107" s="69"/>
      <c r="C107" s="69"/>
      <c r="D107" s="69"/>
      <c r="E107" s="69">
        <v>5.2</v>
      </c>
      <c r="F107" s="69"/>
      <c r="G107" s="69"/>
      <c r="H107" s="69"/>
      <c r="I107" s="69"/>
      <c r="J107" s="69"/>
      <c r="K107" s="69"/>
      <c r="L107" s="69"/>
      <c r="M107" s="69"/>
      <c r="N107" s="69"/>
      <c r="O107" s="69"/>
      <c r="P107" s="69"/>
      <c r="Q107" s="69"/>
      <c r="R107" s="69"/>
      <c r="S107" s="69"/>
      <c r="T107" s="69"/>
      <c r="U107" s="69">
        <v>1.2</v>
      </c>
      <c r="V107" s="69"/>
      <c r="W107" s="69"/>
      <c r="X107" s="69"/>
      <c r="Y107" s="69"/>
      <c r="Z107" s="69"/>
      <c r="AA107" s="69"/>
      <c r="AB107" s="69"/>
      <c r="AC107" s="69"/>
      <c r="AD107" s="69"/>
      <c r="AE107" s="69"/>
      <c r="AF107" s="69"/>
      <c r="AG107" s="69"/>
      <c r="AH107" s="69"/>
      <c r="AI107" s="69">
        <v>5.5</v>
      </c>
      <c r="AJ107" s="69"/>
      <c r="AK107" s="69"/>
      <c r="AL107" s="69"/>
    </row>
    <row r="108" spans="1:38" x14ac:dyDescent="0.2">
      <c r="A108" s="10">
        <v>23316</v>
      </c>
      <c r="B108" s="69"/>
      <c r="C108" s="69"/>
      <c r="D108" s="69"/>
      <c r="E108" s="69">
        <v>5.0999999999999996</v>
      </c>
      <c r="F108" s="69"/>
      <c r="G108" s="69"/>
      <c r="H108" s="69"/>
      <c r="I108" s="69"/>
      <c r="J108" s="69"/>
      <c r="K108" s="69"/>
      <c r="L108" s="69"/>
      <c r="M108" s="69"/>
      <c r="N108" s="69"/>
      <c r="O108" s="69"/>
      <c r="P108" s="69"/>
      <c r="Q108" s="69"/>
      <c r="R108" s="69"/>
      <c r="S108" s="69"/>
      <c r="T108" s="69"/>
      <c r="U108" s="69">
        <v>1.2</v>
      </c>
      <c r="V108" s="69"/>
      <c r="W108" s="69"/>
      <c r="X108" s="69"/>
      <c r="Y108" s="69"/>
      <c r="Z108" s="69"/>
      <c r="AA108" s="69"/>
      <c r="AB108" s="69"/>
      <c r="AC108" s="69"/>
      <c r="AD108" s="69"/>
      <c r="AE108" s="69"/>
      <c r="AF108" s="69"/>
      <c r="AG108" s="69"/>
      <c r="AH108" s="69"/>
      <c r="AI108" s="69">
        <v>5.7</v>
      </c>
      <c r="AJ108" s="69"/>
      <c r="AK108" s="69"/>
      <c r="AL108" s="69"/>
    </row>
    <row r="109" spans="1:38" x14ac:dyDescent="0.2">
      <c r="A109" s="10">
        <v>23346</v>
      </c>
      <c r="B109" s="69"/>
      <c r="C109" s="69"/>
      <c r="D109" s="69"/>
      <c r="E109" s="69">
        <v>5</v>
      </c>
      <c r="F109" s="69"/>
      <c r="G109" s="69"/>
      <c r="H109" s="69"/>
      <c r="I109" s="69"/>
      <c r="J109" s="69"/>
      <c r="K109" s="69"/>
      <c r="L109" s="69"/>
      <c r="M109" s="69"/>
      <c r="N109" s="69"/>
      <c r="O109" s="69"/>
      <c r="P109" s="69"/>
      <c r="Q109" s="69"/>
      <c r="R109" s="69"/>
      <c r="S109" s="69"/>
      <c r="T109" s="69"/>
      <c r="U109" s="69">
        <v>1.3</v>
      </c>
      <c r="V109" s="69"/>
      <c r="W109" s="69"/>
      <c r="X109" s="69"/>
      <c r="Y109" s="69"/>
      <c r="Z109" s="69"/>
      <c r="AA109" s="69"/>
      <c r="AB109" s="69"/>
      <c r="AC109" s="69"/>
      <c r="AD109" s="69"/>
      <c r="AE109" s="69"/>
      <c r="AF109" s="69"/>
      <c r="AG109" s="69"/>
      <c r="AH109" s="69"/>
      <c r="AI109" s="69">
        <v>5.5</v>
      </c>
      <c r="AJ109" s="69"/>
      <c r="AK109" s="69"/>
      <c r="AL109" s="69"/>
    </row>
    <row r="110" spans="1:38" x14ac:dyDescent="0.2">
      <c r="A110" s="10">
        <v>23377</v>
      </c>
      <c r="B110" s="69"/>
      <c r="C110" s="69"/>
      <c r="D110" s="69"/>
      <c r="E110" s="69">
        <v>4.9000000000000004</v>
      </c>
      <c r="F110" s="69"/>
      <c r="G110" s="69"/>
      <c r="H110" s="69"/>
      <c r="I110" s="69"/>
      <c r="J110" s="69"/>
      <c r="K110" s="69"/>
      <c r="L110" s="69"/>
      <c r="M110" s="69"/>
      <c r="N110" s="69"/>
      <c r="O110" s="69"/>
      <c r="P110" s="69"/>
      <c r="Q110" s="69"/>
      <c r="R110" s="69"/>
      <c r="S110" s="69"/>
      <c r="T110" s="69"/>
      <c r="U110" s="69">
        <v>1.2</v>
      </c>
      <c r="V110" s="69"/>
      <c r="W110" s="69"/>
      <c r="X110" s="69"/>
      <c r="Y110" s="69"/>
      <c r="Z110" s="69"/>
      <c r="AA110" s="69"/>
      <c r="AB110" s="69"/>
      <c r="AC110" s="69"/>
      <c r="AD110" s="69"/>
      <c r="AE110" s="69"/>
      <c r="AF110" s="69"/>
      <c r="AG110" s="69"/>
      <c r="AH110" s="69"/>
      <c r="AI110" s="69">
        <v>5.6</v>
      </c>
      <c r="AJ110" s="69"/>
      <c r="AK110" s="69"/>
      <c r="AL110" s="69"/>
    </row>
    <row r="111" spans="1:38" x14ac:dyDescent="0.2">
      <c r="A111" s="10">
        <v>23408</v>
      </c>
      <c r="B111" s="69"/>
      <c r="C111" s="69"/>
      <c r="D111" s="69"/>
      <c r="E111" s="69">
        <v>4.9000000000000004</v>
      </c>
      <c r="F111" s="69"/>
      <c r="G111" s="69"/>
      <c r="H111" s="69"/>
      <c r="I111" s="69"/>
      <c r="J111" s="69"/>
      <c r="K111" s="69"/>
      <c r="L111" s="69"/>
      <c r="M111" s="69"/>
      <c r="N111" s="69"/>
      <c r="O111" s="69"/>
      <c r="P111" s="69"/>
      <c r="Q111" s="69"/>
      <c r="R111" s="69"/>
      <c r="S111" s="69"/>
      <c r="T111" s="69"/>
      <c r="U111" s="69">
        <v>1.3</v>
      </c>
      <c r="V111" s="69"/>
      <c r="W111" s="69"/>
      <c r="X111" s="69"/>
      <c r="Y111" s="69"/>
      <c r="Z111" s="69"/>
      <c r="AA111" s="69"/>
      <c r="AB111" s="69"/>
      <c r="AC111" s="69"/>
      <c r="AD111" s="69"/>
      <c r="AE111" s="69"/>
      <c r="AF111" s="69"/>
      <c r="AG111" s="69"/>
      <c r="AH111" s="69"/>
      <c r="AI111" s="69">
        <v>5.4</v>
      </c>
      <c r="AJ111" s="69"/>
      <c r="AK111" s="69"/>
      <c r="AL111" s="69"/>
    </row>
    <row r="112" spans="1:38" x14ac:dyDescent="0.2">
      <c r="A112" s="10">
        <v>23437</v>
      </c>
      <c r="B112" s="69"/>
      <c r="C112" s="69"/>
      <c r="D112" s="69"/>
      <c r="E112" s="69">
        <v>4.8</v>
      </c>
      <c r="F112" s="69"/>
      <c r="G112" s="69"/>
      <c r="H112" s="69"/>
      <c r="I112" s="69"/>
      <c r="J112" s="69"/>
      <c r="K112" s="69"/>
      <c r="L112" s="69"/>
      <c r="M112" s="69"/>
      <c r="N112" s="69"/>
      <c r="O112" s="69"/>
      <c r="P112" s="69"/>
      <c r="Q112" s="69"/>
      <c r="R112" s="69"/>
      <c r="S112" s="69"/>
      <c r="T112" s="69"/>
      <c r="U112" s="69">
        <v>1.2</v>
      </c>
      <c r="V112" s="69"/>
      <c r="W112" s="69"/>
      <c r="X112" s="69"/>
      <c r="Y112" s="69"/>
      <c r="Z112" s="69"/>
      <c r="AA112" s="69"/>
      <c r="AB112" s="69"/>
      <c r="AC112" s="69"/>
      <c r="AD112" s="69"/>
      <c r="AE112" s="69"/>
      <c r="AF112" s="69"/>
      <c r="AG112" s="69"/>
      <c r="AH112" s="69"/>
      <c r="AI112" s="69">
        <v>5.4</v>
      </c>
      <c r="AJ112" s="69"/>
      <c r="AK112" s="69"/>
      <c r="AL112" s="69"/>
    </row>
    <row r="113" spans="1:38" x14ac:dyDescent="0.2">
      <c r="A113" s="10">
        <v>23468</v>
      </c>
      <c r="B113" s="69"/>
      <c r="C113" s="69"/>
      <c r="D113" s="69"/>
      <c r="E113" s="69">
        <v>4.9000000000000004</v>
      </c>
      <c r="F113" s="69"/>
      <c r="G113" s="69"/>
      <c r="H113" s="69"/>
      <c r="I113" s="69"/>
      <c r="J113" s="69"/>
      <c r="K113" s="69"/>
      <c r="L113" s="69"/>
      <c r="M113" s="69"/>
      <c r="N113" s="69"/>
      <c r="O113" s="69"/>
      <c r="P113" s="69"/>
      <c r="Q113" s="69"/>
      <c r="R113" s="69"/>
      <c r="S113" s="69"/>
      <c r="T113" s="69"/>
      <c r="U113" s="69">
        <v>1.2</v>
      </c>
      <c r="V113" s="69"/>
      <c r="W113" s="69"/>
      <c r="X113" s="69"/>
      <c r="Y113" s="69"/>
      <c r="Z113" s="69"/>
      <c r="AA113" s="69"/>
      <c r="AB113" s="69"/>
      <c r="AC113" s="69"/>
      <c r="AD113" s="69"/>
      <c r="AE113" s="69"/>
      <c r="AF113" s="69"/>
      <c r="AG113" s="69"/>
      <c r="AH113" s="69"/>
      <c r="AI113" s="69">
        <v>5.3</v>
      </c>
      <c r="AJ113" s="69"/>
      <c r="AK113" s="69"/>
      <c r="AL113" s="69"/>
    </row>
    <row r="114" spans="1:38" x14ac:dyDescent="0.2">
      <c r="A114" s="10">
        <v>23498</v>
      </c>
      <c r="B114" s="69"/>
      <c r="C114" s="69"/>
      <c r="D114" s="69"/>
      <c r="E114" s="69">
        <v>4.5999999999999996</v>
      </c>
      <c r="F114" s="69"/>
      <c r="G114" s="69"/>
      <c r="H114" s="69"/>
      <c r="I114" s="69"/>
      <c r="J114" s="69"/>
      <c r="K114" s="69"/>
      <c r="L114" s="69"/>
      <c r="M114" s="69"/>
      <c r="N114" s="69"/>
      <c r="O114" s="69"/>
      <c r="P114" s="69"/>
      <c r="Q114" s="69"/>
      <c r="R114" s="69"/>
      <c r="S114" s="69"/>
      <c r="T114" s="69"/>
      <c r="U114" s="69">
        <v>1.1000000000000001</v>
      </c>
      <c r="V114" s="69"/>
      <c r="W114" s="69"/>
      <c r="X114" s="69"/>
      <c r="Y114" s="69"/>
      <c r="Z114" s="69"/>
      <c r="AA114" s="69"/>
      <c r="AB114" s="69"/>
      <c r="AC114" s="69"/>
      <c r="AD114" s="69"/>
      <c r="AE114" s="69"/>
      <c r="AF114" s="69"/>
      <c r="AG114" s="69"/>
      <c r="AH114" s="69"/>
      <c r="AI114" s="69">
        <v>5.0999999999999996</v>
      </c>
      <c r="AJ114" s="69"/>
      <c r="AK114" s="69"/>
      <c r="AL114" s="69"/>
    </row>
    <row r="115" spans="1:38" x14ac:dyDescent="0.2">
      <c r="A115" s="10">
        <v>23529</v>
      </c>
      <c r="B115" s="69"/>
      <c r="C115" s="69"/>
      <c r="D115" s="69"/>
      <c r="E115" s="69">
        <v>4.8</v>
      </c>
      <c r="F115" s="69"/>
      <c r="G115" s="69"/>
      <c r="H115" s="69"/>
      <c r="I115" s="69"/>
      <c r="J115" s="69"/>
      <c r="K115" s="69"/>
      <c r="L115" s="69"/>
      <c r="M115" s="69"/>
      <c r="N115" s="69"/>
      <c r="O115" s="69"/>
      <c r="P115" s="69"/>
      <c r="Q115" s="69"/>
      <c r="R115" s="69"/>
      <c r="S115" s="69"/>
      <c r="T115" s="69"/>
      <c r="U115" s="69">
        <v>1.2</v>
      </c>
      <c r="V115" s="69"/>
      <c r="W115" s="69"/>
      <c r="X115" s="69"/>
      <c r="Y115" s="69"/>
      <c r="Z115" s="69"/>
      <c r="AA115" s="69"/>
      <c r="AB115" s="69"/>
      <c r="AC115" s="69"/>
      <c r="AD115" s="69"/>
      <c r="AE115" s="69"/>
      <c r="AF115" s="69"/>
      <c r="AG115" s="69"/>
      <c r="AH115" s="69"/>
      <c r="AI115" s="69">
        <v>5.2</v>
      </c>
      <c r="AJ115" s="69"/>
      <c r="AK115" s="69"/>
      <c r="AL115" s="69"/>
    </row>
    <row r="116" spans="1:38" x14ac:dyDescent="0.2">
      <c r="A116" s="10">
        <v>23559</v>
      </c>
      <c r="B116" s="69"/>
      <c r="C116" s="69"/>
      <c r="D116" s="69"/>
      <c r="E116" s="69">
        <v>4.5999999999999996</v>
      </c>
      <c r="F116" s="69"/>
      <c r="G116" s="69"/>
      <c r="H116" s="69"/>
      <c r="I116" s="69"/>
      <c r="J116" s="69"/>
      <c r="K116" s="69"/>
      <c r="L116" s="69"/>
      <c r="M116" s="69"/>
      <c r="N116" s="69"/>
      <c r="O116" s="69"/>
      <c r="P116" s="69"/>
      <c r="Q116" s="69"/>
      <c r="R116" s="69"/>
      <c r="S116" s="69"/>
      <c r="T116" s="69"/>
      <c r="U116" s="69">
        <v>1.2</v>
      </c>
      <c r="V116" s="69"/>
      <c r="W116" s="69"/>
      <c r="X116" s="69"/>
      <c r="Y116" s="69"/>
      <c r="Z116" s="69"/>
      <c r="AA116" s="69"/>
      <c r="AB116" s="69"/>
      <c r="AC116" s="69"/>
      <c r="AD116" s="69"/>
      <c r="AE116" s="69"/>
      <c r="AF116" s="69"/>
      <c r="AG116" s="69"/>
      <c r="AH116" s="69"/>
      <c r="AI116" s="69">
        <v>4.9000000000000004</v>
      </c>
      <c r="AJ116" s="69"/>
      <c r="AK116" s="69"/>
      <c r="AL116" s="69"/>
    </row>
    <row r="117" spans="1:38" x14ac:dyDescent="0.2">
      <c r="A117" s="10">
        <v>23590</v>
      </c>
      <c r="B117" s="69"/>
      <c r="C117" s="69"/>
      <c r="D117" s="69"/>
      <c r="E117" s="69">
        <v>4.5999999999999996</v>
      </c>
      <c r="F117" s="69"/>
      <c r="G117" s="69"/>
      <c r="H117" s="69"/>
      <c r="I117" s="69"/>
      <c r="J117" s="69"/>
      <c r="K117" s="69"/>
      <c r="L117" s="69"/>
      <c r="M117" s="69"/>
      <c r="N117" s="69"/>
      <c r="O117" s="69"/>
      <c r="P117" s="69"/>
      <c r="Q117" s="69"/>
      <c r="R117" s="69"/>
      <c r="S117" s="69"/>
      <c r="T117" s="69"/>
      <c r="U117" s="69">
        <v>1.2</v>
      </c>
      <c r="V117" s="69"/>
      <c r="W117" s="69"/>
      <c r="X117" s="69"/>
      <c r="Y117" s="69"/>
      <c r="Z117" s="69"/>
      <c r="AA117" s="69"/>
      <c r="AB117" s="69"/>
      <c r="AC117" s="69"/>
      <c r="AD117" s="69"/>
      <c r="AE117" s="69"/>
      <c r="AF117" s="69"/>
      <c r="AG117" s="69"/>
      <c r="AH117" s="69"/>
      <c r="AI117" s="69">
        <v>5</v>
      </c>
      <c r="AJ117" s="69"/>
      <c r="AK117" s="69"/>
      <c r="AL117" s="69"/>
    </row>
    <row r="118" spans="1:38" x14ac:dyDescent="0.2">
      <c r="A118" s="10">
        <v>23621</v>
      </c>
      <c r="B118" s="69"/>
      <c r="C118" s="69"/>
      <c r="D118" s="69"/>
      <c r="E118" s="69">
        <v>4.5</v>
      </c>
      <c r="F118" s="69"/>
      <c r="G118" s="69"/>
      <c r="H118" s="69"/>
      <c r="I118" s="69"/>
      <c r="J118" s="69"/>
      <c r="K118" s="69"/>
      <c r="L118" s="69"/>
      <c r="M118" s="69"/>
      <c r="N118" s="69"/>
      <c r="O118" s="69"/>
      <c r="P118" s="69"/>
      <c r="Q118" s="69"/>
      <c r="R118" s="69"/>
      <c r="S118" s="69"/>
      <c r="T118" s="69"/>
      <c r="U118" s="69">
        <v>1.1000000000000001</v>
      </c>
      <c r="V118" s="69"/>
      <c r="W118" s="69"/>
      <c r="X118" s="69"/>
      <c r="Y118" s="69"/>
      <c r="Z118" s="69"/>
      <c r="AA118" s="69"/>
      <c r="AB118" s="69"/>
      <c r="AC118" s="69"/>
      <c r="AD118" s="69"/>
      <c r="AE118" s="69"/>
      <c r="AF118" s="69"/>
      <c r="AG118" s="69"/>
      <c r="AH118" s="69"/>
      <c r="AI118" s="69">
        <v>5.0999999999999996</v>
      </c>
      <c r="AJ118" s="69"/>
      <c r="AK118" s="69"/>
      <c r="AL118" s="69"/>
    </row>
    <row r="119" spans="1:38" x14ac:dyDescent="0.2">
      <c r="A119" s="10">
        <v>23651</v>
      </c>
      <c r="B119" s="69"/>
      <c r="C119" s="69"/>
      <c r="D119" s="69"/>
      <c r="E119" s="69">
        <v>4.9000000000000004</v>
      </c>
      <c r="F119" s="69"/>
      <c r="G119" s="69"/>
      <c r="H119" s="69"/>
      <c r="I119" s="69"/>
      <c r="J119" s="69"/>
      <c r="K119" s="69"/>
      <c r="L119" s="69"/>
      <c r="M119" s="69"/>
      <c r="N119" s="69"/>
      <c r="O119" s="69"/>
      <c r="P119" s="69"/>
      <c r="Q119" s="69"/>
      <c r="R119" s="69"/>
      <c r="S119" s="69"/>
      <c r="T119" s="69"/>
      <c r="U119" s="69">
        <v>1.1000000000000001</v>
      </c>
      <c r="V119" s="69"/>
      <c r="W119" s="69"/>
      <c r="X119" s="69"/>
      <c r="Y119" s="69"/>
      <c r="Z119" s="69"/>
      <c r="AA119" s="69"/>
      <c r="AB119" s="69"/>
      <c r="AC119" s="69"/>
      <c r="AD119" s="69"/>
      <c r="AE119" s="69"/>
      <c r="AF119" s="69"/>
      <c r="AG119" s="69"/>
      <c r="AH119" s="69"/>
      <c r="AI119" s="69">
        <v>5.0999999999999996</v>
      </c>
      <c r="AJ119" s="69"/>
      <c r="AK119" s="69"/>
      <c r="AL119" s="69"/>
    </row>
    <row r="120" spans="1:38" x14ac:dyDescent="0.2">
      <c r="A120" s="10">
        <v>23682</v>
      </c>
      <c r="B120" s="69"/>
      <c r="C120" s="69"/>
      <c r="D120" s="69"/>
      <c r="E120" s="69">
        <v>4.3</v>
      </c>
      <c r="F120" s="69"/>
      <c r="G120" s="69"/>
      <c r="H120" s="69"/>
      <c r="I120" s="69"/>
      <c r="J120" s="69"/>
      <c r="K120" s="69"/>
      <c r="L120" s="69"/>
      <c r="M120" s="69"/>
      <c r="N120" s="69"/>
      <c r="O120" s="69"/>
      <c r="P120" s="69"/>
      <c r="Q120" s="69"/>
      <c r="R120" s="69"/>
      <c r="S120" s="69"/>
      <c r="T120" s="69"/>
      <c r="U120" s="69">
        <v>1.1000000000000001</v>
      </c>
      <c r="V120" s="69"/>
      <c r="W120" s="69"/>
      <c r="X120" s="69"/>
      <c r="Y120" s="69"/>
      <c r="Z120" s="69"/>
      <c r="AA120" s="69"/>
      <c r="AB120" s="69"/>
      <c r="AC120" s="69"/>
      <c r="AD120" s="69"/>
      <c r="AE120" s="69"/>
      <c r="AF120" s="69"/>
      <c r="AG120" s="69"/>
      <c r="AH120" s="69"/>
      <c r="AI120" s="69">
        <v>4.8</v>
      </c>
      <c r="AJ120" s="69"/>
      <c r="AK120" s="69"/>
      <c r="AL120" s="69"/>
    </row>
    <row r="121" spans="1:38" x14ac:dyDescent="0.2">
      <c r="A121" s="10">
        <v>23712</v>
      </c>
      <c r="B121" s="69"/>
      <c r="C121" s="69"/>
      <c r="D121" s="69"/>
      <c r="E121" s="69">
        <v>4.0999999999999996</v>
      </c>
      <c r="F121" s="69"/>
      <c r="G121" s="69"/>
      <c r="H121" s="69"/>
      <c r="I121" s="69"/>
      <c r="J121" s="69"/>
      <c r="K121" s="69"/>
      <c r="L121" s="69"/>
      <c r="M121" s="69"/>
      <c r="N121" s="69"/>
      <c r="O121" s="69"/>
      <c r="P121" s="69"/>
      <c r="Q121" s="69"/>
      <c r="R121" s="69"/>
      <c r="S121" s="69"/>
      <c r="T121" s="69"/>
      <c r="U121" s="69">
        <v>1.1000000000000001</v>
      </c>
      <c r="V121" s="69"/>
      <c r="W121" s="69"/>
      <c r="X121" s="69"/>
      <c r="Y121" s="69"/>
      <c r="Z121" s="69"/>
      <c r="AA121" s="69"/>
      <c r="AB121" s="69"/>
      <c r="AC121" s="69"/>
      <c r="AD121" s="69"/>
      <c r="AE121" s="69"/>
      <c r="AF121" s="69"/>
      <c r="AG121" s="69"/>
      <c r="AH121" s="69"/>
      <c r="AI121" s="69">
        <v>5</v>
      </c>
      <c r="AJ121" s="69"/>
      <c r="AK121" s="69"/>
      <c r="AL121" s="69"/>
    </row>
    <row r="122" spans="1:38" x14ac:dyDescent="0.2">
      <c r="A122" s="10">
        <v>23743</v>
      </c>
      <c r="B122" s="69"/>
      <c r="C122" s="69"/>
      <c r="D122" s="69"/>
      <c r="E122" s="69">
        <v>4.2</v>
      </c>
      <c r="F122" s="69"/>
      <c r="G122" s="69"/>
      <c r="H122" s="69"/>
      <c r="I122" s="69"/>
      <c r="J122" s="69"/>
      <c r="K122" s="69"/>
      <c r="L122" s="69"/>
      <c r="M122" s="69"/>
      <c r="N122" s="69"/>
      <c r="O122" s="69"/>
      <c r="P122" s="69"/>
      <c r="Q122" s="69"/>
      <c r="R122" s="69"/>
      <c r="S122" s="69"/>
      <c r="T122" s="69"/>
      <c r="U122" s="69">
        <v>1.1000000000000001</v>
      </c>
      <c r="V122" s="69"/>
      <c r="W122" s="69"/>
      <c r="X122" s="69"/>
      <c r="Y122" s="69"/>
      <c r="Z122" s="69"/>
      <c r="AA122" s="69"/>
      <c r="AB122" s="69"/>
      <c r="AC122" s="69"/>
      <c r="AD122" s="69"/>
      <c r="AE122" s="69"/>
      <c r="AF122" s="69"/>
      <c r="AG122" s="69"/>
      <c r="AH122" s="69"/>
      <c r="AI122" s="69">
        <v>4.9000000000000004</v>
      </c>
      <c r="AJ122" s="69"/>
      <c r="AK122" s="69"/>
      <c r="AL122" s="69"/>
    </row>
    <row r="123" spans="1:38" x14ac:dyDescent="0.2">
      <c r="A123" s="10">
        <v>23774</v>
      </c>
      <c r="B123" s="69"/>
      <c r="C123" s="69"/>
      <c r="D123" s="69"/>
      <c r="E123" s="69">
        <v>4.0999999999999996</v>
      </c>
      <c r="F123" s="69"/>
      <c r="G123" s="69"/>
      <c r="H123" s="69"/>
      <c r="I123" s="69"/>
      <c r="J123" s="69"/>
      <c r="K123" s="69"/>
      <c r="L123" s="69"/>
      <c r="M123" s="69"/>
      <c r="N123" s="69"/>
      <c r="O123" s="69"/>
      <c r="P123" s="69"/>
      <c r="Q123" s="69"/>
      <c r="R123" s="69"/>
      <c r="S123" s="69"/>
      <c r="T123" s="69"/>
      <c r="U123" s="69">
        <v>1.2</v>
      </c>
      <c r="V123" s="69"/>
      <c r="W123" s="69"/>
      <c r="X123" s="69"/>
      <c r="Y123" s="69"/>
      <c r="Z123" s="69"/>
      <c r="AA123" s="69"/>
      <c r="AB123" s="69"/>
      <c r="AC123" s="69"/>
      <c r="AD123" s="69"/>
      <c r="AE123" s="69"/>
      <c r="AF123" s="69"/>
      <c r="AG123" s="69"/>
      <c r="AH123" s="69"/>
      <c r="AI123" s="69">
        <v>5.0999999999999996</v>
      </c>
      <c r="AJ123" s="69"/>
      <c r="AK123" s="69"/>
      <c r="AL123" s="69"/>
    </row>
    <row r="124" spans="1:38" x14ac:dyDescent="0.2">
      <c r="A124" s="10">
        <v>23802</v>
      </c>
      <c r="B124" s="69"/>
      <c r="C124" s="69"/>
      <c r="D124" s="69"/>
      <c r="E124" s="69">
        <v>4.0999999999999996</v>
      </c>
      <c r="F124" s="69"/>
      <c r="G124" s="69"/>
      <c r="H124" s="69"/>
      <c r="I124" s="69"/>
      <c r="J124" s="69"/>
      <c r="K124" s="69"/>
      <c r="L124" s="69"/>
      <c r="M124" s="69"/>
      <c r="N124" s="69"/>
      <c r="O124" s="69"/>
      <c r="P124" s="69"/>
      <c r="Q124" s="69"/>
      <c r="R124" s="69"/>
      <c r="S124" s="69"/>
      <c r="T124" s="69"/>
      <c r="U124" s="69">
        <v>1.1000000000000001</v>
      </c>
      <c r="V124" s="69"/>
      <c r="W124" s="69"/>
      <c r="X124" s="69"/>
      <c r="Y124" s="69"/>
      <c r="Z124" s="69"/>
      <c r="AA124" s="69"/>
      <c r="AB124" s="69"/>
      <c r="AC124" s="69"/>
      <c r="AD124" s="69"/>
      <c r="AE124" s="69"/>
      <c r="AF124" s="69"/>
      <c r="AG124" s="69"/>
      <c r="AH124" s="69"/>
      <c r="AI124" s="69">
        <v>4.7</v>
      </c>
      <c r="AJ124" s="69"/>
      <c r="AK124" s="69"/>
      <c r="AL124" s="69"/>
    </row>
    <row r="125" spans="1:38" x14ac:dyDescent="0.2">
      <c r="A125" s="10">
        <v>23833</v>
      </c>
      <c r="B125" s="69"/>
      <c r="C125" s="69"/>
      <c r="D125" s="69"/>
      <c r="E125" s="69">
        <v>4.4000000000000004</v>
      </c>
      <c r="F125" s="69"/>
      <c r="G125" s="69"/>
      <c r="H125" s="69"/>
      <c r="I125" s="69"/>
      <c r="J125" s="69"/>
      <c r="K125" s="69"/>
      <c r="L125" s="69"/>
      <c r="M125" s="69"/>
      <c r="N125" s="69"/>
      <c r="O125" s="69"/>
      <c r="P125" s="69"/>
      <c r="Q125" s="69"/>
      <c r="R125" s="69"/>
      <c r="S125" s="69"/>
      <c r="T125" s="69"/>
      <c r="U125" s="69">
        <v>1.2</v>
      </c>
      <c r="V125" s="69"/>
      <c r="W125" s="69"/>
      <c r="X125" s="69"/>
      <c r="Y125" s="69"/>
      <c r="Z125" s="69"/>
      <c r="AA125" s="69"/>
      <c r="AB125" s="69"/>
      <c r="AC125" s="69"/>
      <c r="AD125" s="69"/>
      <c r="AE125" s="69"/>
      <c r="AF125" s="69"/>
      <c r="AG125" s="69"/>
      <c r="AH125" s="69"/>
      <c r="AI125" s="69">
        <v>4.8</v>
      </c>
      <c r="AJ125" s="69"/>
      <c r="AK125" s="69"/>
      <c r="AL125" s="69"/>
    </row>
    <row r="126" spans="1:38" x14ac:dyDescent="0.2">
      <c r="A126" s="10">
        <v>23863</v>
      </c>
      <c r="B126" s="69"/>
      <c r="C126" s="69"/>
      <c r="D126" s="69"/>
      <c r="E126" s="69">
        <v>4</v>
      </c>
      <c r="F126" s="69"/>
      <c r="G126" s="69"/>
      <c r="H126" s="69"/>
      <c r="I126" s="69"/>
      <c r="J126" s="69"/>
      <c r="K126" s="69"/>
      <c r="L126" s="69"/>
      <c r="M126" s="69"/>
      <c r="N126" s="69"/>
      <c r="O126" s="69"/>
      <c r="P126" s="69"/>
      <c r="Q126" s="69"/>
      <c r="R126" s="69"/>
      <c r="S126" s="69"/>
      <c r="T126" s="69"/>
      <c r="U126" s="69">
        <v>1.2</v>
      </c>
      <c r="V126" s="69"/>
      <c r="W126" s="69"/>
      <c r="X126" s="69"/>
      <c r="Y126" s="69"/>
      <c r="Z126" s="69"/>
      <c r="AA126" s="69"/>
      <c r="AB126" s="69"/>
      <c r="AC126" s="69"/>
      <c r="AD126" s="69"/>
      <c r="AE126" s="69"/>
      <c r="AF126" s="69"/>
      <c r="AG126" s="69"/>
      <c r="AH126" s="69"/>
      <c r="AI126" s="69">
        <v>4.5999999999999996</v>
      </c>
      <c r="AJ126" s="69"/>
      <c r="AK126" s="69"/>
      <c r="AL126" s="69"/>
    </row>
    <row r="127" spans="1:38" x14ac:dyDescent="0.2">
      <c r="A127" s="10">
        <v>23894</v>
      </c>
      <c r="B127" s="69"/>
      <c r="C127" s="69"/>
      <c r="D127" s="69"/>
      <c r="E127" s="69">
        <v>4.0999999999999996</v>
      </c>
      <c r="F127" s="69"/>
      <c r="G127" s="69"/>
      <c r="H127" s="69"/>
      <c r="I127" s="69"/>
      <c r="J127" s="69"/>
      <c r="K127" s="69"/>
      <c r="L127" s="69"/>
      <c r="M127" s="69"/>
      <c r="N127" s="69"/>
      <c r="O127" s="69"/>
      <c r="P127" s="69"/>
      <c r="Q127" s="69"/>
      <c r="R127" s="69"/>
      <c r="S127" s="69"/>
      <c r="T127" s="69"/>
      <c r="U127" s="69">
        <v>1.3</v>
      </c>
      <c r="V127" s="69"/>
      <c r="W127" s="69"/>
      <c r="X127" s="69"/>
      <c r="Y127" s="69"/>
      <c r="Z127" s="69"/>
      <c r="AA127" s="69"/>
      <c r="AB127" s="69"/>
      <c r="AC127" s="69"/>
      <c r="AD127" s="69"/>
      <c r="AE127" s="69"/>
      <c r="AF127" s="69"/>
      <c r="AG127" s="69"/>
      <c r="AH127" s="69"/>
      <c r="AI127" s="69">
        <v>4.5999999999999996</v>
      </c>
      <c r="AJ127" s="69"/>
      <c r="AK127" s="69"/>
      <c r="AL127" s="69"/>
    </row>
    <row r="128" spans="1:38" x14ac:dyDescent="0.2">
      <c r="A128" s="10">
        <v>23924</v>
      </c>
      <c r="B128" s="69"/>
      <c r="C128" s="69"/>
      <c r="D128" s="69"/>
      <c r="E128" s="69">
        <v>3.9</v>
      </c>
      <c r="F128" s="69"/>
      <c r="G128" s="69"/>
      <c r="H128" s="69"/>
      <c r="I128" s="69"/>
      <c r="J128" s="69"/>
      <c r="K128" s="69"/>
      <c r="L128" s="69"/>
      <c r="M128" s="69"/>
      <c r="N128" s="69"/>
      <c r="O128" s="69"/>
      <c r="P128" s="69"/>
      <c r="Q128" s="69"/>
      <c r="R128" s="69"/>
      <c r="S128" s="69"/>
      <c r="T128" s="69"/>
      <c r="U128" s="69">
        <v>1.3</v>
      </c>
      <c r="V128" s="69"/>
      <c r="W128" s="69"/>
      <c r="X128" s="69"/>
      <c r="Y128" s="69"/>
      <c r="Z128" s="69"/>
      <c r="AA128" s="69"/>
      <c r="AB128" s="69"/>
      <c r="AC128" s="69"/>
      <c r="AD128" s="69"/>
      <c r="AE128" s="69"/>
      <c r="AF128" s="69"/>
      <c r="AG128" s="69"/>
      <c r="AH128" s="69"/>
      <c r="AI128" s="69">
        <v>4.4000000000000004</v>
      </c>
      <c r="AJ128" s="69"/>
      <c r="AK128" s="69"/>
      <c r="AL128" s="69"/>
    </row>
    <row r="129" spans="1:38" x14ac:dyDescent="0.2">
      <c r="A129" s="10">
        <v>23955</v>
      </c>
      <c r="B129" s="69"/>
      <c r="C129" s="69"/>
      <c r="D129" s="69"/>
      <c r="E129" s="69">
        <v>3.8</v>
      </c>
      <c r="F129" s="69"/>
      <c r="G129" s="69"/>
      <c r="H129" s="69"/>
      <c r="I129" s="69"/>
      <c r="J129" s="69"/>
      <c r="K129" s="69"/>
      <c r="L129" s="69"/>
      <c r="M129" s="69"/>
      <c r="N129" s="69"/>
      <c r="O129" s="69"/>
      <c r="P129" s="69"/>
      <c r="Q129" s="69"/>
      <c r="R129" s="69"/>
      <c r="S129" s="69"/>
      <c r="T129" s="69"/>
      <c r="U129" s="69">
        <v>1.2</v>
      </c>
      <c r="V129" s="69"/>
      <c r="W129" s="69"/>
      <c r="X129" s="69"/>
      <c r="Y129" s="69"/>
      <c r="Z129" s="69"/>
      <c r="AA129" s="69"/>
      <c r="AB129" s="69"/>
      <c r="AC129" s="69"/>
      <c r="AD129" s="69"/>
      <c r="AE129" s="69"/>
      <c r="AF129" s="69"/>
      <c r="AG129" s="69"/>
      <c r="AH129" s="69"/>
      <c r="AI129" s="69">
        <v>4.4000000000000004</v>
      </c>
      <c r="AJ129" s="69"/>
      <c r="AK129" s="69"/>
      <c r="AL129" s="69"/>
    </row>
    <row r="130" spans="1:38" x14ac:dyDescent="0.2">
      <c r="A130" s="10">
        <v>23986</v>
      </c>
      <c r="B130" s="69"/>
      <c r="C130" s="69"/>
      <c r="D130" s="69"/>
      <c r="E130" s="69">
        <v>3.6</v>
      </c>
      <c r="F130" s="69"/>
      <c r="G130" s="69"/>
      <c r="H130" s="69"/>
      <c r="I130" s="69"/>
      <c r="J130" s="69"/>
      <c r="K130" s="69"/>
      <c r="L130" s="69"/>
      <c r="M130" s="69"/>
      <c r="N130" s="69"/>
      <c r="O130" s="69"/>
      <c r="P130" s="69"/>
      <c r="Q130" s="69"/>
      <c r="R130" s="69"/>
      <c r="S130" s="69"/>
      <c r="T130" s="69"/>
      <c r="U130" s="69">
        <v>1.3</v>
      </c>
      <c r="V130" s="69"/>
      <c r="W130" s="69"/>
      <c r="X130" s="69"/>
      <c r="Y130" s="69"/>
      <c r="Z130" s="69"/>
      <c r="AA130" s="69"/>
      <c r="AB130" s="69"/>
      <c r="AC130" s="69"/>
      <c r="AD130" s="69"/>
      <c r="AE130" s="69"/>
      <c r="AF130" s="69"/>
      <c r="AG130" s="69"/>
      <c r="AH130" s="69"/>
      <c r="AI130" s="69">
        <v>4.3</v>
      </c>
      <c r="AJ130" s="69"/>
      <c r="AK130" s="69"/>
      <c r="AL130" s="69"/>
    </row>
    <row r="131" spans="1:38" x14ac:dyDescent="0.2">
      <c r="A131" s="10">
        <v>24016</v>
      </c>
      <c r="B131" s="69"/>
      <c r="C131" s="69"/>
      <c r="D131" s="69"/>
      <c r="E131" s="69">
        <v>3.1</v>
      </c>
      <c r="F131" s="69"/>
      <c r="G131" s="69"/>
      <c r="H131" s="69"/>
      <c r="I131" s="69"/>
      <c r="J131" s="69"/>
      <c r="K131" s="69"/>
      <c r="L131" s="69"/>
      <c r="M131" s="69"/>
      <c r="N131" s="69"/>
      <c r="O131" s="69"/>
      <c r="P131" s="69"/>
      <c r="Q131" s="69"/>
      <c r="R131" s="69"/>
      <c r="S131" s="69"/>
      <c r="T131" s="69"/>
      <c r="U131" s="69">
        <v>1.3</v>
      </c>
      <c r="V131" s="69"/>
      <c r="W131" s="69"/>
      <c r="X131" s="69"/>
      <c r="Y131" s="69"/>
      <c r="Z131" s="69"/>
      <c r="AA131" s="69"/>
      <c r="AB131" s="69"/>
      <c r="AC131" s="69"/>
      <c r="AD131" s="69"/>
      <c r="AE131" s="69"/>
      <c r="AF131" s="69"/>
      <c r="AG131" s="69"/>
      <c r="AH131" s="69"/>
      <c r="AI131" s="69">
        <v>4.2</v>
      </c>
      <c r="AJ131" s="69"/>
      <c r="AK131" s="69"/>
      <c r="AL131" s="69"/>
    </row>
    <row r="132" spans="1:38" x14ac:dyDescent="0.2">
      <c r="A132" s="10">
        <v>24047</v>
      </c>
      <c r="B132" s="69"/>
      <c r="C132" s="69"/>
      <c r="D132" s="69"/>
      <c r="E132" s="69">
        <v>3.6</v>
      </c>
      <c r="F132" s="69"/>
      <c r="G132" s="69"/>
      <c r="H132" s="69"/>
      <c r="I132" s="69"/>
      <c r="J132" s="69"/>
      <c r="K132" s="69"/>
      <c r="L132" s="69"/>
      <c r="M132" s="69"/>
      <c r="N132" s="69"/>
      <c r="O132" s="69"/>
      <c r="P132" s="69"/>
      <c r="Q132" s="69"/>
      <c r="R132" s="69"/>
      <c r="S132" s="69"/>
      <c r="T132" s="69"/>
      <c r="U132" s="69">
        <v>1.3</v>
      </c>
      <c r="V132" s="69"/>
      <c r="W132" s="69"/>
      <c r="X132" s="69"/>
      <c r="Y132" s="69"/>
      <c r="Z132" s="69"/>
      <c r="AA132" s="69"/>
      <c r="AB132" s="69"/>
      <c r="AC132" s="69"/>
      <c r="AD132" s="69"/>
      <c r="AE132" s="69"/>
      <c r="AF132" s="69"/>
      <c r="AG132" s="69"/>
      <c r="AH132" s="69"/>
      <c r="AI132" s="69">
        <v>4.0999999999999996</v>
      </c>
      <c r="AJ132" s="69"/>
      <c r="AK132" s="69"/>
      <c r="AL132" s="69"/>
    </row>
    <row r="133" spans="1:38" x14ac:dyDescent="0.2">
      <c r="A133" s="10">
        <v>24077</v>
      </c>
      <c r="B133" s="69"/>
      <c r="C133" s="69"/>
      <c r="D133" s="69"/>
      <c r="E133" s="69">
        <v>3.5</v>
      </c>
      <c r="F133" s="69"/>
      <c r="G133" s="69"/>
      <c r="H133" s="69"/>
      <c r="I133" s="69"/>
      <c r="J133" s="69"/>
      <c r="K133" s="69"/>
      <c r="L133" s="69"/>
      <c r="M133" s="69"/>
      <c r="N133" s="69"/>
      <c r="O133" s="69"/>
      <c r="P133" s="69"/>
      <c r="Q133" s="69"/>
      <c r="R133" s="69"/>
      <c r="S133" s="69"/>
      <c r="T133" s="69"/>
      <c r="U133" s="69">
        <v>1.3</v>
      </c>
      <c r="V133" s="69"/>
      <c r="W133" s="69"/>
      <c r="X133" s="69"/>
      <c r="Y133" s="69"/>
      <c r="Z133" s="69"/>
      <c r="AA133" s="69"/>
      <c r="AB133" s="69"/>
      <c r="AC133" s="69"/>
      <c r="AD133" s="69"/>
      <c r="AE133" s="69"/>
      <c r="AF133" s="69"/>
      <c r="AG133" s="69"/>
      <c r="AH133" s="69"/>
      <c r="AI133" s="69">
        <v>4</v>
      </c>
      <c r="AJ133" s="69"/>
      <c r="AK133" s="69"/>
      <c r="AL133" s="69"/>
    </row>
    <row r="134" spans="1:38" x14ac:dyDescent="0.2">
      <c r="A134" s="10">
        <v>24108</v>
      </c>
      <c r="B134" s="69"/>
      <c r="C134" s="69"/>
      <c r="D134" s="69"/>
      <c r="E134" s="69">
        <v>3.4</v>
      </c>
      <c r="F134" s="69"/>
      <c r="G134" s="69"/>
      <c r="H134" s="69"/>
      <c r="I134" s="69"/>
      <c r="J134" s="69"/>
      <c r="K134" s="69"/>
      <c r="L134" s="69"/>
      <c r="M134" s="69"/>
      <c r="N134" s="69"/>
      <c r="O134" s="69"/>
      <c r="P134" s="69"/>
      <c r="Q134" s="69"/>
      <c r="R134" s="69"/>
      <c r="S134" s="69"/>
      <c r="T134" s="69"/>
      <c r="U134" s="69">
        <v>1.4</v>
      </c>
      <c r="V134" s="69"/>
      <c r="W134" s="69"/>
      <c r="X134" s="69"/>
      <c r="Y134" s="69"/>
      <c r="Z134" s="69"/>
      <c r="AA134" s="69"/>
      <c r="AB134" s="69"/>
      <c r="AC134" s="69"/>
      <c r="AD134" s="69"/>
      <c r="AE134" s="69"/>
      <c r="AF134" s="69"/>
      <c r="AG134" s="69"/>
      <c r="AH134" s="69"/>
      <c r="AI134" s="69">
        <v>4</v>
      </c>
      <c r="AJ134" s="69"/>
      <c r="AK134" s="69"/>
      <c r="AL134" s="69"/>
    </row>
    <row r="135" spans="1:38" x14ac:dyDescent="0.2">
      <c r="A135" s="10">
        <v>24139</v>
      </c>
      <c r="B135" s="69"/>
      <c r="C135" s="69"/>
      <c r="D135" s="69"/>
      <c r="E135" s="69">
        <v>3.4</v>
      </c>
      <c r="F135" s="69"/>
      <c r="G135" s="69"/>
      <c r="H135" s="69"/>
      <c r="I135" s="69"/>
      <c r="J135" s="69"/>
      <c r="K135" s="69"/>
      <c r="L135" s="69"/>
      <c r="M135" s="69"/>
      <c r="N135" s="69"/>
      <c r="O135" s="69"/>
      <c r="P135" s="69"/>
      <c r="Q135" s="69"/>
      <c r="R135" s="69"/>
      <c r="S135" s="69"/>
      <c r="T135" s="69"/>
      <c r="U135" s="69">
        <v>1.3</v>
      </c>
      <c r="V135" s="69"/>
      <c r="W135" s="69"/>
      <c r="X135" s="69"/>
      <c r="Y135" s="69"/>
      <c r="Z135" s="69"/>
      <c r="AA135" s="69"/>
      <c r="AB135" s="69"/>
      <c r="AC135" s="69"/>
      <c r="AD135" s="69"/>
      <c r="AE135" s="69"/>
      <c r="AF135" s="69"/>
      <c r="AG135" s="69"/>
      <c r="AH135" s="69"/>
      <c r="AI135" s="69">
        <v>3.8</v>
      </c>
      <c r="AJ135" s="69"/>
      <c r="AK135" s="69"/>
      <c r="AL135" s="69"/>
    </row>
    <row r="136" spans="1:38" x14ac:dyDescent="0.2">
      <c r="A136" s="10">
        <v>24167</v>
      </c>
      <c r="B136" s="69"/>
      <c r="C136" s="69"/>
      <c r="D136" s="69"/>
      <c r="E136" s="69">
        <v>3.3</v>
      </c>
      <c r="F136" s="69"/>
      <c r="G136" s="69"/>
      <c r="H136" s="69"/>
      <c r="I136" s="69"/>
      <c r="J136" s="69"/>
      <c r="K136" s="69"/>
      <c r="L136" s="69"/>
      <c r="M136" s="69"/>
      <c r="N136" s="69"/>
      <c r="O136" s="69"/>
      <c r="P136" s="69"/>
      <c r="Q136" s="69"/>
      <c r="R136" s="69"/>
      <c r="S136" s="69"/>
      <c r="T136" s="69"/>
      <c r="U136" s="69">
        <v>1.4</v>
      </c>
      <c r="V136" s="69"/>
      <c r="W136" s="69"/>
      <c r="X136" s="69"/>
      <c r="Y136" s="69"/>
      <c r="Z136" s="69"/>
      <c r="AA136" s="69"/>
      <c r="AB136" s="69"/>
      <c r="AC136" s="69"/>
      <c r="AD136" s="69"/>
      <c r="AE136" s="69"/>
      <c r="AF136" s="69"/>
      <c r="AG136" s="69"/>
      <c r="AH136" s="69"/>
      <c r="AI136" s="69">
        <v>3.8</v>
      </c>
      <c r="AJ136" s="69"/>
      <c r="AK136" s="69"/>
      <c r="AL136" s="69"/>
    </row>
    <row r="137" spans="1:38" x14ac:dyDescent="0.2">
      <c r="A137" s="10">
        <v>24198</v>
      </c>
      <c r="B137" s="69"/>
      <c r="C137" s="69"/>
      <c r="D137" s="69"/>
      <c r="E137" s="69">
        <v>3.2</v>
      </c>
      <c r="F137" s="69"/>
      <c r="G137" s="69"/>
      <c r="H137" s="69"/>
      <c r="I137" s="69"/>
      <c r="J137" s="69"/>
      <c r="K137" s="69"/>
      <c r="L137" s="69"/>
      <c r="M137" s="69"/>
      <c r="N137" s="69"/>
      <c r="O137" s="69"/>
      <c r="P137" s="69"/>
      <c r="Q137" s="69"/>
      <c r="R137" s="69"/>
      <c r="S137" s="69"/>
      <c r="T137" s="69"/>
      <c r="U137" s="69">
        <v>1.3</v>
      </c>
      <c r="V137" s="69"/>
      <c r="W137" s="69"/>
      <c r="X137" s="69"/>
      <c r="Y137" s="69"/>
      <c r="Z137" s="69"/>
      <c r="AA137" s="69"/>
      <c r="AB137" s="69"/>
      <c r="AC137" s="69"/>
      <c r="AD137" s="69"/>
      <c r="AE137" s="69"/>
      <c r="AF137" s="69"/>
      <c r="AG137" s="69"/>
      <c r="AH137" s="69"/>
      <c r="AI137" s="69">
        <v>3.8</v>
      </c>
      <c r="AJ137" s="69"/>
      <c r="AK137" s="69"/>
      <c r="AL137" s="69"/>
    </row>
    <row r="138" spans="1:38" x14ac:dyDescent="0.2">
      <c r="A138" s="10">
        <v>24228</v>
      </c>
      <c r="B138" s="69"/>
      <c r="C138" s="69"/>
      <c r="D138" s="69"/>
      <c r="E138" s="69">
        <v>3.2</v>
      </c>
      <c r="F138" s="69"/>
      <c r="G138" s="69"/>
      <c r="H138" s="69"/>
      <c r="I138" s="69"/>
      <c r="J138" s="69"/>
      <c r="K138" s="69"/>
      <c r="L138" s="69"/>
      <c r="M138" s="69"/>
      <c r="N138" s="69"/>
      <c r="O138" s="69"/>
      <c r="P138" s="69"/>
      <c r="Q138" s="69"/>
      <c r="R138" s="69"/>
      <c r="S138" s="69"/>
      <c r="T138" s="69"/>
      <c r="U138" s="69">
        <v>1.4</v>
      </c>
      <c r="V138" s="69"/>
      <c r="W138" s="69"/>
      <c r="X138" s="69"/>
      <c r="Y138" s="69"/>
      <c r="Z138" s="69"/>
      <c r="AA138" s="69"/>
      <c r="AB138" s="69"/>
      <c r="AC138" s="69"/>
      <c r="AD138" s="69"/>
      <c r="AE138" s="69"/>
      <c r="AF138" s="69"/>
      <c r="AG138" s="69"/>
      <c r="AH138" s="69"/>
      <c r="AI138" s="69">
        <v>3.9</v>
      </c>
      <c r="AJ138" s="69"/>
      <c r="AK138" s="69"/>
      <c r="AL138" s="69"/>
    </row>
    <row r="139" spans="1:38" x14ac:dyDescent="0.2">
      <c r="A139" s="10">
        <v>24259</v>
      </c>
      <c r="B139" s="69"/>
      <c r="C139" s="69"/>
      <c r="D139" s="69"/>
      <c r="E139" s="69">
        <v>2.9</v>
      </c>
      <c r="F139" s="69"/>
      <c r="G139" s="69"/>
      <c r="H139" s="69"/>
      <c r="I139" s="69"/>
      <c r="J139" s="69"/>
      <c r="K139" s="69"/>
      <c r="L139" s="69"/>
      <c r="M139" s="69"/>
      <c r="N139" s="69"/>
      <c r="O139" s="69"/>
      <c r="P139" s="69"/>
      <c r="Q139" s="69"/>
      <c r="R139" s="69"/>
      <c r="S139" s="69"/>
      <c r="T139" s="69"/>
      <c r="U139" s="69">
        <v>1.3</v>
      </c>
      <c r="V139" s="69"/>
      <c r="W139" s="69"/>
      <c r="X139" s="69"/>
      <c r="Y139" s="69"/>
      <c r="Z139" s="69"/>
      <c r="AA139" s="69"/>
      <c r="AB139" s="69"/>
      <c r="AC139" s="69"/>
      <c r="AD139" s="69"/>
      <c r="AE139" s="69"/>
      <c r="AF139" s="69"/>
      <c r="AG139" s="69"/>
      <c r="AH139" s="69"/>
      <c r="AI139" s="69">
        <v>3.8</v>
      </c>
      <c r="AJ139" s="69"/>
      <c r="AK139" s="69"/>
      <c r="AL139" s="69"/>
    </row>
    <row r="140" spans="1:38" x14ac:dyDescent="0.2">
      <c r="A140" s="10">
        <v>24289</v>
      </c>
      <c r="B140" s="69"/>
      <c r="C140" s="69"/>
      <c r="D140" s="69"/>
      <c r="E140" s="69">
        <v>3.2</v>
      </c>
      <c r="F140" s="69"/>
      <c r="G140" s="69"/>
      <c r="H140" s="69"/>
      <c r="I140" s="69"/>
      <c r="J140" s="69"/>
      <c r="K140" s="69"/>
      <c r="L140" s="69"/>
      <c r="M140" s="69"/>
      <c r="N140" s="69"/>
      <c r="O140" s="69"/>
      <c r="P140" s="69"/>
      <c r="Q140" s="69"/>
      <c r="R140" s="69"/>
      <c r="S140" s="69"/>
      <c r="T140" s="69"/>
      <c r="U140" s="69">
        <v>1.2</v>
      </c>
      <c r="V140" s="69"/>
      <c r="W140" s="69"/>
      <c r="X140" s="69"/>
      <c r="Y140" s="69"/>
      <c r="Z140" s="69"/>
      <c r="AA140" s="69"/>
      <c r="AB140" s="69"/>
      <c r="AC140" s="69"/>
      <c r="AD140" s="69"/>
      <c r="AE140" s="69"/>
      <c r="AF140" s="69"/>
      <c r="AG140" s="69"/>
      <c r="AH140" s="69"/>
      <c r="AI140" s="69">
        <v>3.8</v>
      </c>
      <c r="AJ140" s="69"/>
      <c r="AK140" s="69"/>
      <c r="AL140" s="69"/>
    </row>
    <row r="141" spans="1:38" x14ac:dyDescent="0.2">
      <c r="A141" s="10">
        <v>24320</v>
      </c>
      <c r="B141" s="69"/>
      <c r="C141" s="69"/>
      <c r="D141" s="69"/>
      <c r="E141" s="69">
        <v>3.5</v>
      </c>
      <c r="F141" s="69"/>
      <c r="G141" s="69"/>
      <c r="H141" s="69"/>
      <c r="I141" s="69"/>
      <c r="J141" s="69"/>
      <c r="K141" s="69"/>
      <c r="L141" s="69"/>
      <c r="M141" s="69"/>
      <c r="N141" s="69"/>
      <c r="O141" s="69"/>
      <c r="P141" s="69"/>
      <c r="Q141" s="69"/>
      <c r="R141" s="69"/>
      <c r="S141" s="69"/>
      <c r="T141" s="69"/>
      <c r="U141" s="69">
        <v>1.3</v>
      </c>
      <c r="V141" s="69"/>
      <c r="W141" s="69"/>
      <c r="X141" s="69"/>
      <c r="Y141" s="69"/>
      <c r="Z141" s="69"/>
      <c r="AA141" s="69"/>
      <c r="AB141" s="69"/>
      <c r="AC141" s="69"/>
      <c r="AD141" s="69"/>
      <c r="AE141" s="69"/>
      <c r="AF141" s="69"/>
      <c r="AG141" s="69"/>
      <c r="AH141" s="69"/>
      <c r="AI141" s="69">
        <v>3.8</v>
      </c>
      <c r="AJ141" s="69"/>
      <c r="AK141" s="69"/>
      <c r="AL141" s="69"/>
    </row>
    <row r="142" spans="1:38" x14ac:dyDescent="0.2">
      <c r="A142" s="10">
        <v>24351</v>
      </c>
      <c r="B142" s="69"/>
      <c r="C142" s="69"/>
      <c r="D142" s="69"/>
      <c r="E142" s="69">
        <v>3.6</v>
      </c>
      <c r="F142" s="69"/>
      <c r="G142" s="69"/>
      <c r="H142" s="69"/>
      <c r="I142" s="69"/>
      <c r="J142" s="69"/>
      <c r="K142" s="69"/>
      <c r="L142" s="69"/>
      <c r="M142" s="69"/>
      <c r="N142" s="69"/>
      <c r="O142" s="69"/>
      <c r="P142" s="69"/>
      <c r="Q142" s="69"/>
      <c r="R142" s="69"/>
      <c r="S142" s="69"/>
      <c r="T142" s="69"/>
      <c r="U142" s="69">
        <v>1.4</v>
      </c>
      <c r="V142" s="69"/>
      <c r="W142" s="69"/>
      <c r="X142" s="69"/>
      <c r="Y142" s="69"/>
      <c r="Z142" s="69"/>
      <c r="AA142" s="69"/>
      <c r="AB142" s="69"/>
      <c r="AC142" s="69"/>
      <c r="AD142" s="69"/>
      <c r="AE142" s="69"/>
      <c r="AF142" s="69"/>
      <c r="AG142" s="69"/>
      <c r="AH142" s="69"/>
      <c r="AI142" s="69">
        <v>3.7</v>
      </c>
      <c r="AJ142" s="69"/>
      <c r="AK142" s="69"/>
      <c r="AL142" s="69"/>
    </row>
    <row r="143" spans="1:38" x14ac:dyDescent="0.2">
      <c r="A143" s="10">
        <v>24381</v>
      </c>
      <c r="B143" s="69"/>
      <c r="C143" s="69"/>
      <c r="D143" s="69"/>
      <c r="E143" s="69">
        <v>3.3</v>
      </c>
      <c r="F143" s="69"/>
      <c r="G143" s="69"/>
      <c r="H143" s="69"/>
      <c r="I143" s="69"/>
      <c r="J143" s="69"/>
      <c r="K143" s="69"/>
      <c r="L143" s="69"/>
      <c r="M143" s="69"/>
      <c r="N143" s="69"/>
      <c r="O143" s="69"/>
      <c r="P143" s="69"/>
      <c r="Q143" s="69"/>
      <c r="R143" s="69"/>
      <c r="S143" s="69"/>
      <c r="T143" s="69"/>
      <c r="U143" s="69">
        <v>1.3</v>
      </c>
      <c r="V143" s="69"/>
      <c r="W143" s="69"/>
      <c r="X143" s="69"/>
      <c r="Y143" s="69"/>
      <c r="Z143" s="69"/>
      <c r="AA143" s="69"/>
      <c r="AB143" s="69"/>
      <c r="AC143" s="69"/>
      <c r="AD143" s="69"/>
      <c r="AE143" s="69"/>
      <c r="AF143" s="69"/>
      <c r="AG143" s="69"/>
      <c r="AH143" s="69"/>
      <c r="AI143" s="69">
        <v>3.7</v>
      </c>
      <c r="AJ143" s="69"/>
      <c r="AK143" s="69"/>
      <c r="AL143" s="69"/>
    </row>
    <row r="144" spans="1:38" x14ac:dyDescent="0.2">
      <c r="A144" s="10">
        <v>24412</v>
      </c>
      <c r="B144" s="69"/>
      <c r="C144" s="69"/>
      <c r="D144" s="69"/>
      <c r="E144" s="69">
        <v>3.5</v>
      </c>
      <c r="F144" s="69"/>
      <c r="G144" s="69"/>
      <c r="H144" s="69"/>
      <c r="I144" s="69"/>
      <c r="J144" s="69"/>
      <c r="K144" s="69"/>
      <c r="L144" s="69"/>
      <c r="M144" s="69"/>
      <c r="N144" s="69"/>
      <c r="O144" s="69"/>
      <c r="P144" s="69"/>
      <c r="Q144" s="69"/>
      <c r="R144" s="69"/>
      <c r="S144" s="69"/>
      <c r="T144" s="69"/>
      <c r="U144" s="69">
        <v>1.3</v>
      </c>
      <c r="V144" s="69"/>
      <c r="W144" s="69"/>
      <c r="X144" s="69"/>
      <c r="Y144" s="69"/>
      <c r="Z144" s="69"/>
      <c r="AA144" s="69"/>
      <c r="AB144" s="69"/>
      <c r="AC144" s="69"/>
      <c r="AD144" s="69"/>
      <c r="AE144" s="69"/>
      <c r="AF144" s="69"/>
      <c r="AG144" s="69"/>
      <c r="AH144" s="69"/>
      <c r="AI144" s="69">
        <v>3.6</v>
      </c>
      <c r="AJ144" s="69"/>
      <c r="AK144" s="69"/>
      <c r="AL144" s="69"/>
    </row>
    <row r="145" spans="1:38" x14ac:dyDescent="0.2">
      <c r="A145" s="10">
        <v>24442</v>
      </c>
      <c r="B145" s="69"/>
      <c r="C145" s="69"/>
      <c r="D145" s="69"/>
      <c r="E145" s="69">
        <v>3.4</v>
      </c>
      <c r="F145" s="69"/>
      <c r="G145" s="69"/>
      <c r="H145" s="69"/>
      <c r="I145" s="69"/>
      <c r="J145" s="69"/>
      <c r="K145" s="69"/>
      <c r="L145" s="69"/>
      <c r="M145" s="69"/>
      <c r="N145" s="69"/>
      <c r="O145" s="69"/>
      <c r="P145" s="69"/>
      <c r="Q145" s="69"/>
      <c r="R145" s="69"/>
      <c r="S145" s="69"/>
      <c r="T145" s="69"/>
      <c r="U145" s="69">
        <v>1.2</v>
      </c>
      <c r="V145" s="69"/>
      <c r="W145" s="69"/>
      <c r="X145" s="69"/>
      <c r="Y145" s="69"/>
      <c r="Z145" s="69"/>
      <c r="AA145" s="69"/>
      <c r="AB145" s="69"/>
      <c r="AC145" s="69"/>
      <c r="AD145" s="69"/>
      <c r="AE145" s="69"/>
      <c r="AF145" s="69"/>
      <c r="AG145" s="69"/>
      <c r="AH145" s="69"/>
      <c r="AI145" s="69">
        <v>3.8</v>
      </c>
      <c r="AJ145" s="69"/>
      <c r="AK145" s="69"/>
      <c r="AL145" s="69"/>
    </row>
    <row r="146" spans="1:38" x14ac:dyDescent="0.2">
      <c r="A146" s="10">
        <v>24473</v>
      </c>
      <c r="B146" s="69"/>
      <c r="C146" s="69"/>
      <c r="D146" s="69"/>
      <c r="E146" s="69">
        <v>3.6</v>
      </c>
      <c r="F146" s="69"/>
      <c r="G146" s="69"/>
      <c r="H146" s="69"/>
      <c r="I146" s="69"/>
      <c r="J146" s="69"/>
      <c r="K146" s="69"/>
      <c r="L146" s="69"/>
      <c r="M146" s="69"/>
      <c r="N146" s="69"/>
      <c r="O146" s="69"/>
      <c r="P146" s="69"/>
      <c r="Q146" s="69"/>
      <c r="R146" s="69"/>
      <c r="S146" s="69"/>
      <c r="T146" s="69"/>
      <c r="U146" s="69">
        <v>1.2</v>
      </c>
      <c r="V146" s="69"/>
      <c r="W146" s="69"/>
      <c r="X146" s="69"/>
      <c r="Y146" s="69"/>
      <c r="Z146" s="69"/>
      <c r="AA146" s="69"/>
      <c r="AB146" s="69"/>
      <c r="AC146" s="69"/>
      <c r="AD146" s="69"/>
      <c r="AE146" s="69"/>
      <c r="AF146" s="69"/>
      <c r="AG146" s="69"/>
      <c r="AH146" s="69"/>
      <c r="AI146" s="69">
        <v>3.9</v>
      </c>
      <c r="AJ146" s="69"/>
      <c r="AK146" s="69"/>
      <c r="AL146" s="69"/>
    </row>
    <row r="147" spans="1:38" x14ac:dyDescent="0.2">
      <c r="A147" s="10">
        <v>24504</v>
      </c>
      <c r="B147" s="69"/>
      <c r="C147" s="69"/>
      <c r="D147" s="69"/>
      <c r="E147" s="69">
        <v>3.7</v>
      </c>
      <c r="F147" s="69"/>
      <c r="G147" s="69"/>
      <c r="H147" s="69"/>
      <c r="I147" s="69"/>
      <c r="J147" s="69"/>
      <c r="K147" s="69"/>
      <c r="L147" s="69"/>
      <c r="M147" s="69"/>
      <c r="N147" s="69"/>
      <c r="O147" s="69"/>
      <c r="P147" s="69"/>
      <c r="Q147" s="69"/>
      <c r="R147" s="69"/>
      <c r="S147" s="69"/>
      <c r="T147" s="69"/>
      <c r="U147" s="69">
        <v>1.1000000000000001</v>
      </c>
      <c r="V147" s="69"/>
      <c r="W147" s="69"/>
      <c r="X147" s="69"/>
      <c r="Y147" s="69"/>
      <c r="Z147" s="69"/>
      <c r="AA147" s="69"/>
      <c r="AB147" s="69"/>
      <c r="AC147" s="69"/>
      <c r="AD147" s="69"/>
      <c r="AE147" s="69"/>
      <c r="AF147" s="69"/>
      <c r="AG147" s="69"/>
      <c r="AH147" s="69"/>
      <c r="AI147" s="69">
        <v>3.8</v>
      </c>
      <c r="AJ147" s="69"/>
      <c r="AK147" s="69"/>
      <c r="AL147" s="69"/>
    </row>
    <row r="148" spans="1:38" x14ac:dyDescent="0.2">
      <c r="A148" s="10">
        <v>24532</v>
      </c>
      <c r="B148" s="69"/>
      <c r="C148" s="69"/>
      <c r="D148" s="69"/>
      <c r="E148" s="69">
        <v>3.8</v>
      </c>
      <c r="F148" s="69"/>
      <c r="G148" s="69"/>
      <c r="H148" s="69"/>
      <c r="I148" s="69"/>
      <c r="J148" s="69"/>
      <c r="K148" s="69"/>
      <c r="L148" s="69"/>
      <c r="M148" s="69"/>
      <c r="N148" s="69"/>
      <c r="O148" s="69"/>
      <c r="P148" s="69"/>
      <c r="Q148" s="69"/>
      <c r="R148" s="69"/>
      <c r="S148" s="69"/>
      <c r="T148" s="69"/>
      <c r="U148" s="69">
        <v>1.6</v>
      </c>
      <c r="V148" s="69"/>
      <c r="W148" s="69"/>
      <c r="X148" s="69"/>
      <c r="Y148" s="69"/>
      <c r="Z148" s="69"/>
      <c r="AA148" s="69"/>
      <c r="AB148" s="69"/>
      <c r="AC148" s="69"/>
      <c r="AD148" s="69"/>
      <c r="AE148" s="69"/>
      <c r="AF148" s="69"/>
      <c r="AG148" s="69"/>
      <c r="AH148" s="69"/>
      <c r="AI148" s="69">
        <v>3.8</v>
      </c>
      <c r="AJ148" s="69"/>
      <c r="AK148" s="69"/>
      <c r="AL148" s="69"/>
    </row>
    <row r="149" spans="1:38" x14ac:dyDescent="0.2">
      <c r="A149" s="10">
        <v>24563</v>
      </c>
      <c r="B149" s="69"/>
      <c r="C149" s="69"/>
      <c r="D149" s="69"/>
      <c r="E149" s="69">
        <v>3.9</v>
      </c>
      <c r="F149" s="69"/>
      <c r="G149" s="69"/>
      <c r="H149" s="69"/>
      <c r="I149" s="69"/>
      <c r="J149" s="69"/>
      <c r="K149" s="69"/>
      <c r="L149" s="69"/>
      <c r="M149" s="69"/>
      <c r="N149" s="69"/>
      <c r="O149" s="69"/>
      <c r="P149" s="69"/>
      <c r="Q149" s="69"/>
      <c r="R149" s="69"/>
      <c r="S149" s="69"/>
      <c r="T149" s="69"/>
      <c r="U149" s="69">
        <v>1.3</v>
      </c>
      <c r="V149" s="69"/>
      <c r="W149" s="69"/>
      <c r="X149" s="69"/>
      <c r="Y149" s="69"/>
      <c r="Z149" s="69"/>
      <c r="AA149" s="69"/>
      <c r="AB149" s="69"/>
      <c r="AC149" s="69"/>
      <c r="AD149" s="69"/>
      <c r="AE149" s="69"/>
      <c r="AF149" s="69"/>
      <c r="AG149" s="69"/>
      <c r="AH149" s="69"/>
      <c r="AI149" s="69">
        <v>3.8</v>
      </c>
      <c r="AJ149" s="69"/>
      <c r="AK149" s="69"/>
      <c r="AL149" s="69"/>
    </row>
    <row r="150" spans="1:38" x14ac:dyDescent="0.2">
      <c r="A150" s="10">
        <v>24593</v>
      </c>
      <c r="B150" s="69"/>
      <c r="C150" s="69"/>
      <c r="D150" s="69"/>
      <c r="E150" s="69">
        <v>3.7</v>
      </c>
      <c r="F150" s="69"/>
      <c r="G150" s="69"/>
      <c r="H150" s="69"/>
      <c r="I150" s="69"/>
      <c r="J150" s="69"/>
      <c r="K150" s="69"/>
      <c r="L150" s="69"/>
      <c r="M150" s="69"/>
      <c r="N150" s="69"/>
      <c r="O150" s="69"/>
      <c r="P150" s="69"/>
      <c r="Q150" s="69"/>
      <c r="R150" s="69"/>
      <c r="S150" s="69"/>
      <c r="T150" s="69"/>
      <c r="U150" s="69">
        <v>1.2</v>
      </c>
      <c r="V150" s="69"/>
      <c r="W150" s="69"/>
      <c r="X150" s="69"/>
      <c r="Y150" s="69"/>
      <c r="Z150" s="69"/>
      <c r="AA150" s="69"/>
      <c r="AB150" s="69"/>
      <c r="AC150" s="69"/>
      <c r="AD150" s="69"/>
      <c r="AE150" s="69"/>
      <c r="AF150" s="69"/>
      <c r="AG150" s="69"/>
      <c r="AH150" s="69"/>
      <c r="AI150" s="69">
        <v>3.8</v>
      </c>
      <c r="AJ150" s="69"/>
      <c r="AK150" s="69"/>
      <c r="AL150" s="69"/>
    </row>
    <row r="151" spans="1:38" x14ac:dyDescent="0.2">
      <c r="A151" s="10">
        <v>24624</v>
      </c>
      <c r="B151" s="69"/>
      <c r="C151" s="69"/>
      <c r="D151" s="69"/>
      <c r="E151" s="69">
        <v>3.6</v>
      </c>
      <c r="F151" s="69"/>
      <c r="G151" s="69"/>
      <c r="H151" s="69"/>
      <c r="I151" s="69"/>
      <c r="J151" s="69"/>
      <c r="K151" s="69"/>
      <c r="L151" s="69"/>
      <c r="M151" s="69"/>
      <c r="N151" s="69"/>
      <c r="O151" s="69"/>
      <c r="P151" s="69"/>
      <c r="Q151" s="69"/>
      <c r="R151" s="69"/>
      <c r="S151" s="69"/>
      <c r="T151" s="69"/>
      <c r="U151" s="69">
        <v>1.3</v>
      </c>
      <c r="V151" s="69"/>
      <c r="W151" s="69"/>
      <c r="X151" s="69"/>
      <c r="Y151" s="69"/>
      <c r="Z151" s="69"/>
      <c r="AA151" s="69"/>
      <c r="AB151" s="69"/>
      <c r="AC151" s="69"/>
      <c r="AD151" s="69"/>
      <c r="AE151" s="69"/>
      <c r="AF151" s="69"/>
      <c r="AG151" s="69"/>
      <c r="AH151" s="69"/>
      <c r="AI151" s="69">
        <v>3.9</v>
      </c>
      <c r="AJ151" s="69"/>
      <c r="AK151" s="69"/>
      <c r="AL151" s="69"/>
    </row>
    <row r="152" spans="1:38" x14ac:dyDescent="0.2">
      <c r="A152" s="10">
        <v>24654</v>
      </c>
      <c r="B152" s="69"/>
      <c r="C152" s="69"/>
      <c r="D152" s="69"/>
      <c r="E152" s="69">
        <v>3.7</v>
      </c>
      <c r="F152" s="69"/>
      <c r="G152" s="69"/>
      <c r="H152" s="69"/>
      <c r="I152" s="69"/>
      <c r="J152" s="69"/>
      <c r="K152" s="69"/>
      <c r="L152" s="69"/>
      <c r="M152" s="69"/>
      <c r="N152" s="69"/>
      <c r="O152" s="69"/>
      <c r="P152" s="69"/>
      <c r="Q152" s="69"/>
      <c r="R152" s="69"/>
      <c r="S152" s="69"/>
      <c r="T152" s="69"/>
      <c r="U152" s="69">
        <v>1.2</v>
      </c>
      <c r="V152" s="69"/>
      <c r="W152" s="69"/>
      <c r="X152" s="69"/>
      <c r="Y152" s="69"/>
      <c r="Z152" s="69"/>
      <c r="AA152" s="69"/>
      <c r="AB152" s="69"/>
      <c r="AC152" s="69"/>
      <c r="AD152" s="69"/>
      <c r="AE152" s="69"/>
      <c r="AF152" s="69"/>
      <c r="AG152" s="69"/>
      <c r="AH152" s="69"/>
      <c r="AI152" s="69">
        <v>3.8</v>
      </c>
      <c r="AJ152" s="69"/>
      <c r="AK152" s="69"/>
      <c r="AL152" s="69"/>
    </row>
    <row r="153" spans="1:38" x14ac:dyDescent="0.2">
      <c r="A153" s="10">
        <v>24685</v>
      </c>
      <c r="B153" s="69"/>
      <c r="C153" s="69"/>
      <c r="D153" s="69"/>
      <c r="E153" s="69">
        <v>3.6</v>
      </c>
      <c r="F153" s="69"/>
      <c r="G153" s="69"/>
      <c r="H153" s="69"/>
      <c r="I153" s="69"/>
      <c r="J153" s="69"/>
      <c r="K153" s="69"/>
      <c r="L153" s="69"/>
      <c r="M153" s="69"/>
      <c r="N153" s="69"/>
      <c r="O153" s="69"/>
      <c r="P153" s="69"/>
      <c r="Q153" s="69"/>
      <c r="R153" s="69"/>
      <c r="S153" s="69"/>
      <c r="T153" s="69"/>
      <c r="U153" s="69">
        <v>1.2</v>
      </c>
      <c r="V153" s="69"/>
      <c r="W153" s="69"/>
      <c r="X153" s="69"/>
      <c r="Y153" s="69"/>
      <c r="Z153" s="69"/>
      <c r="AA153" s="69"/>
      <c r="AB153" s="69"/>
      <c r="AC153" s="69"/>
      <c r="AD153" s="69"/>
      <c r="AE153" s="69"/>
      <c r="AF153" s="69"/>
      <c r="AG153" s="69"/>
      <c r="AH153" s="69"/>
      <c r="AI153" s="69">
        <v>3.8</v>
      </c>
      <c r="AJ153" s="69"/>
      <c r="AK153" s="69"/>
      <c r="AL153" s="69"/>
    </row>
    <row r="154" spans="1:38" x14ac:dyDescent="0.2">
      <c r="A154" s="10">
        <v>24716</v>
      </c>
      <c r="B154" s="69"/>
      <c r="C154" s="69"/>
      <c r="D154" s="69"/>
      <c r="E154" s="69">
        <v>3.7</v>
      </c>
      <c r="F154" s="69"/>
      <c r="G154" s="69"/>
      <c r="H154" s="69"/>
      <c r="I154" s="69"/>
      <c r="J154" s="69"/>
      <c r="K154" s="69"/>
      <c r="L154" s="69"/>
      <c r="M154" s="69"/>
      <c r="N154" s="69"/>
      <c r="O154" s="69"/>
      <c r="P154" s="69"/>
      <c r="Q154" s="69"/>
      <c r="R154" s="69"/>
      <c r="S154" s="69"/>
      <c r="T154" s="69"/>
      <c r="U154" s="69">
        <v>1.1000000000000001</v>
      </c>
      <c r="V154" s="69"/>
      <c r="W154" s="69"/>
      <c r="X154" s="69"/>
      <c r="Y154" s="69"/>
      <c r="Z154" s="69"/>
      <c r="AA154" s="69"/>
      <c r="AB154" s="69"/>
      <c r="AC154" s="69"/>
      <c r="AD154" s="69"/>
      <c r="AE154" s="69"/>
      <c r="AF154" s="69"/>
      <c r="AG154" s="69"/>
      <c r="AH154" s="69"/>
      <c r="AI154" s="69">
        <v>3.8</v>
      </c>
      <c r="AJ154" s="69"/>
      <c r="AK154" s="69"/>
      <c r="AL154" s="69"/>
    </row>
    <row r="155" spans="1:38" x14ac:dyDescent="0.2">
      <c r="A155" s="10">
        <v>24746</v>
      </c>
      <c r="B155" s="69"/>
      <c r="C155" s="69"/>
      <c r="D155" s="69"/>
      <c r="E155" s="69">
        <v>4.0999999999999996</v>
      </c>
      <c r="F155" s="69"/>
      <c r="G155" s="69"/>
      <c r="H155" s="69"/>
      <c r="I155" s="69"/>
      <c r="J155" s="69"/>
      <c r="K155" s="69"/>
      <c r="L155" s="69"/>
      <c r="M155" s="69"/>
      <c r="N155" s="69"/>
      <c r="O155" s="69"/>
      <c r="P155" s="69"/>
      <c r="Q155" s="69"/>
      <c r="R155" s="69"/>
      <c r="S155" s="69"/>
      <c r="T155" s="69"/>
      <c r="U155" s="69">
        <v>1.2</v>
      </c>
      <c r="V155" s="69"/>
      <c r="W155" s="69"/>
      <c r="X155" s="69"/>
      <c r="Y155" s="69"/>
      <c r="Z155" s="69"/>
      <c r="AA155" s="69"/>
      <c r="AB155" s="69"/>
      <c r="AC155" s="69"/>
      <c r="AD155" s="69"/>
      <c r="AE155" s="69"/>
      <c r="AF155" s="69"/>
      <c r="AG155" s="69"/>
      <c r="AH155" s="69"/>
      <c r="AI155" s="69">
        <v>4</v>
      </c>
      <c r="AJ155" s="69"/>
      <c r="AK155" s="69"/>
      <c r="AL155" s="69"/>
    </row>
    <row r="156" spans="1:38" x14ac:dyDescent="0.2">
      <c r="A156" s="10">
        <v>24777</v>
      </c>
      <c r="B156" s="69"/>
      <c r="C156" s="69"/>
      <c r="D156" s="69"/>
      <c r="E156" s="69">
        <v>4</v>
      </c>
      <c r="F156" s="69"/>
      <c r="G156" s="69"/>
      <c r="H156" s="69"/>
      <c r="I156" s="69"/>
      <c r="J156" s="69"/>
      <c r="K156" s="69"/>
      <c r="L156" s="69"/>
      <c r="M156" s="69"/>
      <c r="N156" s="69"/>
      <c r="O156" s="69"/>
      <c r="P156" s="69"/>
      <c r="Q156" s="69"/>
      <c r="R156" s="69"/>
      <c r="S156" s="69"/>
      <c r="T156" s="69"/>
      <c r="U156" s="69">
        <v>1.3</v>
      </c>
      <c r="V156" s="69"/>
      <c r="W156" s="69"/>
      <c r="X156" s="69"/>
      <c r="Y156" s="69"/>
      <c r="Z156" s="69"/>
      <c r="AA156" s="69"/>
      <c r="AB156" s="69"/>
      <c r="AC156" s="69"/>
      <c r="AD156" s="69"/>
      <c r="AE156" s="69"/>
      <c r="AF156" s="69"/>
      <c r="AG156" s="69"/>
      <c r="AH156" s="69"/>
      <c r="AI156" s="69">
        <v>3.9</v>
      </c>
      <c r="AJ156" s="69"/>
      <c r="AK156" s="69"/>
      <c r="AL156" s="69"/>
    </row>
    <row r="157" spans="1:38" x14ac:dyDescent="0.2">
      <c r="A157" s="10">
        <v>24807</v>
      </c>
      <c r="B157" s="69"/>
      <c r="C157" s="69"/>
      <c r="D157" s="69"/>
      <c r="E157" s="69">
        <v>4.4000000000000004</v>
      </c>
      <c r="F157" s="69"/>
      <c r="G157" s="69"/>
      <c r="H157" s="69"/>
      <c r="I157" s="69"/>
      <c r="J157" s="69"/>
      <c r="K157" s="69"/>
      <c r="L157" s="69"/>
      <c r="M157" s="69"/>
      <c r="N157" s="69"/>
      <c r="O157" s="69"/>
      <c r="P157" s="69"/>
      <c r="Q157" s="69"/>
      <c r="R157" s="69"/>
      <c r="S157" s="69"/>
      <c r="T157" s="69"/>
      <c r="U157" s="69">
        <v>1.3</v>
      </c>
      <c r="V157" s="69"/>
      <c r="W157" s="69"/>
      <c r="X157" s="69"/>
      <c r="Y157" s="69"/>
      <c r="Z157" s="69"/>
      <c r="AA157" s="69"/>
      <c r="AB157" s="69"/>
      <c r="AC157" s="69"/>
      <c r="AD157" s="69"/>
      <c r="AE157" s="69"/>
      <c r="AF157" s="69"/>
      <c r="AG157" s="69"/>
      <c r="AH157" s="69"/>
      <c r="AI157" s="69">
        <v>3.8</v>
      </c>
      <c r="AJ157" s="69"/>
      <c r="AK157" s="69"/>
      <c r="AL157" s="69"/>
    </row>
    <row r="158" spans="1:38" x14ac:dyDescent="0.2">
      <c r="A158" s="10">
        <v>24838</v>
      </c>
      <c r="B158" s="69"/>
      <c r="C158" s="69"/>
      <c r="D158" s="69"/>
      <c r="E158" s="69">
        <v>4.3</v>
      </c>
      <c r="F158" s="69"/>
      <c r="G158" s="69"/>
      <c r="H158" s="69"/>
      <c r="I158" s="69"/>
      <c r="J158" s="69"/>
      <c r="K158" s="69"/>
      <c r="L158" s="69"/>
      <c r="M158" s="69"/>
      <c r="N158" s="69"/>
      <c r="O158" s="69"/>
      <c r="P158" s="69"/>
      <c r="Q158" s="69"/>
      <c r="R158" s="69"/>
      <c r="S158" s="69"/>
      <c r="T158" s="69"/>
      <c r="U158" s="69">
        <v>1.3</v>
      </c>
      <c r="V158" s="69"/>
      <c r="W158" s="69"/>
      <c r="X158" s="69"/>
      <c r="Y158" s="69"/>
      <c r="Z158" s="69"/>
      <c r="AA158" s="69"/>
      <c r="AB158" s="69"/>
      <c r="AC158" s="69"/>
      <c r="AD158" s="69"/>
      <c r="AE158" s="69"/>
      <c r="AF158" s="69"/>
      <c r="AG158" s="69"/>
      <c r="AH158" s="69"/>
      <c r="AI158" s="69">
        <v>3.7</v>
      </c>
      <c r="AJ158" s="69"/>
      <c r="AK158" s="69"/>
      <c r="AL158" s="69"/>
    </row>
    <row r="159" spans="1:38" x14ac:dyDescent="0.2">
      <c r="A159" s="10">
        <v>24869</v>
      </c>
      <c r="B159" s="69"/>
      <c r="C159" s="69"/>
      <c r="D159" s="69"/>
      <c r="E159" s="69">
        <v>4.4000000000000004</v>
      </c>
      <c r="F159" s="69"/>
      <c r="G159" s="69"/>
      <c r="H159" s="69"/>
      <c r="I159" s="69"/>
      <c r="J159" s="69"/>
      <c r="K159" s="69"/>
      <c r="L159" s="69"/>
      <c r="M159" s="69"/>
      <c r="N159" s="69"/>
      <c r="O159" s="69"/>
      <c r="P159" s="69"/>
      <c r="Q159" s="69"/>
      <c r="R159" s="69"/>
      <c r="S159" s="69"/>
      <c r="T159" s="69"/>
      <c r="U159" s="69">
        <v>1.3</v>
      </c>
      <c r="V159" s="69"/>
      <c r="W159" s="69"/>
      <c r="X159" s="69"/>
      <c r="Y159" s="69"/>
      <c r="Z159" s="69"/>
      <c r="AA159" s="69"/>
      <c r="AB159" s="69"/>
      <c r="AC159" s="69"/>
      <c r="AD159" s="69"/>
      <c r="AE159" s="69"/>
      <c r="AF159" s="69"/>
      <c r="AG159" s="69"/>
      <c r="AH159" s="69"/>
      <c r="AI159" s="69">
        <v>3.8</v>
      </c>
      <c r="AJ159" s="69"/>
      <c r="AK159" s="69"/>
      <c r="AL159" s="69"/>
    </row>
    <row r="160" spans="1:38" x14ac:dyDescent="0.2">
      <c r="A160" s="10">
        <v>24898</v>
      </c>
      <c r="B160" s="69"/>
      <c r="C160" s="69"/>
      <c r="D160" s="69"/>
      <c r="E160" s="69">
        <v>4.5999999999999996</v>
      </c>
      <c r="F160" s="69"/>
      <c r="G160" s="69"/>
      <c r="H160" s="69"/>
      <c r="I160" s="69"/>
      <c r="J160" s="69"/>
      <c r="K160" s="69"/>
      <c r="L160" s="69"/>
      <c r="M160" s="69"/>
      <c r="N160" s="69"/>
      <c r="O160" s="69"/>
      <c r="P160" s="69"/>
      <c r="Q160" s="69"/>
      <c r="R160" s="69"/>
      <c r="S160" s="69"/>
      <c r="T160" s="69"/>
      <c r="U160" s="69">
        <v>1.2</v>
      </c>
      <c r="V160" s="69"/>
      <c r="W160" s="69"/>
      <c r="X160" s="69"/>
      <c r="Y160" s="69"/>
      <c r="Z160" s="69"/>
      <c r="AA160" s="69"/>
      <c r="AB160" s="69"/>
      <c r="AC160" s="69"/>
      <c r="AD160" s="69"/>
      <c r="AE160" s="69"/>
      <c r="AF160" s="69"/>
      <c r="AG160" s="69"/>
      <c r="AH160" s="69"/>
      <c r="AI160" s="69">
        <v>3.7</v>
      </c>
      <c r="AJ160" s="69"/>
      <c r="AK160" s="69"/>
      <c r="AL160" s="69"/>
    </row>
    <row r="161" spans="1:38" x14ac:dyDescent="0.2">
      <c r="A161" s="10">
        <v>24929</v>
      </c>
      <c r="B161" s="69"/>
      <c r="C161" s="69"/>
      <c r="D161" s="69"/>
      <c r="E161" s="69">
        <v>4.5</v>
      </c>
      <c r="F161" s="69"/>
      <c r="G161" s="69"/>
      <c r="H161" s="69"/>
      <c r="I161" s="69"/>
      <c r="J161" s="69"/>
      <c r="K161" s="69"/>
      <c r="L161" s="69"/>
      <c r="M161" s="69"/>
      <c r="N161" s="69"/>
      <c r="O161" s="69"/>
      <c r="P161" s="69"/>
      <c r="Q161" s="69"/>
      <c r="R161" s="69"/>
      <c r="S161" s="69"/>
      <c r="T161" s="69"/>
      <c r="U161" s="69">
        <v>1.2</v>
      </c>
      <c r="V161" s="69"/>
      <c r="W161" s="69"/>
      <c r="X161" s="69"/>
      <c r="Y161" s="69"/>
      <c r="Z161" s="69"/>
      <c r="AA161" s="69"/>
      <c r="AB161" s="69"/>
      <c r="AC161" s="69"/>
      <c r="AD161" s="69"/>
      <c r="AE161" s="69"/>
      <c r="AF161" s="69"/>
      <c r="AG161" s="69"/>
      <c r="AH161" s="69"/>
      <c r="AI161" s="69">
        <v>3.5</v>
      </c>
      <c r="AJ161" s="69"/>
      <c r="AK161" s="69"/>
      <c r="AL161" s="69"/>
    </row>
    <row r="162" spans="1:38" x14ac:dyDescent="0.2">
      <c r="A162" s="10">
        <v>24959</v>
      </c>
      <c r="B162" s="69"/>
      <c r="C162" s="69"/>
      <c r="D162" s="69"/>
      <c r="E162" s="69">
        <v>4.4000000000000004</v>
      </c>
      <c r="F162" s="69"/>
      <c r="G162" s="69"/>
      <c r="H162" s="69"/>
      <c r="I162" s="69"/>
      <c r="J162" s="69"/>
      <c r="K162" s="69"/>
      <c r="L162" s="69"/>
      <c r="M162" s="69"/>
      <c r="N162" s="69"/>
      <c r="O162" s="69"/>
      <c r="P162" s="69"/>
      <c r="Q162" s="69"/>
      <c r="R162" s="69"/>
      <c r="S162" s="69"/>
      <c r="T162" s="69"/>
      <c r="U162" s="69">
        <v>1.2</v>
      </c>
      <c r="V162" s="69"/>
      <c r="W162" s="69"/>
      <c r="X162" s="69"/>
      <c r="Y162" s="69"/>
      <c r="Z162" s="69"/>
      <c r="AA162" s="69"/>
      <c r="AB162" s="69"/>
      <c r="AC162" s="69"/>
      <c r="AD162" s="69"/>
      <c r="AE162" s="69"/>
      <c r="AF162" s="69"/>
      <c r="AG162" s="69"/>
      <c r="AH162" s="69"/>
      <c r="AI162" s="69">
        <v>3.5</v>
      </c>
      <c r="AJ162" s="69"/>
      <c r="AK162" s="69"/>
      <c r="AL162" s="69"/>
    </row>
    <row r="163" spans="1:38" x14ac:dyDescent="0.2">
      <c r="A163" s="10">
        <v>24990</v>
      </c>
      <c r="B163" s="69"/>
      <c r="C163" s="69"/>
      <c r="D163" s="69"/>
      <c r="E163" s="69">
        <v>4.7</v>
      </c>
      <c r="F163" s="69"/>
      <c r="G163" s="69"/>
      <c r="H163" s="69"/>
      <c r="I163" s="69"/>
      <c r="J163" s="69"/>
      <c r="K163" s="69"/>
      <c r="L163" s="69"/>
      <c r="M163" s="69"/>
      <c r="N163" s="69"/>
      <c r="O163" s="69"/>
      <c r="P163" s="69"/>
      <c r="Q163" s="69"/>
      <c r="R163" s="69"/>
      <c r="S163" s="69"/>
      <c r="T163" s="69"/>
      <c r="U163" s="69">
        <v>1.1000000000000001</v>
      </c>
      <c r="V163" s="69"/>
      <c r="W163" s="69"/>
      <c r="X163" s="69"/>
      <c r="Y163" s="69"/>
      <c r="Z163" s="69"/>
      <c r="AA163" s="69"/>
      <c r="AB163" s="69"/>
      <c r="AC163" s="69"/>
      <c r="AD163" s="69"/>
      <c r="AE163" s="69"/>
      <c r="AF163" s="69"/>
      <c r="AG163" s="69"/>
      <c r="AH163" s="69"/>
      <c r="AI163" s="69">
        <v>3.7</v>
      </c>
      <c r="AJ163" s="69"/>
      <c r="AK163" s="69"/>
      <c r="AL163" s="69"/>
    </row>
    <row r="164" spans="1:38" x14ac:dyDescent="0.2">
      <c r="A164" s="10">
        <v>25020</v>
      </c>
      <c r="B164" s="69"/>
      <c r="C164" s="69"/>
      <c r="D164" s="69"/>
      <c r="E164" s="69">
        <v>4.7</v>
      </c>
      <c r="F164" s="69"/>
      <c r="G164" s="69"/>
      <c r="H164" s="69"/>
      <c r="I164" s="69"/>
      <c r="J164" s="69"/>
      <c r="K164" s="69"/>
      <c r="L164" s="69"/>
      <c r="M164" s="69"/>
      <c r="N164" s="69"/>
      <c r="O164" s="69"/>
      <c r="P164" s="69"/>
      <c r="Q164" s="69"/>
      <c r="R164" s="69"/>
      <c r="S164" s="69"/>
      <c r="T164" s="69"/>
      <c r="U164" s="69">
        <v>1.3</v>
      </c>
      <c r="V164" s="69"/>
      <c r="W164" s="69"/>
      <c r="X164" s="69"/>
      <c r="Y164" s="69"/>
      <c r="Z164" s="69"/>
      <c r="AA164" s="69"/>
      <c r="AB164" s="69"/>
      <c r="AC164" s="69"/>
      <c r="AD164" s="69"/>
      <c r="AE164" s="69"/>
      <c r="AF164" s="69"/>
      <c r="AG164" s="69"/>
      <c r="AH164" s="69"/>
      <c r="AI164" s="69">
        <v>3.7</v>
      </c>
      <c r="AJ164" s="69"/>
      <c r="AK164" s="69"/>
      <c r="AL164" s="69"/>
    </row>
    <row r="165" spans="1:38" x14ac:dyDescent="0.2">
      <c r="A165" s="10">
        <v>25051</v>
      </c>
      <c r="B165" s="69"/>
      <c r="C165" s="69"/>
      <c r="D165" s="69"/>
      <c r="E165" s="69">
        <v>4.5999999999999996</v>
      </c>
      <c r="F165" s="69"/>
      <c r="G165" s="69"/>
      <c r="H165" s="69"/>
      <c r="I165" s="69"/>
      <c r="J165" s="69"/>
      <c r="K165" s="69"/>
      <c r="L165" s="69"/>
      <c r="M165" s="69"/>
      <c r="N165" s="69"/>
      <c r="O165" s="69"/>
      <c r="P165" s="69"/>
      <c r="Q165" s="69"/>
      <c r="R165" s="69"/>
      <c r="S165" s="69"/>
      <c r="T165" s="69"/>
      <c r="U165" s="69">
        <v>1.2</v>
      </c>
      <c r="V165" s="69"/>
      <c r="W165" s="69"/>
      <c r="X165" s="69"/>
      <c r="Y165" s="69"/>
      <c r="Z165" s="69"/>
      <c r="AA165" s="69"/>
      <c r="AB165" s="69"/>
      <c r="AC165" s="69"/>
      <c r="AD165" s="69"/>
      <c r="AE165" s="69"/>
      <c r="AF165" s="69"/>
      <c r="AG165" s="69"/>
      <c r="AH165" s="69"/>
      <c r="AI165" s="69">
        <v>3.5</v>
      </c>
      <c r="AJ165" s="69"/>
      <c r="AK165" s="69"/>
      <c r="AL165" s="69"/>
    </row>
    <row r="166" spans="1:38" x14ac:dyDescent="0.2">
      <c r="A166" s="10">
        <v>25082</v>
      </c>
      <c r="B166" s="69"/>
      <c r="C166" s="69"/>
      <c r="D166" s="69"/>
      <c r="E166" s="69">
        <v>4.3</v>
      </c>
      <c r="F166" s="69"/>
      <c r="G166" s="69"/>
      <c r="H166" s="69"/>
      <c r="I166" s="69"/>
      <c r="J166" s="69"/>
      <c r="K166" s="69"/>
      <c r="L166" s="69"/>
      <c r="M166" s="69"/>
      <c r="N166" s="69"/>
      <c r="O166" s="69"/>
      <c r="P166" s="69"/>
      <c r="Q166" s="69"/>
      <c r="R166" s="69"/>
      <c r="S166" s="69"/>
      <c r="T166" s="69"/>
      <c r="U166" s="69">
        <v>1.1000000000000001</v>
      </c>
      <c r="V166" s="69"/>
      <c r="W166" s="69"/>
      <c r="X166" s="69"/>
      <c r="Y166" s="69"/>
      <c r="Z166" s="69"/>
      <c r="AA166" s="69"/>
      <c r="AB166" s="69"/>
      <c r="AC166" s="69"/>
      <c r="AD166" s="69"/>
      <c r="AE166" s="69"/>
      <c r="AF166" s="69"/>
      <c r="AG166" s="69"/>
      <c r="AH166" s="69"/>
      <c r="AI166" s="69">
        <v>3.4</v>
      </c>
      <c r="AJ166" s="69"/>
      <c r="AK166" s="69"/>
      <c r="AL166" s="69"/>
    </row>
    <row r="167" spans="1:38" x14ac:dyDescent="0.2">
      <c r="A167" s="10">
        <v>25112</v>
      </c>
      <c r="B167" s="69"/>
      <c r="C167" s="69"/>
      <c r="D167" s="69"/>
      <c r="E167" s="69">
        <v>4.4000000000000004</v>
      </c>
      <c r="F167" s="69"/>
      <c r="G167" s="69"/>
      <c r="H167" s="69"/>
      <c r="I167" s="69"/>
      <c r="J167" s="69"/>
      <c r="K167" s="69"/>
      <c r="L167" s="69"/>
      <c r="M167" s="69"/>
      <c r="N167" s="69"/>
      <c r="O167" s="69"/>
      <c r="P167" s="69"/>
      <c r="Q167" s="69"/>
      <c r="R167" s="69"/>
      <c r="S167" s="69"/>
      <c r="T167" s="69"/>
      <c r="U167" s="69">
        <v>1.1000000000000001</v>
      </c>
      <c r="V167" s="69"/>
      <c r="W167" s="69"/>
      <c r="X167" s="69"/>
      <c r="Y167" s="69"/>
      <c r="Z167" s="69"/>
      <c r="AA167" s="69"/>
      <c r="AB167" s="69"/>
      <c r="AC167" s="69"/>
      <c r="AD167" s="69"/>
      <c r="AE167" s="69"/>
      <c r="AF167" s="69"/>
      <c r="AG167" s="69"/>
      <c r="AH167" s="69"/>
      <c r="AI167" s="69">
        <v>3.4</v>
      </c>
      <c r="AJ167" s="69"/>
      <c r="AK167" s="69"/>
      <c r="AL167" s="69"/>
    </row>
    <row r="168" spans="1:38" x14ac:dyDescent="0.2">
      <c r="A168" s="10">
        <v>25143</v>
      </c>
      <c r="B168" s="69"/>
      <c r="C168" s="69"/>
      <c r="D168" s="69"/>
      <c r="E168" s="69">
        <v>4.5</v>
      </c>
      <c r="F168" s="69"/>
      <c r="G168" s="69"/>
      <c r="H168" s="69"/>
      <c r="I168" s="69"/>
      <c r="J168" s="69"/>
      <c r="K168" s="69"/>
      <c r="L168" s="69"/>
      <c r="M168" s="69"/>
      <c r="N168" s="69"/>
      <c r="O168" s="69"/>
      <c r="P168" s="69"/>
      <c r="Q168" s="69"/>
      <c r="R168" s="69"/>
      <c r="S168" s="69"/>
      <c r="T168" s="69"/>
      <c r="U168" s="69">
        <v>1</v>
      </c>
      <c r="V168" s="69"/>
      <c r="W168" s="69"/>
      <c r="X168" s="69"/>
      <c r="Y168" s="69"/>
      <c r="Z168" s="69"/>
      <c r="AA168" s="69"/>
      <c r="AB168" s="69"/>
      <c r="AC168" s="69"/>
      <c r="AD168" s="69"/>
      <c r="AE168" s="69"/>
      <c r="AF168" s="69"/>
      <c r="AG168" s="69"/>
      <c r="AH168" s="69"/>
      <c r="AI168" s="69">
        <v>3.4</v>
      </c>
      <c r="AJ168" s="69"/>
      <c r="AK168" s="69"/>
      <c r="AL168" s="69"/>
    </row>
    <row r="169" spans="1:38" x14ac:dyDescent="0.2">
      <c r="A169" s="10">
        <v>25173</v>
      </c>
      <c r="B169" s="69"/>
      <c r="C169" s="69"/>
      <c r="D169" s="69"/>
      <c r="E169" s="69">
        <v>4.5</v>
      </c>
      <c r="F169" s="69"/>
      <c r="G169" s="69"/>
      <c r="H169" s="69"/>
      <c r="I169" s="69"/>
      <c r="J169" s="69"/>
      <c r="K169" s="69"/>
      <c r="L169" s="69"/>
      <c r="M169" s="69"/>
      <c r="N169" s="69"/>
      <c r="O169" s="69"/>
      <c r="P169" s="69"/>
      <c r="Q169" s="69"/>
      <c r="R169" s="69"/>
      <c r="S169" s="69"/>
      <c r="T169" s="69"/>
      <c r="U169" s="69">
        <v>1.1000000000000001</v>
      </c>
      <c r="V169" s="69"/>
      <c r="W169" s="69"/>
      <c r="X169" s="69"/>
      <c r="Y169" s="69"/>
      <c r="Z169" s="69"/>
      <c r="AA169" s="69"/>
      <c r="AB169" s="69"/>
      <c r="AC169" s="69"/>
      <c r="AD169" s="69"/>
      <c r="AE169" s="69"/>
      <c r="AF169" s="69"/>
      <c r="AG169" s="69"/>
      <c r="AH169" s="69"/>
      <c r="AI169" s="69">
        <v>3.4</v>
      </c>
      <c r="AJ169" s="69"/>
      <c r="AK169" s="69"/>
      <c r="AL169" s="69"/>
    </row>
    <row r="170" spans="1:38" x14ac:dyDescent="0.2">
      <c r="A170" s="10">
        <v>25204</v>
      </c>
      <c r="B170" s="69"/>
      <c r="C170" s="69"/>
      <c r="D170" s="69"/>
      <c r="E170" s="69">
        <v>4.3</v>
      </c>
      <c r="F170" s="69"/>
      <c r="G170" s="69"/>
      <c r="H170" s="69"/>
      <c r="I170" s="69"/>
      <c r="J170" s="69"/>
      <c r="K170" s="69"/>
      <c r="L170" s="69"/>
      <c r="M170" s="69"/>
      <c r="N170" s="69"/>
      <c r="O170" s="69"/>
      <c r="P170" s="69"/>
      <c r="Q170" s="69"/>
      <c r="R170" s="69"/>
      <c r="S170" s="69"/>
      <c r="T170" s="69"/>
      <c r="U170" s="69">
        <v>1.1000000000000001</v>
      </c>
      <c r="V170" s="69"/>
      <c r="W170" s="69"/>
      <c r="X170" s="69"/>
      <c r="Y170" s="69"/>
      <c r="Z170" s="69"/>
      <c r="AA170" s="69"/>
      <c r="AB170" s="69"/>
      <c r="AC170" s="69"/>
      <c r="AD170" s="69"/>
      <c r="AE170" s="69"/>
      <c r="AF170" s="69"/>
      <c r="AG170" s="69"/>
      <c r="AH170" s="69"/>
      <c r="AI170" s="69">
        <v>3.4</v>
      </c>
      <c r="AJ170" s="69"/>
      <c r="AK170" s="69"/>
      <c r="AL170" s="69"/>
    </row>
    <row r="171" spans="1:38" x14ac:dyDescent="0.2">
      <c r="A171" s="10">
        <v>25235</v>
      </c>
      <c r="B171" s="69"/>
      <c r="C171" s="69"/>
      <c r="D171" s="69"/>
      <c r="E171" s="69">
        <v>4.3</v>
      </c>
      <c r="F171" s="69"/>
      <c r="G171" s="69"/>
      <c r="H171" s="69"/>
      <c r="I171" s="69"/>
      <c r="J171" s="69"/>
      <c r="K171" s="69"/>
      <c r="L171" s="69"/>
      <c r="M171" s="69"/>
      <c r="N171" s="69"/>
      <c r="O171" s="69"/>
      <c r="P171" s="69"/>
      <c r="Q171" s="69"/>
      <c r="R171" s="69"/>
      <c r="S171" s="69"/>
      <c r="T171" s="69"/>
      <c r="U171" s="69">
        <v>1.2</v>
      </c>
      <c r="V171" s="69"/>
      <c r="W171" s="69"/>
      <c r="X171" s="69"/>
      <c r="Y171" s="69"/>
      <c r="Z171" s="69"/>
      <c r="AA171" s="69"/>
      <c r="AB171" s="69"/>
      <c r="AC171" s="69"/>
      <c r="AD171" s="69"/>
      <c r="AE171" s="69"/>
      <c r="AF171" s="69"/>
      <c r="AG171" s="69"/>
      <c r="AH171" s="69"/>
      <c r="AI171" s="69">
        <v>3.4</v>
      </c>
      <c r="AJ171" s="69"/>
      <c r="AK171" s="69"/>
      <c r="AL171" s="69"/>
    </row>
    <row r="172" spans="1:38" x14ac:dyDescent="0.2">
      <c r="A172" s="10">
        <v>25263</v>
      </c>
      <c r="B172" s="69"/>
      <c r="C172" s="69"/>
      <c r="D172" s="69"/>
      <c r="E172" s="69">
        <v>4.2</v>
      </c>
      <c r="F172" s="69"/>
      <c r="G172" s="69"/>
      <c r="H172" s="69"/>
      <c r="I172" s="69"/>
      <c r="J172" s="69"/>
      <c r="K172" s="69"/>
      <c r="L172" s="69"/>
      <c r="M172" s="69"/>
      <c r="N172" s="69"/>
      <c r="O172" s="69"/>
      <c r="P172" s="69"/>
      <c r="Q172" s="69"/>
      <c r="R172" s="69"/>
      <c r="S172" s="69"/>
      <c r="T172" s="69"/>
      <c r="U172" s="69">
        <v>1.1000000000000001</v>
      </c>
      <c r="V172" s="69"/>
      <c r="W172" s="69"/>
      <c r="X172" s="69"/>
      <c r="Y172" s="69"/>
      <c r="Z172" s="69"/>
      <c r="AA172" s="69"/>
      <c r="AB172" s="69"/>
      <c r="AC172" s="69"/>
      <c r="AD172" s="69"/>
      <c r="AE172" s="69"/>
      <c r="AF172" s="69"/>
      <c r="AG172" s="69"/>
      <c r="AH172" s="69"/>
      <c r="AI172" s="69">
        <v>3.4</v>
      </c>
      <c r="AJ172" s="69"/>
      <c r="AK172" s="69"/>
      <c r="AL172" s="69"/>
    </row>
    <row r="173" spans="1:38" x14ac:dyDescent="0.2">
      <c r="A173" s="10">
        <v>25294</v>
      </c>
      <c r="B173" s="69"/>
      <c r="C173" s="69"/>
      <c r="D173" s="69"/>
      <c r="E173" s="69">
        <v>4.3</v>
      </c>
      <c r="F173" s="69"/>
      <c r="G173" s="69"/>
      <c r="H173" s="69"/>
      <c r="I173" s="69"/>
      <c r="J173" s="69"/>
      <c r="K173" s="69"/>
      <c r="L173" s="69"/>
      <c r="M173" s="69"/>
      <c r="N173" s="69"/>
      <c r="O173" s="69"/>
      <c r="P173" s="69"/>
      <c r="Q173" s="69"/>
      <c r="R173" s="69"/>
      <c r="S173" s="69"/>
      <c r="T173" s="69"/>
      <c r="U173" s="69">
        <v>1.1000000000000001</v>
      </c>
      <c r="V173" s="69"/>
      <c r="W173" s="69"/>
      <c r="X173" s="69"/>
      <c r="Y173" s="69"/>
      <c r="Z173" s="69"/>
      <c r="AA173" s="69"/>
      <c r="AB173" s="69"/>
      <c r="AC173" s="69"/>
      <c r="AD173" s="69"/>
      <c r="AE173" s="69"/>
      <c r="AF173" s="69"/>
      <c r="AG173" s="69"/>
      <c r="AH173" s="69"/>
      <c r="AI173" s="69">
        <v>3.4</v>
      </c>
      <c r="AJ173" s="69"/>
      <c r="AK173" s="69"/>
      <c r="AL173" s="69"/>
    </row>
    <row r="174" spans="1:38" x14ac:dyDescent="0.2">
      <c r="A174" s="10">
        <v>25324</v>
      </c>
      <c r="B174" s="69"/>
      <c r="C174" s="69"/>
      <c r="D174" s="69"/>
      <c r="E174" s="69">
        <v>4.4000000000000004</v>
      </c>
      <c r="F174" s="69"/>
      <c r="G174" s="69"/>
      <c r="H174" s="69"/>
      <c r="I174" s="69"/>
      <c r="J174" s="69"/>
      <c r="K174" s="69"/>
      <c r="L174" s="69"/>
      <c r="M174" s="69"/>
      <c r="N174" s="69"/>
      <c r="O174" s="69"/>
      <c r="P174" s="69"/>
      <c r="Q174" s="69"/>
      <c r="R174" s="69"/>
      <c r="S174" s="69"/>
      <c r="T174" s="69"/>
      <c r="U174" s="69">
        <v>1.2</v>
      </c>
      <c r="V174" s="69"/>
      <c r="W174" s="69"/>
      <c r="X174" s="69"/>
      <c r="Y174" s="69"/>
      <c r="Z174" s="69"/>
      <c r="AA174" s="69"/>
      <c r="AB174" s="69"/>
      <c r="AC174" s="69"/>
      <c r="AD174" s="69"/>
      <c r="AE174" s="69"/>
      <c r="AF174" s="69"/>
      <c r="AG174" s="69"/>
      <c r="AH174" s="69"/>
      <c r="AI174" s="69">
        <v>3.4</v>
      </c>
      <c r="AJ174" s="69"/>
      <c r="AK174" s="69"/>
      <c r="AL174" s="69"/>
    </row>
    <row r="175" spans="1:38" x14ac:dyDescent="0.2">
      <c r="A175" s="10">
        <v>25355</v>
      </c>
      <c r="B175" s="69"/>
      <c r="C175" s="69"/>
      <c r="D175" s="69"/>
      <c r="E175" s="69">
        <v>4.4000000000000004</v>
      </c>
      <c r="F175" s="69"/>
      <c r="G175" s="69"/>
      <c r="H175" s="69"/>
      <c r="I175" s="69"/>
      <c r="J175" s="69"/>
      <c r="K175" s="69"/>
      <c r="L175" s="69"/>
      <c r="M175" s="69"/>
      <c r="N175" s="69"/>
      <c r="O175" s="69"/>
      <c r="P175" s="69"/>
      <c r="Q175" s="69"/>
      <c r="R175" s="69"/>
      <c r="S175" s="69"/>
      <c r="T175" s="69"/>
      <c r="U175" s="69">
        <v>1.3</v>
      </c>
      <c r="V175" s="69"/>
      <c r="W175" s="69"/>
      <c r="X175" s="69"/>
      <c r="Y175" s="69"/>
      <c r="Z175" s="69"/>
      <c r="AA175" s="69"/>
      <c r="AB175" s="69"/>
      <c r="AC175" s="69"/>
      <c r="AD175" s="69"/>
      <c r="AE175" s="69"/>
      <c r="AF175" s="69"/>
      <c r="AG175" s="69"/>
      <c r="AH175" s="69"/>
      <c r="AI175" s="69">
        <v>3.5</v>
      </c>
      <c r="AJ175" s="69"/>
      <c r="AK175" s="69"/>
      <c r="AL175" s="69"/>
    </row>
    <row r="176" spans="1:38" x14ac:dyDescent="0.2">
      <c r="A176" s="10">
        <v>25385</v>
      </c>
      <c r="B176" s="69"/>
      <c r="C176" s="69"/>
      <c r="D176" s="69"/>
      <c r="E176" s="69">
        <v>4.3</v>
      </c>
      <c r="F176" s="69"/>
      <c r="G176" s="69"/>
      <c r="H176" s="69"/>
      <c r="I176" s="69"/>
      <c r="J176" s="69"/>
      <c r="K176" s="69"/>
      <c r="L176" s="69"/>
      <c r="M176" s="69"/>
      <c r="N176" s="69"/>
      <c r="O176" s="69"/>
      <c r="P176" s="69"/>
      <c r="Q176" s="69"/>
      <c r="R176" s="69"/>
      <c r="S176" s="69"/>
      <c r="T176" s="69"/>
      <c r="U176" s="69">
        <v>1.2</v>
      </c>
      <c r="V176" s="69"/>
      <c r="W176" s="69"/>
      <c r="X176" s="69"/>
      <c r="Y176" s="69"/>
      <c r="Z176" s="69"/>
      <c r="AA176" s="69"/>
      <c r="AB176" s="69"/>
      <c r="AC176" s="69"/>
      <c r="AD176" s="69"/>
      <c r="AE176" s="69"/>
      <c r="AF176" s="69"/>
      <c r="AG176" s="69"/>
      <c r="AH176" s="69"/>
      <c r="AI176" s="69">
        <v>3.5</v>
      </c>
      <c r="AJ176" s="69"/>
      <c r="AK176" s="69"/>
      <c r="AL176" s="69"/>
    </row>
    <row r="177" spans="1:38" x14ac:dyDescent="0.2">
      <c r="A177" s="10">
        <v>25416</v>
      </c>
      <c r="B177" s="69"/>
      <c r="C177" s="69"/>
      <c r="D177" s="69"/>
      <c r="E177" s="69">
        <v>4.5</v>
      </c>
      <c r="F177" s="69"/>
      <c r="G177" s="69"/>
      <c r="H177" s="69"/>
      <c r="I177" s="69"/>
      <c r="J177" s="69"/>
      <c r="K177" s="69"/>
      <c r="L177" s="69"/>
      <c r="M177" s="69"/>
      <c r="N177" s="69"/>
      <c r="O177" s="69"/>
      <c r="P177" s="69"/>
      <c r="Q177" s="69"/>
      <c r="R177" s="69"/>
      <c r="S177" s="69"/>
      <c r="T177" s="69"/>
      <c r="U177" s="69">
        <v>1.1000000000000001</v>
      </c>
      <c r="V177" s="69"/>
      <c r="W177" s="69"/>
      <c r="X177" s="69"/>
      <c r="Y177" s="69"/>
      <c r="Z177" s="69"/>
      <c r="AA177" s="69"/>
      <c r="AB177" s="69"/>
      <c r="AC177" s="69"/>
      <c r="AD177" s="69"/>
      <c r="AE177" s="69"/>
      <c r="AF177" s="69"/>
      <c r="AG177" s="69"/>
      <c r="AH177" s="69"/>
      <c r="AI177" s="69">
        <v>3.5</v>
      </c>
      <c r="AJ177" s="69"/>
      <c r="AK177" s="69"/>
      <c r="AL177" s="69"/>
    </row>
    <row r="178" spans="1:38" x14ac:dyDescent="0.2">
      <c r="A178" s="10">
        <v>25447</v>
      </c>
      <c r="B178" s="69"/>
      <c r="C178" s="69"/>
      <c r="D178" s="69"/>
      <c r="E178" s="69">
        <v>4.4000000000000004</v>
      </c>
      <c r="F178" s="69"/>
      <c r="G178" s="69"/>
      <c r="H178" s="69"/>
      <c r="I178" s="69"/>
      <c r="J178" s="69"/>
      <c r="K178" s="69"/>
      <c r="L178" s="69"/>
      <c r="M178" s="69"/>
      <c r="N178" s="69"/>
      <c r="O178" s="69"/>
      <c r="P178" s="69"/>
      <c r="Q178" s="69"/>
      <c r="R178" s="69"/>
      <c r="S178" s="69"/>
      <c r="T178" s="69"/>
      <c r="U178" s="69">
        <v>1.1000000000000001</v>
      </c>
      <c r="V178" s="69"/>
      <c r="W178" s="69"/>
      <c r="X178" s="69"/>
      <c r="Y178" s="69"/>
      <c r="Z178" s="69"/>
      <c r="AA178" s="69"/>
      <c r="AB178" s="69"/>
      <c r="AC178" s="69"/>
      <c r="AD178" s="69"/>
      <c r="AE178" s="69"/>
      <c r="AF178" s="69"/>
      <c r="AG178" s="69"/>
      <c r="AH178" s="69"/>
      <c r="AI178" s="69">
        <v>3.7</v>
      </c>
      <c r="AJ178" s="69"/>
      <c r="AK178" s="69"/>
      <c r="AL178" s="69"/>
    </row>
    <row r="179" spans="1:38" x14ac:dyDescent="0.2">
      <c r="A179" s="10">
        <v>25477</v>
      </c>
      <c r="B179" s="69"/>
      <c r="C179" s="69"/>
      <c r="D179" s="69"/>
      <c r="E179" s="69">
        <v>4.7</v>
      </c>
      <c r="F179" s="69"/>
      <c r="G179" s="69"/>
      <c r="H179" s="69"/>
      <c r="I179" s="69"/>
      <c r="J179" s="69"/>
      <c r="K179" s="69"/>
      <c r="L179" s="69"/>
      <c r="M179" s="69"/>
      <c r="N179" s="69"/>
      <c r="O179" s="69"/>
      <c r="P179" s="69"/>
      <c r="Q179" s="69"/>
      <c r="R179" s="69"/>
      <c r="S179" s="69"/>
      <c r="T179" s="69"/>
      <c r="U179" s="69">
        <v>1.1000000000000001</v>
      </c>
      <c r="V179" s="69"/>
      <c r="W179" s="69"/>
      <c r="X179" s="69"/>
      <c r="Y179" s="69"/>
      <c r="Z179" s="69"/>
      <c r="AA179" s="69"/>
      <c r="AB179" s="69"/>
      <c r="AC179" s="69"/>
      <c r="AD179" s="69"/>
      <c r="AE179" s="69"/>
      <c r="AF179" s="69"/>
      <c r="AG179" s="69"/>
      <c r="AH179" s="69"/>
      <c r="AI179" s="69">
        <v>3.7</v>
      </c>
      <c r="AJ179" s="69"/>
      <c r="AK179" s="69"/>
      <c r="AL179" s="69"/>
    </row>
    <row r="180" spans="1:38" x14ac:dyDescent="0.2">
      <c r="A180" s="10">
        <v>25508</v>
      </c>
      <c r="B180" s="69"/>
      <c r="C180" s="69"/>
      <c r="D180" s="69"/>
      <c r="E180" s="69">
        <v>4.5999999999999996</v>
      </c>
      <c r="F180" s="69"/>
      <c r="G180" s="69"/>
      <c r="H180" s="69"/>
      <c r="I180" s="69"/>
      <c r="J180" s="69"/>
      <c r="K180" s="69"/>
      <c r="L180" s="69"/>
      <c r="M180" s="69"/>
      <c r="N180" s="69"/>
      <c r="O180" s="69"/>
      <c r="P180" s="69"/>
      <c r="Q180" s="69"/>
      <c r="R180" s="69"/>
      <c r="S180" s="69"/>
      <c r="T180" s="69"/>
      <c r="U180" s="69">
        <v>1</v>
      </c>
      <c r="V180" s="69"/>
      <c r="W180" s="69"/>
      <c r="X180" s="69"/>
      <c r="Y180" s="69"/>
      <c r="Z180" s="69"/>
      <c r="AA180" s="69"/>
      <c r="AB180" s="69"/>
      <c r="AC180" s="69"/>
      <c r="AD180" s="69"/>
      <c r="AE180" s="69"/>
      <c r="AF180" s="69"/>
      <c r="AG180" s="69"/>
      <c r="AH180" s="69"/>
      <c r="AI180" s="69">
        <v>3.5</v>
      </c>
      <c r="AJ180" s="69"/>
      <c r="AK180" s="69"/>
      <c r="AL180" s="69"/>
    </row>
    <row r="181" spans="1:38" x14ac:dyDescent="0.2">
      <c r="A181" s="10">
        <v>25538</v>
      </c>
      <c r="B181" s="69"/>
      <c r="C181" s="69"/>
      <c r="D181" s="69"/>
      <c r="E181" s="69">
        <v>4.5</v>
      </c>
      <c r="F181" s="69"/>
      <c r="G181" s="69"/>
      <c r="H181" s="69"/>
      <c r="I181" s="69"/>
      <c r="J181" s="69"/>
      <c r="K181" s="69"/>
      <c r="L181" s="69"/>
      <c r="M181" s="69"/>
      <c r="N181" s="69"/>
      <c r="O181" s="69"/>
      <c r="P181" s="69"/>
      <c r="Q181" s="69"/>
      <c r="R181" s="69"/>
      <c r="S181" s="69"/>
      <c r="T181" s="69"/>
      <c r="U181" s="69">
        <v>1.1000000000000001</v>
      </c>
      <c r="V181" s="69"/>
      <c r="W181" s="69"/>
      <c r="X181" s="69"/>
      <c r="Y181" s="69"/>
      <c r="Z181" s="69"/>
      <c r="AA181" s="69"/>
      <c r="AB181" s="69"/>
      <c r="AC181" s="69"/>
      <c r="AD181" s="69"/>
      <c r="AE181" s="69"/>
      <c r="AF181" s="69"/>
      <c r="AG181" s="69"/>
      <c r="AH181" s="69"/>
      <c r="AI181" s="69">
        <v>3.5</v>
      </c>
      <c r="AJ181" s="69"/>
      <c r="AK181" s="69"/>
      <c r="AL181" s="69"/>
    </row>
    <row r="182" spans="1:38" x14ac:dyDescent="0.2">
      <c r="A182" s="10">
        <v>25569</v>
      </c>
      <c r="B182" s="69"/>
      <c r="C182" s="69"/>
      <c r="D182" s="69"/>
      <c r="E182" s="69">
        <v>4.5</v>
      </c>
      <c r="F182" s="69"/>
      <c r="G182" s="69"/>
      <c r="H182" s="69"/>
      <c r="I182" s="69"/>
      <c r="J182" s="69"/>
      <c r="K182" s="69"/>
      <c r="L182" s="69"/>
      <c r="M182" s="69"/>
      <c r="N182" s="69"/>
      <c r="O182" s="69"/>
      <c r="P182" s="69"/>
      <c r="Q182" s="69"/>
      <c r="R182" s="69"/>
      <c r="S182" s="69"/>
      <c r="T182" s="69"/>
      <c r="U182" s="69">
        <v>1.1000000000000001</v>
      </c>
      <c r="V182" s="69"/>
      <c r="W182" s="69"/>
      <c r="X182" s="69"/>
      <c r="Y182" s="69"/>
      <c r="Z182" s="69"/>
      <c r="AA182" s="69"/>
      <c r="AB182" s="69"/>
      <c r="AC182" s="69"/>
      <c r="AD182" s="69"/>
      <c r="AE182" s="69"/>
      <c r="AF182" s="69"/>
      <c r="AG182" s="69"/>
      <c r="AH182" s="69"/>
      <c r="AI182" s="69">
        <v>3.9</v>
      </c>
      <c r="AJ182" s="69"/>
      <c r="AK182" s="69"/>
      <c r="AL182" s="69"/>
    </row>
    <row r="183" spans="1:38" x14ac:dyDescent="0.2">
      <c r="A183" s="10">
        <v>25600</v>
      </c>
      <c r="B183" s="69"/>
      <c r="C183" s="69"/>
      <c r="D183" s="69"/>
      <c r="E183" s="69">
        <v>4.9000000000000004</v>
      </c>
      <c r="F183" s="69"/>
      <c r="G183" s="69"/>
      <c r="H183" s="69"/>
      <c r="I183" s="69"/>
      <c r="J183" s="69"/>
      <c r="K183" s="69"/>
      <c r="L183" s="69"/>
      <c r="M183" s="69"/>
      <c r="N183" s="69"/>
      <c r="O183" s="69"/>
      <c r="P183" s="69"/>
      <c r="Q183" s="69"/>
      <c r="R183" s="69"/>
      <c r="S183" s="69"/>
      <c r="T183" s="69"/>
      <c r="U183" s="69">
        <v>1.1000000000000001</v>
      </c>
      <c r="V183" s="69"/>
      <c r="W183" s="69"/>
      <c r="X183" s="69"/>
      <c r="Y183" s="69"/>
      <c r="Z183" s="69"/>
      <c r="AA183" s="69"/>
      <c r="AB183" s="69"/>
      <c r="AC183" s="69"/>
      <c r="AD183" s="69"/>
      <c r="AE183" s="69"/>
      <c r="AF183" s="69"/>
      <c r="AG183" s="69"/>
      <c r="AH183" s="69"/>
      <c r="AI183" s="69">
        <v>4.2</v>
      </c>
      <c r="AJ183" s="69"/>
      <c r="AK183" s="69"/>
      <c r="AL183" s="69"/>
    </row>
    <row r="184" spans="1:38" x14ac:dyDescent="0.2">
      <c r="A184" s="10">
        <v>25628</v>
      </c>
      <c r="B184" s="69"/>
      <c r="C184" s="69"/>
      <c r="D184" s="69"/>
      <c r="E184" s="69">
        <v>5.2</v>
      </c>
      <c r="F184" s="69"/>
      <c r="G184" s="69"/>
      <c r="H184" s="69"/>
      <c r="I184" s="69"/>
      <c r="J184" s="69"/>
      <c r="K184" s="69"/>
      <c r="L184" s="69"/>
      <c r="M184" s="69"/>
      <c r="N184" s="69"/>
      <c r="O184" s="69"/>
      <c r="P184" s="69"/>
      <c r="Q184" s="69"/>
      <c r="R184" s="69"/>
      <c r="S184" s="69"/>
      <c r="T184" s="69"/>
      <c r="U184" s="69">
        <v>1</v>
      </c>
      <c r="V184" s="69"/>
      <c r="W184" s="69"/>
      <c r="X184" s="69"/>
      <c r="Y184" s="69"/>
      <c r="Z184" s="69"/>
      <c r="AA184" s="69"/>
      <c r="AB184" s="69"/>
      <c r="AC184" s="69"/>
      <c r="AD184" s="69"/>
      <c r="AE184" s="69"/>
      <c r="AF184" s="69"/>
      <c r="AG184" s="69"/>
      <c r="AH184" s="69"/>
      <c r="AI184" s="69">
        <v>4.4000000000000004</v>
      </c>
      <c r="AJ184" s="69"/>
      <c r="AK184" s="69"/>
      <c r="AL184" s="69"/>
    </row>
    <row r="185" spans="1:38" x14ac:dyDescent="0.2">
      <c r="A185" s="10">
        <v>25659</v>
      </c>
      <c r="B185" s="69"/>
      <c r="C185" s="69"/>
      <c r="D185" s="69"/>
      <c r="E185" s="69">
        <v>5.4</v>
      </c>
      <c r="F185" s="69"/>
      <c r="G185" s="69"/>
      <c r="H185" s="69"/>
      <c r="I185" s="69"/>
      <c r="J185" s="69"/>
      <c r="K185" s="69"/>
      <c r="L185" s="69"/>
      <c r="M185" s="69"/>
      <c r="N185" s="69"/>
      <c r="O185" s="69"/>
      <c r="P185" s="69"/>
      <c r="Q185" s="69"/>
      <c r="R185" s="69"/>
      <c r="S185" s="69"/>
      <c r="T185" s="69"/>
      <c r="U185" s="69">
        <v>1.2</v>
      </c>
      <c r="V185" s="69"/>
      <c r="W185" s="69"/>
      <c r="X185" s="69"/>
      <c r="Y185" s="69"/>
      <c r="Z185" s="69"/>
      <c r="AA185" s="69"/>
      <c r="AB185" s="69"/>
      <c r="AC185" s="69"/>
      <c r="AD185" s="69"/>
      <c r="AE185" s="69"/>
      <c r="AF185" s="69"/>
      <c r="AG185" s="69"/>
      <c r="AH185" s="69"/>
      <c r="AI185" s="69">
        <v>4.5999999999999996</v>
      </c>
      <c r="AJ185" s="69"/>
      <c r="AK185" s="69"/>
      <c r="AL185" s="69"/>
    </row>
    <row r="186" spans="1:38" x14ac:dyDescent="0.2">
      <c r="A186" s="10">
        <v>25689</v>
      </c>
      <c r="B186" s="69"/>
      <c r="C186" s="69"/>
      <c r="D186" s="69"/>
      <c r="E186" s="69">
        <v>5.8</v>
      </c>
      <c r="F186" s="69"/>
      <c r="G186" s="69"/>
      <c r="H186" s="69"/>
      <c r="I186" s="69"/>
      <c r="J186" s="69"/>
      <c r="K186" s="69"/>
      <c r="L186" s="69"/>
      <c r="M186" s="69"/>
      <c r="N186" s="69"/>
      <c r="O186" s="69"/>
      <c r="P186" s="69"/>
      <c r="Q186" s="69"/>
      <c r="R186" s="69"/>
      <c r="S186" s="69"/>
      <c r="T186" s="69"/>
      <c r="U186" s="69">
        <v>1.1000000000000001</v>
      </c>
      <c r="V186" s="69"/>
      <c r="W186" s="69"/>
      <c r="X186" s="69"/>
      <c r="Y186" s="69"/>
      <c r="Z186" s="69"/>
      <c r="AA186" s="69"/>
      <c r="AB186" s="69"/>
      <c r="AC186" s="69"/>
      <c r="AD186" s="69"/>
      <c r="AE186" s="69"/>
      <c r="AF186" s="69"/>
      <c r="AG186" s="69"/>
      <c r="AH186" s="69"/>
      <c r="AI186" s="69">
        <v>4.8</v>
      </c>
      <c r="AJ186" s="69"/>
      <c r="AK186" s="69"/>
      <c r="AL186" s="69"/>
    </row>
    <row r="187" spans="1:38" x14ac:dyDescent="0.2">
      <c r="A187" s="10">
        <v>25720</v>
      </c>
      <c r="B187" s="69"/>
      <c r="C187" s="69"/>
      <c r="D187" s="69"/>
      <c r="E187" s="69">
        <v>6.1</v>
      </c>
      <c r="F187" s="69"/>
      <c r="G187" s="69"/>
      <c r="H187" s="69"/>
      <c r="I187" s="69"/>
      <c r="J187" s="69"/>
      <c r="K187" s="69"/>
      <c r="L187" s="69"/>
      <c r="M187" s="69"/>
      <c r="N187" s="69"/>
      <c r="O187" s="69"/>
      <c r="P187" s="69"/>
      <c r="Q187" s="69"/>
      <c r="R187" s="69"/>
      <c r="S187" s="69"/>
      <c r="T187" s="69"/>
      <c r="U187" s="69">
        <v>1.1000000000000001</v>
      </c>
      <c r="V187" s="69"/>
      <c r="W187" s="69"/>
      <c r="X187" s="69"/>
      <c r="Y187" s="69"/>
      <c r="Z187" s="69"/>
      <c r="AA187" s="69"/>
      <c r="AB187" s="69"/>
      <c r="AC187" s="69"/>
      <c r="AD187" s="69"/>
      <c r="AE187" s="69"/>
      <c r="AF187" s="69"/>
      <c r="AG187" s="69"/>
      <c r="AH187" s="69"/>
      <c r="AI187" s="69">
        <v>4.9000000000000004</v>
      </c>
      <c r="AJ187" s="69"/>
      <c r="AK187" s="69"/>
      <c r="AL187" s="69"/>
    </row>
    <row r="188" spans="1:38" x14ac:dyDescent="0.2">
      <c r="A188" s="10">
        <v>25750</v>
      </c>
      <c r="B188" s="69"/>
      <c r="C188" s="69"/>
      <c r="D188" s="69"/>
      <c r="E188" s="69">
        <v>6.4</v>
      </c>
      <c r="F188" s="69"/>
      <c r="G188" s="69"/>
      <c r="H188" s="69"/>
      <c r="I188" s="69"/>
      <c r="J188" s="69"/>
      <c r="K188" s="69"/>
      <c r="L188" s="69"/>
      <c r="M188" s="69"/>
      <c r="N188" s="69"/>
      <c r="O188" s="69"/>
      <c r="P188" s="69"/>
      <c r="Q188" s="69"/>
      <c r="R188" s="69"/>
      <c r="S188" s="69"/>
      <c r="T188" s="69"/>
      <c r="U188" s="69">
        <v>1.2</v>
      </c>
      <c r="V188" s="69"/>
      <c r="W188" s="69"/>
      <c r="X188" s="69"/>
      <c r="Y188" s="69"/>
      <c r="Z188" s="69"/>
      <c r="AA188" s="69"/>
      <c r="AB188" s="69"/>
      <c r="AC188" s="69"/>
      <c r="AD188" s="69"/>
      <c r="AE188" s="69"/>
      <c r="AF188" s="69"/>
      <c r="AG188" s="69"/>
      <c r="AH188" s="69"/>
      <c r="AI188" s="69">
        <v>5</v>
      </c>
      <c r="AJ188" s="69"/>
      <c r="AK188" s="69"/>
      <c r="AL188" s="69"/>
    </row>
    <row r="189" spans="1:38" x14ac:dyDescent="0.2">
      <c r="A189" s="10">
        <v>25781</v>
      </c>
      <c r="B189" s="69"/>
      <c r="C189" s="69"/>
      <c r="D189" s="69"/>
      <c r="E189" s="69">
        <v>6.1</v>
      </c>
      <c r="F189" s="69"/>
      <c r="G189" s="69"/>
      <c r="H189" s="69"/>
      <c r="I189" s="69"/>
      <c r="J189" s="69"/>
      <c r="K189" s="69"/>
      <c r="L189" s="69"/>
      <c r="M189" s="69"/>
      <c r="N189" s="69"/>
      <c r="O189" s="69"/>
      <c r="P189" s="69"/>
      <c r="Q189" s="69"/>
      <c r="R189" s="69"/>
      <c r="S189" s="69"/>
      <c r="T189" s="69"/>
      <c r="U189" s="69">
        <v>1.2</v>
      </c>
      <c r="V189" s="69"/>
      <c r="W189" s="69"/>
      <c r="X189" s="69"/>
      <c r="Y189" s="69"/>
      <c r="Z189" s="69"/>
      <c r="AA189" s="69"/>
      <c r="AB189" s="69"/>
      <c r="AC189" s="69"/>
      <c r="AD189" s="69"/>
      <c r="AE189" s="69"/>
      <c r="AF189" s="69"/>
      <c r="AG189" s="69"/>
      <c r="AH189" s="69"/>
      <c r="AI189" s="69">
        <v>5.0999999999999996</v>
      </c>
      <c r="AJ189" s="69"/>
      <c r="AK189" s="69"/>
      <c r="AL189" s="69"/>
    </row>
    <row r="190" spans="1:38" x14ac:dyDescent="0.2">
      <c r="A190" s="10">
        <v>25812</v>
      </c>
      <c r="B190" s="69"/>
      <c r="C190" s="69"/>
      <c r="D190" s="69"/>
      <c r="E190" s="69">
        <v>6</v>
      </c>
      <c r="F190" s="69"/>
      <c r="G190" s="69"/>
      <c r="H190" s="69"/>
      <c r="I190" s="69"/>
      <c r="J190" s="69"/>
      <c r="K190" s="69"/>
      <c r="L190" s="69"/>
      <c r="M190" s="69"/>
      <c r="N190" s="69"/>
      <c r="O190" s="69"/>
      <c r="P190" s="69"/>
      <c r="Q190" s="69"/>
      <c r="R190" s="69"/>
      <c r="S190" s="69"/>
      <c r="T190" s="69"/>
      <c r="U190" s="69">
        <v>1.3</v>
      </c>
      <c r="V190" s="69"/>
      <c r="W190" s="69"/>
      <c r="X190" s="69"/>
      <c r="Y190" s="69"/>
      <c r="Z190" s="69"/>
      <c r="AA190" s="69"/>
      <c r="AB190" s="69"/>
      <c r="AC190" s="69"/>
      <c r="AD190" s="69"/>
      <c r="AE190" s="69"/>
      <c r="AF190" s="69"/>
      <c r="AG190" s="69"/>
      <c r="AH190" s="69"/>
      <c r="AI190" s="69">
        <v>5.4</v>
      </c>
      <c r="AJ190" s="69"/>
      <c r="AK190" s="69"/>
      <c r="AL190" s="69"/>
    </row>
    <row r="191" spans="1:38" x14ac:dyDescent="0.2">
      <c r="A191" s="10">
        <v>25842</v>
      </c>
      <c r="B191" s="69"/>
      <c r="C191" s="69"/>
      <c r="D191" s="69"/>
      <c r="E191" s="69">
        <v>6</v>
      </c>
      <c r="F191" s="69"/>
      <c r="G191" s="69"/>
      <c r="H191" s="69"/>
      <c r="I191" s="69"/>
      <c r="J191" s="69"/>
      <c r="K191" s="69"/>
      <c r="L191" s="69"/>
      <c r="M191" s="69"/>
      <c r="N191" s="69"/>
      <c r="O191" s="69"/>
      <c r="P191" s="69"/>
      <c r="Q191" s="69"/>
      <c r="R191" s="69"/>
      <c r="S191" s="69"/>
      <c r="T191" s="69"/>
      <c r="U191" s="69">
        <v>1.3</v>
      </c>
      <c r="V191" s="69"/>
      <c r="W191" s="69"/>
      <c r="X191" s="69"/>
      <c r="Y191" s="69"/>
      <c r="Z191" s="69"/>
      <c r="AA191" s="69"/>
      <c r="AB191" s="69"/>
      <c r="AC191" s="69"/>
      <c r="AD191" s="69"/>
      <c r="AE191" s="69"/>
      <c r="AF191" s="69"/>
      <c r="AG191" s="69"/>
      <c r="AH191" s="69"/>
      <c r="AI191" s="69">
        <v>5.5</v>
      </c>
      <c r="AJ191" s="69"/>
      <c r="AK191" s="69"/>
      <c r="AL191" s="69"/>
    </row>
    <row r="192" spans="1:38" x14ac:dyDescent="0.2">
      <c r="A192" s="10">
        <v>25873</v>
      </c>
      <c r="B192" s="69"/>
      <c r="C192" s="69"/>
      <c r="D192" s="69"/>
      <c r="E192" s="69">
        <v>6.1</v>
      </c>
      <c r="F192" s="69"/>
      <c r="G192" s="69"/>
      <c r="H192" s="69"/>
      <c r="I192" s="69"/>
      <c r="J192" s="69"/>
      <c r="K192" s="69"/>
      <c r="L192" s="69"/>
      <c r="M192" s="69"/>
      <c r="N192" s="69"/>
      <c r="O192" s="69"/>
      <c r="P192" s="69"/>
      <c r="Q192" s="69"/>
      <c r="R192" s="69"/>
      <c r="S192" s="69"/>
      <c r="T192" s="69"/>
      <c r="U192" s="69">
        <v>1.3</v>
      </c>
      <c r="V192" s="69"/>
      <c r="W192" s="69"/>
      <c r="X192" s="69"/>
      <c r="Y192" s="69"/>
      <c r="Z192" s="69"/>
      <c r="AA192" s="69"/>
      <c r="AB192" s="69"/>
      <c r="AC192" s="69"/>
      <c r="AD192" s="69"/>
      <c r="AE192" s="69"/>
      <c r="AF192" s="69"/>
      <c r="AG192" s="69"/>
      <c r="AH192" s="69"/>
      <c r="AI192" s="69">
        <v>5.9</v>
      </c>
      <c r="AJ192" s="69"/>
      <c r="AK192" s="69"/>
      <c r="AL192" s="69"/>
    </row>
    <row r="193" spans="1:38" x14ac:dyDescent="0.2">
      <c r="A193" s="10">
        <v>25903</v>
      </c>
      <c r="B193" s="69"/>
      <c r="C193" s="69"/>
      <c r="D193" s="69"/>
      <c r="E193" s="69">
        <v>6.2</v>
      </c>
      <c r="F193" s="69"/>
      <c r="G193" s="69"/>
      <c r="H193" s="69"/>
      <c r="I193" s="69"/>
      <c r="J193" s="69"/>
      <c r="K193" s="69"/>
      <c r="L193" s="69"/>
      <c r="M193" s="69"/>
      <c r="N193" s="69"/>
      <c r="O193" s="69"/>
      <c r="P193" s="69"/>
      <c r="Q193" s="69"/>
      <c r="R193" s="69"/>
      <c r="S193" s="69"/>
      <c r="T193" s="69"/>
      <c r="U193" s="69">
        <v>1.2</v>
      </c>
      <c r="V193" s="69"/>
      <c r="W193" s="69"/>
      <c r="X193" s="69"/>
      <c r="Y193" s="69"/>
      <c r="Z193" s="69"/>
      <c r="AA193" s="69"/>
      <c r="AB193" s="69"/>
      <c r="AC193" s="69"/>
      <c r="AD193" s="69"/>
      <c r="AE193" s="69"/>
      <c r="AF193" s="69"/>
      <c r="AG193" s="69"/>
      <c r="AH193" s="69"/>
      <c r="AI193" s="69">
        <v>6.1</v>
      </c>
      <c r="AJ193" s="69"/>
      <c r="AK193" s="69"/>
      <c r="AL193" s="69"/>
    </row>
    <row r="194" spans="1:38" x14ac:dyDescent="0.2">
      <c r="A194" s="10">
        <v>25934</v>
      </c>
      <c r="B194" s="69"/>
      <c r="C194" s="69"/>
      <c r="D194" s="69"/>
      <c r="E194" s="69">
        <v>6.2</v>
      </c>
      <c r="F194" s="69"/>
      <c r="G194" s="69"/>
      <c r="H194" s="69"/>
      <c r="I194" s="69"/>
      <c r="J194" s="69"/>
      <c r="K194" s="69"/>
      <c r="L194" s="69"/>
      <c r="M194" s="69"/>
      <c r="N194" s="69"/>
      <c r="O194" s="69"/>
      <c r="P194" s="69"/>
      <c r="Q194" s="69"/>
      <c r="R194" s="69"/>
      <c r="S194" s="69"/>
      <c r="T194" s="69"/>
      <c r="U194" s="69">
        <v>1.1000000000000001</v>
      </c>
      <c r="V194" s="69"/>
      <c r="W194" s="69"/>
      <c r="X194" s="69"/>
      <c r="Y194" s="69"/>
      <c r="Z194" s="69"/>
      <c r="AA194" s="69"/>
      <c r="AB194" s="69"/>
      <c r="AC194" s="69"/>
      <c r="AD194" s="69"/>
      <c r="AE194" s="69"/>
      <c r="AF194" s="69"/>
      <c r="AG194" s="69"/>
      <c r="AH194" s="69"/>
      <c r="AI194" s="69">
        <v>5.9</v>
      </c>
      <c r="AJ194" s="69"/>
      <c r="AK194" s="69"/>
      <c r="AL194" s="69"/>
    </row>
    <row r="195" spans="1:38" x14ac:dyDescent="0.2">
      <c r="A195" s="10">
        <v>25965</v>
      </c>
      <c r="B195" s="69"/>
      <c r="C195" s="69"/>
      <c r="D195" s="69"/>
      <c r="E195" s="69">
        <v>6.3</v>
      </c>
      <c r="F195" s="69"/>
      <c r="G195" s="69"/>
      <c r="H195" s="69"/>
      <c r="I195" s="69"/>
      <c r="J195" s="69"/>
      <c r="K195" s="69"/>
      <c r="L195" s="69"/>
      <c r="M195" s="69"/>
      <c r="N195" s="69"/>
      <c r="O195" s="69"/>
      <c r="P195" s="69"/>
      <c r="Q195" s="69"/>
      <c r="R195" s="69"/>
      <c r="S195" s="69"/>
      <c r="T195" s="69"/>
      <c r="U195" s="69">
        <v>1.2</v>
      </c>
      <c r="V195" s="69"/>
      <c r="W195" s="69"/>
      <c r="X195" s="69"/>
      <c r="Y195" s="69"/>
      <c r="Z195" s="69"/>
      <c r="AA195" s="69"/>
      <c r="AB195" s="69"/>
      <c r="AC195" s="69"/>
      <c r="AD195" s="69"/>
      <c r="AE195" s="69"/>
      <c r="AF195" s="69"/>
      <c r="AG195" s="69"/>
      <c r="AH195" s="69"/>
      <c r="AI195" s="69">
        <v>5.9</v>
      </c>
      <c r="AJ195" s="69"/>
      <c r="AK195" s="69"/>
      <c r="AL195" s="69"/>
    </row>
    <row r="196" spans="1:38" x14ac:dyDescent="0.2">
      <c r="A196" s="10">
        <v>25993</v>
      </c>
      <c r="B196" s="69"/>
      <c r="C196" s="69"/>
      <c r="D196" s="69"/>
      <c r="E196" s="69">
        <v>6.2</v>
      </c>
      <c r="F196" s="69"/>
      <c r="G196" s="69"/>
      <c r="H196" s="69"/>
      <c r="I196" s="69"/>
      <c r="J196" s="69"/>
      <c r="K196" s="69"/>
      <c r="L196" s="69"/>
      <c r="M196" s="69"/>
      <c r="N196" s="69"/>
      <c r="O196" s="69"/>
      <c r="P196" s="69"/>
      <c r="Q196" s="69"/>
      <c r="R196" s="69"/>
      <c r="S196" s="69"/>
      <c r="T196" s="69"/>
      <c r="U196" s="69">
        <v>1.2</v>
      </c>
      <c r="V196" s="69"/>
      <c r="W196" s="69"/>
      <c r="X196" s="69"/>
      <c r="Y196" s="69"/>
      <c r="Z196" s="69"/>
      <c r="AA196" s="69"/>
      <c r="AB196" s="69"/>
      <c r="AC196" s="69"/>
      <c r="AD196" s="69"/>
      <c r="AE196" s="69"/>
      <c r="AF196" s="69"/>
      <c r="AG196" s="69"/>
      <c r="AH196" s="69"/>
      <c r="AI196" s="69">
        <v>6</v>
      </c>
      <c r="AJ196" s="69"/>
      <c r="AK196" s="69"/>
      <c r="AL196" s="69"/>
    </row>
    <row r="197" spans="1:38" x14ac:dyDescent="0.2">
      <c r="A197" s="10">
        <v>26024</v>
      </c>
      <c r="B197" s="69"/>
      <c r="C197" s="69"/>
      <c r="D197" s="69"/>
      <c r="E197" s="69">
        <v>6.6</v>
      </c>
      <c r="F197" s="69"/>
      <c r="G197" s="69"/>
      <c r="H197" s="69"/>
      <c r="I197" s="69"/>
      <c r="J197" s="69"/>
      <c r="K197" s="69"/>
      <c r="L197" s="69"/>
      <c r="M197" s="69"/>
      <c r="N197" s="69"/>
      <c r="O197" s="69"/>
      <c r="P197" s="69"/>
      <c r="Q197" s="69"/>
      <c r="R197" s="69"/>
      <c r="S197" s="69"/>
      <c r="T197" s="69"/>
      <c r="U197" s="69">
        <v>1.2</v>
      </c>
      <c r="V197" s="69"/>
      <c r="W197" s="69"/>
      <c r="X197" s="69"/>
      <c r="Y197" s="69"/>
      <c r="Z197" s="69"/>
      <c r="AA197" s="69"/>
      <c r="AB197" s="69"/>
      <c r="AC197" s="69"/>
      <c r="AD197" s="69"/>
      <c r="AE197" s="69"/>
      <c r="AF197" s="69"/>
      <c r="AG197" s="69"/>
      <c r="AH197" s="69"/>
      <c r="AI197" s="69">
        <v>5.9</v>
      </c>
      <c r="AJ197" s="69"/>
      <c r="AK197" s="69"/>
      <c r="AL197" s="69"/>
    </row>
    <row r="198" spans="1:38" x14ac:dyDescent="0.2">
      <c r="A198" s="10">
        <v>26054</v>
      </c>
      <c r="B198" s="69"/>
      <c r="C198" s="69"/>
      <c r="D198" s="69"/>
      <c r="E198" s="69">
        <v>6.1</v>
      </c>
      <c r="F198" s="69"/>
      <c r="G198" s="69"/>
      <c r="H198" s="69"/>
      <c r="I198" s="69"/>
      <c r="J198" s="69"/>
      <c r="K198" s="69"/>
      <c r="L198" s="69"/>
      <c r="M198" s="69"/>
      <c r="N198" s="69"/>
      <c r="O198" s="69"/>
      <c r="P198" s="69"/>
      <c r="Q198" s="69"/>
      <c r="R198" s="69"/>
      <c r="S198" s="69"/>
      <c r="T198" s="69"/>
      <c r="U198" s="69">
        <v>1.2</v>
      </c>
      <c r="V198" s="69"/>
      <c r="W198" s="69"/>
      <c r="X198" s="69"/>
      <c r="Y198" s="69"/>
      <c r="Z198" s="69"/>
      <c r="AA198" s="69"/>
      <c r="AB198" s="69"/>
      <c r="AC198" s="69"/>
      <c r="AD198" s="69"/>
      <c r="AE198" s="69"/>
      <c r="AF198" s="69"/>
      <c r="AG198" s="69"/>
      <c r="AH198" s="69"/>
      <c r="AI198" s="69">
        <v>5.9</v>
      </c>
      <c r="AJ198" s="69"/>
      <c r="AK198" s="69"/>
      <c r="AL198" s="69"/>
    </row>
    <row r="199" spans="1:38" x14ac:dyDescent="0.2">
      <c r="A199" s="10">
        <v>26085</v>
      </c>
      <c r="B199" s="69"/>
      <c r="C199" s="69"/>
      <c r="D199" s="69"/>
      <c r="E199" s="69">
        <v>6.1</v>
      </c>
      <c r="F199" s="69"/>
      <c r="G199" s="69"/>
      <c r="H199" s="69"/>
      <c r="I199" s="69"/>
      <c r="J199" s="69"/>
      <c r="K199" s="69"/>
      <c r="L199" s="69"/>
      <c r="M199" s="69"/>
      <c r="N199" s="69"/>
      <c r="O199" s="69"/>
      <c r="P199" s="69"/>
      <c r="Q199" s="69"/>
      <c r="R199" s="69"/>
      <c r="S199" s="69"/>
      <c r="T199" s="69"/>
      <c r="U199" s="69">
        <v>1.2</v>
      </c>
      <c r="V199" s="69"/>
      <c r="W199" s="69"/>
      <c r="X199" s="69"/>
      <c r="Y199" s="69"/>
      <c r="Z199" s="69"/>
      <c r="AA199" s="69"/>
      <c r="AB199" s="69"/>
      <c r="AC199" s="69"/>
      <c r="AD199" s="69"/>
      <c r="AE199" s="69"/>
      <c r="AF199" s="69"/>
      <c r="AG199" s="69"/>
      <c r="AH199" s="69"/>
      <c r="AI199" s="69">
        <v>5.9</v>
      </c>
      <c r="AJ199" s="69"/>
      <c r="AK199" s="69"/>
      <c r="AL199" s="69"/>
    </row>
    <row r="200" spans="1:38" x14ac:dyDescent="0.2">
      <c r="A200" s="10">
        <v>26115</v>
      </c>
      <c r="B200" s="69"/>
      <c r="C200" s="69"/>
      <c r="D200" s="69"/>
      <c r="E200" s="69">
        <v>6.1</v>
      </c>
      <c r="F200" s="69"/>
      <c r="G200" s="69"/>
      <c r="H200" s="69"/>
      <c r="I200" s="69"/>
      <c r="J200" s="69"/>
      <c r="K200" s="69"/>
      <c r="L200" s="69"/>
      <c r="M200" s="69"/>
      <c r="N200" s="69"/>
      <c r="O200" s="69"/>
      <c r="P200" s="69"/>
      <c r="Q200" s="69"/>
      <c r="R200" s="69"/>
      <c r="S200" s="69"/>
      <c r="T200" s="69"/>
      <c r="U200" s="69">
        <v>1.2</v>
      </c>
      <c r="V200" s="69"/>
      <c r="W200" s="69"/>
      <c r="X200" s="69"/>
      <c r="Y200" s="69"/>
      <c r="Z200" s="69"/>
      <c r="AA200" s="69"/>
      <c r="AB200" s="69"/>
      <c r="AC200" s="69"/>
      <c r="AD200" s="69"/>
      <c r="AE200" s="69"/>
      <c r="AF200" s="69"/>
      <c r="AG200" s="69"/>
      <c r="AH200" s="69"/>
      <c r="AI200" s="69">
        <v>6</v>
      </c>
      <c r="AJ200" s="69"/>
      <c r="AK200" s="69"/>
      <c r="AL200" s="69"/>
    </row>
    <row r="201" spans="1:38" x14ac:dyDescent="0.2">
      <c r="A201" s="10">
        <v>26146</v>
      </c>
      <c r="B201" s="69"/>
      <c r="C201" s="69"/>
      <c r="D201" s="69"/>
      <c r="E201" s="69">
        <v>6</v>
      </c>
      <c r="F201" s="69"/>
      <c r="G201" s="69"/>
      <c r="H201" s="69"/>
      <c r="I201" s="69"/>
      <c r="J201" s="69"/>
      <c r="K201" s="69"/>
      <c r="L201" s="69"/>
      <c r="M201" s="69"/>
      <c r="N201" s="69"/>
      <c r="O201" s="69"/>
      <c r="P201" s="69"/>
      <c r="Q201" s="69"/>
      <c r="R201" s="69"/>
      <c r="S201" s="69"/>
      <c r="T201" s="69"/>
      <c r="U201" s="69">
        <v>1.3</v>
      </c>
      <c r="V201" s="69"/>
      <c r="W201" s="69"/>
      <c r="X201" s="69"/>
      <c r="Y201" s="69"/>
      <c r="Z201" s="69"/>
      <c r="AA201" s="69"/>
      <c r="AB201" s="69"/>
      <c r="AC201" s="69"/>
      <c r="AD201" s="69"/>
      <c r="AE201" s="69"/>
      <c r="AF201" s="69"/>
      <c r="AG201" s="69"/>
      <c r="AH201" s="69"/>
      <c r="AI201" s="69">
        <v>6.1</v>
      </c>
      <c r="AJ201" s="69"/>
      <c r="AK201" s="69"/>
      <c r="AL201" s="69"/>
    </row>
    <row r="202" spans="1:38" x14ac:dyDescent="0.2">
      <c r="A202" s="10">
        <v>26177</v>
      </c>
      <c r="B202" s="69"/>
      <c r="C202" s="69"/>
      <c r="D202" s="69"/>
      <c r="E202" s="69">
        <v>6.2</v>
      </c>
      <c r="F202" s="69"/>
      <c r="G202" s="69"/>
      <c r="H202" s="69"/>
      <c r="I202" s="69"/>
      <c r="J202" s="69"/>
      <c r="K202" s="69"/>
      <c r="L202" s="69"/>
      <c r="M202" s="69"/>
      <c r="N202" s="69"/>
      <c r="O202" s="69"/>
      <c r="P202" s="69"/>
      <c r="Q202" s="69"/>
      <c r="R202" s="69"/>
      <c r="S202" s="69"/>
      <c r="T202" s="69"/>
      <c r="U202" s="69">
        <v>1.2</v>
      </c>
      <c r="V202" s="69"/>
      <c r="W202" s="69"/>
      <c r="X202" s="69"/>
      <c r="Y202" s="69"/>
      <c r="Z202" s="69"/>
      <c r="AA202" s="69"/>
      <c r="AB202" s="69"/>
      <c r="AC202" s="69"/>
      <c r="AD202" s="69"/>
      <c r="AE202" s="69"/>
      <c r="AF202" s="69"/>
      <c r="AG202" s="69"/>
      <c r="AH202" s="69"/>
      <c r="AI202" s="69">
        <v>6</v>
      </c>
      <c r="AJ202" s="69"/>
      <c r="AK202" s="69"/>
      <c r="AL202" s="69"/>
    </row>
    <row r="203" spans="1:38" x14ac:dyDescent="0.2">
      <c r="A203" s="10">
        <v>26207</v>
      </c>
      <c r="B203" s="69"/>
      <c r="C203" s="69"/>
      <c r="D203" s="69"/>
      <c r="E203" s="69">
        <v>6.3</v>
      </c>
      <c r="F203" s="69"/>
      <c r="G203" s="69"/>
      <c r="H203" s="69"/>
      <c r="I203" s="69"/>
      <c r="J203" s="69"/>
      <c r="K203" s="69"/>
      <c r="L203" s="69"/>
      <c r="M203" s="69"/>
      <c r="N203" s="69"/>
      <c r="O203" s="69"/>
      <c r="P203" s="69"/>
      <c r="Q203" s="69"/>
      <c r="R203" s="69"/>
      <c r="S203" s="69"/>
      <c r="T203" s="69"/>
      <c r="U203" s="69">
        <v>1.3</v>
      </c>
      <c r="V203" s="69"/>
      <c r="W203" s="69"/>
      <c r="X203" s="69"/>
      <c r="Y203" s="69"/>
      <c r="Z203" s="69"/>
      <c r="AA203" s="69"/>
      <c r="AB203" s="69"/>
      <c r="AC203" s="69"/>
      <c r="AD203" s="69"/>
      <c r="AE203" s="69"/>
      <c r="AF203" s="69"/>
      <c r="AG203" s="69"/>
      <c r="AH203" s="69"/>
      <c r="AI203" s="69">
        <v>5.8</v>
      </c>
      <c r="AJ203" s="69"/>
      <c r="AK203" s="69"/>
      <c r="AL203" s="69"/>
    </row>
    <row r="204" spans="1:38" x14ac:dyDescent="0.2">
      <c r="A204" s="10">
        <v>26238</v>
      </c>
      <c r="B204" s="69"/>
      <c r="C204" s="69"/>
      <c r="D204" s="69"/>
      <c r="E204" s="69">
        <v>6.2</v>
      </c>
      <c r="F204" s="69"/>
      <c r="G204" s="69"/>
      <c r="H204" s="69"/>
      <c r="I204" s="69"/>
      <c r="J204" s="69"/>
      <c r="K204" s="69"/>
      <c r="L204" s="69"/>
      <c r="M204" s="69"/>
      <c r="N204" s="69"/>
      <c r="O204" s="69"/>
      <c r="P204" s="69"/>
      <c r="Q204" s="69"/>
      <c r="R204" s="69"/>
      <c r="S204" s="69"/>
      <c r="T204" s="69"/>
      <c r="U204" s="69">
        <v>1.3</v>
      </c>
      <c r="V204" s="69"/>
      <c r="W204" s="69"/>
      <c r="X204" s="69"/>
      <c r="Y204" s="69"/>
      <c r="Z204" s="69"/>
      <c r="AA204" s="69"/>
      <c r="AB204" s="69"/>
      <c r="AC204" s="69"/>
      <c r="AD204" s="69"/>
      <c r="AE204" s="69"/>
      <c r="AF204" s="69"/>
      <c r="AG204" s="69"/>
      <c r="AH204" s="69"/>
      <c r="AI204" s="69">
        <v>6</v>
      </c>
      <c r="AJ204" s="69"/>
      <c r="AK204" s="69"/>
      <c r="AL204" s="69"/>
    </row>
    <row r="205" spans="1:38" x14ac:dyDescent="0.2">
      <c r="A205" s="10">
        <v>26268</v>
      </c>
      <c r="B205" s="69"/>
      <c r="C205" s="69"/>
      <c r="D205" s="69"/>
      <c r="E205" s="69">
        <v>5.9</v>
      </c>
      <c r="F205" s="69"/>
      <c r="G205" s="69"/>
      <c r="H205" s="69"/>
      <c r="I205" s="69"/>
      <c r="J205" s="69"/>
      <c r="K205" s="69"/>
      <c r="L205" s="69"/>
      <c r="M205" s="69"/>
      <c r="N205" s="69"/>
      <c r="O205" s="69"/>
      <c r="P205" s="69"/>
      <c r="Q205" s="69"/>
      <c r="R205" s="69"/>
      <c r="S205" s="69"/>
      <c r="T205" s="69"/>
      <c r="U205" s="69">
        <v>1.4</v>
      </c>
      <c r="V205" s="69"/>
      <c r="W205" s="69"/>
      <c r="X205" s="69"/>
      <c r="Y205" s="69"/>
      <c r="Z205" s="69"/>
      <c r="AA205" s="69"/>
      <c r="AB205" s="69"/>
      <c r="AC205" s="69"/>
      <c r="AD205" s="69"/>
      <c r="AE205" s="69"/>
      <c r="AF205" s="69"/>
      <c r="AG205" s="69"/>
      <c r="AH205" s="69"/>
      <c r="AI205" s="69">
        <v>6</v>
      </c>
      <c r="AJ205" s="69"/>
      <c r="AK205" s="69"/>
      <c r="AL205" s="69"/>
    </row>
    <row r="206" spans="1:38" x14ac:dyDescent="0.2">
      <c r="A206" s="10">
        <v>26299</v>
      </c>
      <c r="B206" s="69"/>
      <c r="C206" s="69"/>
      <c r="D206" s="69"/>
      <c r="E206" s="69">
        <v>6</v>
      </c>
      <c r="F206" s="69"/>
      <c r="G206" s="69"/>
      <c r="H206" s="69"/>
      <c r="I206" s="69"/>
      <c r="J206" s="69"/>
      <c r="K206" s="69"/>
      <c r="L206" s="69"/>
      <c r="M206" s="69"/>
      <c r="N206" s="69"/>
      <c r="O206" s="69"/>
      <c r="P206" s="69"/>
      <c r="Q206" s="69"/>
      <c r="R206" s="69"/>
      <c r="S206" s="69"/>
      <c r="T206" s="69"/>
      <c r="U206" s="69">
        <v>1.4</v>
      </c>
      <c r="V206" s="69"/>
      <c r="W206" s="69"/>
      <c r="X206" s="69"/>
      <c r="Y206" s="69"/>
      <c r="Z206" s="69"/>
      <c r="AA206" s="69"/>
      <c r="AB206" s="69"/>
      <c r="AC206" s="69"/>
      <c r="AD206" s="69"/>
      <c r="AE206" s="69"/>
      <c r="AF206" s="69"/>
      <c r="AG206" s="69"/>
      <c r="AH206" s="69"/>
      <c r="AI206" s="69">
        <v>5.8</v>
      </c>
      <c r="AJ206" s="69"/>
      <c r="AK206" s="69"/>
      <c r="AL206" s="69"/>
    </row>
    <row r="207" spans="1:38" x14ac:dyDescent="0.2">
      <c r="A207" s="10">
        <v>26330</v>
      </c>
      <c r="B207" s="69"/>
      <c r="C207" s="69"/>
      <c r="D207" s="69"/>
      <c r="E207" s="69">
        <v>5.8</v>
      </c>
      <c r="F207" s="69"/>
      <c r="G207" s="69"/>
      <c r="H207" s="69"/>
      <c r="I207" s="69"/>
      <c r="J207" s="69"/>
      <c r="K207" s="69"/>
      <c r="L207" s="69"/>
      <c r="M207" s="69"/>
      <c r="N207" s="69"/>
      <c r="O207" s="69"/>
      <c r="P207" s="69"/>
      <c r="Q207" s="69"/>
      <c r="R207" s="69"/>
      <c r="S207" s="69"/>
      <c r="T207" s="69"/>
      <c r="U207" s="69">
        <v>1.4</v>
      </c>
      <c r="V207" s="69"/>
      <c r="W207" s="69"/>
      <c r="X207" s="69"/>
      <c r="Y207" s="69"/>
      <c r="Z207" s="69"/>
      <c r="AA207" s="69"/>
      <c r="AB207" s="69"/>
      <c r="AC207" s="69"/>
      <c r="AD207" s="69"/>
      <c r="AE207" s="69"/>
      <c r="AF207" s="69"/>
      <c r="AG207" s="69"/>
      <c r="AH207" s="69"/>
      <c r="AI207" s="69">
        <v>5.7</v>
      </c>
      <c r="AJ207" s="69"/>
      <c r="AK207" s="69"/>
      <c r="AL207" s="69"/>
    </row>
    <row r="208" spans="1:38" x14ac:dyDescent="0.2">
      <c r="A208" s="10">
        <v>26359</v>
      </c>
      <c r="B208" s="69"/>
      <c r="C208" s="69"/>
      <c r="D208" s="69"/>
      <c r="E208" s="69">
        <v>6.1</v>
      </c>
      <c r="F208" s="69"/>
      <c r="G208" s="69"/>
      <c r="H208" s="69"/>
      <c r="I208" s="69"/>
      <c r="J208" s="69"/>
      <c r="K208" s="69"/>
      <c r="L208" s="69"/>
      <c r="M208" s="69"/>
      <c r="N208" s="69"/>
      <c r="O208" s="69"/>
      <c r="P208" s="69"/>
      <c r="Q208" s="69"/>
      <c r="R208" s="69"/>
      <c r="S208" s="69"/>
      <c r="T208" s="69"/>
      <c r="U208" s="69">
        <v>1.4</v>
      </c>
      <c r="V208" s="69"/>
      <c r="W208" s="69"/>
      <c r="X208" s="69"/>
      <c r="Y208" s="69"/>
      <c r="Z208" s="69"/>
      <c r="AA208" s="69"/>
      <c r="AB208" s="69"/>
      <c r="AC208" s="69"/>
      <c r="AD208" s="69"/>
      <c r="AE208" s="69"/>
      <c r="AF208" s="69"/>
      <c r="AG208" s="69"/>
      <c r="AH208" s="69"/>
      <c r="AI208" s="69">
        <v>5.8</v>
      </c>
      <c r="AJ208" s="69"/>
      <c r="AK208" s="69"/>
      <c r="AL208" s="69"/>
    </row>
    <row r="209" spans="1:38" x14ac:dyDescent="0.2">
      <c r="A209" s="10">
        <v>26390</v>
      </c>
      <c r="B209" s="69"/>
      <c r="C209" s="69"/>
      <c r="D209" s="69"/>
      <c r="E209" s="69">
        <v>5.8</v>
      </c>
      <c r="F209" s="69"/>
      <c r="G209" s="69"/>
      <c r="H209" s="69"/>
      <c r="I209" s="69"/>
      <c r="J209" s="69"/>
      <c r="K209" s="69"/>
      <c r="L209" s="69"/>
      <c r="M209" s="69"/>
      <c r="N209" s="69"/>
      <c r="O209" s="69"/>
      <c r="P209" s="69"/>
      <c r="Q209" s="69"/>
      <c r="R209" s="69"/>
      <c r="S209" s="69"/>
      <c r="T209" s="69"/>
      <c r="U209" s="69">
        <v>1.4</v>
      </c>
      <c r="V209" s="69"/>
      <c r="W209" s="69"/>
      <c r="X209" s="69"/>
      <c r="Y209" s="69"/>
      <c r="Z209" s="69"/>
      <c r="AA209" s="69"/>
      <c r="AB209" s="69"/>
      <c r="AC209" s="69"/>
      <c r="AD209" s="69"/>
      <c r="AE209" s="69"/>
      <c r="AF209" s="69"/>
      <c r="AG209" s="69"/>
      <c r="AH209" s="69"/>
      <c r="AI209" s="69">
        <v>5.7</v>
      </c>
      <c r="AJ209" s="69"/>
      <c r="AK209" s="69"/>
      <c r="AL209" s="69"/>
    </row>
    <row r="210" spans="1:38" x14ac:dyDescent="0.2">
      <c r="A210" s="10">
        <v>26420</v>
      </c>
      <c r="B210" s="69"/>
      <c r="C210" s="69"/>
      <c r="D210" s="69"/>
      <c r="E210" s="69">
        <v>6.1</v>
      </c>
      <c r="F210" s="69"/>
      <c r="G210" s="69"/>
      <c r="H210" s="69"/>
      <c r="I210" s="69"/>
      <c r="J210" s="69"/>
      <c r="K210" s="69"/>
      <c r="L210" s="69"/>
      <c r="M210" s="69"/>
      <c r="N210" s="69"/>
      <c r="O210" s="69"/>
      <c r="P210" s="69"/>
      <c r="Q210" s="69"/>
      <c r="R210" s="69"/>
      <c r="S210" s="69"/>
      <c r="T210" s="69"/>
      <c r="U210" s="69">
        <v>1.4</v>
      </c>
      <c r="V210" s="69"/>
      <c r="W210" s="69"/>
      <c r="X210" s="69"/>
      <c r="Y210" s="69"/>
      <c r="Z210" s="69"/>
      <c r="AA210" s="69"/>
      <c r="AB210" s="69"/>
      <c r="AC210" s="69"/>
      <c r="AD210" s="69"/>
      <c r="AE210" s="69"/>
      <c r="AF210" s="69"/>
      <c r="AG210" s="69"/>
      <c r="AH210" s="69"/>
      <c r="AI210" s="69">
        <v>5.7</v>
      </c>
      <c r="AJ210" s="69"/>
      <c r="AK210" s="69"/>
      <c r="AL210" s="69"/>
    </row>
    <row r="211" spans="1:38" x14ac:dyDescent="0.2">
      <c r="A211" s="10">
        <v>26451</v>
      </c>
      <c r="B211" s="69"/>
      <c r="C211" s="69"/>
      <c r="D211" s="69"/>
      <c r="E211" s="69">
        <v>6.3</v>
      </c>
      <c r="F211" s="69"/>
      <c r="G211" s="69"/>
      <c r="H211" s="69"/>
      <c r="I211" s="69"/>
      <c r="J211" s="69"/>
      <c r="K211" s="69"/>
      <c r="L211" s="69"/>
      <c r="M211" s="69"/>
      <c r="N211" s="69"/>
      <c r="O211" s="69"/>
      <c r="P211" s="69"/>
      <c r="Q211" s="69"/>
      <c r="R211" s="69"/>
      <c r="S211" s="69"/>
      <c r="T211" s="69"/>
      <c r="U211" s="69">
        <v>1.4</v>
      </c>
      <c r="V211" s="69"/>
      <c r="W211" s="69"/>
      <c r="X211" s="69"/>
      <c r="Y211" s="69"/>
      <c r="Z211" s="69"/>
      <c r="AA211" s="69"/>
      <c r="AB211" s="69"/>
      <c r="AC211" s="69"/>
      <c r="AD211" s="69"/>
      <c r="AE211" s="69"/>
      <c r="AF211" s="69"/>
      <c r="AG211" s="69"/>
      <c r="AH211" s="69"/>
      <c r="AI211" s="69">
        <v>5.7</v>
      </c>
      <c r="AJ211" s="69"/>
      <c r="AK211" s="69"/>
      <c r="AL211" s="69"/>
    </row>
    <row r="212" spans="1:38" x14ac:dyDescent="0.2">
      <c r="A212" s="10">
        <v>26481</v>
      </c>
      <c r="B212" s="69"/>
      <c r="C212" s="69"/>
      <c r="D212" s="69"/>
      <c r="E212" s="69">
        <v>6.3</v>
      </c>
      <c r="F212" s="69"/>
      <c r="G212" s="69"/>
      <c r="H212" s="69"/>
      <c r="I212" s="69"/>
      <c r="J212" s="69"/>
      <c r="K212" s="69"/>
      <c r="L212" s="69"/>
      <c r="M212" s="69"/>
      <c r="N212" s="69"/>
      <c r="O212" s="69"/>
      <c r="P212" s="69"/>
      <c r="Q212" s="69"/>
      <c r="R212" s="69"/>
      <c r="S212" s="69"/>
      <c r="T212" s="69"/>
      <c r="U212" s="69">
        <v>1.4</v>
      </c>
      <c r="V212" s="69"/>
      <c r="W212" s="69"/>
      <c r="X212" s="69"/>
      <c r="Y212" s="69"/>
      <c r="Z212" s="69"/>
      <c r="AA212" s="69"/>
      <c r="AB212" s="69"/>
      <c r="AC212" s="69"/>
      <c r="AD212" s="69"/>
      <c r="AE212" s="69"/>
      <c r="AF212" s="69"/>
      <c r="AG212" s="69"/>
      <c r="AH212" s="69"/>
      <c r="AI212" s="69">
        <v>5.6</v>
      </c>
      <c r="AJ212" s="69"/>
      <c r="AK212" s="69"/>
      <c r="AL212" s="69"/>
    </row>
    <row r="213" spans="1:38" x14ac:dyDescent="0.2">
      <c r="A213" s="10">
        <v>26512</v>
      </c>
      <c r="B213" s="69"/>
      <c r="C213" s="69"/>
      <c r="D213" s="69"/>
      <c r="E213" s="69">
        <v>6.4</v>
      </c>
      <c r="F213" s="69"/>
      <c r="G213" s="69"/>
      <c r="H213" s="69"/>
      <c r="I213" s="69"/>
      <c r="J213" s="69"/>
      <c r="K213" s="69"/>
      <c r="L213" s="69"/>
      <c r="M213" s="69"/>
      <c r="N213" s="69"/>
      <c r="O213" s="69"/>
      <c r="P213" s="69"/>
      <c r="Q213" s="69"/>
      <c r="R213" s="69"/>
      <c r="S213" s="69"/>
      <c r="T213" s="69"/>
      <c r="U213" s="69">
        <v>1.4</v>
      </c>
      <c r="V213" s="69"/>
      <c r="W213" s="69"/>
      <c r="X213" s="69"/>
      <c r="Y213" s="69"/>
      <c r="Z213" s="69"/>
      <c r="AA213" s="69"/>
      <c r="AB213" s="69"/>
      <c r="AC213" s="69"/>
      <c r="AD213" s="69"/>
      <c r="AE213" s="69"/>
      <c r="AF213" s="69"/>
      <c r="AG213" s="69"/>
      <c r="AH213" s="69"/>
      <c r="AI213" s="69">
        <v>5.6</v>
      </c>
      <c r="AJ213" s="69"/>
      <c r="AK213" s="69"/>
      <c r="AL213" s="69"/>
    </row>
    <row r="214" spans="1:38" x14ac:dyDescent="0.2">
      <c r="A214" s="10">
        <v>26543</v>
      </c>
      <c r="B214" s="69"/>
      <c r="C214" s="69"/>
      <c r="D214" s="69"/>
      <c r="E214" s="69">
        <v>6.4</v>
      </c>
      <c r="F214" s="69"/>
      <c r="G214" s="69"/>
      <c r="H214" s="69"/>
      <c r="I214" s="69"/>
      <c r="J214" s="69"/>
      <c r="K214" s="69"/>
      <c r="L214" s="69"/>
      <c r="M214" s="69"/>
      <c r="N214" s="69"/>
      <c r="O214" s="69"/>
      <c r="P214" s="69"/>
      <c r="Q214" s="69"/>
      <c r="R214" s="69"/>
      <c r="S214" s="69"/>
      <c r="T214" s="69"/>
      <c r="U214" s="69">
        <v>1.5</v>
      </c>
      <c r="V214" s="69"/>
      <c r="W214" s="69"/>
      <c r="X214" s="69"/>
      <c r="Y214" s="69"/>
      <c r="Z214" s="69"/>
      <c r="AA214" s="69"/>
      <c r="AB214" s="69"/>
      <c r="AC214" s="69"/>
      <c r="AD214" s="69"/>
      <c r="AE214" s="69"/>
      <c r="AF214" s="69"/>
      <c r="AG214" s="69"/>
      <c r="AH214" s="69"/>
      <c r="AI214" s="69">
        <v>5.5</v>
      </c>
      <c r="AJ214" s="69"/>
      <c r="AK214" s="69"/>
      <c r="AL214" s="69"/>
    </row>
    <row r="215" spans="1:38" x14ac:dyDescent="0.2">
      <c r="A215" s="10">
        <v>26573</v>
      </c>
      <c r="B215" s="69"/>
      <c r="C215" s="69"/>
      <c r="D215" s="69"/>
      <c r="E215" s="69">
        <v>6.6</v>
      </c>
      <c r="F215" s="69"/>
      <c r="G215" s="69"/>
      <c r="H215" s="69"/>
      <c r="I215" s="69"/>
      <c r="J215" s="69"/>
      <c r="K215" s="69"/>
      <c r="L215" s="69"/>
      <c r="M215" s="69"/>
      <c r="N215" s="69"/>
      <c r="O215" s="69"/>
      <c r="P215" s="69"/>
      <c r="Q215" s="69"/>
      <c r="R215" s="69"/>
      <c r="S215" s="69"/>
      <c r="T215" s="69"/>
      <c r="U215" s="69">
        <v>1.4</v>
      </c>
      <c r="V215" s="69"/>
      <c r="W215" s="69"/>
      <c r="X215" s="69"/>
      <c r="Y215" s="69"/>
      <c r="Z215" s="69"/>
      <c r="AA215" s="69"/>
      <c r="AB215" s="69"/>
      <c r="AC215" s="69"/>
      <c r="AD215" s="69"/>
      <c r="AE215" s="69"/>
      <c r="AF215" s="69"/>
      <c r="AG215" s="69"/>
      <c r="AH215" s="69"/>
      <c r="AI215" s="69">
        <v>5.6</v>
      </c>
      <c r="AJ215" s="69"/>
      <c r="AK215" s="69"/>
      <c r="AL215" s="69"/>
    </row>
    <row r="216" spans="1:38" x14ac:dyDescent="0.2">
      <c r="A216" s="10">
        <v>26604</v>
      </c>
      <c r="B216" s="69"/>
      <c r="C216" s="69"/>
      <c r="D216" s="69"/>
      <c r="E216" s="69">
        <v>6.4</v>
      </c>
      <c r="F216" s="69"/>
      <c r="G216" s="69"/>
      <c r="H216" s="69"/>
      <c r="I216" s="69"/>
      <c r="J216" s="69"/>
      <c r="K216" s="69"/>
      <c r="L216" s="69"/>
      <c r="M216" s="69"/>
      <c r="N216" s="69"/>
      <c r="O216" s="69"/>
      <c r="P216" s="69"/>
      <c r="Q216" s="69"/>
      <c r="R216" s="69"/>
      <c r="S216" s="69"/>
      <c r="T216" s="69"/>
      <c r="U216" s="69">
        <v>1.4</v>
      </c>
      <c r="V216" s="69"/>
      <c r="W216" s="69"/>
      <c r="X216" s="69"/>
      <c r="Y216" s="69"/>
      <c r="Z216" s="69"/>
      <c r="AA216" s="69"/>
      <c r="AB216" s="69"/>
      <c r="AC216" s="69"/>
      <c r="AD216" s="69"/>
      <c r="AE216" s="69"/>
      <c r="AF216" s="69"/>
      <c r="AG216" s="69"/>
      <c r="AH216" s="69"/>
      <c r="AI216" s="69">
        <v>5.3</v>
      </c>
      <c r="AJ216" s="69"/>
      <c r="AK216" s="69"/>
      <c r="AL216" s="69"/>
    </row>
    <row r="217" spans="1:38" x14ac:dyDescent="0.2">
      <c r="A217" s="10">
        <v>26634</v>
      </c>
      <c r="B217" s="69"/>
      <c r="C217" s="69"/>
      <c r="D217" s="69"/>
      <c r="E217" s="69">
        <v>6.4</v>
      </c>
      <c r="F217" s="69"/>
      <c r="G217" s="69"/>
      <c r="H217" s="69"/>
      <c r="I217" s="69"/>
      <c r="J217" s="69"/>
      <c r="K217" s="69"/>
      <c r="L217" s="69"/>
      <c r="M217" s="69"/>
      <c r="N217" s="69"/>
      <c r="O217" s="69"/>
      <c r="P217" s="69"/>
      <c r="Q217" s="69"/>
      <c r="R217" s="69"/>
      <c r="S217" s="69"/>
      <c r="T217" s="69"/>
      <c r="U217" s="69">
        <v>1.4</v>
      </c>
      <c r="V217" s="69"/>
      <c r="W217" s="69"/>
      <c r="X217" s="69"/>
      <c r="Y217" s="69"/>
      <c r="Z217" s="69"/>
      <c r="AA217" s="69"/>
      <c r="AB217" s="69"/>
      <c r="AC217" s="69"/>
      <c r="AD217" s="69"/>
      <c r="AE217" s="69"/>
      <c r="AF217" s="69"/>
      <c r="AG217" s="69"/>
      <c r="AH217" s="69"/>
      <c r="AI217" s="69">
        <v>5.2</v>
      </c>
      <c r="AJ217" s="69"/>
      <c r="AK217" s="69"/>
      <c r="AL217" s="69"/>
    </row>
    <row r="218" spans="1:38" x14ac:dyDescent="0.2">
      <c r="A218" s="10">
        <v>26665</v>
      </c>
      <c r="B218" s="69"/>
      <c r="C218" s="69"/>
      <c r="D218" s="69"/>
      <c r="E218" s="69">
        <v>6.1</v>
      </c>
      <c r="F218" s="69"/>
      <c r="G218" s="69"/>
      <c r="H218" s="69"/>
      <c r="I218" s="69"/>
      <c r="J218" s="69"/>
      <c r="K218" s="69"/>
      <c r="L218" s="69"/>
      <c r="M218" s="69"/>
      <c r="N218" s="69"/>
      <c r="O218" s="69"/>
      <c r="P218" s="69"/>
      <c r="Q218" s="69"/>
      <c r="R218" s="69"/>
      <c r="S218" s="69"/>
      <c r="T218" s="69"/>
      <c r="U218" s="69">
        <v>1.3</v>
      </c>
      <c r="V218" s="69"/>
      <c r="W218" s="69"/>
      <c r="X218" s="69"/>
      <c r="Y218" s="69"/>
      <c r="Z218" s="69"/>
      <c r="AA218" s="69"/>
      <c r="AB218" s="69"/>
      <c r="AC218" s="69"/>
      <c r="AD218" s="69"/>
      <c r="AE218" s="69"/>
      <c r="AF218" s="69"/>
      <c r="AG218" s="69"/>
      <c r="AH218" s="69"/>
      <c r="AI218" s="69">
        <v>4.9000000000000004</v>
      </c>
      <c r="AJ218" s="69"/>
      <c r="AK218" s="69"/>
      <c r="AL218" s="69"/>
    </row>
    <row r="219" spans="1:38" x14ac:dyDescent="0.2">
      <c r="A219" s="10">
        <v>26696</v>
      </c>
      <c r="B219" s="69"/>
      <c r="C219" s="69"/>
      <c r="D219" s="69"/>
      <c r="E219" s="69">
        <v>5.9</v>
      </c>
      <c r="F219" s="69"/>
      <c r="G219" s="69"/>
      <c r="H219" s="69"/>
      <c r="I219" s="69"/>
      <c r="J219" s="69"/>
      <c r="K219" s="69"/>
      <c r="L219" s="69"/>
      <c r="M219" s="69"/>
      <c r="N219" s="69"/>
      <c r="O219" s="69"/>
      <c r="P219" s="69"/>
      <c r="Q219" s="69"/>
      <c r="R219" s="69"/>
      <c r="S219" s="69"/>
      <c r="T219" s="69"/>
      <c r="U219" s="69">
        <v>1.2</v>
      </c>
      <c r="V219" s="69"/>
      <c r="W219" s="69"/>
      <c r="X219" s="69"/>
      <c r="Y219" s="69"/>
      <c r="Z219" s="69"/>
      <c r="AA219" s="69"/>
      <c r="AB219" s="69"/>
      <c r="AC219" s="69"/>
      <c r="AD219" s="69"/>
      <c r="AE219" s="69"/>
      <c r="AF219" s="69"/>
      <c r="AG219" s="69"/>
      <c r="AH219" s="69"/>
      <c r="AI219" s="69">
        <v>5</v>
      </c>
      <c r="AJ219" s="69"/>
      <c r="AK219" s="69"/>
      <c r="AL219" s="69"/>
    </row>
    <row r="220" spans="1:38" x14ac:dyDescent="0.2">
      <c r="A220" s="10">
        <v>26724</v>
      </c>
      <c r="B220" s="69"/>
      <c r="C220" s="69"/>
      <c r="D220" s="69"/>
      <c r="E220" s="69">
        <v>5.6</v>
      </c>
      <c r="F220" s="69"/>
      <c r="G220" s="69"/>
      <c r="H220" s="69"/>
      <c r="I220" s="69"/>
      <c r="J220" s="69"/>
      <c r="K220" s="69"/>
      <c r="L220" s="69"/>
      <c r="M220" s="69"/>
      <c r="N220" s="69"/>
      <c r="O220" s="69"/>
      <c r="P220" s="69"/>
      <c r="Q220" s="69"/>
      <c r="R220" s="69"/>
      <c r="S220" s="69"/>
      <c r="T220" s="69"/>
      <c r="U220" s="69">
        <v>1.2</v>
      </c>
      <c r="V220" s="69"/>
      <c r="W220" s="69"/>
      <c r="X220" s="69"/>
      <c r="Y220" s="69"/>
      <c r="Z220" s="69"/>
      <c r="AA220" s="69"/>
      <c r="AB220" s="69"/>
      <c r="AC220" s="69"/>
      <c r="AD220" s="69"/>
      <c r="AE220" s="69"/>
      <c r="AF220" s="69"/>
      <c r="AG220" s="69"/>
      <c r="AH220" s="69"/>
      <c r="AI220" s="69">
        <v>4.9000000000000004</v>
      </c>
      <c r="AJ220" s="69"/>
      <c r="AK220" s="69"/>
      <c r="AL220" s="69"/>
    </row>
    <row r="221" spans="1:38" x14ac:dyDescent="0.2">
      <c r="A221" s="10">
        <v>26755</v>
      </c>
      <c r="B221" s="69"/>
      <c r="C221" s="69"/>
      <c r="D221" s="69"/>
      <c r="E221" s="69">
        <v>5.5</v>
      </c>
      <c r="F221" s="69"/>
      <c r="G221" s="69"/>
      <c r="H221" s="69"/>
      <c r="I221" s="69"/>
      <c r="J221" s="69"/>
      <c r="K221" s="69"/>
      <c r="L221" s="69"/>
      <c r="M221" s="69"/>
      <c r="N221" s="69"/>
      <c r="O221" s="69"/>
      <c r="P221" s="69"/>
      <c r="Q221" s="69"/>
      <c r="R221" s="69"/>
      <c r="S221" s="69"/>
      <c r="T221" s="69"/>
      <c r="U221" s="69">
        <v>1.3</v>
      </c>
      <c r="V221" s="69"/>
      <c r="W221" s="69"/>
      <c r="X221" s="69"/>
      <c r="Y221" s="69"/>
      <c r="Z221" s="69"/>
      <c r="AA221" s="69"/>
      <c r="AB221" s="69"/>
      <c r="AC221" s="69"/>
      <c r="AD221" s="69"/>
      <c r="AE221" s="69"/>
      <c r="AF221" s="69"/>
      <c r="AG221" s="69"/>
      <c r="AH221" s="69"/>
      <c r="AI221" s="69">
        <v>5</v>
      </c>
      <c r="AJ221" s="69"/>
      <c r="AK221" s="69"/>
      <c r="AL221" s="69"/>
    </row>
    <row r="222" spans="1:38" x14ac:dyDescent="0.2">
      <c r="A222" s="10">
        <v>26785</v>
      </c>
      <c r="B222" s="69"/>
      <c r="C222" s="69"/>
      <c r="D222" s="69"/>
      <c r="E222" s="69">
        <v>5.3</v>
      </c>
      <c r="F222" s="69"/>
      <c r="G222" s="69"/>
      <c r="H222" s="69"/>
      <c r="I222" s="69"/>
      <c r="J222" s="69"/>
      <c r="K222" s="69"/>
      <c r="L222" s="69"/>
      <c r="M222" s="69"/>
      <c r="N222" s="69"/>
      <c r="O222" s="69"/>
      <c r="P222" s="69"/>
      <c r="Q222" s="69"/>
      <c r="R222" s="69"/>
      <c r="S222" s="69"/>
      <c r="T222" s="69"/>
      <c r="U222" s="69">
        <v>1.4</v>
      </c>
      <c r="V222" s="69"/>
      <c r="W222" s="69"/>
      <c r="X222" s="69"/>
      <c r="Y222" s="69"/>
      <c r="Z222" s="69"/>
      <c r="AA222" s="69"/>
      <c r="AB222" s="69"/>
      <c r="AC222" s="69"/>
      <c r="AD222" s="69"/>
      <c r="AE222" s="69"/>
      <c r="AF222" s="69"/>
      <c r="AG222" s="69"/>
      <c r="AH222" s="69"/>
      <c r="AI222" s="69">
        <v>4.9000000000000004</v>
      </c>
      <c r="AJ222" s="69"/>
      <c r="AK222" s="69"/>
      <c r="AL222" s="69"/>
    </row>
    <row r="223" spans="1:38" x14ac:dyDescent="0.2">
      <c r="A223" s="10">
        <v>26816</v>
      </c>
      <c r="B223" s="69"/>
      <c r="C223" s="69"/>
      <c r="D223" s="69"/>
      <c r="E223" s="69">
        <v>5.4</v>
      </c>
      <c r="F223" s="69"/>
      <c r="G223" s="69"/>
      <c r="H223" s="69"/>
      <c r="I223" s="69"/>
      <c r="J223" s="69"/>
      <c r="K223" s="69"/>
      <c r="L223" s="69"/>
      <c r="M223" s="69"/>
      <c r="N223" s="69"/>
      <c r="O223" s="69"/>
      <c r="P223" s="69"/>
      <c r="Q223" s="69"/>
      <c r="R223" s="69"/>
      <c r="S223" s="69"/>
      <c r="T223" s="69"/>
      <c r="U223" s="69">
        <v>1.4</v>
      </c>
      <c r="V223" s="69"/>
      <c r="W223" s="69"/>
      <c r="X223" s="69"/>
      <c r="Y223" s="69"/>
      <c r="Z223" s="69"/>
      <c r="AA223" s="69"/>
      <c r="AB223" s="69"/>
      <c r="AC223" s="69"/>
      <c r="AD223" s="69"/>
      <c r="AE223" s="69"/>
      <c r="AF223" s="69"/>
      <c r="AG223" s="69"/>
      <c r="AH223" s="69"/>
      <c r="AI223" s="69">
        <v>4.9000000000000004</v>
      </c>
      <c r="AJ223" s="69"/>
      <c r="AK223" s="69"/>
      <c r="AL223" s="69"/>
    </row>
    <row r="224" spans="1:38" x14ac:dyDescent="0.2">
      <c r="A224" s="10">
        <v>26846</v>
      </c>
      <c r="B224" s="69"/>
      <c r="C224" s="69"/>
      <c r="D224" s="69"/>
      <c r="E224" s="69">
        <v>5.3</v>
      </c>
      <c r="F224" s="69"/>
      <c r="G224" s="69"/>
      <c r="H224" s="69"/>
      <c r="I224" s="69"/>
      <c r="J224" s="69"/>
      <c r="K224" s="69"/>
      <c r="L224" s="69"/>
      <c r="M224" s="69"/>
      <c r="N224" s="69"/>
      <c r="O224" s="69"/>
      <c r="P224" s="69"/>
      <c r="Q224" s="69"/>
      <c r="R224" s="69"/>
      <c r="S224" s="69"/>
      <c r="T224" s="69"/>
      <c r="U224" s="69">
        <v>1.3</v>
      </c>
      <c r="V224" s="69"/>
      <c r="W224" s="69"/>
      <c r="X224" s="69"/>
      <c r="Y224" s="69"/>
      <c r="Z224" s="69"/>
      <c r="AA224" s="69"/>
      <c r="AB224" s="69"/>
      <c r="AC224" s="69"/>
      <c r="AD224" s="69"/>
      <c r="AE224" s="69"/>
      <c r="AF224" s="69"/>
      <c r="AG224" s="69"/>
      <c r="AH224" s="69"/>
      <c r="AI224" s="69">
        <v>4.8</v>
      </c>
      <c r="AJ224" s="69"/>
      <c r="AK224" s="69"/>
      <c r="AL224" s="69"/>
    </row>
    <row r="225" spans="1:38" x14ac:dyDescent="0.2">
      <c r="A225" s="10">
        <v>26877</v>
      </c>
      <c r="B225" s="69"/>
      <c r="C225" s="69"/>
      <c r="D225" s="69"/>
      <c r="E225" s="69">
        <v>5.3</v>
      </c>
      <c r="F225" s="69"/>
      <c r="G225" s="69"/>
      <c r="H225" s="69"/>
      <c r="I225" s="69"/>
      <c r="J225" s="69"/>
      <c r="K225" s="69"/>
      <c r="L225" s="69"/>
      <c r="M225" s="69"/>
      <c r="N225" s="69"/>
      <c r="O225" s="69"/>
      <c r="P225" s="69"/>
      <c r="Q225" s="69"/>
      <c r="R225" s="69"/>
      <c r="S225" s="69"/>
      <c r="T225" s="69"/>
      <c r="U225" s="69">
        <v>1.2</v>
      </c>
      <c r="V225" s="69"/>
      <c r="W225" s="69"/>
      <c r="X225" s="69"/>
      <c r="Y225" s="69"/>
      <c r="Z225" s="69"/>
      <c r="AA225" s="69"/>
      <c r="AB225" s="69"/>
      <c r="AC225" s="69"/>
      <c r="AD225" s="69"/>
      <c r="AE225" s="69"/>
      <c r="AF225" s="69"/>
      <c r="AG225" s="69"/>
      <c r="AH225" s="69"/>
      <c r="AI225" s="69">
        <v>4.8</v>
      </c>
      <c r="AJ225" s="69"/>
      <c r="AK225" s="69"/>
      <c r="AL225" s="69"/>
    </row>
    <row r="226" spans="1:38" x14ac:dyDescent="0.2">
      <c r="A226" s="10">
        <v>26908</v>
      </c>
      <c r="B226" s="69"/>
      <c r="C226" s="69"/>
      <c r="D226" s="69"/>
      <c r="E226" s="69">
        <v>5.6</v>
      </c>
      <c r="F226" s="69"/>
      <c r="G226" s="69"/>
      <c r="H226" s="69"/>
      <c r="I226" s="69"/>
      <c r="J226" s="69"/>
      <c r="K226" s="69"/>
      <c r="L226" s="69"/>
      <c r="M226" s="69"/>
      <c r="N226" s="69"/>
      <c r="O226" s="69"/>
      <c r="P226" s="69"/>
      <c r="Q226" s="69"/>
      <c r="R226" s="69"/>
      <c r="S226" s="69"/>
      <c r="T226" s="69"/>
      <c r="U226" s="69">
        <v>1.3</v>
      </c>
      <c r="V226" s="69"/>
      <c r="W226" s="69"/>
      <c r="X226" s="69"/>
      <c r="Y226" s="69"/>
      <c r="Z226" s="69"/>
      <c r="AA226" s="69"/>
      <c r="AB226" s="69"/>
      <c r="AC226" s="69"/>
      <c r="AD226" s="69"/>
      <c r="AE226" s="69"/>
      <c r="AF226" s="69"/>
      <c r="AG226" s="69"/>
      <c r="AH226" s="69"/>
      <c r="AI226" s="69">
        <v>4.8</v>
      </c>
      <c r="AJ226" s="69"/>
      <c r="AK226" s="69"/>
      <c r="AL226" s="69"/>
    </row>
    <row r="227" spans="1:38" x14ac:dyDescent="0.2">
      <c r="A227" s="10">
        <v>26938</v>
      </c>
      <c r="B227" s="69"/>
      <c r="C227" s="69"/>
      <c r="D227" s="69"/>
      <c r="E227" s="69">
        <v>5.7</v>
      </c>
      <c r="F227" s="69"/>
      <c r="G227" s="69"/>
      <c r="H227" s="69"/>
      <c r="I227" s="69"/>
      <c r="J227" s="69"/>
      <c r="K227" s="69"/>
      <c r="L227" s="69"/>
      <c r="M227" s="69"/>
      <c r="N227" s="69"/>
      <c r="O227" s="69"/>
      <c r="P227" s="69"/>
      <c r="Q227" s="69"/>
      <c r="R227" s="69"/>
      <c r="S227" s="69"/>
      <c r="T227" s="69"/>
      <c r="U227" s="69">
        <v>1.1000000000000001</v>
      </c>
      <c r="V227" s="69"/>
      <c r="W227" s="69"/>
      <c r="X227" s="69"/>
      <c r="Y227" s="69"/>
      <c r="Z227" s="69"/>
      <c r="AA227" s="69"/>
      <c r="AB227" s="69"/>
      <c r="AC227" s="69"/>
      <c r="AD227" s="69"/>
      <c r="AE227" s="69"/>
      <c r="AF227" s="69"/>
      <c r="AG227" s="69"/>
      <c r="AH227" s="69"/>
      <c r="AI227" s="69">
        <v>4.5999999999999996</v>
      </c>
      <c r="AJ227" s="69"/>
      <c r="AK227" s="69"/>
      <c r="AL227" s="69"/>
    </row>
    <row r="228" spans="1:38" x14ac:dyDescent="0.2">
      <c r="A228" s="10">
        <v>26969</v>
      </c>
      <c r="B228" s="69"/>
      <c r="C228" s="69"/>
      <c r="D228" s="69"/>
      <c r="E228" s="69">
        <v>5.5</v>
      </c>
      <c r="F228" s="69"/>
      <c r="G228" s="69"/>
      <c r="H228" s="69"/>
      <c r="I228" s="69"/>
      <c r="J228" s="69"/>
      <c r="K228" s="69"/>
      <c r="L228" s="69"/>
      <c r="M228" s="69"/>
      <c r="N228" s="69"/>
      <c r="O228" s="69"/>
      <c r="P228" s="69"/>
      <c r="Q228" s="69"/>
      <c r="R228" s="69"/>
      <c r="S228" s="69"/>
      <c r="T228" s="69"/>
      <c r="U228" s="69">
        <v>1.2</v>
      </c>
      <c r="V228" s="69"/>
      <c r="W228" s="69"/>
      <c r="X228" s="69"/>
      <c r="Y228" s="69"/>
      <c r="Z228" s="69"/>
      <c r="AA228" s="69"/>
      <c r="AB228" s="69"/>
      <c r="AC228" s="69"/>
      <c r="AD228" s="69"/>
      <c r="AE228" s="69"/>
      <c r="AF228" s="69"/>
      <c r="AG228" s="69"/>
      <c r="AH228" s="69"/>
      <c r="AI228" s="69">
        <v>4.8</v>
      </c>
      <c r="AJ228" s="69"/>
      <c r="AK228" s="69"/>
      <c r="AL228" s="69"/>
    </row>
    <row r="229" spans="1:38" x14ac:dyDescent="0.2">
      <c r="A229" s="10">
        <v>26999</v>
      </c>
      <c r="B229" s="69"/>
      <c r="C229" s="69"/>
      <c r="D229" s="69"/>
      <c r="E229" s="69">
        <v>5.4</v>
      </c>
      <c r="F229" s="69"/>
      <c r="G229" s="69"/>
      <c r="H229" s="69"/>
      <c r="I229" s="69"/>
      <c r="J229" s="69"/>
      <c r="K229" s="69"/>
      <c r="L229" s="69"/>
      <c r="M229" s="69"/>
      <c r="N229" s="69"/>
      <c r="O229" s="69"/>
      <c r="P229" s="69"/>
      <c r="Q229" s="69"/>
      <c r="R229" s="69"/>
      <c r="S229" s="69"/>
      <c r="T229" s="69"/>
      <c r="U229" s="69">
        <v>1.1000000000000001</v>
      </c>
      <c r="V229" s="69"/>
      <c r="W229" s="69"/>
      <c r="X229" s="69"/>
      <c r="Y229" s="69"/>
      <c r="Z229" s="69"/>
      <c r="AA229" s="69"/>
      <c r="AB229" s="69"/>
      <c r="AC229" s="69"/>
      <c r="AD229" s="69"/>
      <c r="AE229" s="69"/>
      <c r="AF229" s="69"/>
      <c r="AG229" s="69"/>
      <c r="AH229" s="69"/>
      <c r="AI229" s="69">
        <v>4.9000000000000004</v>
      </c>
      <c r="AJ229" s="69"/>
      <c r="AK229" s="69"/>
      <c r="AL229" s="69"/>
    </row>
    <row r="230" spans="1:38" x14ac:dyDescent="0.2">
      <c r="A230" s="10">
        <v>27030</v>
      </c>
      <c r="B230" s="69"/>
      <c r="C230" s="69"/>
      <c r="D230" s="69"/>
      <c r="E230" s="69">
        <v>5.3</v>
      </c>
      <c r="F230" s="69"/>
      <c r="G230" s="69"/>
      <c r="H230" s="69"/>
      <c r="I230" s="69"/>
      <c r="J230" s="69"/>
      <c r="K230" s="69"/>
      <c r="L230" s="69"/>
      <c r="M230" s="69"/>
      <c r="N230" s="69"/>
      <c r="O230" s="69"/>
      <c r="P230" s="69"/>
      <c r="Q230" s="69"/>
      <c r="R230" s="69"/>
      <c r="S230" s="69"/>
      <c r="T230" s="69"/>
      <c r="U230" s="69">
        <v>1.2</v>
      </c>
      <c r="V230" s="69"/>
      <c r="W230" s="69"/>
      <c r="X230" s="69"/>
      <c r="Y230" s="69"/>
      <c r="Z230" s="69"/>
      <c r="AA230" s="69"/>
      <c r="AB230" s="69"/>
      <c r="AC230" s="69"/>
      <c r="AD230" s="69"/>
      <c r="AE230" s="69"/>
      <c r="AF230" s="69"/>
      <c r="AG230" s="69"/>
      <c r="AH230" s="69"/>
      <c r="AI230" s="69">
        <v>5.0999999999999996</v>
      </c>
      <c r="AJ230" s="69"/>
      <c r="AK230" s="69"/>
      <c r="AL230" s="69"/>
    </row>
    <row r="231" spans="1:38" x14ac:dyDescent="0.2">
      <c r="A231" s="10">
        <v>27061</v>
      </c>
      <c r="B231" s="69"/>
      <c r="C231" s="69"/>
      <c r="D231" s="69"/>
      <c r="E231" s="69">
        <v>5.2</v>
      </c>
      <c r="F231" s="69"/>
      <c r="G231" s="69"/>
      <c r="H231" s="69"/>
      <c r="I231" s="69"/>
      <c r="J231" s="69"/>
      <c r="K231" s="69"/>
      <c r="L231" s="69"/>
      <c r="M231" s="69"/>
      <c r="N231" s="69"/>
      <c r="O231" s="69"/>
      <c r="P231" s="69"/>
      <c r="Q231" s="69"/>
      <c r="R231" s="69"/>
      <c r="S231" s="69"/>
      <c r="T231" s="69"/>
      <c r="U231" s="69">
        <v>1.3</v>
      </c>
      <c r="V231" s="69"/>
      <c r="W231" s="69"/>
      <c r="X231" s="69"/>
      <c r="Y231" s="69"/>
      <c r="Z231" s="69"/>
      <c r="AA231" s="69"/>
      <c r="AB231" s="69"/>
      <c r="AC231" s="69"/>
      <c r="AD231" s="69"/>
      <c r="AE231" s="69"/>
      <c r="AF231" s="69"/>
      <c r="AG231" s="69"/>
      <c r="AH231" s="69"/>
      <c r="AI231" s="69">
        <v>5.2</v>
      </c>
      <c r="AJ231" s="69"/>
      <c r="AK231" s="69"/>
      <c r="AL231" s="69"/>
    </row>
    <row r="232" spans="1:38" x14ac:dyDescent="0.2">
      <c r="A232" s="10">
        <v>27089</v>
      </c>
      <c r="B232" s="69"/>
      <c r="C232" s="69"/>
      <c r="D232" s="69"/>
      <c r="E232" s="69">
        <v>5.2</v>
      </c>
      <c r="F232" s="69"/>
      <c r="G232" s="69"/>
      <c r="H232" s="69"/>
      <c r="I232" s="69"/>
      <c r="J232" s="69"/>
      <c r="K232" s="69"/>
      <c r="L232" s="69"/>
      <c r="M232" s="69"/>
      <c r="N232" s="69"/>
      <c r="O232" s="69"/>
      <c r="P232" s="69"/>
      <c r="Q232" s="69"/>
      <c r="R232" s="69"/>
      <c r="S232" s="69"/>
      <c r="T232" s="69"/>
      <c r="U232" s="69">
        <v>1.4</v>
      </c>
      <c r="V232" s="69"/>
      <c r="W232" s="69"/>
      <c r="X232" s="69"/>
      <c r="Y232" s="69"/>
      <c r="Z232" s="69"/>
      <c r="AA232" s="69"/>
      <c r="AB232" s="69"/>
      <c r="AC232" s="69"/>
      <c r="AD232" s="69"/>
      <c r="AE232" s="69"/>
      <c r="AF232" s="69"/>
      <c r="AG232" s="69"/>
      <c r="AH232" s="69"/>
      <c r="AI232" s="69">
        <v>5.0999999999999996</v>
      </c>
      <c r="AJ232" s="69"/>
      <c r="AK232" s="69"/>
      <c r="AL232" s="69"/>
    </row>
    <row r="233" spans="1:38" x14ac:dyDescent="0.2">
      <c r="A233" s="10">
        <v>27120</v>
      </c>
      <c r="B233" s="69"/>
      <c r="C233" s="69"/>
      <c r="D233" s="69"/>
      <c r="E233" s="69">
        <v>5.2</v>
      </c>
      <c r="F233" s="69"/>
      <c r="G233" s="69"/>
      <c r="H233" s="69"/>
      <c r="I233" s="69"/>
      <c r="J233" s="69"/>
      <c r="K233" s="69"/>
      <c r="L233" s="69"/>
      <c r="M233" s="69"/>
      <c r="N233" s="69"/>
      <c r="O233" s="69"/>
      <c r="P233" s="69"/>
      <c r="Q233" s="69"/>
      <c r="R233" s="69"/>
      <c r="S233" s="69"/>
      <c r="T233" s="69"/>
      <c r="U233" s="69">
        <v>1.3</v>
      </c>
      <c r="V233" s="69"/>
      <c r="W233" s="69"/>
      <c r="X233" s="69"/>
      <c r="Y233" s="69"/>
      <c r="Z233" s="69"/>
      <c r="AA233" s="69"/>
      <c r="AB233" s="69"/>
      <c r="AC233" s="69"/>
      <c r="AD233" s="69"/>
      <c r="AE233" s="69"/>
      <c r="AF233" s="69"/>
      <c r="AG233" s="69"/>
      <c r="AH233" s="69"/>
      <c r="AI233" s="69">
        <v>5.0999999999999996</v>
      </c>
      <c r="AJ233" s="69"/>
      <c r="AK233" s="69"/>
      <c r="AL233" s="69"/>
    </row>
    <row r="234" spans="1:38" x14ac:dyDescent="0.2">
      <c r="A234" s="10">
        <v>27150</v>
      </c>
      <c r="B234" s="69"/>
      <c r="C234" s="69"/>
      <c r="D234" s="69"/>
      <c r="E234" s="69">
        <v>5.4</v>
      </c>
      <c r="F234" s="69"/>
      <c r="G234" s="69"/>
      <c r="H234" s="69"/>
      <c r="I234" s="69"/>
      <c r="J234" s="69"/>
      <c r="K234" s="69"/>
      <c r="L234" s="69"/>
      <c r="M234" s="69"/>
      <c r="N234" s="69"/>
      <c r="O234" s="69"/>
      <c r="P234" s="69"/>
      <c r="Q234" s="69"/>
      <c r="R234" s="69"/>
      <c r="S234" s="69"/>
      <c r="T234" s="69"/>
      <c r="U234" s="69">
        <v>1.3</v>
      </c>
      <c r="V234" s="69"/>
      <c r="W234" s="69"/>
      <c r="X234" s="69"/>
      <c r="Y234" s="69"/>
      <c r="Z234" s="69"/>
      <c r="AA234" s="69"/>
      <c r="AB234" s="69"/>
      <c r="AC234" s="69"/>
      <c r="AD234" s="69"/>
      <c r="AE234" s="69"/>
      <c r="AF234" s="69"/>
      <c r="AG234" s="69"/>
      <c r="AH234" s="69"/>
      <c r="AI234" s="69">
        <v>5.0999999999999996</v>
      </c>
      <c r="AJ234" s="69"/>
      <c r="AK234" s="69"/>
      <c r="AL234" s="69"/>
    </row>
    <row r="235" spans="1:38" x14ac:dyDescent="0.2">
      <c r="A235" s="10">
        <v>27181</v>
      </c>
      <c r="B235" s="69"/>
      <c r="C235" s="69"/>
      <c r="D235" s="69"/>
      <c r="E235" s="69">
        <v>5</v>
      </c>
      <c r="F235" s="69"/>
      <c r="G235" s="69"/>
      <c r="H235" s="69"/>
      <c r="I235" s="69"/>
      <c r="J235" s="69"/>
      <c r="K235" s="69"/>
      <c r="L235" s="69"/>
      <c r="M235" s="69"/>
      <c r="N235" s="69"/>
      <c r="O235" s="69"/>
      <c r="P235" s="69"/>
      <c r="Q235" s="69"/>
      <c r="R235" s="69"/>
      <c r="S235" s="69"/>
      <c r="T235" s="69"/>
      <c r="U235" s="69">
        <v>1.3</v>
      </c>
      <c r="V235" s="69"/>
      <c r="W235" s="69"/>
      <c r="X235" s="69"/>
      <c r="Y235" s="69"/>
      <c r="Z235" s="69"/>
      <c r="AA235" s="69"/>
      <c r="AB235" s="69"/>
      <c r="AC235" s="69"/>
      <c r="AD235" s="69"/>
      <c r="AE235" s="69"/>
      <c r="AF235" s="69"/>
      <c r="AG235" s="69"/>
      <c r="AH235" s="69"/>
      <c r="AI235" s="69">
        <v>5.4</v>
      </c>
      <c r="AJ235" s="69"/>
      <c r="AK235" s="69"/>
      <c r="AL235" s="69"/>
    </row>
    <row r="236" spans="1:38" x14ac:dyDescent="0.2">
      <c r="A236" s="10">
        <v>27211</v>
      </c>
      <c r="B236" s="69"/>
      <c r="C236" s="69"/>
      <c r="D236" s="69"/>
      <c r="E236" s="69">
        <v>5.0999999999999996</v>
      </c>
      <c r="F236" s="69"/>
      <c r="G236" s="69"/>
      <c r="H236" s="69"/>
      <c r="I236" s="69"/>
      <c r="J236" s="69"/>
      <c r="K236" s="69"/>
      <c r="L236" s="69"/>
      <c r="M236" s="69"/>
      <c r="N236" s="69"/>
      <c r="O236" s="69"/>
      <c r="P236" s="69"/>
      <c r="Q236" s="69"/>
      <c r="R236" s="69"/>
      <c r="S236" s="69"/>
      <c r="T236" s="69"/>
      <c r="U236" s="69">
        <v>1.3</v>
      </c>
      <c r="V236" s="69"/>
      <c r="W236" s="69"/>
      <c r="X236" s="69"/>
      <c r="Y236" s="69"/>
      <c r="Z236" s="69"/>
      <c r="AA236" s="69"/>
      <c r="AB236" s="69"/>
      <c r="AC236" s="69"/>
      <c r="AD236" s="69"/>
      <c r="AE236" s="69"/>
      <c r="AF236" s="69"/>
      <c r="AG236" s="69"/>
      <c r="AH236" s="69"/>
      <c r="AI236" s="69">
        <v>5.5</v>
      </c>
      <c r="AJ236" s="69"/>
      <c r="AK236" s="69"/>
      <c r="AL236" s="69"/>
    </row>
    <row r="237" spans="1:38" x14ac:dyDescent="0.2">
      <c r="A237" s="10">
        <v>27242</v>
      </c>
      <c r="B237" s="69"/>
      <c r="C237" s="69"/>
      <c r="D237" s="69"/>
      <c r="E237" s="69">
        <v>5.3</v>
      </c>
      <c r="F237" s="69"/>
      <c r="G237" s="69"/>
      <c r="H237" s="69"/>
      <c r="I237" s="69"/>
      <c r="J237" s="69"/>
      <c r="K237" s="69"/>
      <c r="L237" s="69"/>
      <c r="M237" s="69"/>
      <c r="N237" s="69"/>
      <c r="O237" s="69"/>
      <c r="P237" s="69"/>
      <c r="Q237" s="69"/>
      <c r="R237" s="69"/>
      <c r="S237" s="69"/>
      <c r="T237" s="69"/>
      <c r="U237" s="69">
        <v>1.5</v>
      </c>
      <c r="V237" s="69"/>
      <c r="W237" s="69"/>
      <c r="X237" s="69"/>
      <c r="Y237" s="69"/>
      <c r="Z237" s="69"/>
      <c r="AA237" s="69"/>
      <c r="AB237" s="69"/>
      <c r="AC237" s="69"/>
      <c r="AD237" s="69"/>
      <c r="AE237" s="69"/>
      <c r="AF237" s="69"/>
      <c r="AG237" s="69"/>
      <c r="AH237" s="69"/>
      <c r="AI237" s="69">
        <v>5.5</v>
      </c>
      <c r="AJ237" s="69"/>
      <c r="AK237" s="69"/>
      <c r="AL237" s="69"/>
    </row>
    <row r="238" spans="1:38" x14ac:dyDescent="0.2">
      <c r="A238" s="10">
        <v>27273</v>
      </c>
      <c r="B238" s="69"/>
      <c r="C238" s="69"/>
      <c r="D238" s="69"/>
      <c r="E238" s="69">
        <v>5.4</v>
      </c>
      <c r="F238" s="69"/>
      <c r="G238" s="69"/>
      <c r="H238" s="69"/>
      <c r="I238" s="69"/>
      <c r="J238" s="69"/>
      <c r="K238" s="69"/>
      <c r="L238" s="69"/>
      <c r="M238" s="69"/>
      <c r="N238" s="69"/>
      <c r="O238" s="69"/>
      <c r="P238" s="69"/>
      <c r="Q238" s="69"/>
      <c r="R238" s="69"/>
      <c r="S238" s="69"/>
      <c r="T238" s="69"/>
      <c r="U238" s="69">
        <v>1.4</v>
      </c>
      <c r="V238" s="69"/>
      <c r="W238" s="69"/>
      <c r="X238" s="69"/>
      <c r="Y238" s="69"/>
      <c r="Z238" s="69"/>
      <c r="AA238" s="69"/>
      <c r="AB238" s="69"/>
      <c r="AC238" s="69"/>
      <c r="AD238" s="69"/>
      <c r="AE238" s="69"/>
      <c r="AF238" s="69"/>
      <c r="AG238" s="69"/>
      <c r="AH238" s="69"/>
      <c r="AI238" s="69">
        <v>5.9</v>
      </c>
      <c r="AJ238" s="69"/>
      <c r="AK238" s="69"/>
      <c r="AL238" s="69"/>
    </row>
    <row r="239" spans="1:38" x14ac:dyDescent="0.2">
      <c r="A239" s="10">
        <v>27303</v>
      </c>
      <c r="B239" s="69"/>
      <c r="C239" s="69"/>
      <c r="D239" s="69"/>
      <c r="E239" s="69">
        <v>5.4</v>
      </c>
      <c r="F239" s="69"/>
      <c r="G239" s="69"/>
      <c r="H239" s="69"/>
      <c r="I239" s="69"/>
      <c r="J239" s="69"/>
      <c r="K239" s="69"/>
      <c r="L239" s="69"/>
      <c r="M239" s="69"/>
      <c r="N239" s="69"/>
      <c r="O239" s="69"/>
      <c r="P239" s="69"/>
      <c r="Q239" s="69"/>
      <c r="R239" s="69"/>
      <c r="S239" s="69"/>
      <c r="T239" s="69"/>
      <c r="U239" s="69">
        <v>1.6</v>
      </c>
      <c r="V239" s="69"/>
      <c r="W239" s="69"/>
      <c r="X239" s="69"/>
      <c r="Y239" s="69"/>
      <c r="Z239" s="69"/>
      <c r="AA239" s="69"/>
      <c r="AB239" s="69"/>
      <c r="AC239" s="69"/>
      <c r="AD239" s="69"/>
      <c r="AE239" s="69"/>
      <c r="AF239" s="69"/>
      <c r="AG239" s="69"/>
      <c r="AH239" s="69"/>
      <c r="AI239" s="69">
        <v>6</v>
      </c>
      <c r="AJ239" s="69"/>
      <c r="AK239" s="69"/>
      <c r="AL239" s="69"/>
    </row>
    <row r="240" spans="1:38" x14ac:dyDescent="0.2">
      <c r="A240" s="10">
        <v>27334</v>
      </c>
      <c r="B240" s="69"/>
      <c r="C240" s="69"/>
      <c r="D240" s="69"/>
      <c r="E240" s="69">
        <v>5.6</v>
      </c>
      <c r="F240" s="69"/>
      <c r="G240" s="69"/>
      <c r="H240" s="69"/>
      <c r="I240" s="69"/>
      <c r="J240" s="69"/>
      <c r="K240" s="69"/>
      <c r="L240" s="69"/>
      <c r="M240" s="69"/>
      <c r="N240" s="69"/>
      <c r="O240" s="69"/>
      <c r="P240" s="69"/>
      <c r="Q240" s="69"/>
      <c r="R240" s="69"/>
      <c r="S240" s="69"/>
      <c r="T240" s="69"/>
      <c r="U240" s="69">
        <v>1.5</v>
      </c>
      <c r="V240" s="69"/>
      <c r="W240" s="69"/>
      <c r="X240" s="69"/>
      <c r="Y240" s="69"/>
      <c r="Z240" s="69"/>
      <c r="AA240" s="69"/>
      <c r="AB240" s="69"/>
      <c r="AC240" s="69"/>
      <c r="AD240" s="69"/>
      <c r="AE240" s="69"/>
      <c r="AF240" s="69"/>
      <c r="AG240" s="69"/>
      <c r="AH240" s="69"/>
      <c r="AI240" s="69">
        <v>6.6</v>
      </c>
      <c r="AJ240" s="69"/>
      <c r="AK240" s="69"/>
      <c r="AL240" s="69"/>
    </row>
    <row r="241" spans="1:38" x14ac:dyDescent="0.2">
      <c r="A241" s="10">
        <v>27364</v>
      </c>
      <c r="B241" s="69"/>
      <c r="C241" s="69"/>
      <c r="D241" s="69"/>
      <c r="E241" s="69">
        <v>6</v>
      </c>
      <c r="F241" s="69"/>
      <c r="G241" s="69"/>
      <c r="H241" s="69"/>
      <c r="I241" s="69"/>
      <c r="J241" s="69"/>
      <c r="K241" s="69"/>
      <c r="L241" s="69"/>
      <c r="M241" s="69"/>
      <c r="N241" s="69"/>
      <c r="O241" s="69"/>
      <c r="P241" s="69"/>
      <c r="Q241" s="69"/>
      <c r="R241" s="69"/>
      <c r="S241" s="69"/>
      <c r="T241" s="69"/>
      <c r="U241" s="69">
        <v>1.7</v>
      </c>
      <c r="V241" s="69"/>
      <c r="W241" s="69"/>
      <c r="X241" s="69"/>
      <c r="Y241" s="69"/>
      <c r="Z241" s="69"/>
      <c r="AA241" s="69"/>
      <c r="AB241" s="69"/>
      <c r="AC241" s="69"/>
      <c r="AD241" s="69"/>
      <c r="AE241" s="69"/>
      <c r="AF241" s="69"/>
      <c r="AG241" s="69"/>
      <c r="AH241" s="69"/>
      <c r="AI241" s="69">
        <v>7.2</v>
      </c>
      <c r="AJ241" s="69"/>
      <c r="AK241" s="69"/>
      <c r="AL241" s="69"/>
    </row>
    <row r="242" spans="1:38" x14ac:dyDescent="0.2">
      <c r="A242" s="10">
        <v>27395</v>
      </c>
      <c r="B242" s="69"/>
      <c r="C242" s="69"/>
      <c r="D242" s="69"/>
      <c r="E242" s="69">
        <v>6.9</v>
      </c>
      <c r="F242" s="69"/>
      <c r="G242" s="69"/>
      <c r="H242" s="69"/>
      <c r="I242" s="69"/>
      <c r="J242" s="69"/>
      <c r="K242" s="69"/>
      <c r="L242" s="69"/>
      <c r="M242" s="69"/>
      <c r="N242" s="69"/>
      <c r="O242" s="69"/>
      <c r="P242" s="69"/>
      <c r="Q242" s="69"/>
      <c r="R242" s="69"/>
      <c r="S242" s="69"/>
      <c r="T242" s="69"/>
      <c r="U242" s="69">
        <v>1.7</v>
      </c>
      <c r="V242" s="69"/>
      <c r="W242" s="69"/>
      <c r="X242" s="69"/>
      <c r="Y242" s="69"/>
      <c r="Z242" s="69"/>
      <c r="AA242" s="69"/>
      <c r="AB242" s="69"/>
      <c r="AC242" s="69"/>
      <c r="AD242" s="69"/>
      <c r="AE242" s="69"/>
      <c r="AF242" s="69"/>
      <c r="AG242" s="69"/>
      <c r="AH242" s="69"/>
      <c r="AI242" s="69">
        <v>8.1</v>
      </c>
      <c r="AJ242" s="69"/>
      <c r="AK242" s="69"/>
      <c r="AL242" s="69"/>
    </row>
    <row r="243" spans="1:38" x14ac:dyDescent="0.2">
      <c r="A243" s="10">
        <v>27426</v>
      </c>
      <c r="B243" s="69"/>
      <c r="C243" s="69"/>
      <c r="D243" s="69"/>
      <c r="E243" s="69">
        <v>6.6</v>
      </c>
      <c r="F243" s="69"/>
      <c r="G243" s="69"/>
      <c r="H243" s="69"/>
      <c r="I243" s="69"/>
      <c r="J243" s="69"/>
      <c r="K243" s="69"/>
      <c r="L243" s="69"/>
      <c r="M243" s="69"/>
      <c r="N243" s="69"/>
      <c r="O243" s="69"/>
      <c r="P243" s="69"/>
      <c r="Q243" s="69"/>
      <c r="R243" s="69"/>
      <c r="S243" s="69"/>
      <c r="T243" s="69"/>
      <c r="U243" s="69">
        <v>1.8</v>
      </c>
      <c r="V243" s="69"/>
      <c r="W243" s="69"/>
      <c r="X243" s="69"/>
      <c r="Y243" s="69"/>
      <c r="Z243" s="69"/>
      <c r="AA243" s="69"/>
      <c r="AB243" s="69"/>
      <c r="AC243" s="69"/>
      <c r="AD243" s="69"/>
      <c r="AE243" s="69"/>
      <c r="AF243" s="69"/>
      <c r="AG243" s="69"/>
      <c r="AH243" s="69"/>
      <c r="AI243" s="69">
        <v>8.1</v>
      </c>
      <c r="AJ243" s="69"/>
      <c r="AK243" s="69"/>
      <c r="AL243" s="69"/>
    </row>
    <row r="244" spans="1:38" x14ac:dyDescent="0.2">
      <c r="A244" s="10">
        <v>27454</v>
      </c>
      <c r="B244" s="69"/>
      <c r="C244" s="69"/>
      <c r="D244" s="69"/>
      <c r="E244" s="69">
        <v>6.6</v>
      </c>
      <c r="F244" s="69"/>
      <c r="G244" s="69"/>
      <c r="H244" s="69"/>
      <c r="I244" s="69"/>
      <c r="J244" s="69"/>
      <c r="K244" s="69"/>
      <c r="L244" s="69"/>
      <c r="M244" s="69"/>
      <c r="N244" s="69"/>
      <c r="O244" s="69"/>
      <c r="P244" s="69"/>
      <c r="Q244" s="69"/>
      <c r="R244" s="69"/>
      <c r="S244" s="69"/>
      <c r="T244" s="69"/>
      <c r="U244" s="69">
        <v>1.8</v>
      </c>
      <c r="V244" s="69"/>
      <c r="W244" s="69"/>
      <c r="X244" s="69"/>
      <c r="Y244" s="69"/>
      <c r="Z244" s="69"/>
      <c r="AA244" s="69"/>
      <c r="AB244" s="69"/>
      <c r="AC244" s="69"/>
      <c r="AD244" s="69"/>
      <c r="AE244" s="69"/>
      <c r="AF244" s="69"/>
      <c r="AG244" s="69"/>
      <c r="AH244" s="69"/>
      <c r="AI244" s="69">
        <v>8.6</v>
      </c>
      <c r="AJ244" s="69"/>
      <c r="AK244" s="69"/>
      <c r="AL244" s="69"/>
    </row>
    <row r="245" spans="1:38" x14ac:dyDescent="0.2">
      <c r="A245" s="10">
        <v>27485</v>
      </c>
      <c r="B245" s="69"/>
      <c r="C245" s="69"/>
      <c r="D245" s="69"/>
      <c r="E245" s="69">
        <v>6.5</v>
      </c>
      <c r="F245" s="69"/>
      <c r="G245" s="69"/>
      <c r="H245" s="69"/>
      <c r="I245" s="69"/>
      <c r="J245" s="69"/>
      <c r="K245" s="69"/>
      <c r="L245" s="69"/>
      <c r="M245" s="69"/>
      <c r="N245" s="69"/>
      <c r="O245" s="69"/>
      <c r="P245" s="69"/>
      <c r="Q245" s="69"/>
      <c r="R245" s="69"/>
      <c r="S245" s="69"/>
      <c r="T245" s="69"/>
      <c r="U245" s="69">
        <v>1.8</v>
      </c>
      <c r="V245" s="69"/>
      <c r="W245" s="69"/>
      <c r="X245" s="69"/>
      <c r="Y245" s="69"/>
      <c r="Z245" s="69"/>
      <c r="AA245" s="69"/>
      <c r="AB245" s="69"/>
      <c r="AC245" s="69"/>
      <c r="AD245" s="69"/>
      <c r="AE245" s="69"/>
      <c r="AF245" s="69"/>
      <c r="AG245" s="69"/>
      <c r="AH245" s="69"/>
      <c r="AI245" s="69">
        <v>8.8000000000000007</v>
      </c>
      <c r="AJ245" s="69"/>
      <c r="AK245" s="69"/>
      <c r="AL245" s="69"/>
    </row>
    <row r="246" spans="1:38" x14ac:dyDescent="0.2">
      <c r="A246" s="10">
        <v>27515</v>
      </c>
      <c r="B246" s="69"/>
      <c r="C246" s="69"/>
      <c r="D246" s="69"/>
      <c r="E246" s="69">
        <v>7</v>
      </c>
      <c r="F246" s="69"/>
      <c r="G246" s="69"/>
      <c r="H246" s="69"/>
      <c r="I246" s="69"/>
      <c r="J246" s="69"/>
      <c r="K246" s="69"/>
      <c r="L246" s="69"/>
      <c r="M246" s="69"/>
      <c r="N246" s="69"/>
      <c r="O246" s="69"/>
      <c r="P246" s="69"/>
      <c r="Q246" s="69"/>
      <c r="R246" s="69"/>
      <c r="S246" s="69"/>
      <c r="T246" s="69"/>
      <c r="U246" s="69">
        <v>1.8</v>
      </c>
      <c r="V246" s="69"/>
      <c r="W246" s="69"/>
      <c r="X246" s="69"/>
      <c r="Y246" s="69"/>
      <c r="Z246" s="69"/>
      <c r="AA246" s="69"/>
      <c r="AB246" s="69"/>
      <c r="AC246" s="69"/>
      <c r="AD246" s="69"/>
      <c r="AE246" s="69"/>
      <c r="AF246" s="69"/>
      <c r="AG246" s="69"/>
      <c r="AH246" s="69"/>
      <c r="AI246" s="69">
        <v>9</v>
      </c>
      <c r="AJ246" s="69"/>
      <c r="AK246" s="69"/>
      <c r="AL246" s="69"/>
    </row>
    <row r="247" spans="1:38" x14ac:dyDescent="0.2">
      <c r="A247" s="10">
        <v>27546</v>
      </c>
      <c r="B247" s="69"/>
      <c r="C247" s="69"/>
      <c r="D247" s="69"/>
      <c r="E247" s="69">
        <v>7</v>
      </c>
      <c r="F247" s="69"/>
      <c r="G247" s="69"/>
      <c r="H247" s="69"/>
      <c r="I247" s="69"/>
      <c r="J247" s="69"/>
      <c r="K247" s="69"/>
      <c r="L247" s="69"/>
      <c r="M247" s="69"/>
      <c r="N247" s="69"/>
      <c r="O247" s="69"/>
      <c r="P247" s="69"/>
      <c r="Q247" s="69"/>
      <c r="R247" s="69"/>
      <c r="S247" s="69"/>
      <c r="T247" s="69"/>
      <c r="U247" s="69">
        <v>1.8</v>
      </c>
      <c r="V247" s="69"/>
      <c r="W247" s="69"/>
      <c r="X247" s="69"/>
      <c r="Y247" s="69"/>
      <c r="Z247" s="69"/>
      <c r="AA247" s="69"/>
      <c r="AB247" s="69"/>
      <c r="AC247" s="69"/>
      <c r="AD247" s="69"/>
      <c r="AE247" s="69"/>
      <c r="AF247" s="69"/>
      <c r="AG247" s="69"/>
      <c r="AH247" s="69"/>
      <c r="AI247" s="69">
        <v>8.8000000000000007</v>
      </c>
      <c r="AJ247" s="69"/>
      <c r="AK247" s="69"/>
      <c r="AL247" s="69"/>
    </row>
    <row r="248" spans="1:38" x14ac:dyDescent="0.2">
      <c r="A248" s="10">
        <v>27576</v>
      </c>
      <c r="B248" s="69"/>
      <c r="C248" s="69"/>
      <c r="D248" s="69"/>
      <c r="E248" s="69">
        <v>6.9</v>
      </c>
      <c r="F248" s="69"/>
      <c r="G248" s="69"/>
      <c r="H248" s="69"/>
      <c r="I248" s="69"/>
      <c r="J248" s="69"/>
      <c r="K248" s="69"/>
      <c r="L248" s="69"/>
      <c r="M248" s="69"/>
      <c r="N248" s="69"/>
      <c r="O248" s="69"/>
      <c r="P248" s="69"/>
      <c r="Q248" s="69"/>
      <c r="R248" s="69"/>
      <c r="S248" s="69"/>
      <c r="T248" s="69"/>
      <c r="U248" s="69">
        <v>1.8</v>
      </c>
      <c r="V248" s="69"/>
      <c r="W248" s="69"/>
      <c r="X248" s="69"/>
      <c r="Y248" s="69"/>
      <c r="Z248" s="69"/>
      <c r="AA248" s="69"/>
      <c r="AB248" s="69"/>
      <c r="AC248" s="69"/>
      <c r="AD248" s="69"/>
      <c r="AE248" s="69"/>
      <c r="AF248" s="69"/>
      <c r="AG248" s="69"/>
      <c r="AH248" s="69"/>
      <c r="AI248" s="69">
        <v>8.6</v>
      </c>
      <c r="AJ248" s="69"/>
      <c r="AK248" s="69"/>
      <c r="AL248" s="69"/>
    </row>
    <row r="249" spans="1:38" x14ac:dyDescent="0.2">
      <c r="A249" s="10">
        <v>27607</v>
      </c>
      <c r="B249" s="69"/>
      <c r="C249" s="69"/>
      <c r="D249" s="69"/>
      <c r="E249" s="69">
        <v>7.1</v>
      </c>
      <c r="F249" s="69"/>
      <c r="G249" s="69"/>
      <c r="H249" s="69"/>
      <c r="I249" s="69"/>
      <c r="J249" s="69"/>
      <c r="K249" s="69"/>
      <c r="L249" s="69"/>
      <c r="M249" s="69"/>
      <c r="N249" s="69"/>
      <c r="O249" s="69"/>
      <c r="P249" s="69"/>
      <c r="Q249" s="69"/>
      <c r="R249" s="69"/>
      <c r="S249" s="69"/>
      <c r="T249" s="69"/>
      <c r="U249" s="69">
        <v>1.9</v>
      </c>
      <c r="V249" s="69"/>
      <c r="W249" s="69"/>
      <c r="X249" s="69"/>
      <c r="Y249" s="69"/>
      <c r="Z249" s="69"/>
      <c r="AA249" s="69"/>
      <c r="AB249" s="69"/>
      <c r="AC249" s="69"/>
      <c r="AD249" s="69"/>
      <c r="AE249" s="69"/>
      <c r="AF249" s="69"/>
      <c r="AG249" s="69"/>
      <c r="AH249" s="69"/>
      <c r="AI249" s="69">
        <v>8.4</v>
      </c>
      <c r="AJ249" s="69"/>
      <c r="AK249" s="69"/>
      <c r="AL249" s="69"/>
    </row>
    <row r="250" spans="1:38" x14ac:dyDescent="0.2">
      <c r="A250" s="10">
        <v>27638</v>
      </c>
      <c r="B250" s="69"/>
      <c r="C250" s="69"/>
      <c r="D250" s="69"/>
      <c r="E250" s="69">
        <v>6.9</v>
      </c>
      <c r="F250" s="69"/>
      <c r="G250" s="69"/>
      <c r="H250" s="69"/>
      <c r="I250" s="69"/>
      <c r="J250" s="69"/>
      <c r="K250" s="69"/>
      <c r="L250" s="69"/>
      <c r="M250" s="69"/>
      <c r="N250" s="69"/>
      <c r="O250" s="69"/>
      <c r="P250" s="69"/>
      <c r="Q250" s="69"/>
      <c r="R250" s="69"/>
      <c r="S250" s="69"/>
      <c r="T250" s="69"/>
      <c r="U250" s="69">
        <v>2</v>
      </c>
      <c r="V250" s="69"/>
      <c r="W250" s="69"/>
      <c r="X250" s="69"/>
      <c r="Y250" s="69"/>
      <c r="Z250" s="69"/>
      <c r="AA250" s="69"/>
      <c r="AB250" s="69"/>
      <c r="AC250" s="69"/>
      <c r="AD250" s="69"/>
      <c r="AE250" s="69"/>
      <c r="AF250" s="69"/>
      <c r="AG250" s="69"/>
      <c r="AH250" s="69"/>
      <c r="AI250" s="69">
        <v>8.4</v>
      </c>
      <c r="AJ250" s="69"/>
      <c r="AK250" s="69"/>
      <c r="AL250" s="69"/>
    </row>
    <row r="251" spans="1:38" x14ac:dyDescent="0.2">
      <c r="A251" s="10">
        <v>27668</v>
      </c>
      <c r="B251" s="69"/>
      <c r="C251" s="69"/>
      <c r="D251" s="69"/>
      <c r="E251" s="69">
        <v>7.2</v>
      </c>
      <c r="F251" s="69"/>
      <c r="G251" s="69"/>
      <c r="H251" s="69"/>
      <c r="I251" s="69"/>
      <c r="J251" s="69"/>
      <c r="K251" s="69"/>
      <c r="L251" s="69"/>
      <c r="M251" s="69"/>
      <c r="N251" s="69"/>
      <c r="O251" s="69"/>
      <c r="P251" s="69"/>
      <c r="Q251" s="69"/>
      <c r="R251" s="69"/>
      <c r="S251" s="69"/>
      <c r="T251" s="69"/>
      <c r="U251" s="69">
        <v>2.1</v>
      </c>
      <c r="V251" s="69"/>
      <c r="W251" s="69"/>
      <c r="X251" s="69"/>
      <c r="Y251" s="69"/>
      <c r="Z251" s="69"/>
      <c r="AA251" s="69"/>
      <c r="AB251" s="69"/>
      <c r="AC251" s="69"/>
      <c r="AD251" s="69"/>
      <c r="AE251" s="69"/>
      <c r="AF251" s="69"/>
      <c r="AG251" s="69"/>
      <c r="AH251" s="69"/>
      <c r="AI251" s="69">
        <v>8.4</v>
      </c>
      <c r="AJ251" s="69"/>
      <c r="AK251" s="69"/>
      <c r="AL251" s="69"/>
    </row>
    <row r="252" spans="1:38" x14ac:dyDescent="0.2">
      <c r="A252" s="10">
        <v>27699</v>
      </c>
      <c r="B252" s="69"/>
      <c r="C252" s="69"/>
      <c r="D252" s="69"/>
      <c r="E252" s="69">
        <v>7.2</v>
      </c>
      <c r="F252" s="69"/>
      <c r="G252" s="69"/>
      <c r="H252" s="69"/>
      <c r="I252" s="69"/>
      <c r="J252" s="69"/>
      <c r="K252" s="69"/>
      <c r="L252" s="69"/>
      <c r="M252" s="69"/>
      <c r="N252" s="69"/>
      <c r="O252" s="69"/>
      <c r="P252" s="69"/>
      <c r="Q252" s="69"/>
      <c r="R252" s="69"/>
      <c r="S252" s="69"/>
      <c r="T252" s="69"/>
      <c r="U252" s="69">
        <v>2.1</v>
      </c>
      <c r="V252" s="69"/>
      <c r="W252" s="69"/>
      <c r="X252" s="69"/>
      <c r="Y252" s="69"/>
      <c r="Z252" s="69"/>
      <c r="AA252" s="69"/>
      <c r="AB252" s="69"/>
      <c r="AC252" s="69"/>
      <c r="AD252" s="69"/>
      <c r="AE252" s="69"/>
      <c r="AF252" s="69"/>
      <c r="AG252" s="69"/>
      <c r="AH252" s="69"/>
      <c r="AI252" s="69">
        <v>8.3000000000000007</v>
      </c>
      <c r="AJ252" s="69"/>
      <c r="AK252" s="69"/>
      <c r="AL252" s="69"/>
    </row>
    <row r="253" spans="1:38" x14ac:dyDescent="0.2">
      <c r="A253" s="10">
        <v>27729</v>
      </c>
      <c r="B253" s="69"/>
      <c r="C253" s="69"/>
      <c r="D253" s="69"/>
      <c r="E253" s="69">
        <v>7</v>
      </c>
      <c r="F253" s="69"/>
      <c r="G253" s="69"/>
      <c r="H253" s="69"/>
      <c r="I253" s="69"/>
      <c r="J253" s="69"/>
      <c r="K253" s="69"/>
      <c r="L253" s="69"/>
      <c r="M253" s="69"/>
      <c r="N253" s="69"/>
      <c r="O253" s="69"/>
      <c r="P253" s="69"/>
      <c r="Q253" s="69"/>
      <c r="R253" s="69"/>
      <c r="S253" s="69"/>
      <c r="T253" s="69"/>
      <c r="U253" s="69">
        <v>2.1</v>
      </c>
      <c r="V253" s="69"/>
      <c r="W253" s="69"/>
      <c r="X253" s="69"/>
      <c r="Y253" s="69"/>
      <c r="Z253" s="69"/>
      <c r="AA253" s="69"/>
      <c r="AB253" s="69"/>
      <c r="AC253" s="69"/>
      <c r="AD253" s="69"/>
      <c r="AE253" s="69"/>
      <c r="AF253" s="69"/>
      <c r="AG253" s="69"/>
      <c r="AH253" s="69"/>
      <c r="AI253" s="69">
        <v>8.1999999999999993</v>
      </c>
      <c r="AJ253" s="69"/>
      <c r="AK253" s="69"/>
      <c r="AL253" s="69"/>
    </row>
    <row r="254" spans="1:38" x14ac:dyDescent="0.2">
      <c r="A254" s="10">
        <v>27760</v>
      </c>
      <c r="B254" s="69"/>
      <c r="C254" s="69"/>
      <c r="D254" s="69"/>
      <c r="E254" s="69">
        <v>7.1</v>
      </c>
      <c r="F254" s="69"/>
      <c r="G254" s="69"/>
      <c r="H254" s="69"/>
      <c r="I254" s="69"/>
      <c r="J254" s="69"/>
      <c r="K254" s="69"/>
      <c r="L254" s="69"/>
      <c r="M254" s="69"/>
      <c r="N254" s="69"/>
      <c r="O254" s="69"/>
      <c r="P254" s="69"/>
      <c r="Q254" s="69"/>
      <c r="R254" s="69"/>
      <c r="S254" s="69"/>
      <c r="T254" s="69"/>
      <c r="U254" s="69">
        <v>2.1</v>
      </c>
      <c r="V254" s="69"/>
      <c r="W254" s="69"/>
      <c r="X254" s="69"/>
      <c r="Y254" s="69"/>
      <c r="Z254" s="69"/>
      <c r="AA254" s="69"/>
      <c r="AB254" s="69"/>
      <c r="AC254" s="69"/>
      <c r="AD254" s="69"/>
      <c r="AE254" s="69"/>
      <c r="AF254" s="69"/>
      <c r="AG254" s="69"/>
      <c r="AH254" s="69"/>
      <c r="AI254" s="69">
        <v>7.9</v>
      </c>
      <c r="AJ254" s="69"/>
      <c r="AK254" s="69"/>
      <c r="AL254" s="69"/>
    </row>
    <row r="255" spans="1:38" x14ac:dyDescent="0.2">
      <c r="A255" s="10">
        <v>27791</v>
      </c>
      <c r="B255" s="69"/>
      <c r="C255" s="69"/>
      <c r="D255" s="69"/>
      <c r="E255" s="69">
        <v>7</v>
      </c>
      <c r="F255" s="69"/>
      <c r="G255" s="69"/>
      <c r="H255" s="69"/>
      <c r="I255" s="69"/>
      <c r="J255" s="69"/>
      <c r="K255" s="69"/>
      <c r="L255" s="69"/>
      <c r="M255" s="69"/>
      <c r="N255" s="69"/>
      <c r="O255" s="69"/>
      <c r="P255" s="69"/>
      <c r="Q255" s="69"/>
      <c r="R255" s="69"/>
      <c r="S255" s="69"/>
      <c r="T255" s="69"/>
      <c r="U255" s="69">
        <v>2</v>
      </c>
      <c r="V255" s="69"/>
      <c r="W255" s="69"/>
      <c r="X255" s="69"/>
      <c r="Y255" s="69"/>
      <c r="Z255" s="69"/>
      <c r="AA255" s="69"/>
      <c r="AB255" s="69"/>
      <c r="AC255" s="69"/>
      <c r="AD255" s="69"/>
      <c r="AE255" s="69"/>
      <c r="AF255" s="69"/>
      <c r="AG255" s="69"/>
      <c r="AH255" s="69"/>
      <c r="AI255" s="69">
        <v>7.7</v>
      </c>
      <c r="AJ255" s="69"/>
      <c r="AK255" s="69"/>
      <c r="AL255" s="69"/>
    </row>
    <row r="256" spans="1:38" x14ac:dyDescent="0.2">
      <c r="A256" s="10">
        <v>27820</v>
      </c>
      <c r="B256" s="69"/>
      <c r="C256" s="69"/>
      <c r="D256" s="69"/>
      <c r="E256" s="69">
        <v>6.7</v>
      </c>
      <c r="F256" s="69"/>
      <c r="G256" s="69"/>
      <c r="H256" s="69"/>
      <c r="I256" s="69"/>
      <c r="J256" s="69"/>
      <c r="K256" s="69"/>
      <c r="L256" s="69"/>
      <c r="M256" s="69"/>
      <c r="N256" s="69"/>
      <c r="O256" s="69"/>
      <c r="P256" s="69"/>
      <c r="Q256" s="69"/>
      <c r="R256" s="69"/>
      <c r="S256" s="69"/>
      <c r="T256" s="69"/>
      <c r="U256" s="69">
        <v>2</v>
      </c>
      <c r="V256" s="69"/>
      <c r="W256" s="69"/>
      <c r="X256" s="69"/>
      <c r="Y256" s="69"/>
      <c r="Z256" s="69"/>
      <c r="AA256" s="69"/>
      <c r="AB256" s="69"/>
      <c r="AC256" s="69"/>
      <c r="AD256" s="69"/>
      <c r="AE256" s="69"/>
      <c r="AF256" s="69"/>
      <c r="AG256" s="69"/>
      <c r="AH256" s="69"/>
      <c r="AI256" s="69">
        <v>7.6</v>
      </c>
      <c r="AJ256" s="69"/>
      <c r="AK256" s="69"/>
      <c r="AL256" s="69"/>
    </row>
    <row r="257" spans="1:38" x14ac:dyDescent="0.2">
      <c r="A257" s="10">
        <v>27851</v>
      </c>
      <c r="B257" s="69"/>
      <c r="C257" s="69"/>
      <c r="D257" s="69"/>
      <c r="E257" s="69">
        <v>6.8</v>
      </c>
      <c r="F257" s="69"/>
      <c r="G257" s="69"/>
      <c r="H257" s="69"/>
      <c r="I257" s="69"/>
      <c r="J257" s="69"/>
      <c r="K257" s="69"/>
      <c r="L257" s="69"/>
      <c r="M257" s="69"/>
      <c r="N257" s="69"/>
      <c r="O257" s="69"/>
      <c r="P257" s="69"/>
      <c r="Q257" s="69"/>
      <c r="R257" s="69"/>
      <c r="S257" s="69"/>
      <c r="T257" s="69"/>
      <c r="U257" s="69">
        <v>2.1</v>
      </c>
      <c r="V257" s="69"/>
      <c r="W257" s="69"/>
      <c r="X257" s="69"/>
      <c r="Y257" s="69"/>
      <c r="Z257" s="69"/>
      <c r="AA257" s="69"/>
      <c r="AB257" s="69"/>
      <c r="AC257" s="69"/>
      <c r="AD257" s="69"/>
      <c r="AE257" s="69"/>
      <c r="AF257" s="69"/>
      <c r="AG257" s="69"/>
      <c r="AH257" s="69"/>
      <c r="AI257" s="69">
        <v>7.7</v>
      </c>
      <c r="AJ257" s="69"/>
      <c r="AK257" s="69"/>
      <c r="AL257" s="69"/>
    </row>
    <row r="258" spans="1:38" x14ac:dyDescent="0.2">
      <c r="A258" s="10">
        <v>27881</v>
      </c>
      <c r="B258" s="69"/>
      <c r="C258" s="69"/>
      <c r="D258" s="69"/>
      <c r="E258" s="69">
        <v>6.9</v>
      </c>
      <c r="F258" s="69"/>
      <c r="G258" s="69"/>
      <c r="H258" s="69"/>
      <c r="I258" s="69"/>
      <c r="J258" s="69"/>
      <c r="K258" s="69"/>
      <c r="L258" s="69"/>
      <c r="M258" s="69"/>
      <c r="N258" s="69"/>
      <c r="O258" s="69"/>
      <c r="P258" s="69"/>
      <c r="Q258" s="69"/>
      <c r="R258" s="69"/>
      <c r="S258" s="69"/>
      <c r="T258" s="69"/>
      <c r="U258" s="69">
        <v>2.1</v>
      </c>
      <c r="V258" s="69"/>
      <c r="W258" s="69"/>
      <c r="X258" s="69"/>
      <c r="Y258" s="69"/>
      <c r="Z258" s="69"/>
      <c r="AA258" s="69"/>
      <c r="AB258" s="69"/>
      <c r="AC258" s="69"/>
      <c r="AD258" s="69"/>
      <c r="AE258" s="69"/>
      <c r="AF258" s="69"/>
      <c r="AG258" s="69"/>
      <c r="AH258" s="69"/>
      <c r="AI258" s="69">
        <v>7.4</v>
      </c>
      <c r="AJ258" s="69"/>
      <c r="AK258" s="69"/>
      <c r="AL258" s="69"/>
    </row>
    <row r="259" spans="1:38" x14ac:dyDescent="0.2">
      <c r="A259" s="10">
        <v>27912</v>
      </c>
      <c r="B259" s="69"/>
      <c r="C259" s="69"/>
      <c r="D259" s="69"/>
      <c r="E259" s="69">
        <v>6.9</v>
      </c>
      <c r="F259" s="69"/>
      <c r="G259" s="69"/>
      <c r="H259" s="69"/>
      <c r="I259" s="69"/>
      <c r="J259" s="69"/>
      <c r="K259" s="69"/>
      <c r="L259" s="69"/>
      <c r="M259" s="69"/>
      <c r="N259" s="69"/>
      <c r="O259" s="69"/>
      <c r="P259" s="69"/>
      <c r="Q259" s="69"/>
      <c r="R259" s="69"/>
      <c r="S259" s="69"/>
      <c r="T259" s="69"/>
      <c r="U259" s="69">
        <v>2</v>
      </c>
      <c r="V259" s="69"/>
      <c r="W259" s="69"/>
      <c r="X259" s="69"/>
      <c r="Y259" s="69"/>
      <c r="Z259" s="69"/>
      <c r="AA259" s="69"/>
      <c r="AB259" s="69"/>
      <c r="AC259" s="69"/>
      <c r="AD259" s="69"/>
      <c r="AE259" s="69"/>
      <c r="AF259" s="69"/>
      <c r="AG259" s="69"/>
      <c r="AH259" s="69"/>
      <c r="AI259" s="69">
        <v>7.6</v>
      </c>
      <c r="AJ259" s="69"/>
      <c r="AK259" s="69"/>
      <c r="AL259" s="69"/>
    </row>
    <row r="260" spans="1:38" x14ac:dyDescent="0.2">
      <c r="A260" s="10">
        <v>27942</v>
      </c>
      <c r="B260" s="69"/>
      <c r="C260" s="69"/>
      <c r="D260" s="69"/>
      <c r="E260" s="69">
        <v>7.4</v>
      </c>
      <c r="F260" s="69"/>
      <c r="G260" s="69"/>
      <c r="H260" s="69"/>
      <c r="I260" s="69"/>
      <c r="J260" s="69"/>
      <c r="K260" s="69"/>
      <c r="L260" s="69"/>
      <c r="M260" s="69"/>
      <c r="N260" s="69"/>
      <c r="O260" s="69"/>
      <c r="P260" s="69"/>
      <c r="Q260" s="69"/>
      <c r="R260" s="69"/>
      <c r="S260" s="69"/>
      <c r="T260" s="69"/>
      <c r="U260" s="69">
        <v>2</v>
      </c>
      <c r="V260" s="69"/>
      <c r="W260" s="69"/>
      <c r="X260" s="69"/>
      <c r="Y260" s="69"/>
      <c r="Z260" s="69"/>
      <c r="AA260" s="69"/>
      <c r="AB260" s="69"/>
      <c r="AC260" s="69"/>
      <c r="AD260" s="69"/>
      <c r="AE260" s="69"/>
      <c r="AF260" s="69"/>
      <c r="AG260" s="69"/>
      <c r="AH260" s="69"/>
      <c r="AI260" s="69">
        <v>7.8</v>
      </c>
      <c r="AJ260" s="69"/>
      <c r="AK260" s="69"/>
      <c r="AL260" s="69"/>
    </row>
    <row r="261" spans="1:38" x14ac:dyDescent="0.2">
      <c r="A261" s="10">
        <v>27973</v>
      </c>
      <c r="B261" s="69"/>
      <c r="C261" s="69"/>
      <c r="D261" s="69"/>
      <c r="E261" s="69">
        <v>7.1</v>
      </c>
      <c r="F261" s="69"/>
      <c r="G261" s="69"/>
      <c r="H261" s="69"/>
      <c r="I261" s="69"/>
      <c r="J261" s="69"/>
      <c r="K261" s="69"/>
      <c r="L261" s="69"/>
      <c r="M261" s="69"/>
      <c r="N261" s="69"/>
      <c r="O261" s="69"/>
      <c r="P261" s="69"/>
      <c r="Q261" s="69"/>
      <c r="R261" s="69"/>
      <c r="S261" s="69"/>
      <c r="T261" s="69"/>
      <c r="U261" s="69">
        <v>2</v>
      </c>
      <c r="V261" s="69"/>
      <c r="W261" s="69"/>
      <c r="X261" s="69"/>
      <c r="Y261" s="69"/>
      <c r="Z261" s="69"/>
      <c r="AA261" s="69"/>
      <c r="AB261" s="69"/>
      <c r="AC261" s="69"/>
      <c r="AD261" s="69"/>
      <c r="AE261" s="69"/>
      <c r="AF261" s="69"/>
      <c r="AG261" s="69"/>
      <c r="AH261" s="69"/>
      <c r="AI261" s="69">
        <v>7.8</v>
      </c>
      <c r="AJ261" s="69"/>
      <c r="AK261" s="69"/>
      <c r="AL261" s="69"/>
    </row>
    <row r="262" spans="1:38" x14ac:dyDescent="0.2">
      <c r="A262" s="10">
        <v>28004</v>
      </c>
      <c r="B262" s="69"/>
      <c r="C262" s="69"/>
      <c r="D262" s="69"/>
      <c r="E262" s="69">
        <v>7</v>
      </c>
      <c r="F262" s="69"/>
      <c r="G262" s="69"/>
      <c r="H262" s="69"/>
      <c r="I262" s="69"/>
      <c r="J262" s="69"/>
      <c r="K262" s="69"/>
      <c r="L262" s="69"/>
      <c r="M262" s="69"/>
      <c r="N262" s="69"/>
      <c r="O262" s="69"/>
      <c r="P262" s="69"/>
      <c r="Q262" s="69"/>
      <c r="R262" s="69"/>
      <c r="S262" s="69"/>
      <c r="T262" s="69"/>
      <c r="U262" s="69">
        <v>2</v>
      </c>
      <c r="V262" s="69"/>
      <c r="W262" s="69"/>
      <c r="X262" s="69"/>
      <c r="Y262" s="69"/>
      <c r="Z262" s="69"/>
      <c r="AA262" s="69"/>
      <c r="AB262" s="69"/>
      <c r="AC262" s="69"/>
      <c r="AD262" s="69"/>
      <c r="AE262" s="69"/>
      <c r="AF262" s="69"/>
      <c r="AG262" s="69"/>
      <c r="AH262" s="69"/>
      <c r="AI262" s="69">
        <v>7.6</v>
      </c>
      <c r="AJ262" s="69"/>
      <c r="AK262" s="69"/>
      <c r="AL262" s="69"/>
    </row>
    <row r="263" spans="1:38" x14ac:dyDescent="0.2">
      <c r="A263" s="10">
        <v>28034</v>
      </c>
      <c r="B263" s="69"/>
      <c r="C263" s="69"/>
      <c r="D263" s="69"/>
      <c r="E263" s="69">
        <v>7.4</v>
      </c>
      <c r="F263" s="69"/>
      <c r="G263" s="69"/>
      <c r="H263" s="69"/>
      <c r="I263" s="69"/>
      <c r="J263" s="69"/>
      <c r="K263" s="69"/>
      <c r="L263" s="69"/>
      <c r="M263" s="69"/>
      <c r="N263" s="69"/>
      <c r="O263" s="69"/>
      <c r="P263" s="69"/>
      <c r="Q263" s="69"/>
      <c r="R263" s="69"/>
      <c r="S263" s="69"/>
      <c r="T263" s="69"/>
      <c r="U263" s="69">
        <v>2</v>
      </c>
      <c r="V263" s="69"/>
      <c r="W263" s="69"/>
      <c r="X263" s="69"/>
      <c r="Y263" s="69"/>
      <c r="Z263" s="69"/>
      <c r="AA263" s="69"/>
      <c r="AB263" s="69"/>
      <c r="AC263" s="69"/>
      <c r="AD263" s="69"/>
      <c r="AE263" s="69"/>
      <c r="AF263" s="69"/>
      <c r="AG263" s="69"/>
      <c r="AH263" s="69"/>
      <c r="AI263" s="69">
        <v>7.7</v>
      </c>
      <c r="AJ263" s="69"/>
      <c r="AK263" s="69"/>
      <c r="AL263" s="69"/>
    </row>
    <row r="264" spans="1:38" x14ac:dyDescent="0.2">
      <c r="A264" s="10">
        <v>28065</v>
      </c>
      <c r="B264" s="69"/>
      <c r="C264" s="69"/>
      <c r="D264" s="69"/>
      <c r="E264" s="69">
        <v>7.3</v>
      </c>
      <c r="F264" s="69"/>
      <c r="G264" s="69"/>
      <c r="H264" s="69"/>
      <c r="I264" s="69"/>
      <c r="J264" s="69"/>
      <c r="K264" s="69"/>
      <c r="L264" s="69"/>
      <c r="M264" s="69"/>
      <c r="N264" s="69"/>
      <c r="O264" s="69"/>
      <c r="P264" s="69"/>
      <c r="Q264" s="69"/>
      <c r="R264" s="69"/>
      <c r="S264" s="69"/>
      <c r="T264" s="69"/>
      <c r="U264" s="69">
        <v>2</v>
      </c>
      <c r="V264" s="69"/>
      <c r="W264" s="69"/>
      <c r="X264" s="69"/>
      <c r="Y264" s="69"/>
      <c r="Z264" s="69"/>
      <c r="AA264" s="69"/>
      <c r="AB264" s="69"/>
      <c r="AC264" s="69"/>
      <c r="AD264" s="69"/>
      <c r="AE264" s="69"/>
      <c r="AF264" s="69"/>
      <c r="AG264" s="69"/>
      <c r="AH264" s="69"/>
      <c r="AI264" s="69">
        <v>7.8</v>
      </c>
      <c r="AJ264" s="69"/>
      <c r="AK264" s="69"/>
      <c r="AL264" s="69"/>
    </row>
    <row r="265" spans="1:38" x14ac:dyDescent="0.2">
      <c r="A265" s="10">
        <v>28095</v>
      </c>
      <c r="B265" s="69"/>
      <c r="C265" s="69"/>
      <c r="D265" s="69"/>
      <c r="E265" s="69">
        <v>7.4</v>
      </c>
      <c r="F265" s="69"/>
      <c r="G265" s="69"/>
      <c r="H265" s="69"/>
      <c r="I265" s="69"/>
      <c r="J265" s="69"/>
      <c r="K265" s="69"/>
      <c r="L265" s="69"/>
      <c r="M265" s="69"/>
      <c r="N265" s="69"/>
      <c r="O265" s="69"/>
      <c r="P265" s="69"/>
      <c r="Q265" s="69"/>
      <c r="R265" s="69"/>
      <c r="S265" s="69"/>
      <c r="T265" s="69"/>
      <c r="U265" s="69">
        <v>1.8</v>
      </c>
      <c r="V265" s="69"/>
      <c r="W265" s="69"/>
      <c r="X265" s="69"/>
      <c r="Y265" s="69"/>
      <c r="Z265" s="69"/>
      <c r="AA265" s="69"/>
      <c r="AB265" s="69"/>
      <c r="AC265" s="69"/>
      <c r="AD265" s="69"/>
      <c r="AE265" s="69"/>
      <c r="AF265" s="69"/>
      <c r="AG265" s="69"/>
      <c r="AH265" s="69"/>
      <c r="AI265" s="69">
        <v>7.8</v>
      </c>
      <c r="AJ265" s="69"/>
      <c r="AK265" s="69"/>
      <c r="AL265" s="69"/>
    </row>
    <row r="266" spans="1:38" x14ac:dyDescent="0.2">
      <c r="A266" s="10">
        <v>28126</v>
      </c>
      <c r="B266" s="69"/>
      <c r="C266" s="69"/>
      <c r="D266" s="69"/>
      <c r="E266" s="69">
        <v>7.6</v>
      </c>
      <c r="F266" s="69"/>
      <c r="G266" s="69"/>
      <c r="H266" s="69"/>
      <c r="I266" s="69"/>
      <c r="J266" s="69"/>
      <c r="K266" s="69"/>
      <c r="L266" s="69"/>
      <c r="M266" s="69"/>
      <c r="N266" s="69"/>
      <c r="O266" s="69"/>
      <c r="P266" s="69"/>
      <c r="Q266" s="69"/>
      <c r="R266" s="69"/>
      <c r="S266" s="69"/>
      <c r="T266" s="69"/>
      <c r="U266" s="69">
        <v>1.9</v>
      </c>
      <c r="V266" s="69"/>
      <c r="W266" s="69"/>
      <c r="X266" s="69"/>
      <c r="Y266" s="69"/>
      <c r="Z266" s="69"/>
      <c r="AA266" s="69"/>
      <c r="AB266" s="69"/>
      <c r="AC266" s="69"/>
      <c r="AD266" s="69"/>
      <c r="AE266" s="69"/>
      <c r="AF266" s="69"/>
      <c r="AG266" s="69"/>
      <c r="AH266" s="69"/>
      <c r="AI266" s="69">
        <v>7.5</v>
      </c>
      <c r="AJ266" s="69"/>
      <c r="AK266" s="69"/>
      <c r="AL266" s="69"/>
    </row>
    <row r="267" spans="1:38" x14ac:dyDescent="0.2">
      <c r="A267" s="10">
        <v>28157</v>
      </c>
      <c r="B267" s="69"/>
      <c r="C267" s="69"/>
      <c r="D267" s="69"/>
      <c r="E267" s="69">
        <v>7.8</v>
      </c>
      <c r="F267" s="69"/>
      <c r="G267" s="69"/>
      <c r="H267" s="69"/>
      <c r="I267" s="69"/>
      <c r="J267" s="69"/>
      <c r="K267" s="69"/>
      <c r="L267" s="69"/>
      <c r="M267" s="69"/>
      <c r="N267" s="69"/>
      <c r="O267" s="69"/>
      <c r="P267" s="69"/>
      <c r="Q267" s="69"/>
      <c r="R267" s="69"/>
      <c r="S267" s="69"/>
      <c r="T267" s="69"/>
      <c r="U267" s="69">
        <v>2</v>
      </c>
      <c r="V267" s="69"/>
      <c r="W267" s="69"/>
      <c r="X267" s="69"/>
      <c r="Y267" s="69"/>
      <c r="Z267" s="69"/>
      <c r="AA267" s="69"/>
      <c r="AB267" s="69"/>
      <c r="AC267" s="69"/>
      <c r="AD267" s="69"/>
      <c r="AE267" s="69"/>
      <c r="AF267" s="69"/>
      <c r="AG267" s="69"/>
      <c r="AH267" s="69"/>
      <c r="AI267" s="69">
        <v>7.6</v>
      </c>
      <c r="AJ267" s="69"/>
      <c r="AK267" s="69"/>
      <c r="AL267" s="69"/>
    </row>
    <row r="268" spans="1:38" x14ac:dyDescent="0.2">
      <c r="A268" s="10">
        <v>28185</v>
      </c>
      <c r="B268" s="69"/>
      <c r="C268" s="69"/>
      <c r="D268" s="69"/>
      <c r="E268" s="69">
        <v>7.8</v>
      </c>
      <c r="F268" s="69"/>
      <c r="G268" s="69"/>
      <c r="H268" s="69"/>
      <c r="I268" s="69"/>
      <c r="J268" s="69"/>
      <c r="K268" s="69"/>
      <c r="L268" s="69"/>
      <c r="M268" s="69"/>
      <c r="N268" s="69"/>
      <c r="O268" s="69"/>
      <c r="P268" s="69"/>
      <c r="Q268" s="69"/>
      <c r="R268" s="69"/>
      <c r="S268" s="69"/>
      <c r="T268" s="69"/>
      <c r="U268" s="69">
        <v>2</v>
      </c>
      <c r="V268" s="69"/>
      <c r="W268" s="69"/>
      <c r="X268" s="69"/>
      <c r="Y268" s="69"/>
      <c r="Z268" s="69"/>
      <c r="AA268" s="69"/>
      <c r="AB268" s="69"/>
      <c r="AC268" s="69"/>
      <c r="AD268" s="69"/>
      <c r="AE268" s="69"/>
      <c r="AF268" s="69"/>
      <c r="AG268" s="69"/>
      <c r="AH268" s="69"/>
      <c r="AI268" s="69">
        <v>7.4</v>
      </c>
      <c r="AJ268" s="69"/>
      <c r="AK268" s="69"/>
      <c r="AL268" s="69"/>
    </row>
    <row r="269" spans="1:38" x14ac:dyDescent="0.2">
      <c r="A269" s="10">
        <v>28216</v>
      </c>
      <c r="B269" s="69"/>
      <c r="C269" s="69"/>
      <c r="D269" s="69"/>
      <c r="E269" s="69">
        <v>7.9</v>
      </c>
      <c r="F269" s="69"/>
      <c r="G269" s="69"/>
      <c r="H269" s="69"/>
      <c r="I269" s="69"/>
      <c r="J269" s="69"/>
      <c r="K269" s="69"/>
      <c r="L269" s="69"/>
      <c r="M269" s="69"/>
      <c r="N269" s="69"/>
      <c r="O269" s="69"/>
      <c r="P269" s="69"/>
      <c r="Q269" s="69"/>
      <c r="R269" s="69"/>
      <c r="S269" s="69"/>
      <c r="T269" s="69"/>
      <c r="U269" s="69">
        <v>1.9</v>
      </c>
      <c r="V269" s="69"/>
      <c r="W269" s="69"/>
      <c r="X269" s="69"/>
      <c r="Y269" s="69"/>
      <c r="Z269" s="69"/>
      <c r="AA269" s="69"/>
      <c r="AB269" s="69"/>
      <c r="AC269" s="69"/>
      <c r="AD269" s="69"/>
      <c r="AE269" s="69"/>
      <c r="AF269" s="69"/>
      <c r="AG269" s="69"/>
      <c r="AH269" s="69"/>
      <c r="AI269" s="69">
        <v>7.2</v>
      </c>
      <c r="AJ269" s="69"/>
      <c r="AK269" s="69"/>
      <c r="AL269" s="69"/>
    </row>
    <row r="270" spans="1:38" x14ac:dyDescent="0.2">
      <c r="A270" s="10">
        <v>28246</v>
      </c>
      <c r="B270" s="69"/>
      <c r="C270" s="69"/>
      <c r="D270" s="69"/>
      <c r="E270" s="69">
        <v>7.8</v>
      </c>
      <c r="F270" s="69"/>
      <c r="G270" s="69"/>
      <c r="H270" s="69"/>
      <c r="I270" s="69"/>
      <c r="J270" s="69"/>
      <c r="K270" s="69"/>
      <c r="L270" s="69"/>
      <c r="M270" s="69"/>
      <c r="N270" s="69"/>
      <c r="O270" s="69"/>
      <c r="P270" s="69"/>
      <c r="Q270" s="69"/>
      <c r="R270" s="69"/>
      <c r="S270" s="69"/>
      <c r="T270" s="69"/>
      <c r="U270" s="69">
        <v>2.1</v>
      </c>
      <c r="V270" s="69"/>
      <c r="W270" s="69"/>
      <c r="X270" s="69"/>
      <c r="Y270" s="69"/>
      <c r="Z270" s="69"/>
      <c r="AA270" s="69"/>
      <c r="AB270" s="69"/>
      <c r="AC270" s="69"/>
      <c r="AD270" s="69"/>
      <c r="AE270" s="69"/>
      <c r="AF270" s="69"/>
      <c r="AG270" s="69"/>
      <c r="AH270" s="69"/>
      <c r="AI270" s="69">
        <v>7</v>
      </c>
      <c r="AJ270" s="69"/>
      <c r="AK270" s="69"/>
      <c r="AL270" s="69"/>
    </row>
    <row r="271" spans="1:38" x14ac:dyDescent="0.2">
      <c r="A271" s="10">
        <v>28277</v>
      </c>
      <c r="B271" s="69"/>
      <c r="C271" s="69"/>
      <c r="D271" s="69"/>
      <c r="E271" s="69">
        <v>7.9</v>
      </c>
      <c r="F271" s="69"/>
      <c r="G271" s="69"/>
      <c r="H271" s="69"/>
      <c r="I271" s="69"/>
      <c r="J271" s="69"/>
      <c r="K271" s="69"/>
      <c r="L271" s="69"/>
      <c r="M271" s="69"/>
      <c r="N271" s="69"/>
      <c r="O271" s="69"/>
      <c r="P271" s="69"/>
      <c r="Q271" s="69"/>
      <c r="R271" s="69"/>
      <c r="S271" s="69"/>
      <c r="T271" s="69"/>
      <c r="U271" s="69">
        <v>2.1</v>
      </c>
      <c r="V271" s="69"/>
      <c r="W271" s="69"/>
      <c r="X271" s="69"/>
      <c r="Y271" s="69"/>
      <c r="Z271" s="69"/>
      <c r="AA271" s="69"/>
      <c r="AB271" s="69"/>
      <c r="AC271" s="69"/>
      <c r="AD271" s="69"/>
      <c r="AE271" s="69"/>
      <c r="AF271" s="69"/>
      <c r="AG271" s="69"/>
      <c r="AH271" s="69"/>
      <c r="AI271" s="69">
        <v>7.2</v>
      </c>
      <c r="AJ271" s="69"/>
      <c r="AK271" s="69"/>
      <c r="AL271" s="69"/>
    </row>
    <row r="272" spans="1:38" x14ac:dyDescent="0.2">
      <c r="A272" s="10">
        <v>28307</v>
      </c>
      <c r="B272" s="69"/>
      <c r="C272" s="69"/>
      <c r="D272" s="69"/>
      <c r="E272" s="69">
        <v>8.1999999999999993</v>
      </c>
      <c r="F272" s="69"/>
      <c r="G272" s="69"/>
      <c r="H272" s="69"/>
      <c r="I272" s="69"/>
      <c r="J272" s="69"/>
      <c r="K272" s="69"/>
      <c r="L272" s="69"/>
      <c r="M272" s="69"/>
      <c r="N272" s="69"/>
      <c r="O272" s="69"/>
      <c r="P272" s="69"/>
      <c r="Q272" s="69"/>
      <c r="R272" s="69"/>
      <c r="S272" s="69"/>
      <c r="T272" s="69"/>
      <c r="U272" s="69">
        <v>2.1</v>
      </c>
      <c r="V272" s="69"/>
      <c r="W272" s="69"/>
      <c r="X272" s="69"/>
      <c r="Y272" s="69"/>
      <c r="Z272" s="69"/>
      <c r="AA272" s="69"/>
      <c r="AB272" s="69"/>
      <c r="AC272" s="69"/>
      <c r="AD272" s="69"/>
      <c r="AE272" s="69"/>
      <c r="AF272" s="69"/>
      <c r="AG272" s="69"/>
      <c r="AH272" s="69"/>
      <c r="AI272" s="69">
        <v>6.9</v>
      </c>
      <c r="AJ272" s="69"/>
      <c r="AK272" s="69"/>
      <c r="AL272" s="69"/>
    </row>
    <row r="273" spans="1:38" x14ac:dyDescent="0.2">
      <c r="A273" s="10">
        <v>28338</v>
      </c>
      <c r="B273" s="69"/>
      <c r="C273" s="69"/>
      <c r="D273" s="69"/>
      <c r="E273" s="69">
        <v>8.1999999999999993</v>
      </c>
      <c r="F273" s="69"/>
      <c r="G273" s="69"/>
      <c r="H273" s="69"/>
      <c r="I273" s="69"/>
      <c r="J273" s="69"/>
      <c r="K273" s="69"/>
      <c r="L273" s="69"/>
      <c r="M273" s="69"/>
      <c r="N273" s="69"/>
      <c r="O273" s="69"/>
      <c r="P273" s="69"/>
      <c r="Q273" s="69"/>
      <c r="R273" s="69"/>
      <c r="S273" s="69"/>
      <c r="T273" s="69"/>
      <c r="U273" s="69">
        <v>2</v>
      </c>
      <c r="V273" s="69"/>
      <c r="W273" s="69"/>
      <c r="X273" s="69"/>
      <c r="Y273" s="69"/>
      <c r="Z273" s="69"/>
      <c r="AA273" s="69"/>
      <c r="AB273" s="69"/>
      <c r="AC273" s="69"/>
      <c r="AD273" s="69"/>
      <c r="AE273" s="69"/>
      <c r="AF273" s="69"/>
      <c r="AG273" s="69"/>
      <c r="AH273" s="69"/>
      <c r="AI273" s="69">
        <v>7</v>
      </c>
      <c r="AJ273" s="69"/>
      <c r="AK273" s="69"/>
      <c r="AL273" s="69"/>
    </row>
    <row r="274" spans="1:38" x14ac:dyDescent="0.2">
      <c r="A274" s="10">
        <v>28369</v>
      </c>
      <c r="B274" s="69"/>
      <c r="C274" s="69"/>
      <c r="D274" s="69"/>
      <c r="E274" s="69">
        <v>8.3000000000000007</v>
      </c>
      <c r="F274" s="69"/>
      <c r="G274" s="69"/>
      <c r="H274" s="69"/>
      <c r="I274" s="69"/>
      <c r="J274" s="69"/>
      <c r="K274" s="69"/>
      <c r="L274" s="69"/>
      <c r="M274" s="69"/>
      <c r="N274" s="69"/>
      <c r="O274" s="69"/>
      <c r="P274" s="69"/>
      <c r="Q274" s="69"/>
      <c r="R274" s="69"/>
      <c r="S274" s="69"/>
      <c r="T274" s="69"/>
      <c r="U274" s="69">
        <v>2</v>
      </c>
      <c r="V274" s="69"/>
      <c r="W274" s="69"/>
      <c r="X274" s="69"/>
      <c r="Y274" s="69"/>
      <c r="Z274" s="69"/>
      <c r="AA274" s="69"/>
      <c r="AB274" s="69"/>
      <c r="AC274" s="69"/>
      <c r="AD274" s="69"/>
      <c r="AE274" s="69"/>
      <c r="AF274" s="69"/>
      <c r="AG274" s="69"/>
      <c r="AH274" s="69"/>
      <c r="AI274" s="69">
        <v>6.8</v>
      </c>
      <c r="AJ274" s="69"/>
      <c r="AK274" s="69"/>
      <c r="AL274" s="69"/>
    </row>
    <row r="275" spans="1:38" x14ac:dyDescent="0.2">
      <c r="A275" s="10">
        <v>28399</v>
      </c>
      <c r="B275" s="69"/>
      <c r="C275" s="69"/>
      <c r="D275" s="69"/>
      <c r="E275" s="69">
        <v>8.3000000000000007</v>
      </c>
      <c r="F275" s="69"/>
      <c r="G275" s="69"/>
      <c r="H275" s="69"/>
      <c r="I275" s="69"/>
      <c r="J275" s="69"/>
      <c r="K275" s="69"/>
      <c r="L275" s="69"/>
      <c r="M275" s="69"/>
      <c r="N275" s="69"/>
      <c r="O275" s="69"/>
      <c r="P275" s="69"/>
      <c r="Q275" s="69"/>
      <c r="R275" s="69"/>
      <c r="S275" s="69"/>
      <c r="T275" s="69"/>
      <c r="U275" s="69">
        <v>1.9</v>
      </c>
      <c r="V275" s="69"/>
      <c r="W275" s="69"/>
      <c r="X275" s="69"/>
      <c r="Y275" s="69"/>
      <c r="Z275" s="69"/>
      <c r="AA275" s="69"/>
      <c r="AB275" s="69"/>
      <c r="AC275" s="69"/>
      <c r="AD275" s="69"/>
      <c r="AE275" s="69"/>
      <c r="AF275" s="69"/>
      <c r="AG275" s="69"/>
      <c r="AH275" s="69"/>
      <c r="AI275" s="69">
        <v>6.8</v>
      </c>
      <c r="AJ275" s="69"/>
      <c r="AK275" s="69"/>
      <c r="AL275" s="69"/>
    </row>
    <row r="276" spans="1:38" x14ac:dyDescent="0.2">
      <c r="A276" s="10">
        <v>28430</v>
      </c>
      <c r="B276" s="69"/>
      <c r="C276" s="69"/>
      <c r="D276" s="69"/>
      <c r="E276" s="69">
        <v>8.4</v>
      </c>
      <c r="F276" s="69"/>
      <c r="G276" s="69"/>
      <c r="H276" s="69"/>
      <c r="I276" s="69"/>
      <c r="J276" s="69"/>
      <c r="K276" s="69"/>
      <c r="L276" s="69"/>
      <c r="M276" s="69"/>
      <c r="N276" s="69"/>
      <c r="O276" s="69"/>
      <c r="P276" s="69"/>
      <c r="Q276" s="69"/>
      <c r="R276" s="69"/>
      <c r="S276" s="69"/>
      <c r="T276" s="69"/>
      <c r="U276" s="69">
        <v>2</v>
      </c>
      <c r="V276" s="69"/>
      <c r="W276" s="69"/>
      <c r="X276" s="69"/>
      <c r="Y276" s="69"/>
      <c r="Z276" s="69"/>
      <c r="AA276" s="69"/>
      <c r="AB276" s="69"/>
      <c r="AC276" s="69"/>
      <c r="AD276" s="69"/>
      <c r="AE276" s="69"/>
      <c r="AF276" s="69"/>
      <c r="AG276" s="69"/>
      <c r="AH276" s="69"/>
      <c r="AI276" s="69">
        <v>6.8</v>
      </c>
      <c r="AJ276" s="69"/>
      <c r="AK276" s="69"/>
      <c r="AL276" s="69"/>
    </row>
    <row r="277" spans="1:38" x14ac:dyDescent="0.2">
      <c r="A277" s="10">
        <v>28460</v>
      </c>
      <c r="B277" s="69"/>
      <c r="C277" s="69"/>
      <c r="D277" s="69"/>
      <c r="E277" s="69">
        <v>8.5</v>
      </c>
      <c r="F277" s="69"/>
      <c r="G277" s="69"/>
      <c r="H277" s="69"/>
      <c r="I277" s="69"/>
      <c r="J277" s="69"/>
      <c r="K277" s="69"/>
      <c r="L277" s="69"/>
      <c r="M277" s="69"/>
      <c r="N277" s="69"/>
      <c r="O277" s="69"/>
      <c r="P277" s="69"/>
      <c r="Q277" s="69"/>
      <c r="R277" s="69"/>
      <c r="S277" s="69"/>
      <c r="T277" s="69"/>
      <c r="U277" s="69">
        <v>2.1</v>
      </c>
      <c r="V277" s="69"/>
      <c r="W277" s="69"/>
      <c r="X277" s="69"/>
      <c r="Y277" s="69"/>
      <c r="Z277" s="69"/>
      <c r="AA277" s="69"/>
      <c r="AB277" s="69"/>
      <c r="AC277" s="69"/>
      <c r="AD277" s="69"/>
      <c r="AE277" s="69"/>
      <c r="AF277" s="69"/>
      <c r="AG277" s="69"/>
      <c r="AH277" s="69"/>
      <c r="AI277" s="69">
        <v>6.4</v>
      </c>
      <c r="AJ277" s="69"/>
      <c r="AK277" s="69"/>
      <c r="AL277" s="69"/>
    </row>
    <row r="278" spans="1:38" x14ac:dyDescent="0.2">
      <c r="A278" s="10">
        <v>28491</v>
      </c>
      <c r="B278" s="69"/>
      <c r="C278" s="69"/>
      <c r="D278" s="69"/>
      <c r="E278" s="69">
        <v>8.3000000000000007</v>
      </c>
      <c r="F278" s="69"/>
      <c r="G278" s="69"/>
      <c r="H278" s="69"/>
      <c r="I278" s="69"/>
      <c r="J278" s="69"/>
      <c r="K278" s="69"/>
      <c r="L278" s="69"/>
      <c r="M278" s="69"/>
      <c r="N278" s="69"/>
      <c r="O278" s="69"/>
      <c r="P278" s="69"/>
      <c r="Q278" s="69"/>
      <c r="R278" s="69"/>
      <c r="S278" s="69"/>
      <c r="T278" s="69"/>
      <c r="U278" s="69">
        <v>2.1</v>
      </c>
      <c r="V278" s="69"/>
      <c r="W278" s="69"/>
      <c r="X278" s="69"/>
      <c r="Y278" s="69"/>
      <c r="Z278" s="69"/>
      <c r="AA278" s="69"/>
      <c r="AB278" s="69"/>
      <c r="AC278" s="69"/>
      <c r="AD278" s="69"/>
      <c r="AE278" s="69"/>
      <c r="AF278" s="69"/>
      <c r="AG278" s="69"/>
      <c r="AH278" s="69"/>
      <c r="AI278" s="69">
        <v>6.4</v>
      </c>
      <c r="AJ278" s="69"/>
      <c r="AK278" s="69"/>
      <c r="AL278" s="69"/>
    </row>
    <row r="279" spans="1:38" x14ac:dyDescent="0.2">
      <c r="A279" s="10">
        <v>28522</v>
      </c>
      <c r="B279" s="69">
        <v>6.6453470000000001</v>
      </c>
      <c r="C279" s="69"/>
      <c r="D279" s="69"/>
      <c r="E279" s="69">
        <v>8.3000000000000007</v>
      </c>
      <c r="F279" s="69"/>
      <c r="G279" s="69"/>
      <c r="H279" s="69"/>
      <c r="I279" s="69"/>
      <c r="J279" s="69"/>
      <c r="K279" s="69"/>
      <c r="L279" s="69"/>
      <c r="M279" s="69"/>
      <c r="N279" s="69"/>
      <c r="O279" s="69"/>
      <c r="P279" s="69"/>
      <c r="Q279" s="69"/>
      <c r="R279" s="69"/>
      <c r="S279" s="69"/>
      <c r="T279" s="69"/>
      <c r="U279" s="69">
        <v>2.2000000000000002</v>
      </c>
      <c r="V279" s="69"/>
      <c r="W279" s="69"/>
      <c r="X279" s="69"/>
      <c r="Y279" s="69"/>
      <c r="Z279" s="69"/>
      <c r="AA279" s="69"/>
      <c r="AB279" s="69"/>
      <c r="AC279" s="69"/>
      <c r="AD279" s="69"/>
      <c r="AE279" s="69"/>
      <c r="AF279" s="69"/>
      <c r="AG279" s="69"/>
      <c r="AH279" s="69"/>
      <c r="AI279" s="69">
        <v>6.3</v>
      </c>
      <c r="AJ279" s="69"/>
      <c r="AK279" s="69"/>
      <c r="AL279" s="69"/>
    </row>
    <row r="280" spans="1:38" x14ac:dyDescent="0.2">
      <c r="A280" s="10">
        <v>28550</v>
      </c>
      <c r="B280" s="69">
        <v>6.3034400000000002</v>
      </c>
      <c r="C280" s="69"/>
      <c r="D280" s="69"/>
      <c r="E280" s="69">
        <v>8.5</v>
      </c>
      <c r="F280" s="69"/>
      <c r="G280" s="69"/>
      <c r="H280" s="69"/>
      <c r="I280" s="69"/>
      <c r="J280" s="69"/>
      <c r="K280" s="69"/>
      <c r="L280" s="69"/>
      <c r="M280" s="69"/>
      <c r="N280" s="69"/>
      <c r="O280" s="69"/>
      <c r="P280" s="69"/>
      <c r="Q280" s="69"/>
      <c r="R280" s="69"/>
      <c r="S280" s="69"/>
      <c r="T280" s="69"/>
      <c r="U280" s="69">
        <v>2.2000000000000002</v>
      </c>
      <c r="V280" s="69"/>
      <c r="W280" s="69"/>
      <c r="X280" s="69"/>
      <c r="Y280" s="69"/>
      <c r="Z280" s="69"/>
      <c r="AA280" s="69"/>
      <c r="AB280" s="69"/>
      <c r="AC280" s="69"/>
      <c r="AD280" s="69"/>
      <c r="AE280" s="69"/>
      <c r="AF280" s="69"/>
      <c r="AG280" s="69"/>
      <c r="AH280" s="69"/>
      <c r="AI280" s="69">
        <v>6.3</v>
      </c>
      <c r="AJ280" s="69"/>
      <c r="AK280" s="69"/>
      <c r="AL280" s="69"/>
    </row>
    <row r="281" spans="1:38" x14ac:dyDescent="0.2">
      <c r="A281" s="10">
        <v>28581</v>
      </c>
      <c r="B281" s="69">
        <v>6.2681100000000001</v>
      </c>
      <c r="C281" s="69"/>
      <c r="D281" s="69"/>
      <c r="E281" s="69">
        <v>8.4</v>
      </c>
      <c r="F281" s="69"/>
      <c r="G281" s="69"/>
      <c r="H281" s="69"/>
      <c r="I281" s="69"/>
      <c r="J281" s="69"/>
      <c r="K281" s="69"/>
      <c r="L281" s="69"/>
      <c r="M281" s="69"/>
      <c r="N281" s="69"/>
      <c r="O281" s="69"/>
      <c r="P281" s="69"/>
      <c r="Q281" s="69"/>
      <c r="R281" s="69"/>
      <c r="S281" s="69"/>
      <c r="T281" s="69"/>
      <c r="U281" s="69">
        <v>2.2000000000000002</v>
      </c>
      <c r="V281" s="69"/>
      <c r="W281" s="69"/>
      <c r="X281" s="69"/>
      <c r="Y281" s="69"/>
      <c r="Z281" s="69"/>
      <c r="AA281" s="69"/>
      <c r="AB281" s="69"/>
      <c r="AC281" s="69"/>
      <c r="AD281" s="69"/>
      <c r="AE281" s="69"/>
      <c r="AF281" s="69"/>
      <c r="AG281" s="69"/>
      <c r="AH281" s="69"/>
      <c r="AI281" s="69">
        <v>6.1</v>
      </c>
      <c r="AJ281" s="69"/>
      <c r="AK281" s="69"/>
      <c r="AL281" s="69"/>
    </row>
    <row r="282" spans="1:38" x14ac:dyDescent="0.2">
      <c r="A282" s="10">
        <v>28611</v>
      </c>
      <c r="B282" s="69">
        <v>6.2101709999999999</v>
      </c>
      <c r="C282" s="69"/>
      <c r="D282" s="69"/>
      <c r="E282" s="69">
        <v>8.6</v>
      </c>
      <c r="F282" s="69"/>
      <c r="G282" s="69"/>
      <c r="H282" s="69"/>
      <c r="I282" s="69"/>
      <c r="J282" s="69"/>
      <c r="K282" s="69"/>
      <c r="L282" s="69"/>
      <c r="M282" s="69"/>
      <c r="N282" s="69"/>
      <c r="O282" s="69"/>
      <c r="P282" s="69"/>
      <c r="Q282" s="69"/>
      <c r="R282" s="69"/>
      <c r="S282" s="69"/>
      <c r="T282" s="69"/>
      <c r="U282" s="69">
        <v>2.2999999999999998</v>
      </c>
      <c r="V282" s="69"/>
      <c r="W282" s="69"/>
      <c r="X282" s="69"/>
      <c r="Y282" s="69"/>
      <c r="Z282" s="69"/>
      <c r="AA282" s="69"/>
      <c r="AB282" s="69"/>
      <c r="AC282" s="69"/>
      <c r="AD282" s="69"/>
      <c r="AE282" s="69"/>
      <c r="AF282" s="69"/>
      <c r="AG282" s="69"/>
      <c r="AH282" s="69"/>
      <c r="AI282" s="69">
        <v>6</v>
      </c>
      <c r="AJ282" s="69"/>
      <c r="AK282" s="69"/>
      <c r="AL282" s="69"/>
    </row>
    <row r="283" spans="1:38" x14ac:dyDescent="0.2">
      <c r="A283" s="10">
        <v>28642</v>
      </c>
      <c r="B283" s="69">
        <v>6.3041840000000002</v>
      </c>
      <c r="C283" s="69"/>
      <c r="D283" s="69"/>
      <c r="E283" s="69">
        <v>8.4</v>
      </c>
      <c r="F283" s="69"/>
      <c r="G283" s="69"/>
      <c r="H283" s="69"/>
      <c r="I283" s="69"/>
      <c r="J283" s="69"/>
      <c r="K283" s="69"/>
      <c r="L283" s="69"/>
      <c r="M283" s="69"/>
      <c r="N283" s="69"/>
      <c r="O283" s="69"/>
      <c r="P283" s="69"/>
      <c r="Q283" s="69"/>
      <c r="R283" s="69"/>
      <c r="S283" s="69"/>
      <c r="T283" s="69"/>
      <c r="U283" s="69">
        <v>2.2999999999999998</v>
      </c>
      <c r="V283" s="69"/>
      <c r="W283" s="69"/>
      <c r="X283" s="69"/>
      <c r="Y283" s="69"/>
      <c r="Z283" s="69"/>
      <c r="AA283" s="69"/>
      <c r="AB283" s="69"/>
      <c r="AC283" s="69"/>
      <c r="AD283" s="69"/>
      <c r="AE283" s="69"/>
      <c r="AF283" s="69"/>
      <c r="AG283" s="69"/>
      <c r="AH283" s="69"/>
      <c r="AI283" s="69">
        <v>5.9</v>
      </c>
      <c r="AJ283" s="69"/>
      <c r="AK283" s="69"/>
      <c r="AL283" s="69"/>
    </row>
    <row r="284" spans="1:38" x14ac:dyDescent="0.2">
      <c r="A284" s="10">
        <v>28672</v>
      </c>
      <c r="B284" s="69">
        <v>6.2232580000000004</v>
      </c>
      <c r="C284" s="69"/>
      <c r="D284" s="69"/>
      <c r="E284" s="69">
        <v>8.5</v>
      </c>
      <c r="F284" s="69"/>
      <c r="G284" s="69"/>
      <c r="H284" s="69"/>
      <c r="I284" s="69"/>
      <c r="J284" s="69"/>
      <c r="K284" s="69"/>
      <c r="L284" s="69"/>
      <c r="M284" s="69"/>
      <c r="N284" s="69"/>
      <c r="O284" s="69"/>
      <c r="P284" s="69"/>
      <c r="Q284" s="69"/>
      <c r="R284" s="69"/>
      <c r="S284" s="69"/>
      <c r="T284" s="69"/>
      <c r="U284" s="69">
        <v>2.2000000000000002</v>
      </c>
      <c r="V284" s="69"/>
      <c r="W284" s="69"/>
      <c r="X284" s="69"/>
      <c r="Y284" s="69"/>
      <c r="Z284" s="69"/>
      <c r="AA284" s="69"/>
      <c r="AB284" s="69"/>
      <c r="AC284" s="69"/>
      <c r="AD284" s="69"/>
      <c r="AE284" s="69"/>
      <c r="AF284" s="69"/>
      <c r="AG284" s="69"/>
      <c r="AH284" s="69"/>
      <c r="AI284" s="69">
        <v>6.2</v>
      </c>
      <c r="AJ284" s="69"/>
      <c r="AK284" s="69"/>
      <c r="AL284" s="69"/>
    </row>
    <row r="285" spans="1:38" x14ac:dyDescent="0.2">
      <c r="A285" s="10">
        <v>28703</v>
      </c>
      <c r="B285" s="69">
        <v>6.4908619999999999</v>
      </c>
      <c r="C285" s="69"/>
      <c r="D285" s="69"/>
      <c r="E285" s="69">
        <v>8.5</v>
      </c>
      <c r="F285" s="69"/>
      <c r="G285" s="69"/>
      <c r="H285" s="69"/>
      <c r="I285" s="69"/>
      <c r="J285" s="69"/>
      <c r="K285" s="69"/>
      <c r="L285" s="69"/>
      <c r="M285" s="69"/>
      <c r="N285" s="69"/>
      <c r="O285" s="69"/>
      <c r="P285" s="69"/>
      <c r="Q285" s="69"/>
      <c r="R285" s="69"/>
      <c r="S285" s="69"/>
      <c r="T285" s="69"/>
      <c r="U285" s="69">
        <v>2.2999999999999998</v>
      </c>
      <c r="V285" s="69"/>
      <c r="W285" s="69"/>
      <c r="X285" s="69"/>
      <c r="Y285" s="69"/>
      <c r="Z285" s="69"/>
      <c r="AA285" s="69"/>
      <c r="AB285" s="69"/>
      <c r="AC285" s="69"/>
      <c r="AD285" s="69"/>
      <c r="AE285" s="69"/>
      <c r="AF285" s="69"/>
      <c r="AG285" s="69"/>
      <c r="AH285" s="69"/>
      <c r="AI285" s="69">
        <v>5.9</v>
      </c>
      <c r="AJ285" s="69"/>
      <c r="AK285" s="69"/>
      <c r="AL285" s="69"/>
    </row>
    <row r="286" spans="1:38" x14ac:dyDescent="0.2">
      <c r="A286" s="10">
        <v>28734</v>
      </c>
      <c r="B286" s="69">
        <v>6.2526140000000003</v>
      </c>
      <c r="C286" s="69"/>
      <c r="D286" s="69"/>
      <c r="E286" s="69">
        <v>8.4</v>
      </c>
      <c r="F286" s="69"/>
      <c r="G286" s="69"/>
      <c r="H286" s="69"/>
      <c r="I286" s="69"/>
      <c r="J286" s="69"/>
      <c r="K286" s="69"/>
      <c r="L286" s="69"/>
      <c r="M286" s="69"/>
      <c r="N286" s="69"/>
      <c r="O286" s="69"/>
      <c r="P286" s="69"/>
      <c r="Q286" s="69"/>
      <c r="R286" s="69"/>
      <c r="S286" s="69"/>
      <c r="T286" s="69"/>
      <c r="U286" s="69">
        <v>2.4</v>
      </c>
      <c r="V286" s="69"/>
      <c r="W286" s="69"/>
      <c r="X286" s="69"/>
      <c r="Y286" s="69"/>
      <c r="Z286" s="69"/>
      <c r="AA286" s="69"/>
      <c r="AB286" s="69"/>
      <c r="AC286" s="69"/>
      <c r="AD286" s="69"/>
      <c r="AE286" s="69"/>
      <c r="AF286" s="69"/>
      <c r="AG286" s="69"/>
      <c r="AH286" s="69"/>
      <c r="AI286" s="69">
        <v>6</v>
      </c>
      <c r="AJ286" s="69"/>
      <c r="AK286" s="69"/>
      <c r="AL286" s="69"/>
    </row>
    <row r="287" spans="1:38" x14ac:dyDescent="0.2">
      <c r="A287" s="10">
        <v>28764</v>
      </c>
      <c r="B287" s="69">
        <v>6.1640329999999999</v>
      </c>
      <c r="C287" s="69"/>
      <c r="D287" s="69"/>
      <c r="E287" s="69">
        <v>8.1</v>
      </c>
      <c r="F287" s="69"/>
      <c r="G287" s="69"/>
      <c r="H287" s="69"/>
      <c r="I287" s="69"/>
      <c r="J287" s="69"/>
      <c r="K287" s="69"/>
      <c r="L287" s="69"/>
      <c r="M287" s="69"/>
      <c r="N287" s="69"/>
      <c r="O287" s="69"/>
      <c r="P287" s="69"/>
      <c r="Q287" s="69"/>
      <c r="R287" s="69"/>
      <c r="S287" s="69"/>
      <c r="T287" s="69"/>
      <c r="U287" s="69">
        <v>2.2000000000000002</v>
      </c>
      <c r="V287" s="69"/>
      <c r="W287" s="69"/>
      <c r="X287" s="69"/>
      <c r="Y287" s="69"/>
      <c r="Z287" s="69"/>
      <c r="AA287" s="69"/>
      <c r="AB287" s="69"/>
      <c r="AC287" s="69"/>
      <c r="AD287" s="69"/>
      <c r="AE287" s="69"/>
      <c r="AF287" s="69"/>
      <c r="AG287" s="69"/>
      <c r="AH287" s="69"/>
      <c r="AI287" s="69">
        <v>5.8</v>
      </c>
      <c r="AJ287" s="69"/>
      <c r="AK287" s="69"/>
      <c r="AL287" s="69"/>
    </row>
    <row r="288" spans="1:38" x14ac:dyDescent="0.2">
      <c r="A288" s="10">
        <v>28795</v>
      </c>
      <c r="B288" s="69">
        <v>6.3326830000000003</v>
      </c>
      <c r="C288" s="69"/>
      <c r="D288" s="69"/>
      <c r="E288" s="69">
        <v>8.1999999999999993</v>
      </c>
      <c r="F288" s="69"/>
      <c r="G288" s="69"/>
      <c r="H288" s="69"/>
      <c r="I288" s="69"/>
      <c r="J288" s="69"/>
      <c r="K288" s="69"/>
      <c r="L288" s="69"/>
      <c r="M288" s="69"/>
      <c r="N288" s="69"/>
      <c r="O288" s="69"/>
      <c r="P288" s="69"/>
      <c r="Q288" s="69"/>
      <c r="R288" s="69"/>
      <c r="S288" s="69"/>
      <c r="T288" s="69"/>
      <c r="U288" s="69">
        <v>2.2000000000000002</v>
      </c>
      <c r="V288" s="69"/>
      <c r="W288" s="69"/>
      <c r="X288" s="69"/>
      <c r="Y288" s="69"/>
      <c r="Z288" s="69"/>
      <c r="AA288" s="69"/>
      <c r="AB288" s="69"/>
      <c r="AC288" s="69"/>
      <c r="AD288" s="69"/>
      <c r="AE288" s="69"/>
      <c r="AF288" s="69"/>
      <c r="AG288" s="69"/>
      <c r="AH288" s="69"/>
      <c r="AI288" s="69">
        <v>5.9</v>
      </c>
      <c r="AJ288" s="69"/>
      <c r="AK288" s="69"/>
      <c r="AL288" s="69"/>
    </row>
    <row r="289" spans="1:38" x14ac:dyDescent="0.2">
      <c r="A289" s="10">
        <v>28825</v>
      </c>
      <c r="B289" s="69">
        <v>6.4064240000000003</v>
      </c>
      <c r="C289" s="69"/>
      <c r="D289" s="69"/>
      <c r="E289" s="69">
        <v>8.3000000000000007</v>
      </c>
      <c r="F289" s="69"/>
      <c r="G289" s="69"/>
      <c r="H289" s="69"/>
      <c r="I289" s="69"/>
      <c r="J289" s="69"/>
      <c r="K289" s="69"/>
      <c r="L289" s="69"/>
      <c r="M289" s="69"/>
      <c r="N289" s="69"/>
      <c r="O289" s="69"/>
      <c r="P289" s="69"/>
      <c r="Q289" s="69"/>
      <c r="R289" s="69"/>
      <c r="S289" s="69"/>
      <c r="T289" s="69"/>
      <c r="U289" s="69">
        <v>2.2000000000000002</v>
      </c>
      <c r="V289" s="69"/>
      <c r="W289" s="69"/>
      <c r="X289" s="69"/>
      <c r="Y289" s="69"/>
      <c r="Z289" s="69"/>
      <c r="AA289" s="69"/>
      <c r="AB289" s="69"/>
      <c r="AC289" s="69"/>
      <c r="AD289" s="69"/>
      <c r="AE289" s="69"/>
      <c r="AF289" s="69"/>
      <c r="AG289" s="69"/>
      <c r="AH289" s="69"/>
      <c r="AI289" s="69">
        <v>6</v>
      </c>
      <c r="AJ289" s="69"/>
      <c r="AK289" s="69"/>
      <c r="AL289" s="69"/>
    </row>
    <row r="290" spans="1:38" x14ac:dyDescent="0.2">
      <c r="A290" s="10">
        <v>28856</v>
      </c>
      <c r="B290" s="69">
        <v>6.3715260000000002</v>
      </c>
      <c r="C290" s="69"/>
      <c r="D290" s="69"/>
      <c r="E290" s="69">
        <v>8.1</v>
      </c>
      <c r="F290" s="69"/>
      <c r="G290" s="69"/>
      <c r="H290" s="69"/>
      <c r="I290" s="69"/>
      <c r="J290" s="69"/>
      <c r="K290" s="69"/>
      <c r="L290" s="69"/>
      <c r="M290" s="69"/>
      <c r="N290" s="69"/>
      <c r="O290" s="69"/>
      <c r="P290" s="69"/>
      <c r="Q290" s="69"/>
      <c r="R290" s="69"/>
      <c r="S290" s="69"/>
      <c r="T290" s="69"/>
      <c r="U290" s="69">
        <v>2.2000000000000002</v>
      </c>
      <c r="V290" s="69"/>
      <c r="W290" s="69"/>
      <c r="X290" s="69"/>
      <c r="Y290" s="69"/>
      <c r="Z290" s="69"/>
      <c r="AA290" s="69"/>
      <c r="AB290" s="69"/>
      <c r="AC290" s="69"/>
      <c r="AD290" s="69"/>
      <c r="AE290" s="69"/>
      <c r="AF290" s="69"/>
      <c r="AG290" s="69"/>
      <c r="AH290" s="69"/>
      <c r="AI290" s="69">
        <v>5.9</v>
      </c>
      <c r="AJ290" s="69"/>
      <c r="AK290" s="69"/>
      <c r="AL290" s="69"/>
    </row>
    <row r="291" spans="1:38" x14ac:dyDescent="0.2">
      <c r="A291" s="10">
        <v>28887</v>
      </c>
      <c r="B291" s="69">
        <v>6.2575940000000001</v>
      </c>
      <c r="C291" s="69"/>
      <c r="D291" s="69"/>
      <c r="E291" s="69">
        <v>8</v>
      </c>
      <c r="F291" s="69"/>
      <c r="G291" s="69"/>
      <c r="H291" s="69"/>
      <c r="I291" s="69"/>
      <c r="J291" s="69"/>
      <c r="K291" s="69"/>
      <c r="L291" s="69"/>
      <c r="M291" s="69"/>
      <c r="N291" s="69"/>
      <c r="O291" s="69"/>
      <c r="P291" s="69"/>
      <c r="Q291" s="69"/>
      <c r="R291" s="69"/>
      <c r="S291" s="69"/>
      <c r="T291" s="69"/>
      <c r="U291" s="69">
        <v>2</v>
      </c>
      <c r="V291" s="69"/>
      <c r="W291" s="69"/>
      <c r="X291" s="69"/>
      <c r="Y291" s="69"/>
      <c r="Z291" s="69"/>
      <c r="AA291" s="69"/>
      <c r="AB291" s="69"/>
      <c r="AC291" s="69"/>
      <c r="AD291" s="69"/>
      <c r="AE291" s="69"/>
      <c r="AF291" s="69"/>
      <c r="AG291" s="69"/>
      <c r="AH291" s="69"/>
      <c r="AI291" s="69">
        <v>5.9</v>
      </c>
      <c r="AJ291" s="69"/>
      <c r="AK291" s="69"/>
      <c r="AL291" s="69"/>
    </row>
    <row r="292" spans="1:38" x14ac:dyDescent="0.2">
      <c r="A292" s="10">
        <v>28915</v>
      </c>
      <c r="B292" s="69">
        <v>6.3036279999999998</v>
      </c>
      <c r="C292" s="69"/>
      <c r="D292" s="69"/>
      <c r="E292" s="69">
        <v>7.9</v>
      </c>
      <c r="F292" s="69"/>
      <c r="G292" s="69"/>
      <c r="H292" s="69"/>
      <c r="I292" s="69"/>
      <c r="J292" s="69"/>
      <c r="K292" s="69"/>
      <c r="L292" s="69"/>
      <c r="M292" s="69"/>
      <c r="N292" s="69"/>
      <c r="O292" s="69"/>
      <c r="P292" s="69"/>
      <c r="Q292" s="69"/>
      <c r="R292" s="69"/>
      <c r="S292" s="69"/>
      <c r="T292" s="69"/>
      <c r="U292" s="69">
        <v>2.1</v>
      </c>
      <c r="V292" s="69"/>
      <c r="W292" s="69"/>
      <c r="X292" s="69"/>
      <c r="Y292" s="69"/>
      <c r="Z292" s="69"/>
      <c r="AA292" s="69"/>
      <c r="AB292" s="69"/>
      <c r="AC292" s="69"/>
      <c r="AD292" s="69"/>
      <c r="AE292" s="69"/>
      <c r="AF292" s="69"/>
      <c r="AG292" s="69"/>
      <c r="AH292" s="69"/>
      <c r="AI292" s="69">
        <v>5.8</v>
      </c>
      <c r="AJ292" s="69"/>
      <c r="AK292" s="69"/>
      <c r="AL292" s="69"/>
    </row>
    <row r="293" spans="1:38" x14ac:dyDescent="0.2">
      <c r="A293" s="10">
        <v>28946</v>
      </c>
      <c r="B293" s="69">
        <v>6.4990459999999999</v>
      </c>
      <c r="C293" s="69"/>
      <c r="D293" s="69"/>
      <c r="E293" s="69">
        <v>7.9</v>
      </c>
      <c r="F293" s="69"/>
      <c r="G293" s="69"/>
      <c r="H293" s="69"/>
      <c r="I293" s="69"/>
      <c r="J293" s="69"/>
      <c r="K293" s="69"/>
      <c r="L293" s="69"/>
      <c r="M293" s="69"/>
      <c r="N293" s="69"/>
      <c r="O293" s="69"/>
      <c r="P293" s="69"/>
      <c r="Q293" s="69"/>
      <c r="R293" s="69"/>
      <c r="S293" s="69"/>
      <c r="T293" s="69"/>
      <c r="U293" s="69">
        <v>2.1</v>
      </c>
      <c r="V293" s="69"/>
      <c r="W293" s="69"/>
      <c r="X293" s="69"/>
      <c r="Y293" s="69"/>
      <c r="Z293" s="69"/>
      <c r="AA293" s="69"/>
      <c r="AB293" s="69"/>
      <c r="AC293" s="69"/>
      <c r="AD293" s="69"/>
      <c r="AE293" s="69"/>
      <c r="AF293" s="69"/>
      <c r="AG293" s="69"/>
      <c r="AH293" s="69"/>
      <c r="AI293" s="69">
        <v>5.8</v>
      </c>
      <c r="AJ293" s="69"/>
      <c r="AK293" s="69"/>
      <c r="AL293" s="69"/>
    </row>
    <row r="294" spans="1:38" x14ac:dyDescent="0.2">
      <c r="A294" s="10">
        <v>28976</v>
      </c>
      <c r="B294" s="69">
        <v>6.2043609999999996</v>
      </c>
      <c r="C294" s="69"/>
      <c r="D294" s="69"/>
      <c r="E294" s="69">
        <v>7.6</v>
      </c>
      <c r="F294" s="69"/>
      <c r="G294" s="69"/>
      <c r="H294" s="69"/>
      <c r="I294" s="69"/>
      <c r="J294" s="69"/>
      <c r="K294" s="69"/>
      <c r="L294" s="69"/>
      <c r="M294" s="69"/>
      <c r="N294" s="69"/>
      <c r="O294" s="69"/>
      <c r="P294" s="69"/>
      <c r="Q294" s="69"/>
      <c r="R294" s="69"/>
      <c r="S294" s="69"/>
      <c r="T294" s="69"/>
      <c r="U294" s="69">
        <v>2</v>
      </c>
      <c r="V294" s="69"/>
      <c r="W294" s="69"/>
      <c r="X294" s="69"/>
      <c r="Y294" s="69"/>
      <c r="Z294" s="69"/>
      <c r="AA294" s="69"/>
      <c r="AB294" s="69"/>
      <c r="AC294" s="69"/>
      <c r="AD294" s="69"/>
      <c r="AE294" s="69"/>
      <c r="AF294" s="69"/>
      <c r="AG294" s="69"/>
      <c r="AH294" s="69"/>
      <c r="AI294" s="69">
        <v>5.6</v>
      </c>
      <c r="AJ294" s="69"/>
      <c r="AK294" s="69"/>
      <c r="AL294" s="69"/>
    </row>
    <row r="295" spans="1:38" x14ac:dyDescent="0.2">
      <c r="A295" s="10">
        <v>29007</v>
      </c>
      <c r="B295" s="69">
        <v>6.2519970000000002</v>
      </c>
      <c r="C295" s="69"/>
      <c r="D295" s="69"/>
      <c r="E295" s="69">
        <v>7.4</v>
      </c>
      <c r="F295" s="69"/>
      <c r="G295" s="69"/>
      <c r="H295" s="69"/>
      <c r="I295" s="69"/>
      <c r="J295" s="69"/>
      <c r="K295" s="69"/>
      <c r="L295" s="69"/>
      <c r="M295" s="69"/>
      <c r="N295" s="69"/>
      <c r="O295" s="69"/>
      <c r="P295" s="69"/>
      <c r="Q295" s="69"/>
      <c r="R295" s="69"/>
      <c r="S295" s="69"/>
      <c r="T295" s="69"/>
      <c r="U295" s="69">
        <v>2</v>
      </c>
      <c r="V295" s="69"/>
      <c r="W295" s="69"/>
      <c r="X295" s="69"/>
      <c r="Y295" s="69"/>
      <c r="Z295" s="69"/>
      <c r="AA295" s="69"/>
      <c r="AB295" s="69"/>
      <c r="AC295" s="69"/>
      <c r="AD295" s="69"/>
      <c r="AE295" s="69"/>
      <c r="AF295" s="69"/>
      <c r="AG295" s="69"/>
      <c r="AH295" s="69"/>
      <c r="AI295" s="69">
        <v>5.7</v>
      </c>
      <c r="AJ295" s="69"/>
      <c r="AK295" s="69"/>
      <c r="AL295" s="69"/>
    </row>
    <row r="296" spans="1:38" x14ac:dyDescent="0.2">
      <c r="A296" s="10">
        <v>29037</v>
      </c>
      <c r="B296" s="69">
        <v>6.2740650000000002</v>
      </c>
      <c r="C296" s="69"/>
      <c r="D296" s="69"/>
      <c r="E296" s="69">
        <v>7.1</v>
      </c>
      <c r="F296" s="69"/>
      <c r="G296" s="69"/>
      <c r="H296" s="69"/>
      <c r="I296" s="69"/>
      <c r="J296" s="69"/>
      <c r="K296" s="69"/>
      <c r="L296" s="69"/>
      <c r="M296" s="69"/>
      <c r="N296" s="69"/>
      <c r="O296" s="69"/>
      <c r="P296" s="69"/>
      <c r="Q296" s="69"/>
      <c r="R296" s="69"/>
      <c r="S296" s="69"/>
      <c r="T296" s="69"/>
      <c r="U296" s="69">
        <v>2.2000000000000002</v>
      </c>
      <c r="V296" s="69"/>
      <c r="W296" s="69"/>
      <c r="X296" s="69"/>
      <c r="Y296" s="69"/>
      <c r="Z296" s="69"/>
      <c r="AA296" s="69"/>
      <c r="AB296" s="69"/>
      <c r="AC296" s="69"/>
      <c r="AD296" s="69"/>
      <c r="AE296" s="69"/>
      <c r="AF296" s="69"/>
      <c r="AG296" s="69"/>
      <c r="AH296" s="69"/>
      <c r="AI296" s="69">
        <v>5.7</v>
      </c>
      <c r="AJ296" s="69"/>
      <c r="AK296" s="69"/>
      <c r="AL296" s="69"/>
    </row>
    <row r="297" spans="1:38" x14ac:dyDescent="0.2">
      <c r="A297" s="10">
        <v>29068</v>
      </c>
      <c r="B297" s="69">
        <v>6.1187610000000001</v>
      </c>
      <c r="C297" s="69"/>
      <c r="D297" s="69"/>
      <c r="E297" s="69">
        <v>7.1</v>
      </c>
      <c r="F297" s="69"/>
      <c r="G297" s="69"/>
      <c r="H297" s="69"/>
      <c r="I297" s="69"/>
      <c r="J297" s="69"/>
      <c r="K297" s="69"/>
      <c r="L297" s="69"/>
      <c r="M297" s="69"/>
      <c r="N297" s="69"/>
      <c r="O297" s="69"/>
      <c r="P297" s="69"/>
      <c r="Q297" s="69"/>
      <c r="R297" s="69"/>
      <c r="S297" s="69"/>
      <c r="T297" s="69"/>
      <c r="U297" s="69">
        <v>2.2000000000000002</v>
      </c>
      <c r="V297" s="69"/>
      <c r="W297" s="69"/>
      <c r="X297" s="69"/>
      <c r="Y297" s="69"/>
      <c r="Z297" s="69"/>
      <c r="AA297" s="69"/>
      <c r="AB297" s="69"/>
      <c r="AC297" s="69"/>
      <c r="AD297" s="69"/>
      <c r="AE297" s="69"/>
      <c r="AF297" s="69"/>
      <c r="AG297" s="69"/>
      <c r="AH297" s="69"/>
      <c r="AI297" s="69">
        <v>6</v>
      </c>
      <c r="AJ297" s="69"/>
      <c r="AK297" s="69"/>
      <c r="AL297" s="69"/>
    </row>
    <row r="298" spans="1:38" x14ac:dyDescent="0.2">
      <c r="A298" s="10">
        <v>29099</v>
      </c>
      <c r="B298" s="69">
        <v>6.2344039999999996</v>
      </c>
      <c r="C298" s="69"/>
      <c r="D298" s="69"/>
      <c r="E298" s="69">
        <v>7</v>
      </c>
      <c r="F298" s="69"/>
      <c r="G298" s="69"/>
      <c r="H298" s="69"/>
      <c r="I298" s="69"/>
      <c r="J298" s="69"/>
      <c r="K298" s="69"/>
      <c r="L298" s="69"/>
      <c r="M298" s="69"/>
      <c r="N298" s="69"/>
      <c r="O298" s="69"/>
      <c r="P298" s="69"/>
      <c r="Q298" s="69"/>
      <c r="R298" s="69"/>
      <c r="S298" s="69"/>
      <c r="T298" s="69"/>
      <c r="U298" s="69">
        <v>2</v>
      </c>
      <c r="V298" s="69"/>
      <c r="W298" s="69"/>
      <c r="X298" s="69"/>
      <c r="Y298" s="69"/>
      <c r="Z298" s="69"/>
      <c r="AA298" s="69"/>
      <c r="AB298" s="69"/>
      <c r="AC298" s="69"/>
      <c r="AD298" s="69"/>
      <c r="AE298" s="69"/>
      <c r="AF298" s="69"/>
      <c r="AG298" s="69"/>
      <c r="AH298" s="69"/>
      <c r="AI298" s="69">
        <v>5.9</v>
      </c>
      <c r="AJ298" s="69"/>
      <c r="AK298" s="69"/>
      <c r="AL298" s="69"/>
    </row>
    <row r="299" spans="1:38" x14ac:dyDescent="0.2">
      <c r="A299" s="10">
        <v>29129</v>
      </c>
      <c r="B299" s="69">
        <v>6.3846990000000003</v>
      </c>
      <c r="C299" s="69"/>
      <c r="D299" s="69"/>
      <c r="E299" s="69">
        <v>7.3</v>
      </c>
      <c r="F299" s="69"/>
      <c r="G299" s="69"/>
      <c r="H299" s="69"/>
      <c r="I299" s="69"/>
      <c r="J299" s="69"/>
      <c r="K299" s="69"/>
      <c r="L299" s="69"/>
      <c r="M299" s="69"/>
      <c r="N299" s="69"/>
      <c r="O299" s="69"/>
      <c r="P299" s="69"/>
      <c r="Q299" s="69"/>
      <c r="R299" s="69"/>
      <c r="S299" s="69"/>
      <c r="T299" s="69"/>
      <c r="U299" s="69">
        <v>2.1</v>
      </c>
      <c r="V299" s="69"/>
      <c r="W299" s="69"/>
      <c r="X299" s="69"/>
      <c r="Y299" s="69"/>
      <c r="Z299" s="69"/>
      <c r="AA299" s="69"/>
      <c r="AB299" s="69"/>
      <c r="AC299" s="69"/>
      <c r="AD299" s="69"/>
      <c r="AE299" s="69"/>
      <c r="AF299" s="69"/>
      <c r="AG299" s="69"/>
      <c r="AH299" s="69"/>
      <c r="AI299" s="69">
        <v>6</v>
      </c>
      <c r="AJ299" s="69"/>
      <c r="AK299" s="69"/>
      <c r="AL299" s="69"/>
    </row>
    <row r="300" spans="1:38" x14ac:dyDescent="0.2">
      <c r="A300" s="10">
        <v>29160</v>
      </c>
      <c r="B300" s="69">
        <v>6.0461729999999996</v>
      </c>
      <c r="C300" s="69"/>
      <c r="D300" s="69"/>
      <c r="E300" s="69">
        <v>7.2</v>
      </c>
      <c r="F300" s="69"/>
      <c r="G300" s="69"/>
      <c r="H300" s="69"/>
      <c r="I300" s="69"/>
      <c r="J300" s="69"/>
      <c r="K300" s="69"/>
      <c r="L300" s="69"/>
      <c r="M300" s="69"/>
      <c r="N300" s="69"/>
      <c r="O300" s="69"/>
      <c r="P300" s="69"/>
      <c r="Q300" s="69"/>
      <c r="R300" s="69"/>
      <c r="S300" s="69"/>
      <c r="T300" s="69"/>
      <c r="U300" s="69">
        <v>2.1</v>
      </c>
      <c r="V300" s="69"/>
      <c r="W300" s="69"/>
      <c r="X300" s="69"/>
      <c r="Y300" s="69"/>
      <c r="Z300" s="69"/>
      <c r="AA300" s="69"/>
      <c r="AB300" s="69"/>
      <c r="AC300" s="69"/>
      <c r="AD300" s="69"/>
      <c r="AE300" s="69"/>
      <c r="AF300" s="69"/>
      <c r="AG300" s="69"/>
      <c r="AH300" s="69"/>
      <c r="AI300" s="69">
        <v>5.9</v>
      </c>
      <c r="AJ300" s="69"/>
      <c r="AK300" s="69"/>
      <c r="AL300" s="69"/>
    </row>
    <row r="301" spans="1:38" x14ac:dyDescent="0.2">
      <c r="A301" s="10">
        <v>29190</v>
      </c>
      <c r="B301" s="69">
        <v>6.1211950000000002</v>
      </c>
      <c r="C301" s="69"/>
      <c r="D301" s="69"/>
      <c r="E301" s="69">
        <v>7.2</v>
      </c>
      <c r="F301" s="69"/>
      <c r="G301" s="69"/>
      <c r="H301" s="69"/>
      <c r="I301" s="69"/>
      <c r="J301" s="69"/>
      <c r="K301" s="69"/>
      <c r="L301" s="69"/>
      <c r="M301" s="69"/>
      <c r="N301" s="69"/>
      <c r="O301" s="69"/>
      <c r="P301" s="69"/>
      <c r="Q301" s="69"/>
      <c r="R301" s="69"/>
      <c r="S301" s="69"/>
      <c r="T301" s="69"/>
      <c r="U301" s="69">
        <v>2</v>
      </c>
      <c r="V301" s="69"/>
      <c r="W301" s="69"/>
      <c r="X301" s="69"/>
      <c r="Y301" s="69"/>
      <c r="Z301" s="69"/>
      <c r="AA301" s="69"/>
      <c r="AB301" s="69"/>
      <c r="AC301" s="69"/>
      <c r="AD301" s="69"/>
      <c r="AE301" s="69"/>
      <c r="AF301" s="69"/>
      <c r="AG301" s="69"/>
      <c r="AH301" s="69"/>
      <c r="AI301" s="69">
        <v>6</v>
      </c>
      <c r="AJ301" s="69"/>
      <c r="AK301" s="69"/>
      <c r="AL301" s="69"/>
    </row>
    <row r="302" spans="1:38" x14ac:dyDescent="0.2">
      <c r="A302" s="10">
        <v>29221</v>
      </c>
      <c r="B302" s="69">
        <v>6.1471559999999998</v>
      </c>
      <c r="C302" s="69"/>
      <c r="D302" s="69"/>
      <c r="E302" s="69">
        <v>7.5</v>
      </c>
      <c r="F302" s="69"/>
      <c r="G302" s="69"/>
      <c r="H302" s="69"/>
      <c r="I302" s="69"/>
      <c r="J302" s="69"/>
      <c r="K302" s="69"/>
      <c r="L302" s="69"/>
      <c r="M302" s="69"/>
      <c r="N302" s="69"/>
      <c r="O302" s="69"/>
      <c r="P302" s="69"/>
      <c r="Q302" s="69"/>
      <c r="R302" s="69"/>
      <c r="S302" s="69"/>
      <c r="T302" s="69"/>
      <c r="U302" s="69">
        <v>1.9</v>
      </c>
      <c r="V302" s="69"/>
      <c r="W302" s="69"/>
      <c r="X302" s="69"/>
      <c r="Y302" s="69"/>
      <c r="Z302" s="69"/>
      <c r="AA302" s="69"/>
      <c r="AB302" s="69"/>
      <c r="AC302" s="69"/>
      <c r="AD302" s="69"/>
      <c r="AE302" s="69"/>
      <c r="AF302" s="69"/>
      <c r="AG302" s="69"/>
      <c r="AH302" s="69"/>
      <c r="AI302" s="69">
        <v>6.3</v>
      </c>
      <c r="AJ302" s="69"/>
      <c r="AK302" s="69"/>
      <c r="AL302" s="69"/>
    </row>
    <row r="303" spans="1:38" x14ac:dyDescent="0.2">
      <c r="A303" s="10">
        <v>29252</v>
      </c>
      <c r="B303" s="69">
        <v>5.9992140000000003</v>
      </c>
      <c r="C303" s="69"/>
      <c r="D303" s="69"/>
      <c r="E303" s="69">
        <v>7.6</v>
      </c>
      <c r="F303" s="69"/>
      <c r="G303" s="69"/>
      <c r="H303" s="69"/>
      <c r="I303" s="69"/>
      <c r="J303" s="69"/>
      <c r="K303" s="69"/>
      <c r="L303" s="69"/>
      <c r="M303" s="69"/>
      <c r="N303" s="69"/>
      <c r="O303" s="69"/>
      <c r="P303" s="69"/>
      <c r="Q303" s="69"/>
      <c r="R303" s="69"/>
      <c r="S303" s="69"/>
      <c r="T303" s="69"/>
      <c r="U303" s="69">
        <v>1.9</v>
      </c>
      <c r="V303" s="69"/>
      <c r="W303" s="69"/>
      <c r="X303" s="69"/>
      <c r="Y303" s="69"/>
      <c r="Z303" s="69"/>
      <c r="AA303" s="69"/>
      <c r="AB303" s="69"/>
      <c r="AC303" s="69"/>
      <c r="AD303" s="69"/>
      <c r="AE303" s="69"/>
      <c r="AF303" s="69"/>
      <c r="AG303" s="69"/>
      <c r="AH303" s="69"/>
      <c r="AI303" s="69">
        <v>6.3</v>
      </c>
      <c r="AJ303" s="69"/>
      <c r="AK303" s="69"/>
      <c r="AL303" s="69"/>
    </row>
    <row r="304" spans="1:38" x14ac:dyDescent="0.2">
      <c r="A304" s="10">
        <v>29281</v>
      </c>
      <c r="B304" s="69">
        <v>5.9370669999999999</v>
      </c>
      <c r="C304" s="69"/>
      <c r="D304" s="69"/>
      <c r="E304" s="69">
        <v>7.6</v>
      </c>
      <c r="F304" s="69"/>
      <c r="G304" s="69"/>
      <c r="H304" s="69"/>
      <c r="I304" s="69"/>
      <c r="J304" s="69"/>
      <c r="K304" s="69"/>
      <c r="L304" s="69"/>
      <c r="M304" s="69"/>
      <c r="N304" s="69"/>
      <c r="O304" s="69"/>
      <c r="P304" s="69"/>
      <c r="Q304" s="69"/>
      <c r="R304" s="69"/>
      <c r="S304" s="69"/>
      <c r="T304" s="69"/>
      <c r="U304" s="69">
        <v>1.9</v>
      </c>
      <c r="V304" s="69"/>
      <c r="W304" s="69"/>
      <c r="X304" s="69"/>
      <c r="Y304" s="69"/>
      <c r="Z304" s="69"/>
      <c r="AA304" s="69"/>
      <c r="AB304" s="69"/>
      <c r="AC304" s="69"/>
      <c r="AD304" s="69"/>
      <c r="AE304" s="69"/>
      <c r="AF304" s="69"/>
      <c r="AG304" s="69"/>
      <c r="AH304" s="69"/>
      <c r="AI304" s="69">
        <v>6.3</v>
      </c>
      <c r="AJ304" s="69"/>
      <c r="AK304" s="69"/>
      <c r="AL304" s="69"/>
    </row>
    <row r="305" spans="1:38" x14ac:dyDescent="0.2">
      <c r="A305" s="10">
        <v>29312</v>
      </c>
      <c r="B305" s="69">
        <v>6.1156829999999998</v>
      </c>
      <c r="C305" s="69"/>
      <c r="D305" s="69"/>
      <c r="E305" s="69">
        <v>7.6</v>
      </c>
      <c r="F305" s="69"/>
      <c r="G305" s="69"/>
      <c r="H305" s="69"/>
      <c r="I305" s="69"/>
      <c r="J305" s="69"/>
      <c r="K305" s="69"/>
      <c r="L305" s="69"/>
      <c r="M305" s="69"/>
      <c r="N305" s="69"/>
      <c r="O305" s="69"/>
      <c r="P305" s="69"/>
      <c r="Q305" s="69"/>
      <c r="R305" s="69"/>
      <c r="S305" s="69"/>
      <c r="T305" s="69"/>
      <c r="U305" s="69">
        <v>2</v>
      </c>
      <c r="V305" s="69"/>
      <c r="W305" s="69"/>
      <c r="X305" s="69"/>
      <c r="Y305" s="69"/>
      <c r="Z305" s="69"/>
      <c r="AA305" s="69"/>
      <c r="AB305" s="69"/>
      <c r="AC305" s="69"/>
      <c r="AD305" s="69"/>
      <c r="AE305" s="69"/>
      <c r="AF305" s="69"/>
      <c r="AG305" s="69"/>
      <c r="AH305" s="69"/>
      <c r="AI305" s="69">
        <v>6.9</v>
      </c>
      <c r="AJ305" s="69"/>
      <c r="AK305" s="69"/>
      <c r="AL305" s="69"/>
    </row>
    <row r="306" spans="1:38" x14ac:dyDescent="0.2">
      <c r="A306" s="10">
        <v>29342</v>
      </c>
      <c r="B306" s="69">
        <v>6.2466480000000004</v>
      </c>
      <c r="C306" s="69"/>
      <c r="D306" s="69"/>
      <c r="E306" s="69">
        <v>7.8</v>
      </c>
      <c r="F306" s="69"/>
      <c r="G306" s="69"/>
      <c r="H306" s="69"/>
      <c r="I306" s="69"/>
      <c r="J306" s="69"/>
      <c r="K306" s="69"/>
      <c r="L306" s="69"/>
      <c r="M306" s="69"/>
      <c r="N306" s="69"/>
      <c r="O306" s="69"/>
      <c r="P306" s="69"/>
      <c r="Q306" s="69"/>
      <c r="R306" s="69"/>
      <c r="S306" s="69"/>
      <c r="T306" s="69"/>
      <c r="U306" s="69">
        <v>2</v>
      </c>
      <c r="V306" s="69"/>
      <c r="W306" s="69"/>
      <c r="X306" s="69"/>
      <c r="Y306" s="69"/>
      <c r="Z306" s="69"/>
      <c r="AA306" s="69"/>
      <c r="AB306" s="69"/>
      <c r="AC306" s="69"/>
      <c r="AD306" s="69"/>
      <c r="AE306" s="69"/>
      <c r="AF306" s="69"/>
      <c r="AG306" s="69"/>
      <c r="AH306" s="69"/>
      <c r="AI306" s="69">
        <v>7.5</v>
      </c>
      <c r="AJ306" s="69"/>
      <c r="AK306" s="69"/>
      <c r="AL306" s="69"/>
    </row>
    <row r="307" spans="1:38" x14ac:dyDescent="0.2">
      <c r="A307" s="10">
        <v>29373</v>
      </c>
      <c r="B307" s="69">
        <v>6.32362</v>
      </c>
      <c r="C307" s="69"/>
      <c r="D307" s="69"/>
      <c r="E307" s="69">
        <v>7.8</v>
      </c>
      <c r="F307" s="69"/>
      <c r="G307" s="69"/>
      <c r="H307" s="69"/>
      <c r="I307" s="69"/>
      <c r="J307" s="69"/>
      <c r="K307" s="69"/>
      <c r="L307" s="69"/>
      <c r="M307" s="69"/>
      <c r="N307" s="69"/>
      <c r="O307" s="69"/>
      <c r="P307" s="69"/>
      <c r="Q307" s="69"/>
      <c r="R307" s="69"/>
      <c r="S307" s="69"/>
      <c r="T307" s="69"/>
      <c r="U307" s="69">
        <v>1.9</v>
      </c>
      <c r="V307" s="69"/>
      <c r="W307" s="69"/>
      <c r="X307" s="69"/>
      <c r="Y307" s="69"/>
      <c r="Z307" s="69"/>
      <c r="AA307" s="69"/>
      <c r="AB307" s="69"/>
      <c r="AC307" s="69"/>
      <c r="AD307" s="69"/>
      <c r="AE307" s="69"/>
      <c r="AF307" s="69"/>
      <c r="AG307" s="69"/>
      <c r="AH307" s="69"/>
      <c r="AI307" s="69">
        <v>7.6</v>
      </c>
      <c r="AJ307" s="69"/>
      <c r="AK307" s="69"/>
      <c r="AL307" s="69"/>
    </row>
    <row r="308" spans="1:38" x14ac:dyDescent="0.2">
      <c r="A308" s="10">
        <v>29403</v>
      </c>
      <c r="B308" s="69">
        <v>6.0773320000000002</v>
      </c>
      <c r="C308" s="69"/>
      <c r="D308" s="69"/>
      <c r="E308" s="69">
        <v>7.6</v>
      </c>
      <c r="F308" s="69"/>
      <c r="G308" s="69"/>
      <c r="H308" s="69"/>
      <c r="I308" s="69"/>
      <c r="J308" s="69"/>
      <c r="K308" s="69"/>
      <c r="L308" s="69"/>
      <c r="M308" s="69"/>
      <c r="N308" s="69"/>
      <c r="O308" s="69"/>
      <c r="P308" s="69"/>
      <c r="Q308" s="69"/>
      <c r="R308" s="69"/>
      <c r="S308" s="69"/>
      <c r="T308" s="69"/>
      <c r="U308" s="69">
        <v>2</v>
      </c>
      <c r="V308" s="69"/>
      <c r="W308" s="69"/>
      <c r="X308" s="69"/>
      <c r="Y308" s="69"/>
      <c r="Z308" s="69"/>
      <c r="AA308" s="69"/>
      <c r="AB308" s="69"/>
      <c r="AC308" s="69"/>
      <c r="AD308" s="69"/>
      <c r="AE308" s="69"/>
      <c r="AF308" s="69"/>
      <c r="AG308" s="69"/>
      <c r="AH308" s="69"/>
      <c r="AI308" s="69">
        <v>7.8</v>
      </c>
      <c r="AJ308" s="69"/>
      <c r="AK308" s="69"/>
      <c r="AL308" s="69"/>
    </row>
    <row r="309" spans="1:38" x14ac:dyDescent="0.2">
      <c r="A309" s="10">
        <v>29434</v>
      </c>
      <c r="B309" s="69">
        <v>6.1776869999999997</v>
      </c>
      <c r="C309" s="69"/>
      <c r="D309" s="69"/>
      <c r="E309" s="69">
        <v>7.6</v>
      </c>
      <c r="F309" s="69"/>
      <c r="G309" s="69"/>
      <c r="H309" s="69"/>
      <c r="I309" s="69"/>
      <c r="J309" s="69"/>
      <c r="K309" s="69"/>
      <c r="L309" s="69"/>
      <c r="M309" s="69"/>
      <c r="N309" s="69"/>
      <c r="O309" s="69"/>
      <c r="P309" s="69"/>
      <c r="Q309" s="69"/>
      <c r="R309" s="69"/>
      <c r="S309" s="69"/>
      <c r="T309" s="69"/>
      <c r="U309" s="69">
        <v>2.1</v>
      </c>
      <c r="V309" s="69"/>
      <c r="W309" s="69"/>
      <c r="X309" s="69"/>
      <c r="Y309" s="69"/>
      <c r="Z309" s="69"/>
      <c r="AA309" s="69"/>
      <c r="AB309" s="69"/>
      <c r="AC309" s="69"/>
      <c r="AD309" s="69"/>
      <c r="AE309" s="69"/>
      <c r="AF309" s="69"/>
      <c r="AG309" s="69"/>
      <c r="AH309" s="69"/>
      <c r="AI309" s="69">
        <v>7.7</v>
      </c>
      <c r="AJ309" s="69"/>
      <c r="AK309" s="69"/>
      <c r="AL309" s="69"/>
    </row>
    <row r="310" spans="1:38" x14ac:dyDescent="0.2">
      <c r="A310" s="10">
        <v>29465</v>
      </c>
      <c r="B310" s="69">
        <v>6.1424399999999997</v>
      </c>
      <c r="C310" s="69"/>
      <c r="D310" s="69"/>
      <c r="E310" s="69">
        <v>7.4</v>
      </c>
      <c r="F310" s="69"/>
      <c r="G310" s="69"/>
      <c r="H310" s="69"/>
      <c r="I310" s="69"/>
      <c r="J310" s="69"/>
      <c r="K310" s="69"/>
      <c r="L310" s="69"/>
      <c r="M310" s="69"/>
      <c r="N310" s="69"/>
      <c r="O310" s="69"/>
      <c r="P310" s="69"/>
      <c r="Q310" s="69"/>
      <c r="R310" s="69"/>
      <c r="S310" s="69"/>
      <c r="T310" s="69"/>
      <c r="U310" s="69">
        <v>2</v>
      </c>
      <c r="V310" s="69"/>
      <c r="W310" s="69"/>
      <c r="X310" s="69"/>
      <c r="Y310" s="69"/>
      <c r="Z310" s="69"/>
      <c r="AA310" s="69"/>
      <c r="AB310" s="69"/>
      <c r="AC310" s="69"/>
      <c r="AD310" s="69"/>
      <c r="AE310" s="69"/>
      <c r="AF310" s="69"/>
      <c r="AG310" s="69"/>
      <c r="AH310" s="69"/>
      <c r="AI310" s="69">
        <v>7.5</v>
      </c>
      <c r="AJ310" s="69"/>
      <c r="AK310" s="69"/>
      <c r="AL310" s="69"/>
    </row>
    <row r="311" spans="1:38" x14ac:dyDescent="0.2">
      <c r="A311" s="10">
        <v>29495</v>
      </c>
      <c r="B311" s="69">
        <v>6.0558909999999999</v>
      </c>
      <c r="C311" s="69"/>
      <c r="D311" s="69"/>
      <c r="E311" s="69">
        <v>7.3</v>
      </c>
      <c r="F311" s="69"/>
      <c r="G311" s="69"/>
      <c r="H311" s="69"/>
      <c r="I311" s="69"/>
      <c r="J311" s="69"/>
      <c r="K311" s="69"/>
      <c r="L311" s="69"/>
      <c r="M311" s="69"/>
      <c r="N311" s="69"/>
      <c r="O311" s="69"/>
      <c r="P311" s="69"/>
      <c r="Q311" s="69"/>
      <c r="R311" s="69"/>
      <c r="S311" s="69"/>
      <c r="T311" s="69"/>
      <c r="U311" s="69">
        <v>2.1</v>
      </c>
      <c r="V311" s="69"/>
      <c r="W311" s="69"/>
      <c r="X311" s="69"/>
      <c r="Y311" s="69"/>
      <c r="Z311" s="69"/>
      <c r="AA311" s="69"/>
      <c r="AB311" s="69"/>
      <c r="AC311" s="69"/>
      <c r="AD311" s="69"/>
      <c r="AE311" s="69"/>
      <c r="AF311" s="69"/>
      <c r="AG311" s="69"/>
      <c r="AH311" s="69"/>
      <c r="AI311" s="69">
        <v>7.5</v>
      </c>
      <c r="AJ311" s="69"/>
      <c r="AK311" s="69"/>
      <c r="AL311" s="69"/>
    </row>
    <row r="312" spans="1:38" x14ac:dyDescent="0.2">
      <c r="A312" s="10">
        <v>29526</v>
      </c>
      <c r="B312" s="69">
        <v>5.8513890000000002</v>
      </c>
      <c r="C312" s="69"/>
      <c r="D312" s="69"/>
      <c r="E312" s="69">
        <v>7.2</v>
      </c>
      <c r="F312" s="69"/>
      <c r="G312" s="69"/>
      <c r="H312" s="69"/>
      <c r="I312" s="69"/>
      <c r="J312" s="69"/>
      <c r="K312" s="69"/>
      <c r="L312" s="69"/>
      <c r="M312" s="69"/>
      <c r="N312" s="69"/>
      <c r="O312" s="69"/>
      <c r="P312" s="69"/>
      <c r="Q312" s="69"/>
      <c r="R312" s="69"/>
      <c r="S312" s="69"/>
      <c r="T312" s="69"/>
      <c r="U312" s="69">
        <v>2.2000000000000002</v>
      </c>
      <c r="V312" s="69"/>
      <c r="W312" s="69"/>
      <c r="X312" s="69"/>
      <c r="Y312" s="69"/>
      <c r="Z312" s="69"/>
      <c r="AA312" s="69"/>
      <c r="AB312" s="69"/>
      <c r="AC312" s="69"/>
      <c r="AD312" s="69"/>
      <c r="AE312" s="69"/>
      <c r="AF312" s="69"/>
      <c r="AG312" s="69"/>
      <c r="AH312" s="69"/>
      <c r="AI312" s="69">
        <v>7.5</v>
      </c>
      <c r="AJ312" s="69"/>
      <c r="AK312" s="69"/>
      <c r="AL312" s="69"/>
    </row>
    <row r="313" spans="1:38" x14ac:dyDescent="0.2">
      <c r="A313" s="10">
        <v>29556</v>
      </c>
      <c r="B313" s="69">
        <v>6.0520709999999998</v>
      </c>
      <c r="C313" s="69"/>
      <c r="D313" s="69"/>
      <c r="E313" s="69">
        <v>7.2</v>
      </c>
      <c r="F313" s="69"/>
      <c r="G313" s="69"/>
      <c r="H313" s="69"/>
      <c r="I313" s="69"/>
      <c r="J313" s="69"/>
      <c r="K313" s="69"/>
      <c r="L313" s="69"/>
      <c r="M313" s="69"/>
      <c r="N313" s="69"/>
      <c r="O313" s="69"/>
      <c r="P313" s="69"/>
      <c r="Q313" s="69"/>
      <c r="R313" s="69"/>
      <c r="S313" s="69"/>
      <c r="T313" s="69"/>
      <c r="U313" s="69">
        <v>2.2000000000000002</v>
      </c>
      <c r="V313" s="69"/>
      <c r="W313" s="69"/>
      <c r="X313" s="69"/>
      <c r="Y313" s="69"/>
      <c r="Z313" s="69"/>
      <c r="AA313" s="69"/>
      <c r="AB313" s="69"/>
      <c r="AC313" s="69"/>
      <c r="AD313" s="69"/>
      <c r="AE313" s="69"/>
      <c r="AF313" s="69"/>
      <c r="AG313" s="69"/>
      <c r="AH313" s="69"/>
      <c r="AI313" s="69">
        <v>7.2</v>
      </c>
      <c r="AJ313" s="69"/>
      <c r="AK313" s="69"/>
      <c r="AL313" s="69"/>
    </row>
    <row r="314" spans="1:38" x14ac:dyDescent="0.2">
      <c r="A314" s="10">
        <v>29587</v>
      </c>
      <c r="B314" s="69">
        <v>5.9171940000000003</v>
      </c>
      <c r="C314" s="69"/>
      <c r="D314" s="69"/>
      <c r="E314" s="69">
        <v>7.4</v>
      </c>
      <c r="F314" s="69"/>
      <c r="G314" s="69"/>
      <c r="H314" s="69"/>
      <c r="I314" s="69"/>
      <c r="J314" s="69"/>
      <c r="K314" s="69"/>
      <c r="L314" s="69"/>
      <c r="M314" s="69"/>
      <c r="N314" s="69"/>
      <c r="O314" s="69"/>
      <c r="P314" s="69"/>
      <c r="Q314" s="69"/>
      <c r="R314" s="69"/>
      <c r="S314" s="69"/>
      <c r="T314" s="69"/>
      <c r="U314" s="69">
        <v>2.1</v>
      </c>
      <c r="V314" s="69"/>
      <c r="W314" s="69"/>
      <c r="X314" s="69"/>
      <c r="Y314" s="69"/>
      <c r="Z314" s="69"/>
      <c r="AA314" s="69"/>
      <c r="AB314" s="69"/>
      <c r="AC314" s="69"/>
      <c r="AD314" s="69"/>
      <c r="AE314" s="69"/>
      <c r="AF314" s="69"/>
      <c r="AG314" s="69"/>
      <c r="AH314" s="69"/>
      <c r="AI314" s="69">
        <v>7.5</v>
      </c>
      <c r="AJ314" s="69"/>
      <c r="AK314" s="69"/>
      <c r="AL314" s="69"/>
    </row>
    <row r="315" spans="1:38" x14ac:dyDescent="0.2">
      <c r="A315" s="10">
        <v>29618</v>
      </c>
      <c r="B315" s="69">
        <v>5.6170809999999998</v>
      </c>
      <c r="C315" s="69"/>
      <c r="D315" s="69"/>
      <c r="E315" s="69">
        <v>7.3</v>
      </c>
      <c r="F315" s="69"/>
      <c r="G315" s="69"/>
      <c r="H315" s="69"/>
      <c r="I315" s="69"/>
      <c r="J315" s="69"/>
      <c r="K315" s="69"/>
      <c r="L315" s="69"/>
      <c r="M315" s="69"/>
      <c r="N315" s="69"/>
      <c r="O315" s="69"/>
      <c r="P315" s="69"/>
      <c r="Q315" s="69"/>
      <c r="R315" s="69"/>
      <c r="S315" s="69"/>
      <c r="T315" s="69"/>
      <c r="U315" s="69">
        <v>2.2999999999999998</v>
      </c>
      <c r="V315" s="69"/>
      <c r="W315" s="69"/>
      <c r="X315" s="69"/>
      <c r="Y315" s="69"/>
      <c r="Z315" s="69"/>
      <c r="AA315" s="69"/>
      <c r="AB315" s="69"/>
      <c r="AC315" s="69"/>
      <c r="AD315" s="69"/>
      <c r="AE315" s="69"/>
      <c r="AF315" s="69"/>
      <c r="AG315" s="69"/>
      <c r="AH315" s="69"/>
      <c r="AI315" s="69">
        <v>7.4</v>
      </c>
      <c r="AJ315" s="69"/>
      <c r="AK315" s="69"/>
      <c r="AL315" s="69"/>
    </row>
    <row r="316" spans="1:38" x14ac:dyDescent="0.2">
      <c r="A316" s="10">
        <v>29646</v>
      </c>
      <c r="B316" s="69">
        <v>5.7465520000000003</v>
      </c>
      <c r="C316" s="69"/>
      <c r="D316" s="69"/>
      <c r="E316" s="69">
        <v>7.5</v>
      </c>
      <c r="F316" s="69"/>
      <c r="G316" s="69"/>
      <c r="H316" s="69"/>
      <c r="I316" s="69"/>
      <c r="J316" s="69"/>
      <c r="K316" s="69"/>
      <c r="L316" s="69"/>
      <c r="M316" s="69"/>
      <c r="N316" s="69"/>
      <c r="O316" s="69"/>
      <c r="P316" s="69"/>
      <c r="Q316" s="69"/>
      <c r="R316" s="69"/>
      <c r="S316" s="69"/>
      <c r="T316" s="69"/>
      <c r="U316" s="69">
        <v>2.2000000000000002</v>
      </c>
      <c r="V316" s="69"/>
      <c r="W316" s="69"/>
      <c r="X316" s="69"/>
      <c r="Y316" s="69"/>
      <c r="Z316" s="69"/>
      <c r="AA316" s="69"/>
      <c r="AB316" s="69"/>
      <c r="AC316" s="69"/>
      <c r="AD316" s="69"/>
      <c r="AE316" s="69"/>
      <c r="AF316" s="69"/>
      <c r="AG316" s="69"/>
      <c r="AH316" s="69"/>
      <c r="AI316" s="69">
        <v>7.4</v>
      </c>
      <c r="AJ316" s="69"/>
      <c r="AK316" s="69"/>
      <c r="AL316" s="69"/>
    </row>
    <row r="317" spans="1:38" x14ac:dyDescent="0.2">
      <c r="A317" s="10">
        <v>29677</v>
      </c>
      <c r="B317" s="69">
        <v>5.5555070000000004</v>
      </c>
      <c r="C317" s="69"/>
      <c r="D317" s="69"/>
      <c r="E317" s="69">
        <v>7.1</v>
      </c>
      <c r="F317" s="69"/>
      <c r="G317" s="69"/>
      <c r="H317" s="69"/>
      <c r="I317" s="69"/>
      <c r="J317" s="69"/>
      <c r="K317" s="69"/>
      <c r="L317" s="69"/>
      <c r="M317" s="69"/>
      <c r="N317" s="69"/>
      <c r="O317" s="69"/>
      <c r="P317" s="69"/>
      <c r="Q317" s="69"/>
      <c r="R317" s="69"/>
      <c r="S317" s="69"/>
      <c r="T317" s="69"/>
      <c r="U317" s="69">
        <v>2.2000000000000002</v>
      </c>
      <c r="V317" s="69"/>
      <c r="W317" s="69"/>
      <c r="X317" s="69"/>
      <c r="Y317" s="69"/>
      <c r="Z317" s="69"/>
      <c r="AA317" s="69"/>
      <c r="AB317" s="69"/>
      <c r="AC317" s="69"/>
      <c r="AD317" s="69"/>
      <c r="AE317" s="69"/>
      <c r="AF317" s="69"/>
      <c r="AG317" s="69"/>
      <c r="AH317" s="69"/>
      <c r="AI317" s="69">
        <v>7.2</v>
      </c>
      <c r="AJ317" s="69"/>
      <c r="AK317" s="69"/>
      <c r="AL317" s="69"/>
    </row>
    <row r="318" spans="1:38" x14ac:dyDescent="0.2">
      <c r="A318" s="10">
        <v>29707</v>
      </c>
      <c r="B318" s="69">
        <v>5.5894209999999998</v>
      </c>
      <c r="C318" s="69"/>
      <c r="D318" s="69"/>
      <c r="E318" s="69">
        <v>7.2</v>
      </c>
      <c r="F318" s="69"/>
      <c r="G318" s="69"/>
      <c r="H318" s="69"/>
      <c r="I318" s="69"/>
      <c r="J318" s="69"/>
      <c r="K318" s="69"/>
      <c r="L318" s="69"/>
      <c r="M318" s="69"/>
      <c r="N318" s="69"/>
      <c r="O318" s="69"/>
      <c r="P318" s="69"/>
      <c r="Q318" s="69"/>
      <c r="R318" s="69"/>
      <c r="S318" s="69"/>
      <c r="T318" s="69"/>
      <c r="U318" s="69">
        <v>2.2999999999999998</v>
      </c>
      <c r="V318" s="69"/>
      <c r="W318" s="69"/>
      <c r="X318" s="69"/>
      <c r="Y318" s="69"/>
      <c r="Z318" s="69"/>
      <c r="AA318" s="69"/>
      <c r="AB318" s="69"/>
      <c r="AC318" s="69"/>
      <c r="AD318" s="69"/>
      <c r="AE318" s="69"/>
      <c r="AF318" s="69"/>
      <c r="AG318" s="69"/>
      <c r="AH318" s="69"/>
      <c r="AI318" s="69">
        <v>7.5</v>
      </c>
      <c r="AJ318" s="69"/>
      <c r="AK318" s="69"/>
      <c r="AL318" s="69"/>
    </row>
    <row r="319" spans="1:38" x14ac:dyDescent="0.2">
      <c r="A319" s="10">
        <v>29738</v>
      </c>
      <c r="B319" s="69">
        <v>5.3745320000000003</v>
      </c>
      <c r="C319" s="69"/>
      <c r="D319" s="69"/>
      <c r="E319" s="69">
        <v>7.3</v>
      </c>
      <c r="F319" s="69"/>
      <c r="G319" s="69"/>
      <c r="H319" s="69"/>
      <c r="I319" s="69"/>
      <c r="J319" s="69"/>
      <c r="K319" s="69"/>
      <c r="L319" s="69"/>
      <c r="M319" s="69"/>
      <c r="N319" s="69"/>
      <c r="O319" s="69"/>
      <c r="P319" s="69"/>
      <c r="Q319" s="69"/>
      <c r="R319" s="69"/>
      <c r="S319" s="69"/>
      <c r="T319" s="69"/>
      <c r="U319" s="69">
        <v>2.2999999999999998</v>
      </c>
      <c r="V319" s="69"/>
      <c r="W319" s="69"/>
      <c r="X319" s="69"/>
      <c r="Y319" s="69"/>
      <c r="Z319" s="69"/>
      <c r="AA319" s="69"/>
      <c r="AB319" s="69"/>
      <c r="AC319" s="69"/>
      <c r="AD319" s="69"/>
      <c r="AE319" s="69"/>
      <c r="AF319" s="69"/>
      <c r="AG319" s="69"/>
      <c r="AH319" s="69"/>
      <c r="AI319" s="69">
        <v>7.5</v>
      </c>
      <c r="AJ319" s="69"/>
      <c r="AK319" s="69"/>
      <c r="AL319" s="69"/>
    </row>
    <row r="320" spans="1:38" x14ac:dyDescent="0.2">
      <c r="A320" s="10">
        <v>29768</v>
      </c>
      <c r="B320" s="69">
        <v>5.8279820000000004</v>
      </c>
      <c r="C320" s="69"/>
      <c r="D320" s="69"/>
      <c r="E320" s="69">
        <v>7.2</v>
      </c>
      <c r="F320" s="69"/>
      <c r="G320" s="69"/>
      <c r="H320" s="69"/>
      <c r="I320" s="69"/>
      <c r="J320" s="69"/>
      <c r="K320" s="69"/>
      <c r="L320" s="69"/>
      <c r="M320" s="69"/>
      <c r="N320" s="69"/>
      <c r="O320" s="69"/>
      <c r="P320" s="69"/>
      <c r="Q320" s="69"/>
      <c r="R320" s="69"/>
      <c r="S320" s="69"/>
      <c r="T320" s="69"/>
      <c r="U320" s="69">
        <v>2.2000000000000002</v>
      </c>
      <c r="V320" s="69"/>
      <c r="W320" s="69"/>
      <c r="X320" s="69"/>
      <c r="Y320" s="69"/>
      <c r="Z320" s="69"/>
      <c r="AA320" s="69"/>
      <c r="AB320" s="69"/>
      <c r="AC320" s="69"/>
      <c r="AD320" s="69"/>
      <c r="AE320" s="69"/>
      <c r="AF320" s="69"/>
      <c r="AG320" s="69"/>
      <c r="AH320" s="69"/>
      <c r="AI320" s="69">
        <v>7.2</v>
      </c>
      <c r="AJ320" s="69"/>
      <c r="AK320" s="69"/>
      <c r="AL320" s="69"/>
    </row>
    <row r="321" spans="1:38" x14ac:dyDescent="0.2">
      <c r="A321" s="10">
        <v>29799</v>
      </c>
      <c r="B321" s="69">
        <v>5.8466750000000003</v>
      </c>
      <c r="C321" s="69"/>
      <c r="D321" s="69"/>
      <c r="E321" s="69">
        <v>7</v>
      </c>
      <c r="F321" s="69"/>
      <c r="G321" s="69"/>
      <c r="H321" s="69"/>
      <c r="I321" s="69"/>
      <c r="J321" s="69"/>
      <c r="K321" s="69"/>
      <c r="L321" s="69"/>
      <c r="M321" s="69"/>
      <c r="N321" s="69"/>
      <c r="O321" s="69"/>
      <c r="P321" s="69"/>
      <c r="Q321" s="69"/>
      <c r="R321" s="69"/>
      <c r="S321" s="69"/>
      <c r="T321" s="69"/>
      <c r="U321" s="69">
        <v>2.1</v>
      </c>
      <c r="V321" s="69"/>
      <c r="W321" s="69"/>
      <c r="X321" s="69"/>
      <c r="Y321" s="69"/>
      <c r="Z321" s="69"/>
      <c r="AA321" s="69"/>
      <c r="AB321" s="69"/>
      <c r="AC321" s="69"/>
      <c r="AD321" s="69"/>
      <c r="AE321" s="69"/>
      <c r="AF321" s="69"/>
      <c r="AG321" s="69"/>
      <c r="AH321" s="69"/>
      <c r="AI321" s="69">
        <v>7.4</v>
      </c>
      <c r="AJ321" s="69"/>
      <c r="AK321" s="69"/>
      <c r="AL321" s="69"/>
    </row>
    <row r="322" spans="1:38" x14ac:dyDescent="0.2">
      <c r="A322" s="10">
        <v>29830</v>
      </c>
      <c r="B322" s="69">
        <v>5.8133010000000001</v>
      </c>
      <c r="C322" s="69"/>
      <c r="D322" s="69"/>
      <c r="E322" s="69">
        <v>8.1999999999999993</v>
      </c>
      <c r="F322" s="69"/>
      <c r="G322" s="69"/>
      <c r="H322" s="69"/>
      <c r="I322" s="69"/>
      <c r="J322" s="69"/>
      <c r="K322" s="69"/>
      <c r="L322" s="69"/>
      <c r="M322" s="69"/>
      <c r="N322" s="69"/>
      <c r="O322" s="69"/>
      <c r="P322" s="69"/>
      <c r="Q322" s="69"/>
      <c r="R322" s="69"/>
      <c r="S322" s="69"/>
      <c r="T322" s="69"/>
      <c r="U322" s="69">
        <v>2.2000000000000002</v>
      </c>
      <c r="V322" s="69"/>
      <c r="W322" s="69"/>
      <c r="X322" s="69"/>
      <c r="Y322" s="69"/>
      <c r="Z322" s="69"/>
      <c r="AA322" s="69"/>
      <c r="AB322" s="69"/>
      <c r="AC322" s="69"/>
      <c r="AD322" s="69"/>
      <c r="AE322" s="69"/>
      <c r="AF322" s="69"/>
      <c r="AG322" s="69"/>
      <c r="AH322" s="69"/>
      <c r="AI322" s="69">
        <v>7.6</v>
      </c>
      <c r="AJ322" s="69"/>
      <c r="AK322" s="69"/>
      <c r="AL322" s="69"/>
    </row>
    <row r="323" spans="1:38" x14ac:dyDescent="0.2">
      <c r="A323" s="10">
        <v>29860</v>
      </c>
      <c r="B323" s="69">
        <v>5.8730510000000002</v>
      </c>
      <c r="C323" s="69"/>
      <c r="D323" s="69"/>
      <c r="E323" s="69">
        <v>8.3000000000000007</v>
      </c>
      <c r="F323" s="69"/>
      <c r="G323" s="69"/>
      <c r="H323" s="69"/>
      <c r="I323" s="69"/>
      <c r="J323" s="69"/>
      <c r="K323" s="69"/>
      <c r="L323" s="69"/>
      <c r="M323" s="69"/>
      <c r="N323" s="69"/>
      <c r="O323" s="69"/>
      <c r="P323" s="69"/>
      <c r="Q323" s="69"/>
      <c r="R323" s="69"/>
      <c r="S323" s="69"/>
      <c r="T323" s="69"/>
      <c r="U323" s="69">
        <v>2.2000000000000002</v>
      </c>
      <c r="V323" s="69"/>
      <c r="W323" s="69"/>
      <c r="X323" s="69"/>
      <c r="Y323" s="69"/>
      <c r="Z323" s="69"/>
      <c r="AA323" s="69"/>
      <c r="AB323" s="69"/>
      <c r="AC323" s="69"/>
      <c r="AD323" s="69"/>
      <c r="AE323" s="69"/>
      <c r="AF323" s="69"/>
      <c r="AG323" s="69"/>
      <c r="AH323" s="69"/>
      <c r="AI323" s="69">
        <v>7.9</v>
      </c>
      <c r="AJ323" s="69"/>
      <c r="AK323" s="69"/>
      <c r="AL323" s="69"/>
    </row>
    <row r="324" spans="1:38" x14ac:dyDescent="0.2">
      <c r="A324" s="10">
        <v>29891</v>
      </c>
      <c r="B324" s="69">
        <v>5.9962109999999997</v>
      </c>
      <c r="C324" s="69"/>
      <c r="D324" s="69"/>
      <c r="E324" s="69">
        <v>8.3000000000000007</v>
      </c>
      <c r="F324" s="69"/>
      <c r="G324" s="69"/>
      <c r="H324" s="69"/>
      <c r="I324" s="69"/>
      <c r="J324" s="69"/>
      <c r="K324" s="69"/>
      <c r="L324" s="69"/>
      <c r="M324" s="69"/>
      <c r="N324" s="69"/>
      <c r="O324" s="69"/>
      <c r="P324" s="69"/>
      <c r="Q324" s="69"/>
      <c r="R324" s="69"/>
      <c r="S324" s="69"/>
      <c r="T324" s="69"/>
      <c r="U324" s="69">
        <v>2.2000000000000002</v>
      </c>
      <c r="V324" s="69"/>
      <c r="W324" s="69"/>
      <c r="X324" s="69"/>
      <c r="Y324" s="69"/>
      <c r="Z324" s="69"/>
      <c r="AA324" s="69"/>
      <c r="AB324" s="69"/>
      <c r="AC324" s="69"/>
      <c r="AD324" s="69"/>
      <c r="AE324" s="69"/>
      <c r="AF324" s="69"/>
      <c r="AG324" s="69"/>
      <c r="AH324" s="69"/>
      <c r="AI324" s="69">
        <v>8.3000000000000007</v>
      </c>
      <c r="AJ324" s="69"/>
      <c r="AK324" s="69"/>
      <c r="AL324" s="69"/>
    </row>
    <row r="325" spans="1:38" x14ac:dyDescent="0.2">
      <c r="A325" s="10">
        <v>29921</v>
      </c>
      <c r="B325" s="69">
        <v>6.0280360000000002</v>
      </c>
      <c r="C325" s="69"/>
      <c r="D325" s="69"/>
      <c r="E325" s="69">
        <v>8.6999999999999993</v>
      </c>
      <c r="F325" s="69"/>
      <c r="G325" s="69"/>
      <c r="H325" s="69"/>
      <c r="I325" s="69"/>
      <c r="J325" s="69"/>
      <c r="K325" s="69"/>
      <c r="L325" s="69"/>
      <c r="M325" s="69"/>
      <c r="N325" s="69"/>
      <c r="O325" s="69"/>
      <c r="P325" s="69"/>
      <c r="Q325" s="69"/>
      <c r="R325" s="69"/>
      <c r="S325" s="69"/>
      <c r="T325" s="69"/>
      <c r="U325" s="69">
        <v>2.2000000000000002</v>
      </c>
      <c r="V325" s="69"/>
      <c r="W325" s="69"/>
      <c r="X325" s="69"/>
      <c r="Y325" s="69"/>
      <c r="Z325" s="69"/>
      <c r="AA325" s="69"/>
      <c r="AB325" s="69"/>
      <c r="AC325" s="69"/>
      <c r="AD325" s="69"/>
      <c r="AE325" s="69"/>
      <c r="AF325" s="69"/>
      <c r="AG325" s="69"/>
      <c r="AH325" s="69"/>
      <c r="AI325" s="69">
        <v>8.5</v>
      </c>
      <c r="AJ325" s="69"/>
      <c r="AK325" s="69"/>
      <c r="AL325" s="69"/>
    </row>
    <row r="326" spans="1:38" x14ac:dyDescent="0.2">
      <c r="A326" s="10">
        <v>29952</v>
      </c>
      <c r="B326" s="69">
        <v>5.9833119999999997</v>
      </c>
      <c r="C326" s="69"/>
      <c r="D326" s="69"/>
      <c r="E326" s="69">
        <v>8.6</v>
      </c>
      <c r="F326" s="69"/>
      <c r="G326" s="69"/>
      <c r="H326" s="69"/>
      <c r="I326" s="69"/>
      <c r="J326" s="69"/>
      <c r="K326" s="69"/>
      <c r="L326" s="69"/>
      <c r="M326" s="69"/>
      <c r="N326" s="69"/>
      <c r="O326" s="69"/>
      <c r="P326" s="69"/>
      <c r="Q326" s="69"/>
      <c r="R326" s="69"/>
      <c r="S326" s="69"/>
      <c r="T326" s="69"/>
      <c r="U326" s="69">
        <v>2.2000000000000002</v>
      </c>
      <c r="V326" s="69"/>
      <c r="W326" s="69"/>
      <c r="X326" s="69"/>
      <c r="Y326" s="69"/>
      <c r="Z326" s="69"/>
      <c r="AA326" s="69"/>
      <c r="AB326" s="69"/>
      <c r="AC326" s="69"/>
      <c r="AD326" s="69"/>
      <c r="AE326" s="69"/>
      <c r="AF326" s="69"/>
      <c r="AG326" s="69"/>
      <c r="AH326" s="69"/>
      <c r="AI326" s="69">
        <v>8.6</v>
      </c>
      <c r="AJ326" s="69"/>
      <c r="AK326" s="69"/>
      <c r="AL326" s="69"/>
    </row>
    <row r="327" spans="1:38" x14ac:dyDescent="0.2">
      <c r="A327" s="10">
        <v>29983</v>
      </c>
      <c r="B327" s="69">
        <v>6.3089490000000001</v>
      </c>
      <c r="C327" s="69"/>
      <c r="D327" s="69"/>
      <c r="E327" s="69">
        <v>8.9</v>
      </c>
      <c r="F327" s="69"/>
      <c r="G327" s="69"/>
      <c r="H327" s="69"/>
      <c r="I327" s="69"/>
      <c r="J327" s="69"/>
      <c r="K327" s="69"/>
      <c r="L327" s="69"/>
      <c r="M327" s="69"/>
      <c r="N327" s="69"/>
      <c r="O327" s="69"/>
      <c r="P327" s="69"/>
      <c r="Q327" s="69"/>
      <c r="R327" s="69"/>
      <c r="S327" s="69"/>
      <c r="T327" s="69"/>
      <c r="U327" s="69">
        <v>2.2000000000000002</v>
      </c>
      <c r="V327" s="69"/>
      <c r="W327" s="69"/>
      <c r="X327" s="69"/>
      <c r="Y327" s="69"/>
      <c r="Z327" s="69"/>
      <c r="AA327" s="69"/>
      <c r="AB327" s="69"/>
      <c r="AC327" s="69"/>
      <c r="AD327" s="69"/>
      <c r="AE327" s="69"/>
      <c r="AF327" s="69"/>
      <c r="AG327" s="69"/>
      <c r="AH327" s="69"/>
      <c r="AI327" s="69">
        <v>8.9</v>
      </c>
      <c r="AJ327" s="69"/>
      <c r="AK327" s="69"/>
      <c r="AL327" s="69"/>
    </row>
    <row r="328" spans="1:38" x14ac:dyDescent="0.2">
      <c r="A328" s="10">
        <v>30011</v>
      </c>
      <c r="B328" s="69">
        <v>6.3235000000000001</v>
      </c>
      <c r="C328" s="69"/>
      <c r="D328" s="69"/>
      <c r="E328" s="69">
        <v>9.3000000000000007</v>
      </c>
      <c r="F328" s="69"/>
      <c r="G328" s="69"/>
      <c r="H328" s="69"/>
      <c r="I328" s="69"/>
      <c r="J328" s="69"/>
      <c r="K328" s="69"/>
      <c r="L328" s="69"/>
      <c r="M328" s="69"/>
      <c r="N328" s="69"/>
      <c r="O328" s="69"/>
      <c r="P328" s="69"/>
      <c r="Q328" s="69"/>
      <c r="R328" s="69"/>
      <c r="S328" s="69"/>
      <c r="T328" s="69"/>
      <c r="U328" s="69">
        <v>2.2999999999999998</v>
      </c>
      <c r="V328" s="69"/>
      <c r="W328" s="69"/>
      <c r="X328" s="69"/>
      <c r="Y328" s="69"/>
      <c r="Z328" s="69"/>
      <c r="AA328" s="69"/>
      <c r="AB328" s="69"/>
      <c r="AC328" s="69"/>
      <c r="AD328" s="69"/>
      <c r="AE328" s="69"/>
      <c r="AF328" s="69"/>
      <c r="AG328" s="69"/>
      <c r="AH328" s="69"/>
      <c r="AI328" s="69">
        <v>9</v>
      </c>
      <c r="AJ328" s="69"/>
      <c r="AK328" s="69"/>
      <c r="AL328" s="69"/>
    </row>
    <row r="329" spans="1:38" x14ac:dyDescent="0.2">
      <c r="A329" s="10">
        <v>30042</v>
      </c>
      <c r="B329" s="69">
        <v>6.3343160000000003</v>
      </c>
      <c r="C329" s="69"/>
      <c r="D329" s="69"/>
      <c r="E329" s="69">
        <v>9.8000000000000007</v>
      </c>
      <c r="F329" s="69"/>
      <c r="G329" s="69"/>
      <c r="H329" s="69"/>
      <c r="I329" s="69"/>
      <c r="J329" s="69"/>
      <c r="K329" s="69"/>
      <c r="L329" s="69"/>
      <c r="M329" s="69"/>
      <c r="N329" s="69"/>
      <c r="O329" s="69"/>
      <c r="P329" s="69"/>
      <c r="Q329" s="69"/>
      <c r="R329" s="69"/>
      <c r="S329" s="69"/>
      <c r="T329" s="69"/>
      <c r="U329" s="69">
        <v>2.2999999999999998</v>
      </c>
      <c r="V329" s="69"/>
      <c r="W329" s="69"/>
      <c r="X329" s="69"/>
      <c r="Y329" s="69"/>
      <c r="Z329" s="69"/>
      <c r="AA329" s="69"/>
      <c r="AB329" s="69"/>
      <c r="AC329" s="69"/>
      <c r="AD329" s="69"/>
      <c r="AE329" s="69"/>
      <c r="AF329" s="69"/>
      <c r="AG329" s="69"/>
      <c r="AH329" s="69"/>
      <c r="AI329" s="69">
        <v>9.3000000000000007</v>
      </c>
      <c r="AJ329" s="69"/>
      <c r="AK329" s="69"/>
      <c r="AL329" s="69"/>
    </row>
    <row r="330" spans="1:38" x14ac:dyDescent="0.2">
      <c r="A330" s="10">
        <v>30072</v>
      </c>
      <c r="B330" s="69">
        <v>6.5933849999999996</v>
      </c>
      <c r="C330" s="69"/>
      <c r="D330" s="69"/>
      <c r="E330" s="69">
        <v>10.4</v>
      </c>
      <c r="F330" s="69"/>
      <c r="G330" s="69"/>
      <c r="H330" s="69"/>
      <c r="I330" s="69"/>
      <c r="J330" s="69"/>
      <c r="K330" s="69"/>
      <c r="L330" s="69"/>
      <c r="M330" s="69"/>
      <c r="N330" s="69"/>
      <c r="O330" s="69"/>
      <c r="P330" s="69"/>
      <c r="Q330" s="69"/>
      <c r="R330" s="69"/>
      <c r="S330" s="69"/>
      <c r="T330" s="69"/>
      <c r="U330" s="69">
        <v>2.2999999999999998</v>
      </c>
      <c r="V330" s="69"/>
      <c r="W330" s="69"/>
      <c r="X330" s="69"/>
      <c r="Y330" s="69"/>
      <c r="Z330" s="69"/>
      <c r="AA330" s="69"/>
      <c r="AB330" s="69"/>
      <c r="AC330" s="69"/>
      <c r="AD330" s="69"/>
      <c r="AE330" s="69"/>
      <c r="AF330" s="69"/>
      <c r="AG330" s="69"/>
      <c r="AH330" s="69"/>
      <c r="AI330" s="69">
        <v>9.4</v>
      </c>
      <c r="AJ330" s="69"/>
      <c r="AK330" s="69"/>
      <c r="AL330" s="69"/>
    </row>
    <row r="331" spans="1:38" x14ac:dyDescent="0.2">
      <c r="A331" s="10">
        <v>30103</v>
      </c>
      <c r="B331" s="69">
        <v>6.7675169999999998</v>
      </c>
      <c r="C331" s="69"/>
      <c r="D331" s="69"/>
      <c r="E331" s="69">
        <v>11.1</v>
      </c>
      <c r="F331" s="69"/>
      <c r="G331" s="69"/>
      <c r="H331" s="69"/>
      <c r="I331" s="69"/>
      <c r="J331" s="69"/>
      <c r="K331" s="69"/>
      <c r="L331" s="69"/>
      <c r="M331" s="69"/>
      <c r="N331" s="69"/>
      <c r="O331" s="69"/>
      <c r="P331" s="69"/>
      <c r="Q331" s="69"/>
      <c r="R331" s="69"/>
      <c r="S331" s="69"/>
      <c r="T331" s="69"/>
      <c r="U331" s="69">
        <v>2.4</v>
      </c>
      <c r="V331" s="69"/>
      <c r="W331" s="69"/>
      <c r="X331" s="69"/>
      <c r="Y331" s="69"/>
      <c r="Z331" s="69"/>
      <c r="AA331" s="69"/>
      <c r="AB331" s="69"/>
      <c r="AC331" s="69"/>
      <c r="AD331" s="69"/>
      <c r="AE331" s="69"/>
      <c r="AF331" s="69"/>
      <c r="AG331" s="69"/>
      <c r="AH331" s="69"/>
      <c r="AI331" s="69">
        <v>9.6</v>
      </c>
      <c r="AJ331" s="69"/>
      <c r="AK331" s="69"/>
      <c r="AL331" s="69"/>
    </row>
    <row r="332" spans="1:38" x14ac:dyDescent="0.2">
      <c r="A332" s="10">
        <v>30133</v>
      </c>
      <c r="B332" s="69">
        <v>6.884125</v>
      </c>
      <c r="C332" s="69"/>
      <c r="D332" s="69"/>
      <c r="E332" s="69">
        <v>12</v>
      </c>
      <c r="F332" s="69"/>
      <c r="G332" s="69"/>
      <c r="H332" s="69"/>
      <c r="I332" s="69"/>
      <c r="J332" s="69"/>
      <c r="K332" s="69"/>
      <c r="L332" s="69"/>
      <c r="M332" s="69"/>
      <c r="N332" s="69"/>
      <c r="O332" s="69"/>
      <c r="P332" s="69"/>
      <c r="Q332" s="69"/>
      <c r="R332" s="69"/>
      <c r="S332" s="69"/>
      <c r="T332" s="69"/>
      <c r="U332" s="69">
        <v>2.4</v>
      </c>
      <c r="V332" s="69"/>
      <c r="W332" s="69"/>
      <c r="X332" s="69"/>
      <c r="Y332" s="69"/>
      <c r="Z332" s="69"/>
      <c r="AA332" s="69"/>
      <c r="AB332" s="69"/>
      <c r="AC332" s="69"/>
      <c r="AD332" s="69"/>
      <c r="AE332" s="69"/>
      <c r="AF332" s="69"/>
      <c r="AG332" s="69"/>
      <c r="AH332" s="69"/>
      <c r="AI332" s="69">
        <v>9.8000000000000007</v>
      </c>
      <c r="AJ332" s="69"/>
      <c r="AK332" s="69"/>
      <c r="AL332" s="69"/>
    </row>
    <row r="333" spans="1:38" x14ac:dyDescent="0.2">
      <c r="A333" s="10">
        <v>30164</v>
      </c>
      <c r="B333" s="69">
        <v>7.0122359999999997</v>
      </c>
      <c r="C333" s="69"/>
      <c r="D333" s="69"/>
      <c r="E333" s="69">
        <v>12.1</v>
      </c>
      <c r="F333" s="69"/>
      <c r="G333" s="69"/>
      <c r="H333" s="69"/>
      <c r="I333" s="69"/>
      <c r="J333" s="69"/>
      <c r="K333" s="69"/>
      <c r="L333" s="69"/>
      <c r="M333" s="69"/>
      <c r="N333" s="69"/>
      <c r="O333" s="69"/>
      <c r="P333" s="69"/>
      <c r="Q333" s="69"/>
      <c r="R333" s="69"/>
      <c r="S333" s="69"/>
      <c r="T333" s="69"/>
      <c r="U333" s="69">
        <v>2.2999999999999998</v>
      </c>
      <c r="V333" s="69"/>
      <c r="W333" s="69"/>
      <c r="X333" s="69"/>
      <c r="Y333" s="69"/>
      <c r="Z333" s="69"/>
      <c r="AA333" s="69"/>
      <c r="AB333" s="69"/>
      <c r="AC333" s="69"/>
      <c r="AD333" s="69"/>
      <c r="AE333" s="69"/>
      <c r="AF333" s="69"/>
      <c r="AG333" s="69"/>
      <c r="AH333" s="69"/>
      <c r="AI333" s="69">
        <v>9.8000000000000007</v>
      </c>
      <c r="AJ333" s="69"/>
      <c r="AK333" s="69"/>
      <c r="AL333" s="69"/>
    </row>
    <row r="334" spans="1:38" x14ac:dyDescent="0.2">
      <c r="A334" s="10">
        <v>30195</v>
      </c>
      <c r="B334" s="69">
        <v>7.4306219999999996</v>
      </c>
      <c r="C334" s="69"/>
      <c r="D334" s="69"/>
      <c r="E334" s="69">
        <v>12.4</v>
      </c>
      <c r="F334" s="69"/>
      <c r="G334" s="69"/>
      <c r="H334" s="69"/>
      <c r="I334" s="69"/>
      <c r="J334" s="69"/>
      <c r="K334" s="69"/>
      <c r="L334" s="69"/>
      <c r="M334" s="69"/>
      <c r="N334" s="69"/>
      <c r="O334" s="69"/>
      <c r="P334" s="69"/>
      <c r="Q334" s="69"/>
      <c r="R334" s="69"/>
      <c r="S334" s="69"/>
      <c r="T334" s="69"/>
      <c r="U334" s="69">
        <v>2.4</v>
      </c>
      <c r="V334" s="69"/>
      <c r="W334" s="69"/>
      <c r="X334" s="69"/>
      <c r="Y334" s="69"/>
      <c r="Z334" s="69"/>
      <c r="AA334" s="69"/>
      <c r="AB334" s="69"/>
      <c r="AC334" s="69"/>
      <c r="AD334" s="69"/>
      <c r="AE334" s="69"/>
      <c r="AF334" s="69"/>
      <c r="AG334" s="69"/>
      <c r="AH334" s="69"/>
      <c r="AI334" s="69">
        <v>10.1</v>
      </c>
      <c r="AJ334" s="69"/>
      <c r="AK334" s="69"/>
      <c r="AL334" s="69"/>
    </row>
    <row r="335" spans="1:38" x14ac:dyDescent="0.2">
      <c r="A335" s="10">
        <v>30225</v>
      </c>
      <c r="B335" s="69">
        <v>8.2956909999999997</v>
      </c>
      <c r="C335" s="69"/>
      <c r="D335" s="69"/>
      <c r="E335" s="69">
        <v>12.9</v>
      </c>
      <c r="F335" s="69"/>
      <c r="G335" s="69"/>
      <c r="H335" s="69"/>
      <c r="I335" s="69"/>
      <c r="J335" s="69"/>
      <c r="K335" s="69"/>
      <c r="L335" s="69"/>
      <c r="M335" s="69"/>
      <c r="N335" s="69"/>
      <c r="O335" s="69"/>
      <c r="P335" s="69"/>
      <c r="Q335" s="69"/>
      <c r="R335" s="69"/>
      <c r="S335" s="69"/>
      <c r="T335" s="69"/>
      <c r="U335" s="69">
        <v>2.5</v>
      </c>
      <c r="V335" s="69"/>
      <c r="W335" s="69"/>
      <c r="X335" s="69"/>
      <c r="Y335" s="69"/>
      <c r="Z335" s="69"/>
      <c r="AA335" s="69"/>
      <c r="AB335" s="69"/>
      <c r="AC335" s="69"/>
      <c r="AD335" s="69"/>
      <c r="AE335" s="69"/>
      <c r="AF335" s="69"/>
      <c r="AG335" s="69"/>
      <c r="AH335" s="69"/>
      <c r="AI335" s="69">
        <v>10.4</v>
      </c>
      <c r="AJ335" s="69"/>
      <c r="AK335" s="69"/>
      <c r="AL335" s="69"/>
    </row>
    <row r="336" spans="1:38" x14ac:dyDescent="0.2">
      <c r="A336" s="10">
        <v>30256</v>
      </c>
      <c r="B336" s="69">
        <v>8.6802360000000007</v>
      </c>
      <c r="C336" s="69"/>
      <c r="D336" s="69"/>
      <c r="E336" s="69">
        <v>12.9</v>
      </c>
      <c r="F336" s="69"/>
      <c r="G336" s="69"/>
      <c r="H336" s="69"/>
      <c r="I336" s="69"/>
      <c r="J336" s="69"/>
      <c r="K336" s="69"/>
      <c r="L336" s="69"/>
      <c r="M336" s="69"/>
      <c r="N336" s="69"/>
      <c r="O336" s="69"/>
      <c r="P336" s="69"/>
      <c r="Q336" s="69"/>
      <c r="R336" s="69"/>
      <c r="S336" s="69"/>
      <c r="T336" s="69"/>
      <c r="U336" s="69">
        <v>2.4</v>
      </c>
      <c r="V336" s="69"/>
      <c r="W336" s="69"/>
      <c r="X336" s="69"/>
      <c r="Y336" s="69"/>
      <c r="Z336" s="69"/>
      <c r="AA336" s="69"/>
      <c r="AB336" s="69"/>
      <c r="AC336" s="69"/>
      <c r="AD336" s="69"/>
      <c r="AE336" s="69"/>
      <c r="AF336" s="69"/>
      <c r="AG336" s="69"/>
      <c r="AH336" s="69"/>
      <c r="AI336" s="69">
        <v>10.8</v>
      </c>
      <c r="AJ336" s="69"/>
      <c r="AK336" s="69"/>
      <c r="AL336" s="69"/>
    </row>
    <row r="337" spans="1:38" x14ac:dyDescent="0.2">
      <c r="A337" s="10">
        <v>30286</v>
      </c>
      <c r="B337" s="69">
        <v>9.4030280000000008</v>
      </c>
      <c r="C337" s="69"/>
      <c r="D337" s="69"/>
      <c r="E337" s="69">
        <v>13</v>
      </c>
      <c r="F337" s="69"/>
      <c r="G337" s="69"/>
      <c r="H337" s="69"/>
      <c r="I337" s="69"/>
      <c r="J337" s="69"/>
      <c r="K337" s="69"/>
      <c r="L337" s="69"/>
      <c r="M337" s="69"/>
      <c r="N337" s="69"/>
      <c r="O337" s="69"/>
      <c r="P337" s="69"/>
      <c r="Q337" s="69"/>
      <c r="R337" s="69"/>
      <c r="S337" s="69"/>
      <c r="T337" s="69"/>
      <c r="U337" s="69">
        <v>2.5</v>
      </c>
      <c r="V337" s="69"/>
      <c r="W337" s="69"/>
      <c r="X337" s="69"/>
      <c r="Y337" s="69"/>
      <c r="Z337" s="69"/>
      <c r="AA337" s="69"/>
      <c r="AB337" s="69"/>
      <c r="AC337" s="69"/>
      <c r="AD337" s="69"/>
      <c r="AE337" s="69"/>
      <c r="AF337" s="69"/>
      <c r="AG337" s="69"/>
      <c r="AH337" s="69"/>
      <c r="AI337" s="69">
        <v>10.8</v>
      </c>
      <c r="AJ337" s="69"/>
      <c r="AK337" s="69"/>
      <c r="AL337" s="69"/>
    </row>
    <row r="338" spans="1:38" x14ac:dyDescent="0.2">
      <c r="A338" s="10">
        <v>30317</v>
      </c>
      <c r="B338" s="69">
        <v>9.3008959999999998</v>
      </c>
      <c r="C338" s="69"/>
      <c r="D338" s="69">
        <v>10.4</v>
      </c>
      <c r="E338" s="69">
        <v>12.6</v>
      </c>
      <c r="F338" s="69"/>
      <c r="G338" s="69"/>
      <c r="H338" s="69"/>
      <c r="I338" s="69">
        <v>8.1</v>
      </c>
      <c r="J338" s="69"/>
      <c r="K338" s="69"/>
      <c r="L338" s="69"/>
      <c r="M338" s="69">
        <v>8.3000000000000007</v>
      </c>
      <c r="N338" s="69">
        <v>10.7</v>
      </c>
      <c r="O338" s="69"/>
      <c r="P338" s="69"/>
      <c r="Q338" s="69">
        <v>12.9</v>
      </c>
      <c r="R338" s="69"/>
      <c r="S338" s="69"/>
      <c r="T338" s="69">
        <v>6.9</v>
      </c>
      <c r="U338" s="69">
        <v>2.7</v>
      </c>
      <c r="V338" s="69"/>
      <c r="W338" s="69">
        <v>3.3</v>
      </c>
      <c r="X338" s="69"/>
      <c r="Y338" s="69"/>
      <c r="Z338" s="69">
        <v>9.5</v>
      </c>
      <c r="AA338" s="69"/>
      <c r="AB338" s="69"/>
      <c r="AC338" s="69"/>
      <c r="AD338" s="69">
        <v>8.1</v>
      </c>
      <c r="AE338" s="69"/>
      <c r="AF338" s="69"/>
      <c r="AG338" s="69">
        <v>3.4</v>
      </c>
      <c r="AH338" s="69"/>
      <c r="AI338" s="69">
        <v>10.4</v>
      </c>
      <c r="AJ338" s="69"/>
      <c r="AK338" s="69"/>
      <c r="AL338" s="69"/>
    </row>
    <row r="339" spans="1:38" x14ac:dyDescent="0.2">
      <c r="A339" s="10">
        <v>30348</v>
      </c>
      <c r="B339" s="69">
        <v>9.6593680000000006</v>
      </c>
      <c r="C339" s="69"/>
      <c r="D339" s="69">
        <v>10.5</v>
      </c>
      <c r="E339" s="69">
        <v>12.7</v>
      </c>
      <c r="F339" s="69"/>
      <c r="G339" s="69"/>
      <c r="H339" s="69"/>
      <c r="I339" s="69">
        <v>8.1999999999999993</v>
      </c>
      <c r="J339" s="69"/>
      <c r="K339" s="69"/>
      <c r="L339" s="69"/>
      <c r="M339" s="69">
        <v>8</v>
      </c>
      <c r="N339" s="69">
        <v>10.8</v>
      </c>
      <c r="O339" s="69"/>
      <c r="P339" s="69"/>
      <c r="Q339" s="69">
        <v>13.2</v>
      </c>
      <c r="R339" s="69"/>
      <c r="S339" s="69"/>
      <c r="T339" s="69">
        <v>7.1</v>
      </c>
      <c r="U339" s="69">
        <v>2.7</v>
      </c>
      <c r="V339" s="69"/>
      <c r="W339" s="69">
        <v>3.3</v>
      </c>
      <c r="X339" s="69"/>
      <c r="Y339" s="69"/>
      <c r="Z339" s="69">
        <v>9.5</v>
      </c>
      <c r="AA339" s="69"/>
      <c r="AB339" s="69"/>
      <c r="AC339" s="69"/>
      <c r="AD339" s="69">
        <v>8.1</v>
      </c>
      <c r="AE339" s="69"/>
      <c r="AF339" s="69"/>
      <c r="AG339" s="69">
        <v>3.7</v>
      </c>
      <c r="AH339" s="69"/>
      <c r="AI339" s="69">
        <v>10.4</v>
      </c>
      <c r="AJ339" s="69"/>
      <c r="AK339" s="69"/>
      <c r="AL339" s="69"/>
    </row>
    <row r="340" spans="1:38" x14ac:dyDescent="0.2">
      <c r="A340" s="10">
        <v>30376</v>
      </c>
      <c r="B340" s="69">
        <v>9.9517489999999995</v>
      </c>
      <c r="C340" s="69"/>
      <c r="D340" s="69">
        <v>10.6</v>
      </c>
      <c r="E340" s="69">
        <v>12.5</v>
      </c>
      <c r="F340" s="69"/>
      <c r="G340" s="69"/>
      <c r="H340" s="69"/>
      <c r="I340" s="69">
        <v>8.3000000000000007</v>
      </c>
      <c r="J340" s="69"/>
      <c r="K340" s="69"/>
      <c r="L340" s="69"/>
      <c r="M340" s="69">
        <v>8</v>
      </c>
      <c r="N340" s="69">
        <v>10.8</v>
      </c>
      <c r="O340" s="69"/>
      <c r="P340" s="69"/>
      <c r="Q340" s="69">
        <v>13.4</v>
      </c>
      <c r="R340" s="69"/>
      <c r="S340" s="69"/>
      <c r="T340" s="69">
        <v>7.2</v>
      </c>
      <c r="U340" s="69">
        <v>2.6</v>
      </c>
      <c r="V340" s="69"/>
      <c r="W340" s="69">
        <v>3.2</v>
      </c>
      <c r="X340" s="69"/>
      <c r="Y340" s="69"/>
      <c r="Z340" s="69">
        <v>9.5</v>
      </c>
      <c r="AA340" s="69"/>
      <c r="AB340" s="69"/>
      <c r="AC340" s="69"/>
      <c r="AD340" s="69">
        <v>8.3000000000000007</v>
      </c>
      <c r="AE340" s="69"/>
      <c r="AF340" s="69"/>
      <c r="AG340" s="69">
        <v>3.7</v>
      </c>
      <c r="AH340" s="69"/>
      <c r="AI340" s="69">
        <v>10.3</v>
      </c>
      <c r="AJ340" s="69"/>
      <c r="AK340" s="69"/>
      <c r="AL340" s="69"/>
    </row>
    <row r="341" spans="1:38" x14ac:dyDescent="0.2">
      <c r="A341" s="10">
        <v>30407</v>
      </c>
      <c r="B341" s="69">
        <v>10.152950000000001</v>
      </c>
      <c r="C341" s="69"/>
      <c r="D341" s="69">
        <v>10.6</v>
      </c>
      <c r="E341" s="69">
        <v>12.5</v>
      </c>
      <c r="F341" s="69"/>
      <c r="G341" s="69"/>
      <c r="H341" s="69"/>
      <c r="I341" s="69">
        <v>8.4</v>
      </c>
      <c r="J341" s="69"/>
      <c r="K341" s="69"/>
      <c r="L341" s="69"/>
      <c r="M341" s="69">
        <v>8.3000000000000007</v>
      </c>
      <c r="N341" s="69">
        <v>11</v>
      </c>
      <c r="O341" s="69"/>
      <c r="P341" s="69"/>
      <c r="Q341" s="69">
        <v>13.5</v>
      </c>
      <c r="R341" s="69"/>
      <c r="S341" s="69"/>
      <c r="T341" s="69">
        <v>7.2</v>
      </c>
      <c r="U341" s="69">
        <v>2.7</v>
      </c>
      <c r="V341" s="69"/>
      <c r="W341" s="69">
        <v>3.3</v>
      </c>
      <c r="X341" s="69"/>
      <c r="Y341" s="69"/>
      <c r="Z341" s="69">
        <v>9.5</v>
      </c>
      <c r="AA341" s="69"/>
      <c r="AB341" s="69"/>
      <c r="AC341" s="69"/>
      <c r="AD341" s="69">
        <v>8.5</v>
      </c>
      <c r="AE341" s="69"/>
      <c r="AF341" s="69"/>
      <c r="AG341" s="69">
        <v>3.4</v>
      </c>
      <c r="AH341" s="69"/>
      <c r="AI341" s="69">
        <v>10.199999999999999</v>
      </c>
      <c r="AJ341" s="69"/>
      <c r="AK341" s="69"/>
      <c r="AL341" s="69"/>
    </row>
    <row r="342" spans="1:38" x14ac:dyDescent="0.2">
      <c r="A342" s="10">
        <v>30437</v>
      </c>
      <c r="B342" s="69">
        <v>10.323639999999999</v>
      </c>
      <c r="C342" s="69"/>
      <c r="D342" s="69">
        <v>10.7</v>
      </c>
      <c r="E342" s="69">
        <v>12.5</v>
      </c>
      <c r="F342" s="69"/>
      <c r="G342" s="69"/>
      <c r="H342" s="69"/>
      <c r="I342" s="69">
        <v>8.4</v>
      </c>
      <c r="J342" s="69"/>
      <c r="K342" s="69"/>
      <c r="L342" s="69"/>
      <c r="M342" s="69">
        <v>8.5</v>
      </c>
      <c r="N342" s="69">
        <v>10.9</v>
      </c>
      <c r="O342" s="69"/>
      <c r="P342" s="69"/>
      <c r="Q342" s="69">
        <v>13.7</v>
      </c>
      <c r="R342" s="69"/>
      <c r="S342" s="69"/>
      <c r="T342" s="69">
        <v>7.3</v>
      </c>
      <c r="U342" s="69">
        <v>2.7</v>
      </c>
      <c r="V342" s="69"/>
      <c r="W342" s="69">
        <v>3.5</v>
      </c>
      <c r="X342" s="69"/>
      <c r="Y342" s="69"/>
      <c r="Z342" s="69">
        <v>9.5</v>
      </c>
      <c r="AA342" s="69"/>
      <c r="AB342" s="69"/>
      <c r="AC342" s="69"/>
      <c r="AD342" s="69">
        <v>8.8000000000000007</v>
      </c>
      <c r="AE342" s="69"/>
      <c r="AF342" s="69"/>
      <c r="AG342" s="69">
        <v>3.7</v>
      </c>
      <c r="AH342" s="69"/>
      <c r="AI342" s="69">
        <v>10.1</v>
      </c>
      <c r="AJ342" s="69"/>
      <c r="AK342" s="69"/>
      <c r="AL342" s="69"/>
    </row>
    <row r="343" spans="1:38" x14ac:dyDescent="0.2">
      <c r="A343" s="10">
        <v>30468</v>
      </c>
      <c r="B343" s="69">
        <v>10.20365</v>
      </c>
      <c r="C343" s="69"/>
      <c r="D343" s="69">
        <v>10.7</v>
      </c>
      <c r="E343" s="69">
        <v>12.4</v>
      </c>
      <c r="F343" s="69"/>
      <c r="G343" s="69"/>
      <c r="H343" s="69"/>
      <c r="I343" s="69">
        <v>8.5</v>
      </c>
      <c r="J343" s="69"/>
      <c r="K343" s="69"/>
      <c r="L343" s="69"/>
      <c r="M343" s="69">
        <v>8.8000000000000007</v>
      </c>
      <c r="N343" s="69">
        <v>11</v>
      </c>
      <c r="O343" s="69"/>
      <c r="P343" s="69"/>
      <c r="Q343" s="69">
        <v>13.9</v>
      </c>
      <c r="R343" s="69"/>
      <c r="S343" s="69"/>
      <c r="T343" s="69">
        <v>7.3</v>
      </c>
      <c r="U343" s="69">
        <v>2.6</v>
      </c>
      <c r="V343" s="69"/>
      <c r="W343" s="69">
        <v>3.6</v>
      </c>
      <c r="X343" s="69"/>
      <c r="Y343" s="69"/>
      <c r="Z343" s="69">
        <v>9.5</v>
      </c>
      <c r="AA343" s="69"/>
      <c r="AB343" s="69"/>
      <c r="AC343" s="69"/>
      <c r="AD343" s="69">
        <v>9</v>
      </c>
      <c r="AE343" s="69"/>
      <c r="AF343" s="69"/>
      <c r="AG343" s="69">
        <v>3.9</v>
      </c>
      <c r="AH343" s="69"/>
      <c r="AI343" s="69">
        <v>10.1</v>
      </c>
      <c r="AJ343" s="69"/>
      <c r="AK343" s="69"/>
      <c r="AL343" s="69"/>
    </row>
    <row r="344" spans="1:38" x14ac:dyDescent="0.2">
      <c r="A344" s="10">
        <v>30498</v>
      </c>
      <c r="B344" s="69">
        <v>10.507989999999999</v>
      </c>
      <c r="C344" s="69"/>
      <c r="D344" s="69">
        <v>10.8</v>
      </c>
      <c r="E344" s="69">
        <v>12.1</v>
      </c>
      <c r="F344" s="69"/>
      <c r="G344" s="69"/>
      <c r="H344" s="69"/>
      <c r="I344" s="69">
        <v>8.5</v>
      </c>
      <c r="J344" s="69"/>
      <c r="K344" s="69"/>
      <c r="L344" s="69"/>
      <c r="M344" s="69">
        <v>8.9</v>
      </c>
      <c r="N344" s="69">
        <v>10.9</v>
      </c>
      <c r="O344" s="69"/>
      <c r="P344" s="69"/>
      <c r="Q344" s="69">
        <v>14</v>
      </c>
      <c r="R344" s="69"/>
      <c r="S344" s="69"/>
      <c r="T344" s="69">
        <v>7.4</v>
      </c>
      <c r="U344" s="69">
        <v>2.6</v>
      </c>
      <c r="V344" s="69"/>
      <c r="W344" s="69">
        <v>3.6</v>
      </c>
      <c r="X344" s="69"/>
      <c r="Y344" s="69"/>
      <c r="Z344" s="69">
        <v>9.5</v>
      </c>
      <c r="AA344" s="69"/>
      <c r="AB344" s="69"/>
      <c r="AC344" s="69"/>
      <c r="AD344" s="69">
        <v>9.1999999999999993</v>
      </c>
      <c r="AE344" s="69"/>
      <c r="AF344" s="69"/>
      <c r="AG344" s="69">
        <v>3.7</v>
      </c>
      <c r="AH344" s="69"/>
      <c r="AI344" s="69">
        <v>9.4</v>
      </c>
      <c r="AJ344" s="69"/>
      <c r="AK344" s="69"/>
      <c r="AL344" s="69"/>
    </row>
    <row r="345" spans="1:38" x14ac:dyDescent="0.2">
      <c r="A345" s="10">
        <v>30529</v>
      </c>
      <c r="B345" s="69">
        <v>10.21984</v>
      </c>
      <c r="C345" s="69"/>
      <c r="D345" s="69">
        <v>10.8</v>
      </c>
      <c r="E345" s="69">
        <v>11.8</v>
      </c>
      <c r="F345" s="69"/>
      <c r="G345" s="69"/>
      <c r="H345" s="69"/>
      <c r="I345" s="69">
        <v>8.5</v>
      </c>
      <c r="J345" s="69"/>
      <c r="K345" s="69"/>
      <c r="L345" s="69"/>
      <c r="M345" s="69">
        <v>9</v>
      </c>
      <c r="N345" s="69">
        <v>10.9</v>
      </c>
      <c r="O345" s="69"/>
      <c r="P345" s="69"/>
      <c r="Q345" s="69">
        <v>14.1</v>
      </c>
      <c r="R345" s="69"/>
      <c r="S345" s="69"/>
      <c r="T345" s="69">
        <v>7.4</v>
      </c>
      <c r="U345" s="69">
        <v>2.8</v>
      </c>
      <c r="V345" s="69"/>
      <c r="W345" s="69">
        <v>3.7</v>
      </c>
      <c r="X345" s="69"/>
      <c r="Y345" s="69"/>
      <c r="Z345" s="69">
        <v>9.5</v>
      </c>
      <c r="AA345" s="69"/>
      <c r="AB345" s="69"/>
      <c r="AC345" s="69"/>
      <c r="AD345" s="69">
        <v>9.4</v>
      </c>
      <c r="AE345" s="69"/>
      <c r="AF345" s="69"/>
      <c r="AG345" s="69">
        <v>3.8</v>
      </c>
      <c r="AH345" s="69"/>
      <c r="AI345" s="69">
        <v>9.5</v>
      </c>
      <c r="AJ345" s="69"/>
      <c r="AK345" s="69"/>
      <c r="AL345" s="69"/>
    </row>
    <row r="346" spans="1:38" x14ac:dyDescent="0.2">
      <c r="A346" s="10">
        <v>30560</v>
      </c>
      <c r="B346" s="69">
        <v>10.33887</v>
      </c>
      <c r="C346" s="69"/>
      <c r="D346" s="69">
        <v>10.9</v>
      </c>
      <c r="E346" s="69">
        <v>11.4</v>
      </c>
      <c r="F346" s="69"/>
      <c r="G346" s="69"/>
      <c r="H346" s="69"/>
      <c r="I346" s="69">
        <v>8.4</v>
      </c>
      <c r="J346" s="69"/>
      <c r="K346" s="69"/>
      <c r="L346" s="69"/>
      <c r="M346" s="69">
        <v>9.1</v>
      </c>
      <c r="N346" s="69">
        <v>10.9</v>
      </c>
      <c r="O346" s="69"/>
      <c r="P346" s="69"/>
      <c r="Q346" s="69">
        <v>14.3</v>
      </c>
      <c r="R346" s="69"/>
      <c r="S346" s="69"/>
      <c r="T346" s="69">
        <v>7.5</v>
      </c>
      <c r="U346" s="69">
        <v>2.7</v>
      </c>
      <c r="V346" s="69"/>
      <c r="W346" s="69">
        <v>3.5</v>
      </c>
      <c r="X346" s="69"/>
      <c r="Y346" s="69"/>
      <c r="Z346" s="69">
        <v>9.5</v>
      </c>
      <c r="AA346" s="69"/>
      <c r="AB346" s="69"/>
      <c r="AC346" s="69"/>
      <c r="AD346" s="69">
        <v>9.4</v>
      </c>
      <c r="AE346" s="69"/>
      <c r="AF346" s="69"/>
      <c r="AG346" s="69">
        <v>3.8</v>
      </c>
      <c r="AH346" s="69"/>
      <c r="AI346" s="69">
        <v>9.1999999999999993</v>
      </c>
      <c r="AJ346" s="69"/>
      <c r="AK346" s="69"/>
      <c r="AL346" s="69"/>
    </row>
    <row r="347" spans="1:38" x14ac:dyDescent="0.2">
      <c r="A347" s="10">
        <v>30590</v>
      </c>
      <c r="B347" s="69">
        <v>10.00844</v>
      </c>
      <c r="C347" s="69"/>
      <c r="D347" s="69">
        <v>11</v>
      </c>
      <c r="E347" s="69">
        <v>11.2</v>
      </c>
      <c r="F347" s="69"/>
      <c r="G347" s="69"/>
      <c r="H347" s="69"/>
      <c r="I347" s="69">
        <v>8.4</v>
      </c>
      <c r="J347" s="69"/>
      <c r="K347" s="69"/>
      <c r="L347" s="69"/>
      <c r="M347" s="69">
        <v>9.1999999999999993</v>
      </c>
      <c r="N347" s="69">
        <v>10.8</v>
      </c>
      <c r="O347" s="69"/>
      <c r="P347" s="69"/>
      <c r="Q347" s="69">
        <v>14.5</v>
      </c>
      <c r="R347" s="69"/>
      <c r="S347" s="69"/>
      <c r="T347" s="69">
        <v>7.6</v>
      </c>
      <c r="U347" s="69">
        <v>2.6</v>
      </c>
      <c r="V347" s="69"/>
      <c r="W347" s="69">
        <v>3.3</v>
      </c>
      <c r="X347" s="69"/>
      <c r="Y347" s="69"/>
      <c r="Z347" s="69">
        <v>9.5</v>
      </c>
      <c r="AA347" s="69"/>
      <c r="AB347" s="69"/>
      <c r="AC347" s="69"/>
      <c r="AD347" s="69">
        <v>9.3000000000000007</v>
      </c>
      <c r="AE347" s="69"/>
      <c r="AF347" s="69"/>
      <c r="AG347" s="69">
        <v>3.7</v>
      </c>
      <c r="AH347" s="69"/>
      <c r="AI347" s="69">
        <v>8.8000000000000007</v>
      </c>
      <c r="AJ347" s="69"/>
      <c r="AK347" s="69"/>
      <c r="AL347" s="69"/>
    </row>
    <row r="348" spans="1:38" x14ac:dyDescent="0.2">
      <c r="A348" s="10">
        <v>30621</v>
      </c>
      <c r="B348" s="69">
        <v>9.654973</v>
      </c>
      <c r="C348" s="69"/>
      <c r="D348" s="69">
        <v>11</v>
      </c>
      <c r="E348" s="69">
        <v>11.1</v>
      </c>
      <c r="F348" s="69"/>
      <c r="G348" s="69"/>
      <c r="H348" s="69"/>
      <c r="I348" s="69">
        <v>8.4</v>
      </c>
      <c r="J348" s="69"/>
      <c r="K348" s="69"/>
      <c r="L348" s="69"/>
      <c r="M348" s="69">
        <v>9.4</v>
      </c>
      <c r="N348" s="69">
        <v>10.8</v>
      </c>
      <c r="O348" s="69"/>
      <c r="P348" s="69"/>
      <c r="Q348" s="69">
        <v>14.6</v>
      </c>
      <c r="R348" s="69"/>
      <c r="S348" s="69"/>
      <c r="T348" s="69">
        <v>7.7</v>
      </c>
      <c r="U348" s="69">
        <v>2.6</v>
      </c>
      <c r="V348" s="69"/>
      <c r="W348" s="69">
        <v>3.4</v>
      </c>
      <c r="X348" s="69"/>
      <c r="Y348" s="69"/>
      <c r="Z348" s="69">
        <v>9.5</v>
      </c>
      <c r="AA348" s="69"/>
      <c r="AB348" s="69"/>
      <c r="AC348" s="69"/>
      <c r="AD348" s="69">
        <v>9.3000000000000007</v>
      </c>
      <c r="AE348" s="69"/>
      <c r="AF348" s="69"/>
      <c r="AG348" s="69">
        <v>3.7</v>
      </c>
      <c r="AH348" s="69"/>
      <c r="AI348" s="69">
        <v>8.5</v>
      </c>
      <c r="AJ348" s="69"/>
      <c r="AK348" s="69"/>
      <c r="AL348" s="69"/>
    </row>
    <row r="349" spans="1:38" x14ac:dyDescent="0.2">
      <c r="A349" s="10">
        <v>30651</v>
      </c>
      <c r="B349" s="69">
        <v>9.4582789999999992</v>
      </c>
      <c r="C349" s="69"/>
      <c r="D349" s="69">
        <v>10.9</v>
      </c>
      <c r="E349" s="69">
        <v>11.3</v>
      </c>
      <c r="F349" s="69"/>
      <c r="G349" s="69"/>
      <c r="H349" s="69"/>
      <c r="I349" s="69">
        <v>8.4</v>
      </c>
      <c r="J349" s="69"/>
      <c r="K349" s="69"/>
      <c r="L349" s="69"/>
      <c r="M349" s="69">
        <v>9.6</v>
      </c>
      <c r="N349" s="69">
        <v>10.8</v>
      </c>
      <c r="O349" s="69"/>
      <c r="P349" s="69"/>
      <c r="Q349" s="69">
        <v>14.7</v>
      </c>
      <c r="R349" s="69"/>
      <c r="S349" s="69"/>
      <c r="T349" s="69">
        <v>7.8</v>
      </c>
      <c r="U349" s="69">
        <v>2.6</v>
      </c>
      <c r="V349" s="69"/>
      <c r="W349" s="69">
        <v>3.3</v>
      </c>
      <c r="X349" s="69"/>
      <c r="Y349" s="69"/>
      <c r="Z349" s="69">
        <v>9.5</v>
      </c>
      <c r="AA349" s="69"/>
      <c r="AB349" s="69"/>
      <c r="AC349" s="69"/>
      <c r="AD349" s="69">
        <v>9.3000000000000007</v>
      </c>
      <c r="AE349" s="69"/>
      <c r="AF349" s="69"/>
      <c r="AG349" s="69">
        <v>3.6</v>
      </c>
      <c r="AH349" s="69"/>
      <c r="AI349" s="69">
        <v>8.3000000000000007</v>
      </c>
      <c r="AJ349" s="69"/>
      <c r="AK349" s="69"/>
      <c r="AL349" s="69"/>
    </row>
    <row r="350" spans="1:38" x14ac:dyDescent="0.2">
      <c r="A350" s="10">
        <v>30682</v>
      </c>
      <c r="B350" s="69">
        <v>9.4990629999999996</v>
      </c>
      <c r="C350" s="69"/>
      <c r="D350" s="69">
        <v>10.9</v>
      </c>
      <c r="E350" s="69">
        <v>11.2</v>
      </c>
      <c r="F350" s="69"/>
      <c r="G350" s="69"/>
      <c r="H350" s="69"/>
      <c r="I350" s="69">
        <v>8.3000000000000007</v>
      </c>
      <c r="J350" s="69"/>
      <c r="K350" s="69"/>
      <c r="L350" s="69"/>
      <c r="M350" s="69">
        <v>9.6</v>
      </c>
      <c r="N350" s="69">
        <v>10.7</v>
      </c>
      <c r="O350" s="69"/>
      <c r="P350" s="69"/>
      <c r="Q350" s="69">
        <v>14.9</v>
      </c>
      <c r="R350" s="69"/>
      <c r="S350" s="69"/>
      <c r="T350" s="69">
        <v>7.9</v>
      </c>
      <c r="U350" s="69">
        <v>2.7</v>
      </c>
      <c r="V350" s="69"/>
      <c r="W350" s="69">
        <v>3.3</v>
      </c>
      <c r="X350" s="69"/>
      <c r="Y350" s="69"/>
      <c r="Z350" s="69">
        <v>9.5</v>
      </c>
      <c r="AA350" s="69"/>
      <c r="AB350" s="69"/>
      <c r="AC350" s="69"/>
      <c r="AD350" s="69">
        <v>9.4</v>
      </c>
      <c r="AE350" s="69"/>
      <c r="AF350" s="69"/>
      <c r="AG350" s="69">
        <v>3.7</v>
      </c>
      <c r="AH350" s="69"/>
      <c r="AI350" s="69">
        <v>8</v>
      </c>
      <c r="AJ350" s="69"/>
      <c r="AK350" s="69"/>
      <c r="AL350" s="69"/>
    </row>
    <row r="351" spans="1:38" x14ac:dyDescent="0.2">
      <c r="A351" s="10">
        <v>30713</v>
      </c>
      <c r="B351" s="69">
        <v>9.3862500000000004</v>
      </c>
      <c r="C351" s="69"/>
      <c r="D351" s="69">
        <v>10.9</v>
      </c>
      <c r="E351" s="69">
        <v>11.3</v>
      </c>
      <c r="F351" s="69"/>
      <c r="G351" s="69"/>
      <c r="H351" s="69"/>
      <c r="I351" s="69">
        <v>8.3000000000000007</v>
      </c>
      <c r="J351" s="69"/>
      <c r="K351" s="69"/>
      <c r="L351" s="69"/>
      <c r="M351" s="69">
        <v>9.6999999999999993</v>
      </c>
      <c r="N351" s="69">
        <v>10.8</v>
      </c>
      <c r="O351" s="69"/>
      <c r="P351" s="69"/>
      <c r="Q351" s="69">
        <v>15.1</v>
      </c>
      <c r="R351" s="69"/>
      <c r="S351" s="69"/>
      <c r="T351" s="69">
        <v>7.9</v>
      </c>
      <c r="U351" s="69">
        <v>2.7</v>
      </c>
      <c r="V351" s="69"/>
      <c r="W351" s="69">
        <v>3.3</v>
      </c>
      <c r="X351" s="69"/>
      <c r="Y351" s="69"/>
      <c r="Z351" s="69">
        <v>9.4</v>
      </c>
      <c r="AA351" s="69"/>
      <c r="AB351" s="69"/>
      <c r="AC351" s="69"/>
      <c r="AD351" s="69">
        <v>9.4</v>
      </c>
      <c r="AE351" s="69"/>
      <c r="AF351" s="69"/>
      <c r="AG351" s="69">
        <v>3.4</v>
      </c>
      <c r="AH351" s="69"/>
      <c r="AI351" s="69">
        <v>7.8</v>
      </c>
      <c r="AJ351" s="69"/>
      <c r="AK351" s="69"/>
      <c r="AL351" s="69"/>
    </row>
    <row r="352" spans="1:38" x14ac:dyDescent="0.2">
      <c r="A352" s="10">
        <v>30742</v>
      </c>
      <c r="B352" s="69">
        <v>9.2087690000000002</v>
      </c>
      <c r="C352" s="69"/>
      <c r="D352" s="69">
        <v>10.8</v>
      </c>
      <c r="E352" s="69">
        <v>11.3</v>
      </c>
      <c r="F352" s="69"/>
      <c r="G352" s="69"/>
      <c r="H352" s="69"/>
      <c r="I352" s="69">
        <v>8.1999999999999993</v>
      </c>
      <c r="J352" s="69"/>
      <c r="K352" s="69"/>
      <c r="L352" s="69"/>
      <c r="M352" s="69">
        <v>9.8000000000000007</v>
      </c>
      <c r="N352" s="69">
        <v>10.7</v>
      </c>
      <c r="O352" s="69"/>
      <c r="P352" s="69"/>
      <c r="Q352" s="69">
        <v>15.2</v>
      </c>
      <c r="R352" s="69"/>
      <c r="S352" s="69"/>
      <c r="T352" s="69">
        <v>7.8</v>
      </c>
      <c r="U352" s="69">
        <v>2.7</v>
      </c>
      <c r="V352" s="69"/>
      <c r="W352" s="69">
        <v>3.2</v>
      </c>
      <c r="X352" s="69"/>
      <c r="Y352" s="69"/>
      <c r="Z352" s="69">
        <v>9.4</v>
      </c>
      <c r="AA352" s="69"/>
      <c r="AB352" s="69"/>
      <c r="AC352" s="69"/>
      <c r="AD352" s="69">
        <v>9.4</v>
      </c>
      <c r="AE352" s="69"/>
      <c r="AF352" s="69"/>
      <c r="AG352" s="69">
        <v>3.3</v>
      </c>
      <c r="AH352" s="69"/>
      <c r="AI352" s="69">
        <v>7.8</v>
      </c>
      <c r="AJ352" s="69"/>
      <c r="AK352" s="69"/>
      <c r="AL352" s="69"/>
    </row>
    <row r="353" spans="1:38" x14ac:dyDescent="0.2">
      <c r="A353" s="10">
        <v>30773</v>
      </c>
      <c r="B353" s="69">
        <v>9.3711769999999994</v>
      </c>
      <c r="C353" s="69"/>
      <c r="D353" s="69">
        <v>10.8</v>
      </c>
      <c r="E353" s="69">
        <v>11.5</v>
      </c>
      <c r="F353" s="69"/>
      <c r="G353" s="69"/>
      <c r="H353" s="69"/>
      <c r="I353" s="69">
        <v>8.1</v>
      </c>
      <c r="J353" s="69"/>
      <c r="K353" s="69"/>
      <c r="L353" s="69"/>
      <c r="M353" s="69">
        <v>9.9</v>
      </c>
      <c r="N353" s="69">
        <v>10.7</v>
      </c>
      <c r="O353" s="69"/>
      <c r="P353" s="69"/>
      <c r="Q353" s="69">
        <v>15.3</v>
      </c>
      <c r="R353" s="69"/>
      <c r="S353" s="69"/>
      <c r="T353" s="69">
        <v>7.9</v>
      </c>
      <c r="U353" s="69">
        <v>2.7</v>
      </c>
      <c r="V353" s="69"/>
      <c r="W353" s="69">
        <v>3</v>
      </c>
      <c r="X353" s="69"/>
      <c r="Y353" s="69"/>
      <c r="Z353" s="69">
        <v>9.4</v>
      </c>
      <c r="AA353" s="69"/>
      <c r="AB353" s="69"/>
      <c r="AC353" s="69"/>
      <c r="AD353" s="69">
        <v>9.5</v>
      </c>
      <c r="AE353" s="69"/>
      <c r="AF353" s="69"/>
      <c r="AG353" s="69">
        <v>3.5</v>
      </c>
      <c r="AH353" s="69"/>
      <c r="AI353" s="69">
        <v>7.7</v>
      </c>
      <c r="AJ353" s="69"/>
      <c r="AK353" s="69"/>
      <c r="AL353" s="69"/>
    </row>
    <row r="354" spans="1:38" x14ac:dyDescent="0.2">
      <c r="A354" s="10">
        <v>30803</v>
      </c>
      <c r="B354" s="69">
        <v>8.9372430000000005</v>
      </c>
      <c r="C354" s="69"/>
      <c r="D354" s="69">
        <v>10.8</v>
      </c>
      <c r="E354" s="69">
        <v>11.8</v>
      </c>
      <c r="F354" s="69"/>
      <c r="G354" s="69"/>
      <c r="H354" s="69"/>
      <c r="I354" s="69">
        <v>8</v>
      </c>
      <c r="J354" s="69"/>
      <c r="K354" s="69"/>
      <c r="L354" s="69"/>
      <c r="M354" s="69">
        <v>9.9</v>
      </c>
      <c r="N354" s="69">
        <v>10.7</v>
      </c>
      <c r="O354" s="69"/>
      <c r="P354" s="69"/>
      <c r="Q354" s="69">
        <v>15.4</v>
      </c>
      <c r="R354" s="69"/>
      <c r="S354" s="69"/>
      <c r="T354" s="69">
        <v>7.8</v>
      </c>
      <c r="U354" s="69">
        <v>2.7</v>
      </c>
      <c r="V354" s="69"/>
      <c r="W354" s="69">
        <v>2.9</v>
      </c>
      <c r="X354" s="69"/>
      <c r="Y354" s="69"/>
      <c r="Z354" s="69">
        <v>9.4</v>
      </c>
      <c r="AA354" s="69"/>
      <c r="AB354" s="69"/>
      <c r="AC354" s="69"/>
      <c r="AD354" s="69">
        <v>9.5</v>
      </c>
      <c r="AE354" s="69"/>
      <c r="AF354" s="69"/>
      <c r="AG354" s="69">
        <v>3.3</v>
      </c>
      <c r="AH354" s="69"/>
      <c r="AI354" s="69">
        <v>7.4</v>
      </c>
      <c r="AJ354" s="69"/>
      <c r="AK354" s="69"/>
      <c r="AL354" s="69"/>
    </row>
    <row r="355" spans="1:38" x14ac:dyDescent="0.2">
      <c r="A355" s="10">
        <v>30834</v>
      </c>
      <c r="B355" s="69">
        <v>9.0961590000000001</v>
      </c>
      <c r="C355" s="69"/>
      <c r="D355" s="69">
        <v>10.8</v>
      </c>
      <c r="E355" s="69">
        <v>11.2</v>
      </c>
      <c r="F355" s="69"/>
      <c r="G355" s="69"/>
      <c r="H355" s="69"/>
      <c r="I355" s="69">
        <v>8</v>
      </c>
      <c r="J355" s="69"/>
      <c r="K355" s="69"/>
      <c r="L355" s="69"/>
      <c r="M355" s="69">
        <v>10</v>
      </c>
      <c r="N355" s="69">
        <v>10.8</v>
      </c>
      <c r="O355" s="69"/>
      <c r="P355" s="69"/>
      <c r="Q355" s="69">
        <v>15.4</v>
      </c>
      <c r="R355" s="69"/>
      <c r="S355" s="69"/>
      <c r="T355" s="69">
        <v>7.8</v>
      </c>
      <c r="U355" s="69">
        <v>2.8</v>
      </c>
      <c r="V355" s="69"/>
      <c r="W355" s="69">
        <v>2.9</v>
      </c>
      <c r="X355" s="69"/>
      <c r="Y355" s="69"/>
      <c r="Z355" s="69">
        <v>9.3000000000000007</v>
      </c>
      <c r="AA355" s="69"/>
      <c r="AB355" s="69"/>
      <c r="AC355" s="69"/>
      <c r="AD355" s="69">
        <v>9.6</v>
      </c>
      <c r="AE355" s="69"/>
      <c r="AF355" s="69"/>
      <c r="AG355" s="69">
        <v>3.2</v>
      </c>
      <c r="AH355" s="69"/>
      <c r="AI355" s="69">
        <v>7.2</v>
      </c>
      <c r="AJ355" s="69"/>
      <c r="AK355" s="69"/>
      <c r="AL355" s="69"/>
    </row>
    <row r="356" spans="1:38" x14ac:dyDescent="0.2">
      <c r="A356" s="10">
        <v>30864</v>
      </c>
      <c r="B356" s="69">
        <v>8.9081779999999995</v>
      </c>
      <c r="C356" s="69"/>
      <c r="D356" s="69">
        <v>10.8</v>
      </c>
      <c r="E356" s="69">
        <v>11</v>
      </c>
      <c r="F356" s="69"/>
      <c r="G356" s="69"/>
      <c r="H356" s="69"/>
      <c r="I356" s="69">
        <v>7.9</v>
      </c>
      <c r="J356" s="69"/>
      <c r="K356" s="69"/>
      <c r="L356" s="69"/>
      <c r="M356" s="69">
        <v>10.1</v>
      </c>
      <c r="N356" s="69">
        <v>10.9</v>
      </c>
      <c r="O356" s="69"/>
      <c r="P356" s="69"/>
      <c r="Q356" s="69">
        <v>15.5</v>
      </c>
      <c r="R356" s="69"/>
      <c r="S356" s="69"/>
      <c r="T356" s="69">
        <v>7.8</v>
      </c>
      <c r="U356" s="69">
        <v>2.8</v>
      </c>
      <c r="V356" s="69"/>
      <c r="W356" s="69">
        <v>3</v>
      </c>
      <c r="X356" s="69"/>
      <c r="Y356" s="69"/>
      <c r="Z356" s="69">
        <v>9.3000000000000007</v>
      </c>
      <c r="AA356" s="69"/>
      <c r="AB356" s="69"/>
      <c r="AC356" s="69"/>
      <c r="AD356" s="69">
        <v>9.6</v>
      </c>
      <c r="AE356" s="69"/>
      <c r="AF356" s="69"/>
      <c r="AG356" s="69">
        <v>3.3</v>
      </c>
      <c r="AH356" s="69"/>
      <c r="AI356" s="69">
        <v>7.5</v>
      </c>
      <c r="AJ356" s="69"/>
      <c r="AK356" s="69"/>
      <c r="AL356" s="69"/>
    </row>
    <row r="357" spans="1:38" x14ac:dyDescent="0.2">
      <c r="A357" s="10">
        <v>30895</v>
      </c>
      <c r="B357" s="69">
        <v>8.8294049999999995</v>
      </c>
      <c r="C357" s="69"/>
      <c r="D357" s="69">
        <v>10.9</v>
      </c>
      <c r="E357" s="69">
        <v>11.3</v>
      </c>
      <c r="F357" s="69"/>
      <c r="G357" s="69"/>
      <c r="H357" s="69"/>
      <c r="I357" s="69">
        <v>7.8</v>
      </c>
      <c r="J357" s="69"/>
      <c r="K357" s="69"/>
      <c r="L357" s="69"/>
      <c r="M357" s="69">
        <v>10.199999999999999</v>
      </c>
      <c r="N357" s="69">
        <v>10.9</v>
      </c>
      <c r="O357" s="69"/>
      <c r="P357" s="69"/>
      <c r="Q357" s="69">
        <v>15.6</v>
      </c>
      <c r="R357" s="69"/>
      <c r="S357" s="69"/>
      <c r="T357" s="69">
        <v>7.8</v>
      </c>
      <c r="U357" s="69">
        <v>2.7</v>
      </c>
      <c r="V357" s="69"/>
      <c r="W357" s="69">
        <v>3</v>
      </c>
      <c r="X357" s="69"/>
      <c r="Y357" s="69"/>
      <c r="Z357" s="69">
        <v>9.1999999999999993</v>
      </c>
      <c r="AA357" s="69"/>
      <c r="AB357" s="69"/>
      <c r="AC357" s="69"/>
      <c r="AD357" s="69">
        <v>9.6999999999999993</v>
      </c>
      <c r="AE357" s="69"/>
      <c r="AF357" s="69"/>
      <c r="AG357" s="69">
        <v>3.2</v>
      </c>
      <c r="AH357" s="69"/>
      <c r="AI357" s="69">
        <v>7.5</v>
      </c>
      <c r="AJ357" s="69"/>
      <c r="AK357" s="69"/>
      <c r="AL357" s="69"/>
    </row>
    <row r="358" spans="1:38" x14ac:dyDescent="0.2">
      <c r="A358" s="10">
        <v>30926</v>
      </c>
      <c r="B358" s="69">
        <v>8.7356960000000008</v>
      </c>
      <c r="C358" s="69"/>
      <c r="D358" s="69">
        <v>10.9</v>
      </c>
      <c r="E358" s="69">
        <v>11.8</v>
      </c>
      <c r="F358" s="69"/>
      <c r="G358" s="69"/>
      <c r="H358" s="69"/>
      <c r="I358" s="69">
        <v>7.8</v>
      </c>
      <c r="J358" s="69"/>
      <c r="K358" s="69"/>
      <c r="L358" s="69"/>
      <c r="M358" s="69">
        <v>10.3</v>
      </c>
      <c r="N358" s="69">
        <v>11</v>
      </c>
      <c r="O358" s="69"/>
      <c r="P358" s="69"/>
      <c r="Q358" s="69">
        <v>15.7</v>
      </c>
      <c r="R358" s="69"/>
      <c r="S358" s="69"/>
      <c r="T358" s="69">
        <v>7.8</v>
      </c>
      <c r="U358" s="69">
        <v>2.7</v>
      </c>
      <c r="V358" s="69"/>
      <c r="W358" s="69">
        <v>2.9</v>
      </c>
      <c r="X358" s="69"/>
      <c r="Y358" s="69"/>
      <c r="Z358" s="69">
        <v>9.1999999999999993</v>
      </c>
      <c r="AA358" s="69"/>
      <c r="AB358" s="69"/>
      <c r="AC358" s="69"/>
      <c r="AD358" s="69">
        <v>9.6999999999999993</v>
      </c>
      <c r="AE358" s="69"/>
      <c r="AF358" s="69"/>
      <c r="AG358" s="69">
        <v>2.9</v>
      </c>
      <c r="AH358" s="69"/>
      <c r="AI358" s="69">
        <v>7.3</v>
      </c>
      <c r="AJ358" s="69"/>
      <c r="AK358" s="69"/>
      <c r="AL358" s="69"/>
    </row>
    <row r="359" spans="1:38" x14ac:dyDescent="0.2">
      <c r="A359" s="10">
        <v>30956</v>
      </c>
      <c r="B359" s="69">
        <v>8.6959070000000001</v>
      </c>
      <c r="C359" s="69"/>
      <c r="D359" s="69">
        <v>10.8</v>
      </c>
      <c r="E359" s="69">
        <v>11.4</v>
      </c>
      <c r="F359" s="69"/>
      <c r="G359" s="69"/>
      <c r="H359" s="69"/>
      <c r="I359" s="69">
        <v>7.7</v>
      </c>
      <c r="J359" s="69"/>
      <c r="K359" s="69"/>
      <c r="L359" s="69"/>
      <c r="M359" s="69">
        <v>10.4</v>
      </c>
      <c r="N359" s="69">
        <v>11</v>
      </c>
      <c r="O359" s="69"/>
      <c r="P359" s="69"/>
      <c r="Q359" s="69">
        <v>15.8</v>
      </c>
      <c r="R359" s="69"/>
      <c r="S359" s="69"/>
      <c r="T359" s="69">
        <v>7.8</v>
      </c>
      <c r="U359" s="69">
        <v>2.7</v>
      </c>
      <c r="V359" s="69"/>
      <c r="W359" s="69">
        <v>3</v>
      </c>
      <c r="X359" s="69"/>
      <c r="Y359" s="69"/>
      <c r="Z359" s="69">
        <v>9.1</v>
      </c>
      <c r="AA359" s="69"/>
      <c r="AB359" s="69"/>
      <c r="AC359" s="69"/>
      <c r="AD359" s="69">
        <v>9.8000000000000007</v>
      </c>
      <c r="AE359" s="69"/>
      <c r="AF359" s="69"/>
      <c r="AG359" s="69">
        <v>3.3</v>
      </c>
      <c r="AH359" s="69"/>
      <c r="AI359" s="69">
        <v>7.4</v>
      </c>
      <c r="AJ359" s="69"/>
      <c r="AK359" s="69"/>
      <c r="AL359" s="69"/>
    </row>
    <row r="360" spans="1:38" x14ac:dyDescent="0.2">
      <c r="A360" s="10">
        <v>30987</v>
      </c>
      <c r="B360" s="69">
        <v>8.6795709999999993</v>
      </c>
      <c r="C360" s="69"/>
      <c r="D360" s="69">
        <v>10.8</v>
      </c>
      <c r="E360" s="69">
        <v>11.5</v>
      </c>
      <c r="F360" s="69"/>
      <c r="G360" s="69"/>
      <c r="H360" s="69"/>
      <c r="I360" s="69">
        <v>7.6</v>
      </c>
      <c r="J360" s="69"/>
      <c r="K360" s="69"/>
      <c r="L360" s="69"/>
      <c r="M360" s="69">
        <v>10.4</v>
      </c>
      <c r="N360" s="69">
        <v>11.1</v>
      </c>
      <c r="O360" s="69"/>
      <c r="P360" s="69"/>
      <c r="Q360" s="69">
        <v>16</v>
      </c>
      <c r="R360" s="69"/>
      <c r="S360" s="69"/>
      <c r="T360" s="69">
        <v>7.8</v>
      </c>
      <c r="U360" s="69">
        <v>2.7</v>
      </c>
      <c r="V360" s="69"/>
      <c r="W360" s="69">
        <v>3</v>
      </c>
      <c r="X360" s="69"/>
      <c r="Y360" s="69"/>
      <c r="Z360" s="69">
        <v>9</v>
      </c>
      <c r="AA360" s="69"/>
      <c r="AB360" s="69"/>
      <c r="AC360" s="69"/>
      <c r="AD360" s="69">
        <v>9.9</v>
      </c>
      <c r="AE360" s="69"/>
      <c r="AF360" s="69"/>
      <c r="AG360" s="69">
        <v>3</v>
      </c>
      <c r="AH360" s="69"/>
      <c r="AI360" s="69">
        <v>7.2</v>
      </c>
      <c r="AJ360" s="69"/>
      <c r="AK360" s="69"/>
      <c r="AL360" s="69"/>
    </row>
    <row r="361" spans="1:38" x14ac:dyDescent="0.2">
      <c r="A361" s="10">
        <v>31017</v>
      </c>
      <c r="B361" s="69">
        <v>8.5203539999999993</v>
      </c>
      <c r="C361" s="69"/>
      <c r="D361" s="69">
        <v>10.7</v>
      </c>
      <c r="E361" s="69">
        <v>11</v>
      </c>
      <c r="F361" s="69"/>
      <c r="G361" s="69"/>
      <c r="H361" s="69"/>
      <c r="I361" s="69">
        <v>7.4</v>
      </c>
      <c r="J361" s="69"/>
      <c r="K361" s="69"/>
      <c r="L361" s="69"/>
      <c r="M361" s="69">
        <v>10.5</v>
      </c>
      <c r="N361" s="69">
        <v>11.1</v>
      </c>
      <c r="O361" s="69"/>
      <c r="P361" s="69"/>
      <c r="Q361" s="69">
        <v>16.100000000000001</v>
      </c>
      <c r="R361" s="69"/>
      <c r="S361" s="69"/>
      <c r="T361" s="69">
        <v>7.9</v>
      </c>
      <c r="U361" s="69">
        <v>2.6</v>
      </c>
      <c r="V361" s="69"/>
      <c r="W361" s="69">
        <v>2.8</v>
      </c>
      <c r="X361" s="69"/>
      <c r="Y361" s="69"/>
      <c r="Z361" s="69">
        <v>9</v>
      </c>
      <c r="AA361" s="69"/>
      <c r="AB361" s="69"/>
      <c r="AC361" s="69"/>
      <c r="AD361" s="69">
        <v>9.8000000000000007</v>
      </c>
      <c r="AE361" s="69"/>
      <c r="AF361" s="69"/>
      <c r="AG361" s="69">
        <v>2.9</v>
      </c>
      <c r="AH361" s="69"/>
      <c r="AI361" s="69">
        <v>7.3</v>
      </c>
      <c r="AJ361" s="69"/>
      <c r="AK361" s="69"/>
      <c r="AL361" s="69"/>
    </row>
    <row r="362" spans="1:38" x14ac:dyDescent="0.2">
      <c r="A362" s="10">
        <v>31048</v>
      </c>
      <c r="B362" s="69">
        <v>8.551031</v>
      </c>
      <c r="C362" s="69"/>
      <c r="D362" s="69">
        <v>10.6</v>
      </c>
      <c r="E362" s="69">
        <v>10.8</v>
      </c>
      <c r="F362" s="69"/>
      <c r="G362" s="69"/>
      <c r="H362" s="69"/>
      <c r="I362" s="69">
        <v>7.4</v>
      </c>
      <c r="J362" s="69"/>
      <c r="K362" s="69"/>
      <c r="L362" s="69"/>
      <c r="M362" s="69">
        <v>10.4</v>
      </c>
      <c r="N362" s="69">
        <v>11.2</v>
      </c>
      <c r="O362" s="69"/>
      <c r="P362" s="69"/>
      <c r="Q362" s="69">
        <v>16.3</v>
      </c>
      <c r="R362" s="69"/>
      <c r="S362" s="69"/>
      <c r="T362" s="69">
        <v>8</v>
      </c>
      <c r="U362" s="69">
        <v>2.5</v>
      </c>
      <c r="V362" s="69"/>
      <c r="W362" s="69">
        <v>2.8</v>
      </c>
      <c r="X362" s="69"/>
      <c r="Y362" s="69"/>
      <c r="Z362" s="69">
        <v>8.9</v>
      </c>
      <c r="AA362" s="69"/>
      <c r="AB362" s="69"/>
      <c r="AC362" s="69"/>
      <c r="AD362" s="69">
        <v>9.6</v>
      </c>
      <c r="AE362" s="69"/>
      <c r="AF362" s="69"/>
      <c r="AG362" s="69">
        <v>3.1</v>
      </c>
      <c r="AH362" s="69"/>
      <c r="AI362" s="69">
        <v>7.3</v>
      </c>
      <c r="AJ362" s="69"/>
      <c r="AK362" s="69"/>
      <c r="AL362" s="69"/>
    </row>
    <row r="363" spans="1:38" x14ac:dyDescent="0.2">
      <c r="A363" s="10">
        <v>31079</v>
      </c>
      <c r="B363" s="69">
        <v>8.3899589999999993</v>
      </c>
      <c r="C363" s="69"/>
      <c r="D363" s="69">
        <v>10.6</v>
      </c>
      <c r="E363" s="69">
        <v>10.9</v>
      </c>
      <c r="F363" s="69"/>
      <c r="G363" s="69"/>
      <c r="H363" s="69"/>
      <c r="I363" s="69">
        <v>7.3</v>
      </c>
      <c r="J363" s="69"/>
      <c r="K363" s="69"/>
      <c r="L363" s="69"/>
      <c r="M363" s="69">
        <v>10.4</v>
      </c>
      <c r="N363" s="69">
        <v>11.2</v>
      </c>
      <c r="O363" s="69"/>
      <c r="P363" s="69"/>
      <c r="Q363" s="69">
        <v>16.600000000000001</v>
      </c>
      <c r="R363" s="69"/>
      <c r="S363" s="69"/>
      <c r="T363" s="69">
        <v>8</v>
      </c>
      <c r="U363" s="69">
        <v>2.6</v>
      </c>
      <c r="V363" s="69"/>
      <c r="W363" s="69">
        <v>2.8</v>
      </c>
      <c r="X363" s="69"/>
      <c r="Y363" s="69"/>
      <c r="Z363" s="69">
        <v>8.8000000000000007</v>
      </c>
      <c r="AA363" s="69"/>
      <c r="AB363" s="69"/>
      <c r="AC363" s="69"/>
      <c r="AD363" s="69">
        <v>9.6</v>
      </c>
      <c r="AE363" s="69"/>
      <c r="AF363" s="69"/>
      <c r="AG363" s="69">
        <v>2.9</v>
      </c>
      <c r="AH363" s="69"/>
      <c r="AI363" s="69">
        <v>7.2</v>
      </c>
      <c r="AJ363" s="69"/>
      <c r="AK363" s="69"/>
      <c r="AL363" s="69"/>
    </row>
    <row r="364" spans="1:38" x14ac:dyDescent="0.2">
      <c r="A364" s="10">
        <v>31107</v>
      </c>
      <c r="B364" s="69">
        <v>8.6662280000000003</v>
      </c>
      <c r="C364" s="69"/>
      <c r="D364" s="69">
        <v>10.4</v>
      </c>
      <c r="E364" s="69">
        <v>11.1</v>
      </c>
      <c r="F364" s="69"/>
      <c r="G364" s="69"/>
      <c r="H364" s="69"/>
      <c r="I364" s="69">
        <v>7.2</v>
      </c>
      <c r="J364" s="69"/>
      <c r="K364" s="69"/>
      <c r="L364" s="69"/>
      <c r="M364" s="69">
        <v>10.4</v>
      </c>
      <c r="N364" s="69">
        <v>11.2</v>
      </c>
      <c r="O364" s="69"/>
      <c r="P364" s="69"/>
      <c r="Q364" s="69">
        <v>16.600000000000001</v>
      </c>
      <c r="R364" s="69"/>
      <c r="S364" s="69"/>
      <c r="T364" s="69">
        <v>8</v>
      </c>
      <c r="U364" s="69">
        <v>2.6</v>
      </c>
      <c r="V364" s="69"/>
      <c r="W364" s="69">
        <v>2.9</v>
      </c>
      <c r="X364" s="69"/>
      <c r="Y364" s="69"/>
      <c r="Z364" s="69">
        <v>8.6999999999999993</v>
      </c>
      <c r="AA364" s="69"/>
      <c r="AB364" s="69"/>
      <c r="AC364" s="69"/>
      <c r="AD364" s="69">
        <v>9.6999999999999993</v>
      </c>
      <c r="AE364" s="69"/>
      <c r="AF364" s="69"/>
      <c r="AG364" s="69">
        <v>3</v>
      </c>
      <c r="AH364" s="69"/>
      <c r="AI364" s="69">
        <v>7.2</v>
      </c>
      <c r="AJ364" s="69"/>
      <c r="AK364" s="69"/>
      <c r="AL364" s="69"/>
    </row>
    <row r="365" spans="1:38" x14ac:dyDescent="0.2">
      <c r="A365" s="10">
        <v>31138</v>
      </c>
      <c r="B365" s="69">
        <v>8.4032250000000008</v>
      </c>
      <c r="C365" s="69"/>
      <c r="D365" s="69">
        <v>10.199999999999999</v>
      </c>
      <c r="E365" s="69">
        <v>10.9</v>
      </c>
      <c r="F365" s="69"/>
      <c r="G365" s="69"/>
      <c r="H365" s="69"/>
      <c r="I365" s="69">
        <v>7.1</v>
      </c>
      <c r="J365" s="69"/>
      <c r="K365" s="69"/>
      <c r="L365" s="69"/>
      <c r="M365" s="69">
        <v>10.4</v>
      </c>
      <c r="N365" s="69">
        <v>11.3</v>
      </c>
      <c r="O365" s="69"/>
      <c r="P365" s="69"/>
      <c r="Q365" s="69">
        <v>16.7</v>
      </c>
      <c r="R365" s="69"/>
      <c r="S365" s="69"/>
      <c r="T365" s="69">
        <v>8</v>
      </c>
      <c r="U365" s="69">
        <v>2.5</v>
      </c>
      <c r="V365" s="69"/>
      <c r="W365" s="69">
        <v>3</v>
      </c>
      <c r="X365" s="69"/>
      <c r="Y365" s="69"/>
      <c r="Z365" s="69">
        <v>8.6999999999999993</v>
      </c>
      <c r="AA365" s="69"/>
      <c r="AB365" s="69"/>
      <c r="AC365" s="69"/>
      <c r="AD365" s="69">
        <v>9.8000000000000007</v>
      </c>
      <c r="AE365" s="69"/>
      <c r="AF365" s="69"/>
      <c r="AG365" s="69">
        <v>3</v>
      </c>
      <c r="AH365" s="69"/>
      <c r="AI365" s="69">
        <v>7.3</v>
      </c>
      <c r="AJ365" s="69"/>
      <c r="AK365" s="69"/>
      <c r="AL365" s="69"/>
    </row>
    <row r="366" spans="1:38" x14ac:dyDescent="0.2">
      <c r="A366" s="10">
        <v>31168</v>
      </c>
      <c r="B366" s="69">
        <v>8.3766119999999997</v>
      </c>
      <c r="C366" s="69"/>
      <c r="D366" s="69">
        <v>10.1</v>
      </c>
      <c r="E366" s="69">
        <v>10.7</v>
      </c>
      <c r="F366" s="69"/>
      <c r="G366" s="69"/>
      <c r="H366" s="69"/>
      <c r="I366" s="69">
        <v>7</v>
      </c>
      <c r="J366" s="69"/>
      <c r="K366" s="69"/>
      <c r="L366" s="69"/>
      <c r="M366" s="69">
        <v>10.4</v>
      </c>
      <c r="N366" s="69">
        <v>11.3</v>
      </c>
      <c r="O366" s="69"/>
      <c r="P366" s="69"/>
      <c r="Q366" s="69">
        <v>16.7</v>
      </c>
      <c r="R366" s="69"/>
      <c r="S366" s="69"/>
      <c r="T366" s="69">
        <v>8</v>
      </c>
      <c r="U366" s="69">
        <v>2.6</v>
      </c>
      <c r="V366" s="69"/>
      <c r="W366" s="69">
        <v>3</v>
      </c>
      <c r="X366" s="69"/>
      <c r="Y366" s="69"/>
      <c r="Z366" s="69">
        <v>8.6</v>
      </c>
      <c r="AA366" s="69"/>
      <c r="AB366" s="69"/>
      <c r="AC366" s="69"/>
      <c r="AD366" s="69">
        <v>9.8000000000000007</v>
      </c>
      <c r="AE366" s="69"/>
      <c r="AF366" s="69"/>
      <c r="AG366" s="69">
        <v>3</v>
      </c>
      <c r="AH366" s="69"/>
      <c r="AI366" s="69">
        <v>7.2</v>
      </c>
      <c r="AJ366" s="69"/>
      <c r="AK366" s="69"/>
      <c r="AL366" s="69"/>
    </row>
    <row r="367" spans="1:38" x14ac:dyDescent="0.2">
      <c r="A367" s="10">
        <v>31199</v>
      </c>
      <c r="B367" s="69">
        <v>8.5712820000000001</v>
      </c>
      <c r="C367" s="69"/>
      <c r="D367" s="69">
        <v>10</v>
      </c>
      <c r="E367" s="69">
        <v>10.7</v>
      </c>
      <c r="F367" s="69"/>
      <c r="G367" s="69"/>
      <c r="H367" s="69"/>
      <c r="I367" s="69">
        <v>6.8</v>
      </c>
      <c r="J367" s="69"/>
      <c r="K367" s="69"/>
      <c r="L367" s="69"/>
      <c r="M367" s="69">
        <v>10.4</v>
      </c>
      <c r="N367" s="69">
        <v>11.2</v>
      </c>
      <c r="O367" s="69"/>
      <c r="P367" s="69"/>
      <c r="Q367" s="69">
        <v>16.8</v>
      </c>
      <c r="R367" s="69"/>
      <c r="S367" s="69"/>
      <c r="T367" s="69">
        <v>8.1</v>
      </c>
      <c r="U367" s="69">
        <v>2.6</v>
      </c>
      <c r="V367" s="69"/>
      <c r="W367" s="69">
        <v>3</v>
      </c>
      <c r="X367" s="69"/>
      <c r="Y367" s="69"/>
      <c r="Z367" s="69">
        <v>8.5</v>
      </c>
      <c r="AA367" s="69"/>
      <c r="AB367" s="69"/>
      <c r="AC367" s="69"/>
      <c r="AD367" s="69">
        <v>9.8000000000000007</v>
      </c>
      <c r="AE367" s="69"/>
      <c r="AF367" s="69"/>
      <c r="AG367" s="69">
        <v>2.9</v>
      </c>
      <c r="AH367" s="69"/>
      <c r="AI367" s="69">
        <v>7.4</v>
      </c>
      <c r="AJ367" s="69"/>
      <c r="AK367" s="69"/>
      <c r="AL367" s="69"/>
    </row>
    <row r="368" spans="1:38" x14ac:dyDescent="0.2">
      <c r="A368" s="10">
        <v>31229</v>
      </c>
      <c r="B368" s="69">
        <v>8.2985729999999993</v>
      </c>
      <c r="C368" s="69"/>
      <c r="D368" s="69">
        <v>9.9</v>
      </c>
      <c r="E368" s="69">
        <v>10.5</v>
      </c>
      <c r="F368" s="69"/>
      <c r="G368" s="69"/>
      <c r="H368" s="69"/>
      <c r="I368" s="69">
        <v>6.6</v>
      </c>
      <c r="J368" s="69"/>
      <c r="K368" s="69"/>
      <c r="L368" s="69"/>
      <c r="M368" s="69">
        <v>10.4</v>
      </c>
      <c r="N368" s="69">
        <v>11.2</v>
      </c>
      <c r="O368" s="69"/>
      <c r="P368" s="69"/>
      <c r="Q368" s="69">
        <v>16.899999999999999</v>
      </c>
      <c r="R368" s="69"/>
      <c r="S368" s="69"/>
      <c r="T368" s="69">
        <v>8.1999999999999993</v>
      </c>
      <c r="U368" s="69">
        <v>2.6</v>
      </c>
      <c r="V368" s="69"/>
      <c r="W368" s="69">
        <v>3</v>
      </c>
      <c r="X368" s="69"/>
      <c r="Y368" s="69"/>
      <c r="Z368" s="69">
        <v>8.4</v>
      </c>
      <c r="AA368" s="69"/>
      <c r="AB368" s="69"/>
      <c r="AC368" s="69"/>
      <c r="AD368" s="69">
        <v>9.9</v>
      </c>
      <c r="AE368" s="69"/>
      <c r="AF368" s="69"/>
      <c r="AG368" s="69">
        <v>2.8</v>
      </c>
      <c r="AH368" s="69"/>
      <c r="AI368" s="69">
        <v>7.4</v>
      </c>
      <c r="AJ368" s="69"/>
      <c r="AK368" s="69"/>
      <c r="AL368" s="69"/>
    </row>
    <row r="369" spans="1:38" x14ac:dyDescent="0.2">
      <c r="A369" s="10">
        <v>31260</v>
      </c>
      <c r="B369" s="69">
        <v>8.1563300000000005</v>
      </c>
      <c r="C369" s="69"/>
      <c r="D369" s="69">
        <v>9.9</v>
      </c>
      <c r="E369" s="69">
        <v>10.5</v>
      </c>
      <c r="F369" s="69"/>
      <c r="G369" s="69"/>
      <c r="H369" s="69"/>
      <c r="I369" s="69">
        <v>6.4</v>
      </c>
      <c r="J369" s="69"/>
      <c r="K369" s="69"/>
      <c r="L369" s="69"/>
      <c r="M369" s="69">
        <v>10.4</v>
      </c>
      <c r="N369" s="69">
        <v>11.2</v>
      </c>
      <c r="O369" s="69"/>
      <c r="P369" s="69"/>
      <c r="Q369" s="69">
        <v>17</v>
      </c>
      <c r="R369" s="69"/>
      <c r="S369" s="69"/>
      <c r="T369" s="69">
        <v>8.1999999999999993</v>
      </c>
      <c r="U369" s="69">
        <v>2.5</v>
      </c>
      <c r="V369" s="69"/>
      <c r="W369" s="69">
        <v>2.9</v>
      </c>
      <c r="X369" s="69"/>
      <c r="Y369" s="69"/>
      <c r="Z369" s="69">
        <v>8.3000000000000007</v>
      </c>
      <c r="AA369" s="69"/>
      <c r="AB369" s="69"/>
      <c r="AC369" s="69"/>
      <c r="AD369" s="69">
        <v>10</v>
      </c>
      <c r="AE369" s="69"/>
      <c r="AF369" s="69"/>
      <c r="AG369" s="69">
        <v>2.8</v>
      </c>
      <c r="AH369" s="69"/>
      <c r="AI369" s="69">
        <v>7.1</v>
      </c>
      <c r="AJ369" s="69"/>
      <c r="AK369" s="69"/>
      <c r="AL369" s="69"/>
    </row>
    <row r="370" spans="1:38" x14ac:dyDescent="0.2">
      <c r="A370" s="10">
        <v>31291</v>
      </c>
      <c r="B370" s="69">
        <v>8.0581379999999996</v>
      </c>
      <c r="C370" s="69"/>
      <c r="D370" s="69">
        <v>9.9</v>
      </c>
      <c r="E370" s="69">
        <v>10.4</v>
      </c>
      <c r="F370" s="69"/>
      <c r="G370" s="69"/>
      <c r="H370" s="69"/>
      <c r="I370" s="69">
        <v>6.2</v>
      </c>
      <c r="J370" s="69"/>
      <c r="K370" s="69"/>
      <c r="L370" s="69"/>
      <c r="M370" s="69">
        <v>10.4</v>
      </c>
      <c r="N370" s="69">
        <v>11.2</v>
      </c>
      <c r="O370" s="69"/>
      <c r="P370" s="69"/>
      <c r="Q370" s="69">
        <v>17.100000000000001</v>
      </c>
      <c r="R370" s="69"/>
      <c r="S370" s="69"/>
      <c r="T370" s="69">
        <v>8.3000000000000007</v>
      </c>
      <c r="U370" s="69">
        <v>2.7</v>
      </c>
      <c r="V370" s="69"/>
      <c r="W370" s="69">
        <v>2.8</v>
      </c>
      <c r="X370" s="69"/>
      <c r="Y370" s="69"/>
      <c r="Z370" s="69">
        <v>8.1999999999999993</v>
      </c>
      <c r="AA370" s="69"/>
      <c r="AB370" s="69"/>
      <c r="AC370" s="69"/>
      <c r="AD370" s="69">
        <v>10</v>
      </c>
      <c r="AE370" s="69"/>
      <c r="AF370" s="69"/>
      <c r="AG370" s="69">
        <v>2.8</v>
      </c>
      <c r="AH370" s="69"/>
      <c r="AI370" s="69">
        <v>7.1</v>
      </c>
      <c r="AJ370" s="69"/>
      <c r="AK370" s="69"/>
      <c r="AL370" s="69"/>
    </row>
    <row r="371" spans="1:38" x14ac:dyDescent="0.2">
      <c r="A371" s="10">
        <v>31321</v>
      </c>
      <c r="B371" s="69">
        <v>7.8488759999999997</v>
      </c>
      <c r="C371" s="69"/>
      <c r="D371" s="69">
        <v>9.9</v>
      </c>
      <c r="E371" s="69">
        <v>10.5</v>
      </c>
      <c r="F371" s="69"/>
      <c r="G371" s="69"/>
      <c r="H371" s="69"/>
      <c r="I371" s="69">
        <v>6</v>
      </c>
      <c r="J371" s="69"/>
      <c r="K371" s="69"/>
      <c r="L371" s="69"/>
      <c r="M371" s="69">
        <v>10.4</v>
      </c>
      <c r="N371" s="69">
        <v>11.2</v>
      </c>
      <c r="O371" s="69"/>
      <c r="P371" s="69"/>
      <c r="Q371" s="69">
        <v>17</v>
      </c>
      <c r="R371" s="69"/>
      <c r="S371" s="69"/>
      <c r="T371" s="69">
        <v>8.3000000000000007</v>
      </c>
      <c r="U371" s="69">
        <v>2.7</v>
      </c>
      <c r="V371" s="69"/>
      <c r="W371" s="69">
        <v>2.8</v>
      </c>
      <c r="X371" s="69"/>
      <c r="Y371" s="69"/>
      <c r="Z371" s="69">
        <v>8.1999999999999993</v>
      </c>
      <c r="AA371" s="69"/>
      <c r="AB371" s="69"/>
      <c r="AC371" s="69"/>
      <c r="AD371" s="69">
        <v>10</v>
      </c>
      <c r="AE371" s="69"/>
      <c r="AF371" s="69"/>
      <c r="AG371" s="69">
        <v>2.6</v>
      </c>
      <c r="AH371" s="69"/>
      <c r="AI371" s="69">
        <v>7.1</v>
      </c>
      <c r="AJ371" s="69"/>
      <c r="AK371" s="69"/>
      <c r="AL371" s="69"/>
    </row>
    <row r="372" spans="1:38" x14ac:dyDescent="0.2">
      <c r="A372" s="10">
        <v>31352</v>
      </c>
      <c r="B372" s="69">
        <v>7.9507459999999996</v>
      </c>
      <c r="C372" s="69"/>
      <c r="D372" s="69">
        <v>9.9</v>
      </c>
      <c r="E372" s="69">
        <v>10.4</v>
      </c>
      <c r="F372" s="69"/>
      <c r="G372" s="69"/>
      <c r="H372" s="69"/>
      <c r="I372" s="69">
        <v>5.8</v>
      </c>
      <c r="J372" s="69"/>
      <c r="K372" s="69"/>
      <c r="L372" s="69"/>
      <c r="M372" s="69">
        <v>10.5</v>
      </c>
      <c r="N372" s="69">
        <v>11.1</v>
      </c>
      <c r="O372" s="69"/>
      <c r="P372" s="69"/>
      <c r="Q372" s="69">
        <v>16.899999999999999</v>
      </c>
      <c r="R372" s="69"/>
      <c r="S372" s="69"/>
      <c r="T372" s="69">
        <v>8.4</v>
      </c>
      <c r="U372" s="69">
        <v>2.8</v>
      </c>
      <c r="V372" s="69"/>
      <c r="W372" s="69">
        <v>2.8</v>
      </c>
      <c r="X372" s="69"/>
      <c r="Y372" s="69"/>
      <c r="Z372" s="69">
        <v>8.1</v>
      </c>
      <c r="AA372" s="69"/>
      <c r="AB372" s="69"/>
      <c r="AC372" s="69"/>
      <c r="AD372" s="69">
        <v>10</v>
      </c>
      <c r="AE372" s="69"/>
      <c r="AF372" s="69"/>
      <c r="AG372" s="69">
        <v>2.7</v>
      </c>
      <c r="AH372" s="69"/>
      <c r="AI372" s="69">
        <v>7</v>
      </c>
      <c r="AJ372" s="69"/>
      <c r="AK372" s="69"/>
      <c r="AL372" s="69"/>
    </row>
    <row r="373" spans="1:38" x14ac:dyDescent="0.2">
      <c r="A373" s="10">
        <v>31382</v>
      </c>
      <c r="B373" s="69">
        <v>7.7852240000000004</v>
      </c>
      <c r="C373" s="69"/>
      <c r="D373" s="69">
        <v>10</v>
      </c>
      <c r="E373" s="69">
        <v>10.199999999999999</v>
      </c>
      <c r="F373" s="69"/>
      <c r="G373" s="69"/>
      <c r="H373" s="69"/>
      <c r="I373" s="69">
        <v>5.6</v>
      </c>
      <c r="J373" s="69"/>
      <c r="K373" s="69"/>
      <c r="L373" s="69"/>
      <c r="M373" s="69">
        <v>10.5</v>
      </c>
      <c r="N373" s="69">
        <v>11.2</v>
      </c>
      <c r="O373" s="69"/>
      <c r="P373" s="69"/>
      <c r="Q373" s="69">
        <v>17</v>
      </c>
      <c r="R373" s="69"/>
      <c r="S373" s="69"/>
      <c r="T373" s="69">
        <v>8.5</v>
      </c>
      <c r="U373" s="69">
        <v>2.8</v>
      </c>
      <c r="V373" s="69"/>
      <c r="W373" s="69">
        <v>2.8</v>
      </c>
      <c r="X373" s="69"/>
      <c r="Y373" s="69"/>
      <c r="Z373" s="69">
        <v>8</v>
      </c>
      <c r="AA373" s="69"/>
      <c r="AB373" s="69"/>
      <c r="AC373" s="69"/>
      <c r="AD373" s="69">
        <v>10.1</v>
      </c>
      <c r="AE373" s="69"/>
      <c r="AF373" s="69"/>
      <c r="AG373" s="69">
        <v>2.8</v>
      </c>
      <c r="AH373" s="69"/>
      <c r="AI373" s="69">
        <v>7</v>
      </c>
      <c r="AJ373" s="69"/>
      <c r="AK373" s="69"/>
      <c r="AL373" s="69"/>
    </row>
    <row r="374" spans="1:38" x14ac:dyDescent="0.2">
      <c r="A374" s="10">
        <v>31413</v>
      </c>
      <c r="B374" s="69">
        <v>7.8058230000000002</v>
      </c>
      <c r="C374" s="69"/>
      <c r="D374" s="69">
        <v>10.1</v>
      </c>
      <c r="E374" s="69">
        <v>10</v>
      </c>
      <c r="F374" s="69">
        <v>14.479900000000001</v>
      </c>
      <c r="G374" s="69"/>
      <c r="H374" s="69"/>
      <c r="I374" s="69">
        <v>5.4</v>
      </c>
      <c r="J374" s="69"/>
      <c r="K374" s="69"/>
      <c r="L374" s="69"/>
      <c r="M374" s="69">
        <v>10.4</v>
      </c>
      <c r="N374" s="69">
        <v>11.2</v>
      </c>
      <c r="O374" s="69"/>
      <c r="P374" s="69"/>
      <c r="Q374" s="69">
        <v>16.899999999999999</v>
      </c>
      <c r="R374" s="69"/>
      <c r="S374" s="69"/>
      <c r="T374" s="69">
        <v>8.5</v>
      </c>
      <c r="U374" s="69">
        <v>2.7</v>
      </c>
      <c r="V374" s="69"/>
      <c r="W374" s="69">
        <v>2.8</v>
      </c>
      <c r="X374" s="69"/>
      <c r="Y374" s="69"/>
      <c r="Z374" s="69">
        <v>7.9</v>
      </c>
      <c r="AA374" s="69"/>
      <c r="AB374" s="69"/>
      <c r="AC374" s="69"/>
      <c r="AD374" s="69">
        <v>10.1</v>
      </c>
      <c r="AE374" s="69"/>
      <c r="AF374" s="69"/>
      <c r="AG374" s="69">
        <v>2.7</v>
      </c>
      <c r="AH374" s="69"/>
      <c r="AI374" s="69">
        <v>6.7</v>
      </c>
      <c r="AJ374" s="69"/>
      <c r="AK374" s="69"/>
      <c r="AL374" s="69"/>
    </row>
    <row r="375" spans="1:38" x14ac:dyDescent="0.2">
      <c r="A375" s="10">
        <v>31444</v>
      </c>
      <c r="B375" s="69">
        <v>8.0034510000000001</v>
      </c>
      <c r="C375" s="69"/>
      <c r="D375" s="69">
        <v>10.1</v>
      </c>
      <c r="E375" s="69">
        <v>10</v>
      </c>
      <c r="F375" s="69">
        <v>13.88251</v>
      </c>
      <c r="G375" s="69"/>
      <c r="H375" s="69"/>
      <c r="I375" s="69">
        <v>5.2</v>
      </c>
      <c r="J375" s="69"/>
      <c r="K375" s="69"/>
      <c r="L375" s="69"/>
      <c r="M375" s="69">
        <v>10.3</v>
      </c>
      <c r="N375" s="69">
        <v>11.1</v>
      </c>
      <c r="O375" s="69"/>
      <c r="P375" s="69"/>
      <c r="Q375" s="69">
        <v>16.8</v>
      </c>
      <c r="R375" s="69"/>
      <c r="S375" s="69"/>
      <c r="T375" s="69">
        <v>8.6</v>
      </c>
      <c r="U375" s="69">
        <v>2.6</v>
      </c>
      <c r="V375" s="69"/>
      <c r="W375" s="69">
        <v>2.8</v>
      </c>
      <c r="X375" s="69"/>
      <c r="Y375" s="69"/>
      <c r="Z375" s="69">
        <v>7.8</v>
      </c>
      <c r="AA375" s="69"/>
      <c r="AB375" s="69"/>
      <c r="AC375" s="69"/>
      <c r="AD375" s="69">
        <v>10.1</v>
      </c>
      <c r="AE375" s="69"/>
      <c r="AF375" s="69"/>
      <c r="AG375" s="69">
        <v>2.9</v>
      </c>
      <c r="AH375" s="69"/>
      <c r="AI375" s="69">
        <v>7.2</v>
      </c>
      <c r="AJ375" s="69"/>
      <c r="AK375" s="69"/>
      <c r="AL375" s="69"/>
    </row>
    <row r="376" spans="1:38" x14ac:dyDescent="0.2">
      <c r="A376" s="10">
        <v>31472</v>
      </c>
      <c r="B376" s="69">
        <v>7.9285870000000003</v>
      </c>
      <c r="C376" s="69"/>
      <c r="D376" s="69">
        <v>10.1</v>
      </c>
      <c r="E376" s="69">
        <v>9.9</v>
      </c>
      <c r="F376" s="69">
        <v>13.09198</v>
      </c>
      <c r="G376" s="69"/>
      <c r="H376" s="69"/>
      <c r="I376" s="69">
        <v>5.0999999999999996</v>
      </c>
      <c r="J376" s="69"/>
      <c r="K376" s="69"/>
      <c r="L376" s="69"/>
      <c r="M376" s="69">
        <v>10.4</v>
      </c>
      <c r="N376" s="69">
        <v>11.2</v>
      </c>
      <c r="O376" s="69"/>
      <c r="P376" s="69"/>
      <c r="Q376" s="69">
        <v>16.8</v>
      </c>
      <c r="R376" s="69"/>
      <c r="S376" s="69"/>
      <c r="T376" s="69">
        <v>8.6</v>
      </c>
      <c r="U376" s="69">
        <v>2.7</v>
      </c>
      <c r="V376" s="69"/>
      <c r="W376" s="69">
        <v>2.7</v>
      </c>
      <c r="X376" s="69"/>
      <c r="Y376" s="69"/>
      <c r="Z376" s="69">
        <v>7.8</v>
      </c>
      <c r="AA376" s="69"/>
      <c r="AB376" s="69"/>
      <c r="AC376" s="69"/>
      <c r="AD376" s="69">
        <v>10.1</v>
      </c>
      <c r="AE376" s="69"/>
      <c r="AF376" s="69"/>
      <c r="AG376" s="69">
        <v>2.9</v>
      </c>
      <c r="AH376" s="69"/>
      <c r="AI376" s="69">
        <v>7.2</v>
      </c>
      <c r="AJ376" s="69"/>
      <c r="AK376" s="69"/>
      <c r="AL376" s="69"/>
    </row>
    <row r="377" spans="1:38" x14ac:dyDescent="0.2">
      <c r="A377" s="10">
        <v>31503</v>
      </c>
      <c r="B377" s="69">
        <v>7.9016250000000001</v>
      </c>
      <c r="C377" s="69"/>
      <c r="D377" s="69">
        <v>10.1</v>
      </c>
      <c r="E377" s="69">
        <v>9.8000000000000007</v>
      </c>
      <c r="F377" s="69">
        <v>12.488250000000001</v>
      </c>
      <c r="G377" s="69"/>
      <c r="H377" s="69"/>
      <c r="I377" s="69">
        <v>5</v>
      </c>
      <c r="J377" s="69">
        <v>20.6</v>
      </c>
      <c r="K377" s="69"/>
      <c r="L377" s="69"/>
      <c r="M377" s="69">
        <v>10.4</v>
      </c>
      <c r="N377" s="69">
        <v>11.3</v>
      </c>
      <c r="O377" s="69"/>
      <c r="P377" s="69"/>
      <c r="Q377" s="69">
        <v>16.8</v>
      </c>
      <c r="R377" s="69"/>
      <c r="S377" s="69"/>
      <c r="T377" s="69">
        <v>8.6999999999999993</v>
      </c>
      <c r="U377" s="69">
        <v>2.8</v>
      </c>
      <c r="V377" s="69"/>
      <c r="W377" s="69">
        <v>2.7</v>
      </c>
      <c r="X377" s="69"/>
      <c r="Y377" s="69"/>
      <c r="Z377" s="69">
        <v>7.7</v>
      </c>
      <c r="AA377" s="69"/>
      <c r="AB377" s="69"/>
      <c r="AC377" s="69"/>
      <c r="AD377" s="69">
        <v>9.9</v>
      </c>
      <c r="AE377" s="69"/>
      <c r="AF377" s="69"/>
      <c r="AG377" s="69">
        <v>2.6</v>
      </c>
      <c r="AH377" s="69"/>
      <c r="AI377" s="69">
        <v>7.1</v>
      </c>
      <c r="AJ377" s="69"/>
      <c r="AK377" s="69"/>
      <c r="AL377" s="69"/>
    </row>
    <row r="378" spans="1:38" x14ac:dyDescent="0.2">
      <c r="A378" s="10">
        <v>31533</v>
      </c>
      <c r="B378" s="69">
        <v>7.8470570000000004</v>
      </c>
      <c r="C378" s="69"/>
      <c r="D378" s="69">
        <v>10.1</v>
      </c>
      <c r="E378" s="69">
        <v>9.6999999999999993</v>
      </c>
      <c r="F378" s="69">
        <v>12.012689999999999</v>
      </c>
      <c r="G378" s="69"/>
      <c r="H378" s="69"/>
      <c r="I378" s="69">
        <v>4.9000000000000004</v>
      </c>
      <c r="J378" s="69">
        <v>20.5</v>
      </c>
      <c r="K378" s="69"/>
      <c r="L378" s="69"/>
      <c r="M378" s="69">
        <v>10.5</v>
      </c>
      <c r="N378" s="69">
        <v>11.3</v>
      </c>
      <c r="O378" s="69"/>
      <c r="P378" s="69"/>
      <c r="Q378" s="69">
        <v>16.8</v>
      </c>
      <c r="R378" s="69"/>
      <c r="S378" s="69"/>
      <c r="T378" s="69">
        <v>8.8000000000000007</v>
      </c>
      <c r="U378" s="69">
        <v>2.7</v>
      </c>
      <c r="V378" s="69"/>
      <c r="W378" s="69">
        <v>2.7</v>
      </c>
      <c r="X378" s="69"/>
      <c r="Y378" s="69"/>
      <c r="Z378" s="69">
        <v>7.6</v>
      </c>
      <c r="AA378" s="69"/>
      <c r="AB378" s="69"/>
      <c r="AC378" s="69"/>
      <c r="AD378" s="69">
        <v>9.8000000000000007</v>
      </c>
      <c r="AE378" s="69"/>
      <c r="AF378" s="69"/>
      <c r="AG378" s="69">
        <v>2.8</v>
      </c>
      <c r="AH378" s="69"/>
      <c r="AI378" s="69">
        <v>7.2</v>
      </c>
      <c r="AJ378" s="69"/>
      <c r="AK378" s="69"/>
      <c r="AL378" s="69"/>
    </row>
    <row r="379" spans="1:38" x14ac:dyDescent="0.2">
      <c r="A379" s="10">
        <v>31564</v>
      </c>
      <c r="B379" s="69">
        <v>7.6539859999999997</v>
      </c>
      <c r="C379" s="69"/>
      <c r="D379" s="69">
        <v>10.1</v>
      </c>
      <c r="E379" s="69">
        <v>9.6999999999999993</v>
      </c>
      <c r="F379" s="69">
        <v>11.55592</v>
      </c>
      <c r="G379" s="69"/>
      <c r="H379" s="69"/>
      <c r="I379" s="69">
        <v>4.9000000000000004</v>
      </c>
      <c r="J379" s="69">
        <v>20.399999999999999</v>
      </c>
      <c r="K379" s="69"/>
      <c r="L379" s="69"/>
      <c r="M379" s="69">
        <v>10.5</v>
      </c>
      <c r="N379" s="69">
        <v>11.3</v>
      </c>
      <c r="O379" s="69"/>
      <c r="P379" s="69"/>
      <c r="Q379" s="69">
        <v>16.899999999999999</v>
      </c>
      <c r="R379" s="69"/>
      <c r="S379" s="69"/>
      <c r="T379" s="69">
        <v>8.8000000000000007</v>
      </c>
      <c r="U379" s="69">
        <v>2.8</v>
      </c>
      <c r="V379" s="69"/>
      <c r="W379" s="69">
        <v>2.7</v>
      </c>
      <c r="X379" s="69"/>
      <c r="Y379" s="69"/>
      <c r="Z379" s="69">
        <v>7.6</v>
      </c>
      <c r="AA379" s="69"/>
      <c r="AB379" s="69"/>
      <c r="AC379" s="69"/>
      <c r="AD379" s="69">
        <v>9.6999999999999993</v>
      </c>
      <c r="AE379" s="69"/>
      <c r="AF379" s="69"/>
      <c r="AG379" s="69">
        <v>2.6</v>
      </c>
      <c r="AH379" s="69"/>
      <c r="AI379" s="69">
        <v>7.2</v>
      </c>
      <c r="AJ379" s="69"/>
      <c r="AK379" s="69"/>
      <c r="AL379" s="69"/>
    </row>
    <row r="380" spans="1:38" x14ac:dyDescent="0.2">
      <c r="A380" s="10">
        <v>31594</v>
      </c>
      <c r="B380" s="69">
        <v>8.1134559999999993</v>
      </c>
      <c r="C380" s="69"/>
      <c r="D380" s="69">
        <v>10</v>
      </c>
      <c r="E380" s="69">
        <v>9.6</v>
      </c>
      <c r="F380" s="69">
        <v>11.27819</v>
      </c>
      <c r="G380" s="69"/>
      <c r="H380" s="69"/>
      <c r="I380" s="69">
        <v>4.9000000000000004</v>
      </c>
      <c r="J380" s="69">
        <v>20.399999999999999</v>
      </c>
      <c r="K380" s="69"/>
      <c r="L380" s="69"/>
      <c r="M380" s="69">
        <v>10.6</v>
      </c>
      <c r="N380" s="69">
        <v>11.3</v>
      </c>
      <c r="O380" s="69"/>
      <c r="P380" s="69"/>
      <c r="Q380" s="69">
        <v>16.899999999999999</v>
      </c>
      <c r="R380" s="69"/>
      <c r="S380" s="69"/>
      <c r="T380" s="69">
        <v>8.9</v>
      </c>
      <c r="U380" s="69">
        <v>2.9</v>
      </c>
      <c r="V380" s="69"/>
      <c r="W380" s="69">
        <v>2.5</v>
      </c>
      <c r="X380" s="69"/>
      <c r="Y380" s="69"/>
      <c r="Z380" s="69">
        <v>7.6</v>
      </c>
      <c r="AA380" s="69"/>
      <c r="AB380" s="69"/>
      <c r="AC380" s="69"/>
      <c r="AD380" s="69">
        <v>9.4</v>
      </c>
      <c r="AE380" s="69"/>
      <c r="AF380" s="69"/>
      <c r="AG380" s="69">
        <v>2.5</v>
      </c>
      <c r="AH380" s="69"/>
      <c r="AI380" s="69">
        <v>7</v>
      </c>
      <c r="AJ380" s="69"/>
      <c r="AK380" s="69"/>
      <c r="AL380" s="69"/>
    </row>
    <row r="381" spans="1:38" x14ac:dyDescent="0.2">
      <c r="A381" s="10">
        <v>31625</v>
      </c>
      <c r="B381" s="69">
        <v>8.2400110000000009</v>
      </c>
      <c r="C381" s="69"/>
      <c r="D381" s="69">
        <v>9.9</v>
      </c>
      <c r="E381" s="69">
        <v>9.6</v>
      </c>
      <c r="F381" s="69">
        <v>11.31052</v>
      </c>
      <c r="G381" s="69"/>
      <c r="H381" s="69"/>
      <c r="I381" s="69">
        <v>4.9000000000000004</v>
      </c>
      <c r="J381" s="69">
        <v>20.3</v>
      </c>
      <c r="K381" s="69"/>
      <c r="L381" s="69"/>
      <c r="M381" s="69">
        <v>10.6</v>
      </c>
      <c r="N381" s="69">
        <v>11.3</v>
      </c>
      <c r="O381" s="69"/>
      <c r="P381" s="69"/>
      <c r="Q381" s="69">
        <v>16.8</v>
      </c>
      <c r="R381" s="69"/>
      <c r="S381" s="69"/>
      <c r="T381" s="69">
        <v>9</v>
      </c>
      <c r="U381" s="69">
        <v>2.8</v>
      </c>
      <c r="V381" s="69"/>
      <c r="W381" s="69">
        <v>2.5</v>
      </c>
      <c r="X381" s="69"/>
      <c r="Y381" s="69"/>
      <c r="Z381" s="69">
        <v>7.5</v>
      </c>
      <c r="AA381" s="69"/>
      <c r="AB381" s="69"/>
      <c r="AC381" s="69"/>
      <c r="AD381" s="69">
        <v>9.1999999999999993</v>
      </c>
      <c r="AE381" s="69"/>
      <c r="AF381" s="69"/>
      <c r="AG381" s="69">
        <v>2.6</v>
      </c>
      <c r="AH381" s="69"/>
      <c r="AI381" s="69">
        <v>6.9</v>
      </c>
      <c r="AJ381" s="69"/>
      <c r="AK381" s="69"/>
      <c r="AL381" s="69"/>
    </row>
    <row r="382" spans="1:38" x14ac:dyDescent="0.2">
      <c r="A382" s="10">
        <v>31656</v>
      </c>
      <c r="B382" s="69">
        <v>8.338832</v>
      </c>
      <c r="C382" s="69"/>
      <c r="D382" s="69">
        <v>9.9</v>
      </c>
      <c r="E382" s="69">
        <v>9.6</v>
      </c>
      <c r="F382" s="69">
        <v>11.29448</v>
      </c>
      <c r="G382" s="69"/>
      <c r="H382" s="69"/>
      <c r="I382" s="69">
        <v>4.9000000000000004</v>
      </c>
      <c r="J382" s="69">
        <v>20.3</v>
      </c>
      <c r="K382" s="69"/>
      <c r="L382" s="69"/>
      <c r="M382" s="69">
        <v>10.7</v>
      </c>
      <c r="N382" s="69">
        <v>11.3</v>
      </c>
      <c r="O382" s="69"/>
      <c r="P382" s="69"/>
      <c r="Q382" s="69">
        <v>16.8</v>
      </c>
      <c r="R382" s="69"/>
      <c r="S382" s="69"/>
      <c r="T382" s="69">
        <v>9.1</v>
      </c>
      <c r="U382" s="69">
        <v>2.8</v>
      </c>
      <c r="V382" s="69"/>
      <c r="W382" s="69">
        <v>2.4</v>
      </c>
      <c r="X382" s="69"/>
      <c r="Y382" s="69"/>
      <c r="Z382" s="69">
        <v>7.5</v>
      </c>
      <c r="AA382" s="69"/>
      <c r="AB382" s="69"/>
      <c r="AC382" s="69"/>
      <c r="AD382" s="69">
        <v>9</v>
      </c>
      <c r="AE382" s="69"/>
      <c r="AF382" s="69"/>
      <c r="AG382" s="69">
        <v>2.6</v>
      </c>
      <c r="AH382" s="69"/>
      <c r="AI382" s="69">
        <v>7</v>
      </c>
      <c r="AJ382" s="69"/>
      <c r="AK382" s="69"/>
      <c r="AL382" s="69"/>
    </row>
    <row r="383" spans="1:38" x14ac:dyDescent="0.2">
      <c r="A383" s="10">
        <v>31686</v>
      </c>
      <c r="B383" s="69">
        <v>8.3099889999999998</v>
      </c>
      <c r="C383" s="69"/>
      <c r="D383" s="69">
        <v>10</v>
      </c>
      <c r="E383" s="69">
        <v>9.5</v>
      </c>
      <c r="F383" s="69">
        <v>11.504619999999999</v>
      </c>
      <c r="G383" s="69"/>
      <c r="H383" s="69"/>
      <c r="I383" s="69">
        <v>4.8</v>
      </c>
      <c r="J383" s="69">
        <v>20.2</v>
      </c>
      <c r="K383" s="69"/>
      <c r="L383" s="69"/>
      <c r="M383" s="69">
        <v>10.8</v>
      </c>
      <c r="N383" s="69">
        <v>11.2</v>
      </c>
      <c r="O383" s="69"/>
      <c r="P383" s="69"/>
      <c r="Q383" s="69">
        <v>16.7</v>
      </c>
      <c r="R383" s="69"/>
      <c r="S383" s="69"/>
      <c r="T383" s="69">
        <v>9.1</v>
      </c>
      <c r="U383" s="69">
        <v>2.7</v>
      </c>
      <c r="V383" s="69"/>
      <c r="W383" s="69">
        <v>2.2999999999999998</v>
      </c>
      <c r="X383" s="69"/>
      <c r="Y383" s="69"/>
      <c r="Z383" s="69">
        <v>7.5</v>
      </c>
      <c r="AA383" s="69"/>
      <c r="AB383" s="69"/>
      <c r="AC383" s="69"/>
      <c r="AD383" s="69">
        <v>9</v>
      </c>
      <c r="AE383" s="69"/>
      <c r="AF383" s="69"/>
      <c r="AG383" s="69">
        <v>2.6</v>
      </c>
      <c r="AH383" s="69"/>
      <c r="AI383" s="69">
        <v>7</v>
      </c>
      <c r="AJ383" s="69"/>
      <c r="AK383" s="69"/>
      <c r="AL383" s="69"/>
    </row>
    <row r="384" spans="1:38" x14ac:dyDescent="0.2">
      <c r="A384" s="10">
        <v>31717</v>
      </c>
      <c r="B384" s="69">
        <v>8.3190980000000003</v>
      </c>
      <c r="C384" s="69"/>
      <c r="D384" s="69">
        <v>10.1</v>
      </c>
      <c r="E384" s="69">
        <v>9.4</v>
      </c>
      <c r="F384" s="69">
        <v>11.231949999999999</v>
      </c>
      <c r="G384" s="69"/>
      <c r="H384" s="69"/>
      <c r="I384" s="69">
        <v>4.9000000000000004</v>
      </c>
      <c r="J384" s="69">
        <v>20.3</v>
      </c>
      <c r="K384" s="69"/>
      <c r="L384" s="69"/>
      <c r="M384" s="69">
        <v>10.8</v>
      </c>
      <c r="N384" s="69">
        <v>11.2</v>
      </c>
      <c r="O384" s="69"/>
      <c r="P384" s="69"/>
      <c r="Q384" s="69">
        <v>16.8</v>
      </c>
      <c r="R384" s="69"/>
      <c r="S384" s="69"/>
      <c r="T384" s="69">
        <v>9.1</v>
      </c>
      <c r="U384" s="69">
        <v>2.8</v>
      </c>
      <c r="V384" s="69"/>
      <c r="W384" s="69">
        <v>2.2999999999999998</v>
      </c>
      <c r="X384" s="69"/>
      <c r="Y384" s="69"/>
      <c r="Z384" s="69">
        <v>7.4</v>
      </c>
      <c r="AA384" s="69"/>
      <c r="AB384" s="69"/>
      <c r="AC384" s="69"/>
      <c r="AD384" s="69">
        <v>8.9</v>
      </c>
      <c r="AE384" s="69"/>
      <c r="AF384" s="69"/>
      <c r="AG384" s="69">
        <v>2.7</v>
      </c>
      <c r="AH384" s="69"/>
      <c r="AI384" s="69">
        <v>6.9</v>
      </c>
      <c r="AJ384" s="69"/>
      <c r="AK384" s="69"/>
      <c r="AL384" s="69"/>
    </row>
    <row r="385" spans="1:38" x14ac:dyDescent="0.2">
      <c r="A385" s="10">
        <v>31747</v>
      </c>
      <c r="B385" s="69">
        <v>8.3636320000000008</v>
      </c>
      <c r="C385" s="69"/>
      <c r="D385" s="69">
        <v>10.1</v>
      </c>
      <c r="E385" s="69">
        <v>9.5</v>
      </c>
      <c r="F385" s="69">
        <v>11.02394</v>
      </c>
      <c r="G385" s="69"/>
      <c r="H385" s="69"/>
      <c r="I385" s="69">
        <v>4.9000000000000004</v>
      </c>
      <c r="J385" s="69">
        <v>20.2</v>
      </c>
      <c r="K385" s="69"/>
      <c r="L385" s="69"/>
      <c r="M385" s="69">
        <v>10.9</v>
      </c>
      <c r="N385" s="69">
        <v>11.2</v>
      </c>
      <c r="O385" s="69"/>
      <c r="P385" s="69"/>
      <c r="Q385" s="69">
        <v>16.8</v>
      </c>
      <c r="R385" s="69"/>
      <c r="S385" s="69"/>
      <c r="T385" s="69">
        <v>9.1999999999999993</v>
      </c>
      <c r="U385" s="69">
        <v>2.9</v>
      </c>
      <c r="V385" s="69"/>
      <c r="W385" s="69">
        <v>2.4</v>
      </c>
      <c r="X385" s="69"/>
      <c r="Y385" s="69"/>
      <c r="Z385" s="69">
        <v>7.4</v>
      </c>
      <c r="AA385" s="69"/>
      <c r="AB385" s="69"/>
      <c r="AC385" s="69"/>
      <c r="AD385" s="69">
        <v>8.9</v>
      </c>
      <c r="AE385" s="69"/>
      <c r="AF385" s="69"/>
      <c r="AG385" s="69">
        <v>2.6</v>
      </c>
      <c r="AH385" s="69"/>
      <c r="AI385" s="69">
        <v>6.6</v>
      </c>
      <c r="AJ385" s="69"/>
      <c r="AK385" s="69"/>
      <c r="AL385" s="69"/>
    </row>
    <row r="386" spans="1:38" x14ac:dyDescent="0.2">
      <c r="A386" s="10">
        <v>31778</v>
      </c>
      <c r="B386" s="69">
        <v>8.1869259999999997</v>
      </c>
      <c r="C386" s="69"/>
      <c r="D386" s="69">
        <v>10.1</v>
      </c>
      <c r="E386" s="69">
        <v>9.5</v>
      </c>
      <c r="F386" s="69">
        <v>10.994770000000001</v>
      </c>
      <c r="G386" s="69"/>
      <c r="H386" s="69"/>
      <c r="I386" s="69">
        <v>5</v>
      </c>
      <c r="J386" s="69">
        <v>20.2</v>
      </c>
      <c r="K386" s="69"/>
      <c r="L386" s="69"/>
      <c r="M386" s="69">
        <v>10.8</v>
      </c>
      <c r="N386" s="69">
        <v>11.1</v>
      </c>
      <c r="O386" s="69"/>
      <c r="P386" s="69"/>
      <c r="Q386" s="69">
        <v>16.8</v>
      </c>
      <c r="R386" s="69"/>
      <c r="S386" s="69"/>
      <c r="T386" s="69">
        <v>9.1999999999999993</v>
      </c>
      <c r="U386" s="69">
        <v>3</v>
      </c>
      <c r="V386" s="69"/>
      <c r="W386" s="69">
        <v>2.4</v>
      </c>
      <c r="X386" s="69"/>
      <c r="Y386" s="69">
        <v>4.5</v>
      </c>
      <c r="Z386" s="69">
        <v>7.4</v>
      </c>
      <c r="AA386" s="69"/>
      <c r="AB386" s="69"/>
      <c r="AC386" s="69"/>
      <c r="AD386" s="69">
        <v>8.6999999999999993</v>
      </c>
      <c r="AE386" s="69"/>
      <c r="AF386" s="69"/>
      <c r="AG386" s="69">
        <v>2.2999999999999998</v>
      </c>
      <c r="AH386" s="69"/>
      <c r="AI386" s="69">
        <v>6.6</v>
      </c>
      <c r="AJ386" s="69"/>
      <c r="AK386" s="69"/>
      <c r="AL386" s="69"/>
    </row>
    <row r="387" spans="1:38" x14ac:dyDescent="0.2">
      <c r="A387" s="10">
        <v>31809</v>
      </c>
      <c r="B387" s="69">
        <v>8.2114519999999995</v>
      </c>
      <c r="C387" s="69"/>
      <c r="D387" s="69">
        <v>10</v>
      </c>
      <c r="E387" s="69">
        <v>9.5</v>
      </c>
      <c r="F387" s="69">
        <v>11.058579999999999</v>
      </c>
      <c r="G387" s="69"/>
      <c r="H387" s="69"/>
      <c r="I387" s="69">
        <v>5</v>
      </c>
      <c r="J387" s="69">
        <v>20.100000000000001</v>
      </c>
      <c r="K387" s="69"/>
      <c r="L387" s="69"/>
      <c r="M387" s="69">
        <v>10.8</v>
      </c>
      <c r="N387" s="69">
        <v>11</v>
      </c>
      <c r="O387" s="69"/>
      <c r="P387" s="69"/>
      <c r="Q387" s="69">
        <v>16.7</v>
      </c>
      <c r="R387" s="69"/>
      <c r="S387" s="69"/>
      <c r="T387" s="69">
        <v>9.3000000000000007</v>
      </c>
      <c r="U387" s="69">
        <v>2.9</v>
      </c>
      <c r="V387" s="69"/>
      <c r="W387" s="69">
        <v>2.5</v>
      </c>
      <c r="X387" s="69"/>
      <c r="Y387" s="69">
        <v>4.7</v>
      </c>
      <c r="Z387" s="69">
        <v>7.4</v>
      </c>
      <c r="AA387" s="69"/>
      <c r="AB387" s="69"/>
      <c r="AC387" s="69"/>
      <c r="AD387" s="69">
        <v>8.6999999999999993</v>
      </c>
      <c r="AE387" s="69"/>
      <c r="AF387" s="69"/>
      <c r="AG387" s="69">
        <v>2.4</v>
      </c>
      <c r="AH387" s="69"/>
      <c r="AI387" s="69">
        <v>6.6</v>
      </c>
      <c r="AJ387" s="69"/>
      <c r="AK387" s="69"/>
      <c r="AL387" s="69"/>
    </row>
    <row r="388" spans="1:38" x14ac:dyDescent="0.2">
      <c r="A388" s="10">
        <v>31837</v>
      </c>
      <c r="B388" s="69">
        <v>8.4369759999999996</v>
      </c>
      <c r="C388" s="69"/>
      <c r="D388" s="69">
        <v>10</v>
      </c>
      <c r="E388" s="69">
        <v>9.5</v>
      </c>
      <c r="F388" s="69">
        <v>11.196809999999999</v>
      </c>
      <c r="G388" s="69"/>
      <c r="H388" s="69"/>
      <c r="I388" s="69">
        <v>5</v>
      </c>
      <c r="J388" s="69">
        <v>19.899999999999999</v>
      </c>
      <c r="K388" s="69"/>
      <c r="L388" s="69"/>
      <c r="M388" s="69">
        <v>10.8</v>
      </c>
      <c r="N388" s="69">
        <v>10.9</v>
      </c>
      <c r="O388" s="69"/>
      <c r="P388" s="69"/>
      <c r="Q388" s="69">
        <v>16.7</v>
      </c>
      <c r="R388" s="69"/>
      <c r="S388" s="69"/>
      <c r="T388" s="69">
        <v>9.3000000000000007</v>
      </c>
      <c r="U388" s="69">
        <v>2.9</v>
      </c>
      <c r="V388" s="69"/>
      <c r="W388" s="69">
        <v>2.6</v>
      </c>
      <c r="X388" s="69"/>
      <c r="Y388" s="69">
        <v>4.2</v>
      </c>
      <c r="Z388" s="69">
        <v>7.4</v>
      </c>
      <c r="AA388" s="69"/>
      <c r="AB388" s="69"/>
      <c r="AC388" s="69"/>
      <c r="AD388" s="69">
        <v>8.5</v>
      </c>
      <c r="AE388" s="69"/>
      <c r="AF388" s="69"/>
      <c r="AG388" s="69">
        <v>2.4</v>
      </c>
      <c r="AH388" s="69"/>
      <c r="AI388" s="69">
        <v>6.6</v>
      </c>
      <c r="AJ388" s="69"/>
      <c r="AK388" s="69"/>
      <c r="AL388" s="69"/>
    </row>
    <row r="389" spans="1:38" x14ac:dyDescent="0.2">
      <c r="A389" s="10">
        <v>31868</v>
      </c>
      <c r="B389" s="69">
        <v>8.3008480000000002</v>
      </c>
      <c r="C389" s="69"/>
      <c r="D389" s="69">
        <v>10</v>
      </c>
      <c r="E389" s="69">
        <v>9.1999999999999993</v>
      </c>
      <c r="F389" s="69">
        <v>11.318390000000001</v>
      </c>
      <c r="G389" s="69"/>
      <c r="H389" s="69"/>
      <c r="I389" s="69">
        <v>5</v>
      </c>
      <c r="J389" s="69">
        <v>19.8</v>
      </c>
      <c r="K389" s="69"/>
      <c r="L389" s="69"/>
      <c r="M389" s="69">
        <v>10.7</v>
      </c>
      <c r="N389" s="69">
        <v>10.8</v>
      </c>
      <c r="O389" s="69"/>
      <c r="P389" s="69"/>
      <c r="Q389" s="69">
        <v>16.7</v>
      </c>
      <c r="R389" s="69"/>
      <c r="S389" s="69"/>
      <c r="T389" s="69">
        <v>9.4</v>
      </c>
      <c r="U389" s="69">
        <v>2.9</v>
      </c>
      <c r="V389" s="69"/>
      <c r="W389" s="69">
        <v>2.6</v>
      </c>
      <c r="X389" s="69"/>
      <c r="Y389" s="69">
        <v>4.4000000000000004</v>
      </c>
      <c r="Z389" s="69">
        <v>7.4</v>
      </c>
      <c r="AA389" s="69"/>
      <c r="AB389" s="69"/>
      <c r="AC389" s="69"/>
      <c r="AD389" s="69">
        <v>8.3000000000000007</v>
      </c>
      <c r="AE389" s="69"/>
      <c r="AF389" s="69"/>
      <c r="AG389" s="69">
        <v>2.2999999999999998</v>
      </c>
      <c r="AH389" s="69"/>
      <c r="AI389" s="69">
        <v>6.3</v>
      </c>
      <c r="AJ389" s="69"/>
      <c r="AK389" s="69"/>
      <c r="AL389" s="69"/>
    </row>
    <row r="390" spans="1:38" x14ac:dyDescent="0.2">
      <c r="A390" s="10">
        <v>31898</v>
      </c>
      <c r="B390" s="69">
        <v>8.2021429999999995</v>
      </c>
      <c r="C390" s="69"/>
      <c r="D390" s="69">
        <v>9.9</v>
      </c>
      <c r="E390" s="69">
        <v>8.9</v>
      </c>
      <c r="F390" s="69">
        <v>11.397360000000001</v>
      </c>
      <c r="G390" s="69"/>
      <c r="H390" s="69"/>
      <c r="I390" s="69">
        <v>5</v>
      </c>
      <c r="J390" s="69">
        <v>19.7</v>
      </c>
      <c r="K390" s="69"/>
      <c r="L390" s="69"/>
      <c r="M390" s="69">
        <v>10.7</v>
      </c>
      <c r="N390" s="69">
        <v>10.6</v>
      </c>
      <c r="O390" s="69"/>
      <c r="P390" s="69"/>
      <c r="Q390" s="69">
        <v>16.7</v>
      </c>
      <c r="R390" s="69"/>
      <c r="S390" s="69"/>
      <c r="T390" s="69">
        <v>9.6999999999999993</v>
      </c>
      <c r="U390" s="69">
        <v>3.1</v>
      </c>
      <c r="V390" s="69"/>
      <c r="W390" s="69">
        <v>2.6</v>
      </c>
      <c r="X390" s="69"/>
      <c r="Y390" s="69">
        <v>3.9</v>
      </c>
      <c r="Z390" s="69">
        <v>7.4</v>
      </c>
      <c r="AA390" s="69"/>
      <c r="AB390" s="69"/>
      <c r="AC390" s="69"/>
      <c r="AD390" s="69">
        <v>8.1999999999999993</v>
      </c>
      <c r="AE390" s="69"/>
      <c r="AF390" s="69"/>
      <c r="AG390" s="69">
        <v>2.2999999999999998</v>
      </c>
      <c r="AH390" s="69"/>
      <c r="AI390" s="69">
        <v>6.3</v>
      </c>
      <c r="AJ390" s="69"/>
      <c r="AK390" s="69"/>
      <c r="AL390" s="69"/>
    </row>
    <row r="391" spans="1:38" x14ac:dyDescent="0.2">
      <c r="A391" s="10">
        <v>31929</v>
      </c>
      <c r="B391" s="69">
        <v>8.0092300000000005</v>
      </c>
      <c r="C391" s="69"/>
      <c r="D391" s="69">
        <v>9.9</v>
      </c>
      <c r="E391" s="69">
        <v>8.9</v>
      </c>
      <c r="F391" s="69">
        <v>11.417619999999999</v>
      </c>
      <c r="G391" s="69"/>
      <c r="H391" s="69"/>
      <c r="I391" s="69">
        <v>5</v>
      </c>
      <c r="J391" s="69">
        <v>19.600000000000001</v>
      </c>
      <c r="K391" s="69"/>
      <c r="L391" s="69"/>
      <c r="M391" s="69">
        <v>10.6</v>
      </c>
      <c r="N391" s="69">
        <v>10.5</v>
      </c>
      <c r="O391" s="69"/>
      <c r="P391" s="69"/>
      <c r="Q391" s="69">
        <v>16.7</v>
      </c>
      <c r="R391" s="69"/>
      <c r="S391" s="69"/>
      <c r="T391" s="69">
        <v>9.9</v>
      </c>
      <c r="U391" s="69">
        <v>3</v>
      </c>
      <c r="V391" s="69"/>
      <c r="W391" s="69">
        <v>2.5</v>
      </c>
      <c r="X391" s="69"/>
      <c r="Y391" s="69">
        <v>3.9</v>
      </c>
      <c r="Z391" s="69">
        <v>7.5</v>
      </c>
      <c r="AA391" s="69"/>
      <c r="AB391" s="69"/>
      <c r="AC391" s="69"/>
      <c r="AD391" s="69">
        <v>8.1</v>
      </c>
      <c r="AE391" s="69"/>
      <c r="AF391" s="69"/>
      <c r="AG391" s="69">
        <v>2.2999999999999998</v>
      </c>
      <c r="AH391" s="69"/>
      <c r="AI391" s="69">
        <v>6.2</v>
      </c>
      <c r="AJ391" s="69"/>
      <c r="AK391" s="69"/>
      <c r="AL391" s="69"/>
    </row>
    <row r="392" spans="1:38" x14ac:dyDescent="0.2">
      <c r="A392" s="10">
        <v>31959</v>
      </c>
      <c r="B392" s="69">
        <v>8.0805710000000008</v>
      </c>
      <c r="C392" s="69"/>
      <c r="D392" s="69">
        <v>9.8000000000000007</v>
      </c>
      <c r="E392" s="69">
        <v>8.6999999999999993</v>
      </c>
      <c r="F392" s="69">
        <v>11.093109999999999</v>
      </c>
      <c r="G392" s="69"/>
      <c r="H392" s="69"/>
      <c r="I392" s="69">
        <v>5</v>
      </c>
      <c r="J392" s="69">
        <v>19.7</v>
      </c>
      <c r="K392" s="69"/>
      <c r="L392" s="69"/>
      <c r="M392" s="69">
        <v>10.6</v>
      </c>
      <c r="N392" s="69">
        <v>10.3</v>
      </c>
      <c r="O392" s="69"/>
      <c r="P392" s="69"/>
      <c r="Q392" s="69">
        <v>16.600000000000001</v>
      </c>
      <c r="R392" s="69"/>
      <c r="S392" s="69"/>
      <c r="T392" s="69">
        <v>9.8000000000000007</v>
      </c>
      <c r="U392" s="69">
        <v>2.8</v>
      </c>
      <c r="V392" s="69"/>
      <c r="W392" s="69">
        <v>2.5</v>
      </c>
      <c r="X392" s="69"/>
      <c r="Y392" s="69">
        <v>3.7</v>
      </c>
      <c r="Z392" s="69">
        <v>7.5</v>
      </c>
      <c r="AA392" s="69"/>
      <c r="AB392" s="69"/>
      <c r="AC392" s="69"/>
      <c r="AD392" s="69">
        <v>7.8</v>
      </c>
      <c r="AE392" s="69"/>
      <c r="AF392" s="69"/>
      <c r="AG392" s="69">
        <v>2.2000000000000002</v>
      </c>
      <c r="AH392" s="69"/>
      <c r="AI392" s="69">
        <v>6.1</v>
      </c>
      <c r="AJ392" s="69"/>
      <c r="AK392" s="69"/>
      <c r="AL392" s="69"/>
    </row>
    <row r="393" spans="1:38" x14ac:dyDescent="0.2">
      <c r="A393" s="10">
        <v>31990</v>
      </c>
      <c r="B393" s="69">
        <v>8.1059870000000007</v>
      </c>
      <c r="C393" s="69"/>
      <c r="D393" s="69">
        <v>9.6999999999999993</v>
      </c>
      <c r="E393" s="69">
        <v>8.6</v>
      </c>
      <c r="F393" s="69">
        <v>10.893000000000001</v>
      </c>
      <c r="G393" s="69"/>
      <c r="H393" s="69"/>
      <c r="I393" s="69">
        <v>5</v>
      </c>
      <c r="J393" s="69">
        <v>19.7</v>
      </c>
      <c r="K393" s="69"/>
      <c r="L393" s="69"/>
      <c r="M393" s="69">
        <v>10.6</v>
      </c>
      <c r="N393" s="69">
        <v>10.1</v>
      </c>
      <c r="O393" s="69"/>
      <c r="P393" s="69"/>
      <c r="Q393" s="69">
        <v>16.5</v>
      </c>
      <c r="R393" s="69"/>
      <c r="S393" s="69"/>
      <c r="T393" s="69">
        <v>9.8000000000000007</v>
      </c>
      <c r="U393" s="69">
        <v>2.8</v>
      </c>
      <c r="V393" s="69"/>
      <c r="W393" s="69">
        <v>2.4</v>
      </c>
      <c r="X393" s="69"/>
      <c r="Y393" s="69">
        <v>3.7</v>
      </c>
      <c r="Z393" s="69">
        <v>7.5</v>
      </c>
      <c r="AA393" s="69"/>
      <c r="AB393" s="69"/>
      <c r="AC393" s="69"/>
      <c r="AD393" s="69">
        <v>7.7</v>
      </c>
      <c r="AE393" s="69"/>
      <c r="AF393" s="69"/>
      <c r="AG393" s="69">
        <v>2.4</v>
      </c>
      <c r="AH393" s="69"/>
      <c r="AI393" s="69">
        <v>6</v>
      </c>
      <c r="AJ393" s="69"/>
      <c r="AK393" s="69"/>
      <c r="AL393" s="69"/>
    </row>
    <row r="394" spans="1:38" x14ac:dyDescent="0.2">
      <c r="A394" s="10">
        <v>32021</v>
      </c>
      <c r="B394" s="69">
        <v>7.7556900000000004</v>
      </c>
      <c r="C394" s="69"/>
      <c r="D394" s="69">
        <v>9.6</v>
      </c>
      <c r="E394" s="69">
        <v>8.5</v>
      </c>
      <c r="F394" s="69">
        <v>10.82924</v>
      </c>
      <c r="G394" s="69"/>
      <c r="H394" s="69"/>
      <c r="I394" s="69">
        <v>5</v>
      </c>
      <c r="J394" s="69">
        <v>19.7</v>
      </c>
      <c r="K394" s="69"/>
      <c r="L394" s="69"/>
      <c r="M394" s="69">
        <v>10.5</v>
      </c>
      <c r="N394" s="69">
        <v>10</v>
      </c>
      <c r="O394" s="69"/>
      <c r="P394" s="69"/>
      <c r="Q394" s="69">
        <v>16.5</v>
      </c>
      <c r="R394" s="69"/>
      <c r="S394" s="69"/>
      <c r="T394" s="69">
        <v>9.8000000000000007</v>
      </c>
      <c r="U394" s="69">
        <v>2.7</v>
      </c>
      <c r="V394" s="69"/>
      <c r="W394" s="69">
        <v>2.4</v>
      </c>
      <c r="X394" s="69"/>
      <c r="Y394" s="69">
        <v>3.4</v>
      </c>
      <c r="Z394" s="69">
        <v>7.5</v>
      </c>
      <c r="AA394" s="69"/>
      <c r="AB394" s="69"/>
      <c r="AC394" s="69"/>
      <c r="AD394" s="69">
        <v>7.7</v>
      </c>
      <c r="AE394" s="69"/>
      <c r="AF394" s="69"/>
      <c r="AG394" s="69">
        <v>1.9</v>
      </c>
      <c r="AH394" s="69"/>
      <c r="AI394" s="69">
        <v>5.9</v>
      </c>
      <c r="AJ394" s="69"/>
      <c r="AK394" s="69"/>
      <c r="AL394" s="69"/>
    </row>
    <row r="395" spans="1:38" x14ac:dyDescent="0.2">
      <c r="A395" s="10">
        <v>32051</v>
      </c>
      <c r="B395" s="69">
        <v>8.0859769999999997</v>
      </c>
      <c r="C395" s="69"/>
      <c r="D395" s="69">
        <v>9.6</v>
      </c>
      <c r="E395" s="69">
        <v>8.3000000000000007</v>
      </c>
      <c r="F395" s="69">
        <v>10.243499999999999</v>
      </c>
      <c r="G395" s="69"/>
      <c r="H395" s="69"/>
      <c r="I395" s="69">
        <v>5</v>
      </c>
      <c r="J395" s="69">
        <v>19.5</v>
      </c>
      <c r="K395" s="69"/>
      <c r="L395" s="69"/>
      <c r="M395" s="69">
        <v>10.5</v>
      </c>
      <c r="N395" s="69">
        <v>9.8000000000000007</v>
      </c>
      <c r="O395" s="69"/>
      <c r="P395" s="69"/>
      <c r="Q395" s="69">
        <v>16.5</v>
      </c>
      <c r="R395" s="69"/>
      <c r="S395" s="69"/>
      <c r="T395" s="69">
        <v>9.8000000000000007</v>
      </c>
      <c r="U395" s="69">
        <v>2.7</v>
      </c>
      <c r="V395" s="69"/>
      <c r="W395" s="69">
        <v>2.2999999999999998</v>
      </c>
      <c r="X395" s="69"/>
      <c r="Y395" s="69">
        <v>3.6</v>
      </c>
      <c r="Z395" s="69">
        <v>7.5</v>
      </c>
      <c r="AA395" s="69"/>
      <c r="AB395" s="69"/>
      <c r="AC395" s="69"/>
      <c r="AD395" s="69">
        <v>7.6</v>
      </c>
      <c r="AE395" s="69"/>
      <c r="AF395" s="69"/>
      <c r="AG395" s="69">
        <v>2</v>
      </c>
      <c r="AH395" s="69"/>
      <c r="AI395" s="69">
        <v>6</v>
      </c>
      <c r="AJ395" s="69"/>
      <c r="AK395" s="69"/>
      <c r="AL395" s="69"/>
    </row>
    <row r="396" spans="1:38" x14ac:dyDescent="0.2">
      <c r="A396" s="10">
        <v>32082</v>
      </c>
      <c r="B396" s="69">
        <v>7.9313880000000001</v>
      </c>
      <c r="C396" s="69"/>
      <c r="D396" s="69">
        <v>9.6</v>
      </c>
      <c r="E396" s="69">
        <v>8.1</v>
      </c>
      <c r="F396" s="69">
        <v>10.36157</v>
      </c>
      <c r="G396" s="69"/>
      <c r="H396" s="69"/>
      <c r="I396" s="69">
        <v>5</v>
      </c>
      <c r="J396" s="69">
        <v>19.399999999999999</v>
      </c>
      <c r="K396" s="69"/>
      <c r="L396" s="69"/>
      <c r="M396" s="69">
        <v>10.5</v>
      </c>
      <c r="N396" s="69">
        <v>9.6</v>
      </c>
      <c r="O396" s="69"/>
      <c r="P396" s="69"/>
      <c r="Q396" s="69">
        <v>16.5</v>
      </c>
      <c r="R396" s="69"/>
      <c r="S396" s="69"/>
      <c r="T396" s="69">
        <v>9.6999999999999993</v>
      </c>
      <c r="U396" s="69">
        <v>2.7</v>
      </c>
      <c r="V396" s="69"/>
      <c r="W396" s="69">
        <v>2.2999999999999998</v>
      </c>
      <c r="X396" s="69"/>
      <c r="Y396" s="69">
        <v>3.5</v>
      </c>
      <c r="Z396" s="69">
        <v>7.5</v>
      </c>
      <c r="AA396" s="69"/>
      <c r="AB396" s="69"/>
      <c r="AC396" s="69"/>
      <c r="AD396" s="69">
        <v>7.5</v>
      </c>
      <c r="AE396" s="69"/>
      <c r="AF396" s="69"/>
      <c r="AG396" s="69">
        <v>1.9</v>
      </c>
      <c r="AH396" s="69"/>
      <c r="AI396" s="69">
        <v>5.8</v>
      </c>
      <c r="AJ396" s="69"/>
      <c r="AK396" s="69"/>
      <c r="AL396" s="69"/>
    </row>
    <row r="397" spans="1:38" x14ac:dyDescent="0.2">
      <c r="A397" s="10">
        <v>32112</v>
      </c>
      <c r="B397" s="69">
        <v>7.7281880000000003</v>
      </c>
      <c r="C397" s="69"/>
      <c r="D397" s="69">
        <v>9.5</v>
      </c>
      <c r="E397" s="69">
        <v>8</v>
      </c>
      <c r="F397" s="69">
        <v>10.20603</v>
      </c>
      <c r="G397" s="69"/>
      <c r="H397" s="69"/>
      <c r="I397" s="69">
        <v>5</v>
      </c>
      <c r="J397" s="69">
        <v>19.399999999999999</v>
      </c>
      <c r="K397" s="69"/>
      <c r="L397" s="69"/>
      <c r="M397" s="69">
        <v>10.5</v>
      </c>
      <c r="N397" s="69">
        <v>9.4</v>
      </c>
      <c r="O397" s="69"/>
      <c r="P397" s="69"/>
      <c r="Q397" s="69">
        <v>16.5</v>
      </c>
      <c r="R397" s="69"/>
      <c r="S397" s="69"/>
      <c r="T397" s="69">
        <v>9.6999999999999993</v>
      </c>
      <c r="U397" s="69">
        <v>2.7</v>
      </c>
      <c r="V397" s="69"/>
      <c r="W397" s="69">
        <v>2.2999999999999998</v>
      </c>
      <c r="X397" s="69"/>
      <c r="Y397" s="69">
        <v>3.1</v>
      </c>
      <c r="Z397" s="69">
        <v>7.5</v>
      </c>
      <c r="AA397" s="69"/>
      <c r="AB397" s="69"/>
      <c r="AC397" s="69"/>
      <c r="AD397" s="69">
        <v>7.3</v>
      </c>
      <c r="AE397" s="69"/>
      <c r="AF397" s="69"/>
      <c r="AG397" s="69">
        <v>1.8</v>
      </c>
      <c r="AH397" s="69"/>
      <c r="AI397" s="69">
        <v>5.7</v>
      </c>
      <c r="AJ397" s="69"/>
      <c r="AK397" s="69"/>
      <c r="AL397" s="69"/>
    </row>
    <row r="398" spans="1:38" x14ac:dyDescent="0.2">
      <c r="A398" s="10">
        <v>32143</v>
      </c>
      <c r="B398" s="69">
        <v>7.631596</v>
      </c>
      <c r="C398" s="69"/>
      <c r="D398" s="69">
        <v>9.5</v>
      </c>
      <c r="E398" s="69">
        <v>8</v>
      </c>
      <c r="F398" s="69">
        <v>10.67435</v>
      </c>
      <c r="G398" s="69"/>
      <c r="H398" s="69"/>
      <c r="I398" s="69">
        <v>5.0999999999999996</v>
      </c>
      <c r="J398" s="69">
        <v>19.3</v>
      </c>
      <c r="K398" s="69"/>
      <c r="L398" s="69">
        <v>4.8</v>
      </c>
      <c r="M398" s="69">
        <v>10.3</v>
      </c>
      <c r="N398" s="69">
        <v>9.1999999999999993</v>
      </c>
      <c r="O398" s="69"/>
      <c r="P398" s="69"/>
      <c r="Q398" s="69">
        <v>16.5</v>
      </c>
      <c r="R398" s="69"/>
      <c r="S398" s="69"/>
      <c r="T398" s="69">
        <v>9.6999999999999993</v>
      </c>
      <c r="U398" s="69">
        <v>2.7</v>
      </c>
      <c r="V398" s="69"/>
      <c r="W398" s="69">
        <v>2.2999999999999998</v>
      </c>
      <c r="X398" s="69"/>
      <c r="Y398" s="69">
        <v>3.5</v>
      </c>
      <c r="Z398" s="69">
        <v>7.5</v>
      </c>
      <c r="AA398" s="69"/>
      <c r="AB398" s="69"/>
      <c r="AC398" s="69"/>
      <c r="AD398" s="69">
        <v>7</v>
      </c>
      <c r="AE398" s="69"/>
      <c r="AF398" s="69"/>
      <c r="AG398" s="69">
        <v>2</v>
      </c>
      <c r="AH398" s="69"/>
      <c r="AI398" s="69">
        <v>5.7</v>
      </c>
      <c r="AJ398" s="69"/>
      <c r="AK398" s="69"/>
      <c r="AL398" s="69"/>
    </row>
    <row r="399" spans="1:38" x14ac:dyDescent="0.2">
      <c r="A399" s="10">
        <v>32174</v>
      </c>
      <c r="B399" s="69">
        <v>7.4172330000000004</v>
      </c>
      <c r="C399" s="69"/>
      <c r="D399" s="69">
        <v>9.4</v>
      </c>
      <c r="E399" s="69">
        <v>7.8</v>
      </c>
      <c r="F399" s="69">
        <v>10.462759999999999</v>
      </c>
      <c r="G399" s="69"/>
      <c r="H399" s="69"/>
      <c r="I399" s="69">
        <v>5.2</v>
      </c>
      <c r="J399" s="69">
        <v>19.2</v>
      </c>
      <c r="K399" s="69"/>
      <c r="L399" s="69">
        <v>4.5999999999999996</v>
      </c>
      <c r="M399" s="69">
        <v>10.3</v>
      </c>
      <c r="N399" s="69">
        <v>9.1</v>
      </c>
      <c r="O399" s="69"/>
      <c r="P399" s="69"/>
      <c r="Q399" s="69">
        <v>16.5</v>
      </c>
      <c r="R399" s="69"/>
      <c r="S399" s="69"/>
      <c r="T399" s="69">
        <v>9.6999999999999993</v>
      </c>
      <c r="U399" s="69">
        <v>2.7</v>
      </c>
      <c r="V399" s="69"/>
      <c r="W399" s="69">
        <v>2.2000000000000002</v>
      </c>
      <c r="X399" s="69"/>
      <c r="Y399" s="69">
        <v>3.3</v>
      </c>
      <c r="Z399" s="69">
        <v>7.5</v>
      </c>
      <c r="AA399" s="69"/>
      <c r="AB399" s="69"/>
      <c r="AC399" s="69"/>
      <c r="AD399" s="69">
        <v>7</v>
      </c>
      <c r="AE399" s="69"/>
      <c r="AF399" s="69"/>
      <c r="AG399" s="69">
        <v>1.8</v>
      </c>
      <c r="AH399" s="69"/>
      <c r="AI399" s="69">
        <v>5.7</v>
      </c>
      <c r="AJ399" s="69"/>
      <c r="AK399" s="69"/>
      <c r="AL399" s="69"/>
    </row>
    <row r="400" spans="1:38" x14ac:dyDescent="0.2">
      <c r="A400" s="10">
        <v>32203</v>
      </c>
      <c r="B400" s="69">
        <v>7.5063880000000003</v>
      </c>
      <c r="C400" s="69"/>
      <c r="D400" s="69">
        <v>9.3000000000000007</v>
      </c>
      <c r="E400" s="69">
        <v>7.8</v>
      </c>
      <c r="F400" s="69">
        <v>10.584519999999999</v>
      </c>
      <c r="G400" s="69"/>
      <c r="H400" s="69"/>
      <c r="I400" s="69">
        <v>5.2</v>
      </c>
      <c r="J400" s="69">
        <v>19.100000000000001</v>
      </c>
      <c r="K400" s="69"/>
      <c r="L400" s="69">
        <v>4.5</v>
      </c>
      <c r="M400" s="69">
        <v>10.199999999999999</v>
      </c>
      <c r="N400" s="69">
        <v>8.9</v>
      </c>
      <c r="O400" s="69"/>
      <c r="P400" s="69"/>
      <c r="Q400" s="69">
        <v>16.5</v>
      </c>
      <c r="R400" s="69"/>
      <c r="S400" s="69"/>
      <c r="T400" s="69">
        <v>9.6999999999999993</v>
      </c>
      <c r="U400" s="69">
        <v>2.6</v>
      </c>
      <c r="V400" s="69"/>
      <c r="W400" s="69">
        <v>2.2000000000000002</v>
      </c>
      <c r="X400" s="69"/>
      <c r="Y400" s="69">
        <v>3.7</v>
      </c>
      <c r="Z400" s="69">
        <v>7.5</v>
      </c>
      <c r="AA400" s="69"/>
      <c r="AB400" s="69"/>
      <c r="AC400" s="69"/>
      <c r="AD400" s="69">
        <v>7</v>
      </c>
      <c r="AE400" s="69"/>
      <c r="AF400" s="69"/>
      <c r="AG400" s="69">
        <v>1.9</v>
      </c>
      <c r="AH400" s="69"/>
      <c r="AI400" s="69">
        <v>5.7</v>
      </c>
      <c r="AJ400" s="69"/>
      <c r="AK400" s="69"/>
      <c r="AL400" s="69"/>
    </row>
    <row r="401" spans="1:38" x14ac:dyDescent="0.2">
      <c r="A401" s="10">
        <v>32234</v>
      </c>
      <c r="B401" s="69">
        <v>7.913608</v>
      </c>
      <c r="C401" s="69"/>
      <c r="D401" s="69">
        <v>9.1999999999999993</v>
      </c>
      <c r="E401" s="69">
        <v>7.7</v>
      </c>
      <c r="F401" s="69">
        <v>10.315519999999999</v>
      </c>
      <c r="G401" s="69"/>
      <c r="H401" s="69"/>
      <c r="I401" s="69">
        <v>5.3</v>
      </c>
      <c r="J401" s="69">
        <v>19.100000000000001</v>
      </c>
      <c r="K401" s="69"/>
      <c r="L401" s="69">
        <v>4.4000000000000004</v>
      </c>
      <c r="M401" s="69">
        <v>10.199999999999999</v>
      </c>
      <c r="N401" s="69">
        <v>8.8000000000000007</v>
      </c>
      <c r="O401" s="69"/>
      <c r="P401" s="69"/>
      <c r="Q401" s="69">
        <v>16.399999999999999</v>
      </c>
      <c r="R401" s="69"/>
      <c r="S401" s="69"/>
      <c r="T401" s="69">
        <v>9.6999999999999993</v>
      </c>
      <c r="U401" s="69">
        <v>2.5</v>
      </c>
      <c r="V401" s="69"/>
      <c r="W401" s="69">
        <v>2.1</v>
      </c>
      <c r="X401" s="69"/>
      <c r="Y401" s="69">
        <v>3.7</v>
      </c>
      <c r="Z401" s="69">
        <v>7.4</v>
      </c>
      <c r="AA401" s="69"/>
      <c r="AB401" s="69"/>
      <c r="AC401" s="69"/>
      <c r="AD401" s="69">
        <v>7.1</v>
      </c>
      <c r="AE401" s="69"/>
      <c r="AF401" s="69"/>
      <c r="AG401" s="69">
        <v>1.8</v>
      </c>
      <c r="AH401" s="69"/>
      <c r="AI401" s="69">
        <v>5.4</v>
      </c>
      <c r="AJ401" s="69"/>
      <c r="AK401" s="69"/>
      <c r="AL401" s="69"/>
    </row>
    <row r="402" spans="1:38" x14ac:dyDescent="0.2">
      <c r="A402" s="10">
        <v>32264</v>
      </c>
      <c r="B402" s="69">
        <v>7.4515130000000003</v>
      </c>
      <c r="C402" s="69"/>
      <c r="D402" s="69">
        <v>9.1</v>
      </c>
      <c r="E402" s="69">
        <v>7.8</v>
      </c>
      <c r="F402" s="69">
        <v>10.279059999999999</v>
      </c>
      <c r="G402" s="69"/>
      <c r="H402" s="69"/>
      <c r="I402" s="69">
        <v>5.4</v>
      </c>
      <c r="J402" s="69">
        <v>19.100000000000001</v>
      </c>
      <c r="K402" s="69"/>
      <c r="L402" s="69">
        <v>4.3</v>
      </c>
      <c r="M402" s="69">
        <v>10.1</v>
      </c>
      <c r="N402" s="69">
        <v>8.6999999999999993</v>
      </c>
      <c r="O402" s="69"/>
      <c r="P402" s="69"/>
      <c r="Q402" s="69">
        <v>16.3</v>
      </c>
      <c r="R402" s="69"/>
      <c r="S402" s="69"/>
      <c r="T402" s="69">
        <v>9.6</v>
      </c>
      <c r="U402" s="69">
        <v>2.5</v>
      </c>
      <c r="V402" s="69"/>
      <c r="W402" s="69">
        <v>2</v>
      </c>
      <c r="X402" s="69"/>
      <c r="Y402" s="69">
        <v>3.7</v>
      </c>
      <c r="Z402" s="69">
        <v>7.4</v>
      </c>
      <c r="AA402" s="69"/>
      <c r="AB402" s="69"/>
      <c r="AC402" s="69"/>
      <c r="AD402" s="69">
        <v>7</v>
      </c>
      <c r="AE402" s="69"/>
      <c r="AF402" s="69"/>
      <c r="AG402" s="69">
        <v>1.9</v>
      </c>
      <c r="AH402" s="69"/>
      <c r="AI402" s="69">
        <v>5.6</v>
      </c>
      <c r="AJ402" s="69"/>
      <c r="AK402" s="69"/>
      <c r="AL402" s="69"/>
    </row>
    <row r="403" spans="1:38" x14ac:dyDescent="0.2">
      <c r="A403" s="10">
        <v>32295</v>
      </c>
      <c r="B403" s="69">
        <v>7.5693570000000001</v>
      </c>
      <c r="C403" s="69"/>
      <c r="D403" s="69">
        <v>8.9</v>
      </c>
      <c r="E403" s="69">
        <v>7.6</v>
      </c>
      <c r="F403" s="69">
        <v>10.013949999999999</v>
      </c>
      <c r="G403" s="69"/>
      <c r="H403" s="69"/>
      <c r="I403" s="69">
        <v>5.6</v>
      </c>
      <c r="J403" s="69">
        <v>19</v>
      </c>
      <c r="K403" s="69"/>
      <c r="L403" s="69">
        <v>4.3</v>
      </c>
      <c r="M403" s="69">
        <v>10.1</v>
      </c>
      <c r="N403" s="69">
        <v>8.5</v>
      </c>
      <c r="O403" s="69"/>
      <c r="P403" s="69"/>
      <c r="Q403" s="69">
        <v>16.3</v>
      </c>
      <c r="R403" s="69"/>
      <c r="S403" s="69"/>
      <c r="T403" s="69">
        <v>9.6</v>
      </c>
      <c r="U403" s="69">
        <v>2.4</v>
      </c>
      <c r="V403" s="69"/>
      <c r="W403" s="69">
        <v>2</v>
      </c>
      <c r="X403" s="69"/>
      <c r="Y403" s="69">
        <v>3.8</v>
      </c>
      <c r="Z403" s="69">
        <v>7.4</v>
      </c>
      <c r="AA403" s="69"/>
      <c r="AB403" s="69"/>
      <c r="AC403" s="69"/>
      <c r="AD403" s="69">
        <v>6.7</v>
      </c>
      <c r="AE403" s="69"/>
      <c r="AF403" s="69"/>
      <c r="AG403" s="69">
        <v>1.8</v>
      </c>
      <c r="AH403" s="69"/>
      <c r="AI403" s="69">
        <v>5.4</v>
      </c>
      <c r="AJ403" s="69"/>
      <c r="AK403" s="69"/>
      <c r="AL403" s="69"/>
    </row>
    <row r="404" spans="1:38" x14ac:dyDescent="0.2">
      <c r="A404" s="10">
        <v>32325</v>
      </c>
      <c r="B404" s="69">
        <v>6.7612949999999996</v>
      </c>
      <c r="C404" s="69"/>
      <c r="D404" s="69">
        <v>8.8000000000000007</v>
      </c>
      <c r="E404" s="69">
        <v>7.8</v>
      </c>
      <c r="F404" s="69">
        <v>9.8559929999999998</v>
      </c>
      <c r="G404" s="69"/>
      <c r="H404" s="69"/>
      <c r="I404" s="69">
        <v>5.7</v>
      </c>
      <c r="J404" s="69">
        <v>18.899999999999999</v>
      </c>
      <c r="K404" s="69"/>
      <c r="L404" s="69">
        <v>4.0999999999999996</v>
      </c>
      <c r="M404" s="69">
        <v>10</v>
      </c>
      <c r="N404" s="69">
        <v>8.4</v>
      </c>
      <c r="O404" s="69"/>
      <c r="P404" s="69"/>
      <c r="Q404" s="69">
        <v>16.2</v>
      </c>
      <c r="R404" s="69"/>
      <c r="S404" s="69"/>
      <c r="T404" s="69">
        <v>9.6</v>
      </c>
      <c r="U404" s="69">
        <v>2.5</v>
      </c>
      <c r="V404" s="69"/>
      <c r="W404" s="69">
        <v>2</v>
      </c>
      <c r="X404" s="69"/>
      <c r="Y404" s="69">
        <v>3.6</v>
      </c>
      <c r="Z404" s="69">
        <v>7.4</v>
      </c>
      <c r="AA404" s="69"/>
      <c r="AB404" s="69"/>
      <c r="AC404" s="69"/>
      <c r="AD404" s="69">
        <v>6.4</v>
      </c>
      <c r="AE404" s="69"/>
      <c r="AF404" s="69"/>
      <c r="AG404" s="69">
        <v>1.9</v>
      </c>
      <c r="AH404" s="69"/>
      <c r="AI404" s="69">
        <v>5.4</v>
      </c>
      <c r="AJ404" s="69"/>
      <c r="AK404" s="69"/>
      <c r="AL404" s="69"/>
    </row>
    <row r="405" spans="1:38" x14ac:dyDescent="0.2">
      <c r="A405" s="10">
        <v>32356</v>
      </c>
      <c r="B405" s="69">
        <v>7.0689640000000002</v>
      </c>
      <c r="C405" s="69"/>
      <c r="D405" s="69">
        <v>8.6999999999999993</v>
      </c>
      <c r="E405" s="69">
        <v>7.9</v>
      </c>
      <c r="F405" s="69">
        <v>9.6515090000000008</v>
      </c>
      <c r="G405" s="69"/>
      <c r="H405" s="69"/>
      <c r="I405" s="69">
        <v>5.8</v>
      </c>
      <c r="J405" s="69">
        <v>18.7</v>
      </c>
      <c r="K405" s="69"/>
      <c r="L405" s="69">
        <v>4</v>
      </c>
      <c r="M405" s="69">
        <v>10</v>
      </c>
      <c r="N405" s="69">
        <v>8.3000000000000007</v>
      </c>
      <c r="O405" s="69"/>
      <c r="P405" s="69"/>
      <c r="Q405" s="69">
        <v>16.2</v>
      </c>
      <c r="R405" s="69"/>
      <c r="S405" s="69"/>
      <c r="T405" s="69">
        <v>9.6</v>
      </c>
      <c r="U405" s="69">
        <v>2.6</v>
      </c>
      <c r="V405" s="69"/>
      <c r="W405" s="69">
        <v>1.9</v>
      </c>
      <c r="X405" s="69"/>
      <c r="Y405" s="69">
        <v>3.5</v>
      </c>
      <c r="Z405" s="69">
        <v>7.3</v>
      </c>
      <c r="AA405" s="69"/>
      <c r="AB405" s="69"/>
      <c r="AC405" s="69"/>
      <c r="AD405" s="69">
        <v>6.3</v>
      </c>
      <c r="AE405" s="69"/>
      <c r="AF405" s="69"/>
      <c r="AG405" s="69">
        <v>1.8</v>
      </c>
      <c r="AH405" s="69"/>
      <c r="AI405" s="69">
        <v>5.6</v>
      </c>
      <c r="AJ405" s="69"/>
      <c r="AK405" s="69"/>
      <c r="AL405" s="69"/>
    </row>
    <row r="406" spans="1:38" x14ac:dyDescent="0.2">
      <c r="A406" s="10">
        <v>32387</v>
      </c>
      <c r="B406" s="69">
        <v>6.9347529999999997</v>
      </c>
      <c r="C406" s="69"/>
      <c r="D406" s="69">
        <v>8.5</v>
      </c>
      <c r="E406" s="69">
        <v>7.9</v>
      </c>
      <c r="F406" s="69">
        <v>9.1881979999999999</v>
      </c>
      <c r="G406" s="69"/>
      <c r="H406" s="69"/>
      <c r="I406" s="69">
        <v>5.9</v>
      </c>
      <c r="J406" s="69">
        <v>18.399999999999999</v>
      </c>
      <c r="K406" s="69"/>
      <c r="L406" s="69">
        <v>3.9</v>
      </c>
      <c r="M406" s="69">
        <v>10</v>
      </c>
      <c r="N406" s="69">
        <v>8.4</v>
      </c>
      <c r="O406" s="69"/>
      <c r="P406" s="69"/>
      <c r="Q406" s="69">
        <v>16.100000000000001</v>
      </c>
      <c r="R406" s="69"/>
      <c r="S406" s="69"/>
      <c r="T406" s="69">
        <v>9.6</v>
      </c>
      <c r="U406" s="69">
        <v>2.5</v>
      </c>
      <c r="V406" s="69"/>
      <c r="W406" s="69">
        <v>1.9</v>
      </c>
      <c r="X406" s="69"/>
      <c r="Y406" s="69">
        <v>3.5</v>
      </c>
      <c r="Z406" s="69">
        <v>7.3</v>
      </c>
      <c r="AA406" s="69"/>
      <c r="AB406" s="69"/>
      <c r="AC406" s="69"/>
      <c r="AD406" s="69">
        <v>6.3</v>
      </c>
      <c r="AE406" s="69"/>
      <c r="AF406" s="69"/>
      <c r="AG406" s="69">
        <v>1.8</v>
      </c>
      <c r="AH406" s="69"/>
      <c r="AI406" s="69">
        <v>5.4</v>
      </c>
      <c r="AJ406" s="69"/>
      <c r="AK406" s="69"/>
      <c r="AL406" s="69"/>
    </row>
    <row r="407" spans="1:38" x14ac:dyDescent="0.2">
      <c r="A407" s="10">
        <v>32417</v>
      </c>
      <c r="B407" s="69">
        <v>6.817863</v>
      </c>
      <c r="C407" s="69"/>
      <c r="D407" s="69">
        <v>8.3000000000000007</v>
      </c>
      <c r="E407" s="69">
        <v>7.7</v>
      </c>
      <c r="F407" s="69">
        <v>8.8844460000000005</v>
      </c>
      <c r="G407" s="69"/>
      <c r="H407" s="69"/>
      <c r="I407" s="69">
        <v>6.1</v>
      </c>
      <c r="J407" s="69">
        <v>18</v>
      </c>
      <c r="K407" s="69"/>
      <c r="L407" s="69">
        <v>3.8</v>
      </c>
      <c r="M407" s="69">
        <v>9.9</v>
      </c>
      <c r="N407" s="69">
        <v>8</v>
      </c>
      <c r="O407" s="69"/>
      <c r="P407" s="69"/>
      <c r="Q407" s="69">
        <v>16</v>
      </c>
      <c r="R407" s="69"/>
      <c r="S407" s="69"/>
      <c r="T407" s="69">
        <v>9.8000000000000007</v>
      </c>
      <c r="U407" s="69">
        <v>2.4</v>
      </c>
      <c r="V407" s="69"/>
      <c r="W407" s="69">
        <v>1.8</v>
      </c>
      <c r="X407" s="69"/>
      <c r="Y407" s="69">
        <v>3.3</v>
      </c>
      <c r="Z407" s="69">
        <v>7.2</v>
      </c>
      <c r="AA407" s="69"/>
      <c r="AB407" s="69"/>
      <c r="AC407" s="69"/>
      <c r="AD407" s="69">
        <v>6.4</v>
      </c>
      <c r="AE407" s="69"/>
      <c r="AF407" s="69"/>
      <c r="AG407" s="69">
        <v>1.8</v>
      </c>
      <c r="AH407" s="69"/>
      <c r="AI407" s="69">
        <v>5.4</v>
      </c>
      <c r="AJ407" s="69"/>
      <c r="AK407" s="69"/>
      <c r="AL407" s="69"/>
    </row>
    <row r="408" spans="1:38" x14ac:dyDescent="0.2">
      <c r="A408" s="10">
        <v>32448</v>
      </c>
      <c r="B408" s="69">
        <v>6.6129629999999997</v>
      </c>
      <c r="C408" s="69"/>
      <c r="D408" s="69">
        <v>8.1999999999999993</v>
      </c>
      <c r="E408" s="69">
        <v>7.7</v>
      </c>
      <c r="F408" s="69">
        <v>8.6029009999999992</v>
      </c>
      <c r="G408" s="69"/>
      <c r="H408" s="69"/>
      <c r="I408" s="69">
        <v>6.2</v>
      </c>
      <c r="J408" s="69">
        <v>17.7</v>
      </c>
      <c r="K408" s="69"/>
      <c r="L408" s="69">
        <v>3.7</v>
      </c>
      <c r="M408" s="69">
        <v>9.9</v>
      </c>
      <c r="N408" s="69">
        <v>7.9</v>
      </c>
      <c r="O408" s="69"/>
      <c r="P408" s="69"/>
      <c r="Q408" s="69">
        <v>15.8</v>
      </c>
      <c r="R408" s="69"/>
      <c r="S408" s="69"/>
      <c r="T408" s="69">
        <v>9.8000000000000007</v>
      </c>
      <c r="U408" s="69">
        <v>2.4</v>
      </c>
      <c r="V408" s="69"/>
      <c r="W408" s="69">
        <v>1.8</v>
      </c>
      <c r="X408" s="69"/>
      <c r="Y408" s="69">
        <v>3.5</v>
      </c>
      <c r="Z408" s="69">
        <v>7.2</v>
      </c>
      <c r="AA408" s="69"/>
      <c r="AB408" s="69"/>
      <c r="AC408" s="69"/>
      <c r="AD408" s="69">
        <v>6.4</v>
      </c>
      <c r="AE408" s="69"/>
      <c r="AF408" s="69"/>
      <c r="AG408" s="69">
        <v>1.7</v>
      </c>
      <c r="AH408" s="69"/>
      <c r="AI408" s="69">
        <v>5.3</v>
      </c>
      <c r="AJ408" s="69"/>
      <c r="AK408" s="69"/>
      <c r="AL408" s="69"/>
    </row>
    <row r="409" spans="1:38" x14ac:dyDescent="0.2">
      <c r="A409" s="10">
        <v>32478</v>
      </c>
      <c r="B409" s="69">
        <v>6.8325019999999999</v>
      </c>
      <c r="C409" s="69"/>
      <c r="D409" s="69">
        <v>8.1</v>
      </c>
      <c r="E409" s="69">
        <v>7.5</v>
      </c>
      <c r="F409" s="69">
        <v>8.3205620000000007</v>
      </c>
      <c r="G409" s="69"/>
      <c r="H409" s="69"/>
      <c r="I409" s="69">
        <v>6.4</v>
      </c>
      <c r="J409" s="69">
        <v>17.600000000000001</v>
      </c>
      <c r="K409" s="69"/>
      <c r="L409" s="69">
        <v>3.6</v>
      </c>
      <c r="M409" s="69">
        <v>9.9</v>
      </c>
      <c r="N409" s="69">
        <v>7.7</v>
      </c>
      <c r="O409" s="69"/>
      <c r="P409" s="69"/>
      <c r="Q409" s="69">
        <v>15.7</v>
      </c>
      <c r="R409" s="69"/>
      <c r="S409" s="69"/>
      <c r="T409" s="69">
        <v>9.8000000000000007</v>
      </c>
      <c r="U409" s="69">
        <v>2.4</v>
      </c>
      <c r="V409" s="69"/>
      <c r="W409" s="69">
        <v>1.8</v>
      </c>
      <c r="X409" s="69"/>
      <c r="Y409" s="69">
        <v>3.5</v>
      </c>
      <c r="Z409" s="69">
        <v>7.1</v>
      </c>
      <c r="AA409" s="69"/>
      <c r="AB409" s="69"/>
      <c r="AC409" s="69"/>
      <c r="AD409" s="69">
        <v>6.3</v>
      </c>
      <c r="AE409" s="69"/>
      <c r="AF409" s="69"/>
      <c r="AG409" s="69">
        <v>1.4</v>
      </c>
      <c r="AH409" s="69"/>
      <c r="AI409" s="69">
        <v>5.3</v>
      </c>
      <c r="AJ409" s="69"/>
      <c r="AK409" s="69"/>
      <c r="AL409" s="69"/>
    </row>
    <row r="410" spans="1:38" x14ac:dyDescent="0.2">
      <c r="A410" s="10">
        <v>32509</v>
      </c>
      <c r="B410" s="69">
        <v>6.807849</v>
      </c>
      <c r="C410" s="69"/>
      <c r="D410" s="69">
        <v>7.9</v>
      </c>
      <c r="E410" s="69">
        <v>7.5</v>
      </c>
      <c r="F410" s="69">
        <v>8.1731809999999996</v>
      </c>
      <c r="G410" s="69"/>
      <c r="H410" s="69"/>
      <c r="I410" s="69">
        <v>6.5</v>
      </c>
      <c r="J410" s="69">
        <v>17.5</v>
      </c>
      <c r="K410" s="69"/>
      <c r="L410" s="69">
        <v>3.6</v>
      </c>
      <c r="M410" s="69">
        <v>9.8000000000000007</v>
      </c>
      <c r="N410" s="69">
        <v>7.6</v>
      </c>
      <c r="O410" s="69"/>
      <c r="P410" s="69"/>
      <c r="Q410" s="69">
        <v>15.5</v>
      </c>
      <c r="R410" s="69"/>
      <c r="S410" s="69"/>
      <c r="T410" s="69">
        <v>9.8000000000000007</v>
      </c>
      <c r="U410" s="69">
        <v>2.2999999999999998</v>
      </c>
      <c r="V410" s="69"/>
      <c r="W410" s="69">
        <v>1.7</v>
      </c>
      <c r="X410" s="69"/>
      <c r="Y410" s="69">
        <v>3.4</v>
      </c>
      <c r="Z410" s="69">
        <v>7.1</v>
      </c>
      <c r="AA410" s="69">
        <v>4.9000000000000004</v>
      </c>
      <c r="AB410" s="69"/>
      <c r="AC410" s="69"/>
      <c r="AD410" s="69">
        <v>6.2</v>
      </c>
      <c r="AE410" s="69"/>
      <c r="AF410" s="69"/>
      <c r="AG410" s="69">
        <v>1.5</v>
      </c>
      <c r="AH410" s="69"/>
      <c r="AI410" s="69">
        <v>5.4</v>
      </c>
      <c r="AJ410" s="69"/>
      <c r="AK410" s="69"/>
      <c r="AL410" s="69"/>
    </row>
    <row r="411" spans="1:38" x14ac:dyDescent="0.2">
      <c r="A411" s="10">
        <v>32540</v>
      </c>
      <c r="B411" s="69">
        <v>6.6380109999999997</v>
      </c>
      <c r="C411" s="69"/>
      <c r="D411" s="69">
        <v>7.8</v>
      </c>
      <c r="E411" s="69">
        <v>7.6</v>
      </c>
      <c r="F411" s="69">
        <v>8.2020730000000004</v>
      </c>
      <c r="G411" s="69"/>
      <c r="H411" s="69"/>
      <c r="I411" s="69">
        <v>6.6</v>
      </c>
      <c r="J411" s="69">
        <v>17.3</v>
      </c>
      <c r="K411" s="69"/>
      <c r="L411" s="69">
        <v>3.5</v>
      </c>
      <c r="M411" s="69">
        <v>9.6999999999999993</v>
      </c>
      <c r="N411" s="69">
        <v>7.5</v>
      </c>
      <c r="O411" s="69"/>
      <c r="P411" s="69"/>
      <c r="Q411" s="69">
        <v>15.4</v>
      </c>
      <c r="R411" s="69"/>
      <c r="S411" s="69"/>
      <c r="T411" s="69">
        <v>9.8000000000000007</v>
      </c>
      <c r="U411" s="69">
        <v>2.2999999999999998</v>
      </c>
      <c r="V411" s="69"/>
      <c r="W411" s="69">
        <v>1.7</v>
      </c>
      <c r="X411" s="69"/>
      <c r="Y411" s="69">
        <v>3.1</v>
      </c>
      <c r="Z411" s="69">
        <v>7</v>
      </c>
      <c r="AA411" s="69">
        <v>5</v>
      </c>
      <c r="AB411" s="69"/>
      <c r="AC411" s="69"/>
      <c r="AD411" s="69">
        <v>6.2</v>
      </c>
      <c r="AE411" s="69"/>
      <c r="AF411" s="69"/>
      <c r="AG411" s="69">
        <v>1.7</v>
      </c>
      <c r="AH411" s="69"/>
      <c r="AI411" s="69">
        <v>5.2</v>
      </c>
      <c r="AJ411" s="69"/>
      <c r="AK411" s="69"/>
      <c r="AL411" s="69"/>
    </row>
    <row r="412" spans="1:38" x14ac:dyDescent="0.2">
      <c r="A412" s="10">
        <v>32568</v>
      </c>
      <c r="B412" s="69">
        <v>6.3405870000000002</v>
      </c>
      <c r="C412" s="69"/>
      <c r="D412" s="69">
        <v>7.7</v>
      </c>
      <c r="E412" s="69">
        <v>7.5</v>
      </c>
      <c r="F412" s="69">
        <v>8.2986360000000001</v>
      </c>
      <c r="G412" s="69"/>
      <c r="H412" s="69"/>
      <c r="I412" s="69">
        <v>6.7</v>
      </c>
      <c r="J412" s="69">
        <v>17.100000000000001</v>
      </c>
      <c r="K412" s="69"/>
      <c r="L412" s="69">
        <v>3.4</v>
      </c>
      <c r="M412" s="69">
        <v>9.6999999999999993</v>
      </c>
      <c r="N412" s="69">
        <v>7.4</v>
      </c>
      <c r="O412" s="69"/>
      <c r="P412" s="69"/>
      <c r="Q412" s="69">
        <v>15.2</v>
      </c>
      <c r="R412" s="69"/>
      <c r="S412" s="69"/>
      <c r="T412" s="69">
        <v>9.8000000000000007</v>
      </c>
      <c r="U412" s="69">
        <v>2.4</v>
      </c>
      <c r="V412" s="69"/>
      <c r="W412" s="69">
        <v>1.7</v>
      </c>
      <c r="X412" s="69"/>
      <c r="Y412" s="69">
        <v>3</v>
      </c>
      <c r="Z412" s="69">
        <v>6.9</v>
      </c>
      <c r="AA412" s="69">
        <v>4.9000000000000004</v>
      </c>
      <c r="AB412" s="69"/>
      <c r="AC412" s="69"/>
      <c r="AD412" s="69">
        <v>6.2</v>
      </c>
      <c r="AE412" s="69"/>
      <c r="AF412" s="69"/>
      <c r="AG412" s="69">
        <v>1.6</v>
      </c>
      <c r="AH412" s="69"/>
      <c r="AI412" s="69">
        <v>5</v>
      </c>
      <c r="AJ412" s="69"/>
      <c r="AK412" s="69"/>
      <c r="AL412" s="69"/>
    </row>
    <row r="413" spans="1:38" x14ac:dyDescent="0.2">
      <c r="A413" s="10">
        <v>32599</v>
      </c>
      <c r="B413" s="69">
        <v>6.2006309999999996</v>
      </c>
      <c r="C413" s="69"/>
      <c r="D413" s="69">
        <v>7.6</v>
      </c>
      <c r="E413" s="69">
        <v>7.8</v>
      </c>
      <c r="F413" s="69">
        <v>8.4153549999999999</v>
      </c>
      <c r="G413" s="69"/>
      <c r="H413" s="69"/>
      <c r="I413" s="69">
        <v>6.7</v>
      </c>
      <c r="J413" s="69">
        <v>16.899999999999999</v>
      </c>
      <c r="K413" s="69"/>
      <c r="L413" s="69">
        <v>3.2</v>
      </c>
      <c r="M413" s="69">
        <v>9.6999999999999993</v>
      </c>
      <c r="N413" s="69">
        <v>7.2</v>
      </c>
      <c r="O413" s="69"/>
      <c r="P413" s="69"/>
      <c r="Q413" s="69">
        <v>15.1</v>
      </c>
      <c r="R413" s="69"/>
      <c r="S413" s="69"/>
      <c r="T413" s="69">
        <v>9.8000000000000007</v>
      </c>
      <c r="U413" s="69">
        <v>2.4</v>
      </c>
      <c r="V413" s="69"/>
      <c r="W413" s="69">
        <v>1.8</v>
      </c>
      <c r="X413" s="69"/>
      <c r="Y413" s="69">
        <v>2.9</v>
      </c>
      <c r="Z413" s="69">
        <v>6.9</v>
      </c>
      <c r="AA413" s="69">
        <v>5.0999999999999996</v>
      </c>
      <c r="AB413" s="69"/>
      <c r="AC413" s="69"/>
      <c r="AD413" s="69">
        <v>6.1</v>
      </c>
      <c r="AE413" s="69"/>
      <c r="AF413" s="69"/>
      <c r="AG413" s="69">
        <v>1.6</v>
      </c>
      <c r="AH413" s="69"/>
      <c r="AI413" s="69">
        <v>5.2</v>
      </c>
      <c r="AJ413" s="69"/>
      <c r="AK413" s="69"/>
      <c r="AL413" s="69"/>
    </row>
    <row r="414" spans="1:38" x14ac:dyDescent="0.2">
      <c r="A414" s="10">
        <v>32629</v>
      </c>
      <c r="B414" s="69">
        <v>6.2799950000000004</v>
      </c>
      <c r="C414" s="69"/>
      <c r="D414" s="69">
        <v>7.5</v>
      </c>
      <c r="E414" s="69">
        <v>7.7</v>
      </c>
      <c r="F414" s="69">
        <v>8.217238</v>
      </c>
      <c r="G414" s="69"/>
      <c r="H414" s="69"/>
      <c r="I414" s="69">
        <v>6.8</v>
      </c>
      <c r="J414" s="69">
        <v>16.7</v>
      </c>
      <c r="K414" s="69"/>
      <c r="L414" s="69">
        <v>3.1</v>
      </c>
      <c r="M414" s="69">
        <v>9.6999999999999993</v>
      </c>
      <c r="N414" s="69">
        <v>7.1</v>
      </c>
      <c r="O414" s="69"/>
      <c r="P414" s="69"/>
      <c r="Q414" s="69">
        <v>15</v>
      </c>
      <c r="R414" s="69"/>
      <c r="S414" s="69"/>
      <c r="T414" s="69">
        <v>9.8000000000000007</v>
      </c>
      <c r="U414" s="69">
        <v>2.2999999999999998</v>
      </c>
      <c r="V414" s="69"/>
      <c r="W414" s="69">
        <v>1.7</v>
      </c>
      <c r="X414" s="69"/>
      <c r="Y414" s="69">
        <v>3.1</v>
      </c>
      <c r="Z414" s="69">
        <v>6.8</v>
      </c>
      <c r="AA414" s="69">
        <v>5.3</v>
      </c>
      <c r="AB414" s="69"/>
      <c r="AC414" s="69"/>
      <c r="AD414" s="69">
        <v>6</v>
      </c>
      <c r="AE414" s="69"/>
      <c r="AF414" s="69"/>
      <c r="AG414" s="69">
        <v>1.6</v>
      </c>
      <c r="AH414" s="69"/>
      <c r="AI414" s="69">
        <v>5.2</v>
      </c>
      <c r="AJ414" s="69"/>
      <c r="AK414" s="69"/>
      <c r="AL414" s="69"/>
    </row>
    <row r="415" spans="1:38" x14ac:dyDescent="0.2">
      <c r="A415" s="10">
        <v>32660</v>
      </c>
      <c r="B415" s="69">
        <v>6.0126179999999998</v>
      </c>
      <c r="C415" s="69"/>
      <c r="D415" s="69">
        <v>7.4</v>
      </c>
      <c r="E415" s="69">
        <v>7.5</v>
      </c>
      <c r="F415" s="69">
        <v>7.8234620000000001</v>
      </c>
      <c r="G415" s="69"/>
      <c r="H415" s="69"/>
      <c r="I415" s="69">
        <v>6.9</v>
      </c>
      <c r="J415" s="69">
        <v>16.399999999999999</v>
      </c>
      <c r="K415" s="69"/>
      <c r="L415" s="69">
        <v>3</v>
      </c>
      <c r="M415" s="69">
        <v>9.6</v>
      </c>
      <c r="N415" s="69">
        <v>7</v>
      </c>
      <c r="O415" s="69"/>
      <c r="P415" s="69"/>
      <c r="Q415" s="69">
        <v>14.9</v>
      </c>
      <c r="R415" s="69"/>
      <c r="S415" s="69"/>
      <c r="T415" s="69">
        <v>9.8000000000000007</v>
      </c>
      <c r="U415" s="69">
        <v>2.2000000000000002</v>
      </c>
      <c r="V415" s="69"/>
      <c r="W415" s="69">
        <v>1.8</v>
      </c>
      <c r="X415" s="69"/>
      <c r="Y415" s="69">
        <v>2.9</v>
      </c>
      <c r="Z415" s="69">
        <v>6.7</v>
      </c>
      <c r="AA415" s="69">
        <v>5.4</v>
      </c>
      <c r="AB415" s="69"/>
      <c r="AC415" s="69"/>
      <c r="AD415" s="69">
        <v>6.1</v>
      </c>
      <c r="AE415" s="69"/>
      <c r="AF415" s="69"/>
      <c r="AG415" s="69">
        <v>1.5</v>
      </c>
      <c r="AH415" s="69"/>
      <c r="AI415" s="69">
        <v>5.3</v>
      </c>
      <c r="AJ415" s="69"/>
      <c r="AK415" s="69"/>
      <c r="AL415" s="69"/>
    </row>
    <row r="416" spans="1:38" x14ac:dyDescent="0.2">
      <c r="A416" s="10">
        <v>32690</v>
      </c>
      <c r="B416" s="69">
        <v>6.0475300000000001</v>
      </c>
      <c r="C416" s="69"/>
      <c r="D416" s="69">
        <v>7.3</v>
      </c>
      <c r="E416" s="69">
        <v>7.6</v>
      </c>
      <c r="F416" s="69">
        <v>7.7330750000000004</v>
      </c>
      <c r="G416" s="69"/>
      <c r="H416" s="69"/>
      <c r="I416" s="69">
        <v>6.8</v>
      </c>
      <c r="J416" s="69">
        <v>16.2</v>
      </c>
      <c r="K416" s="69"/>
      <c r="L416" s="69">
        <v>2.9</v>
      </c>
      <c r="M416" s="69">
        <v>9.6</v>
      </c>
      <c r="N416" s="69">
        <v>7</v>
      </c>
      <c r="O416" s="69"/>
      <c r="P416" s="69"/>
      <c r="Q416" s="69">
        <v>14.6</v>
      </c>
      <c r="R416" s="69"/>
      <c r="S416" s="69"/>
      <c r="T416" s="69">
        <v>9.8000000000000007</v>
      </c>
      <c r="U416" s="69">
        <v>2.2000000000000002</v>
      </c>
      <c r="V416" s="69"/>
      <c r="W416" s="69">
        <v>1.8</v>
      </c>
      <c r="X416" s="69"/>
      <c r="Y416" s="69">
        <v>2.8</v>
      </c>
      <c r="Z416" s="69">
        <v>6.7</v>
      </c>
      <c r="AA416" s="69">
        <v>5.2</v>
      </c>
      <c r="AB416" s="69"/>
      <c r="AC416" s="69"/>
      <c r="AD416" s="69">
        <v>6.1</v>
      </c>
      <c r="AE416" s="69"/>
      <c r="AF416" s="69"/>
      <c r="AG416" s="69">
        <v>1.3</v>
      </c>
      <c r="AH416" s="69"/>
      <c r="AI416" s="69">
        <v>5.2</v>
      </c>
      <c r="AJ416" s="69"/>
      <c r="AK416" s="69"/>
      <c r="AL416" s="69"/>
    </row>
    <row r="417" spans="1:38" x14ac:dyDescent="0.2">
      <c r="A417" s="10">
        <v>32721</v>
      </c>
      <c r="B417" s="69">
        <v>5.9445069999999998</v>
      </c>
      <c r="C417" s="69"/>
      <c r="D417" s="69">
        <v>7.2</v>
      </c>
      <c r="E417" s="69">
        <v>7.4</v>
      </c>
      <c r="F417" s="69">
        <v>7.5238389999999997</v>
      </c>
      <c r="G417" s="69"/>
      <c r="H417" s="69"/>
      <c r="I417" s="69">
        <v>6.9</v>
      </c>
      <c r="J417" s="69">
        <v>16.2</v>
      </c>
      <c r="K417" s="69"/>
      <c r="L417" s="69">
        <v>2.9</v>
      </c>
      <c r="M417" s="69">
        <v>9.6</v>
      </c>
      <c r="N417" s="69">
        <v>7</v>
      </c>
      <c r="O417" s="69"/>
      <c r="P417" s="69"/>
      <c r="Q417" s="69">
        <v>14.5</v>
      </c>
      <c r="R417" s="69"/>
      <c r="S417" s="69"/>
      <c r="T417" s="69">
        <v>9.6999999999999993</v>
      </c>
      <c r="U417" s="69">
        <v>2.2000000000000002</v>
      </c>
      <c r="V417" s="69"/>
      <c r="W417" s="69">
        <v>1.9</v>
      </c>
      <c r="X417" s="69"/>
      <c r="Y417" s="69">
        <v>3.1</v>
      </c>
      <c r="Z417" s="69">
        <v>6.6</v>
      </c>
      <c r="AA417" s="69">
        <v>5.5</v>
      </c>
      <c r="AB417" s="69"/>
      <c r="AC417" s="69"/>
      <c r="AD417" s="69">
        <v>6</v>
      </c>
      <c r="AE417" s="69"/>
      <c r="AF417" s="69"/>
      <c r="AG417" s="69">
        <v>1.5</v>
      </c>
      <c r="AH417" s="69"/>
      <c r="AI417" s="69">
        <v>5.2</v>
      </c>
      <c r="AJ417" s="69"/>
      <c r="AK417" s="69"/>
      <c r="AL417" s="69"/>
    </row>
    <row r="418" spans="1:38" x14ac:dyDescent="0.2">
      <c r="A418" s="10">
        <v>32752</v>
      </c>
      <c r="B418" s="69">
        <v>6.0313689999999998</v>
      </c>
      <c r="C418" s="69"/>
      <c r="D418" s="69">
        <v>7.1</v>
      </c>
      <c r="E418" s="69">
        <v>7.3</v>
      </c>
      <c r="F418" s="69">
        <v>7.7730870000000003</v>
      </c>
      <c r="G418" s="69"/>
      <c r="H418" s="69"/>
      <c r="I418" s="69">
        <v>7</v>
      </c>
      <c r="J418" s="69">
        <v>16</v>
      </c>
      <c r="K418" s="69"/>
      <c r="L418" s="69">
        <v>2.9</v>
      </c>
      <c r="M418" s="69">
        <v>9.6</v>
      </c>
      <c r="N418" s="69">
        <v>6.9</v>
      </c>
      <c r="O418" s="69"/>
      <c r="P418" s="69"/>
      <c r="Q418" s="69">
        <v>14.3</v>
      </c>
      <c r="R418" s="69"/>
      <c r="S418" s="69"/>
      <c r="T418" s="69">
        <v>9.6</v>
      </c>
      <c r="U418" s="69">
        <v>2.2000000000000002</v>
      </c>
      <c r="V418" s="69"/>
      <c r="W418" s="69">
        <v>1.9</v>
      </c>
      <c r="X418" s="69"/>
      <c r="Y418" s="69">
        <v>2.8</v>
      </c>
      <c r="Z418" s="69">
        <v>6.5</v>
      </c>
      <c r="AA418" s="69">
        <v>5.8</v>
      </c>
      <c r="AB418" s="69"/>
      <c r="AC418" s="69"/>
      <c r="AD418" s="69">
        <v>5.8</v>
      </c>
      <c r="AE418" s="69"/>
      <c r="AF418" s="69"/>
      <c r="AG418" s="69">
        <v>1.5</v>
      </c>
      <c r="AH418" s="69"/>
      <c r="AI418" s="69">
        <v>5.3</v>
      </c>
      <c r="AJ418" s="69"/>
      <c r="AK418" s="69"/>
      <c r="AL418" s="69"/>
    </row>
    <row r="419" spans="1:38" x14ac:dyDescent="0.2">
      <c r="A419" s="10">
        <v>32782</v>
      </c>
      <c r="B419" s="69">
        <v>5.9241659999999996</v>
      </c>
      <c r="C419" s="69"/>
      <c r="D419" s="69">
        <v>7</v>
      </c>
      <c r="E419" s="69">
        <v>7.3</v>
      </c>
      <c r="F419" s="69">
        <v>7.663392</v>
      </c>
      <c r="G419" s="69"/>
      <c r="H419" s="69"/>
      <c r="I419" s="69">
        <v>7</v>
      </c>
      <c r="J419" s="69">
        <v>16.100000000000001</v>
      </c>
      <c r="K419" s="69"/>
      <c r="L419" s="69">
        <v>2.9</v>
      </c>
      <c r="M419" s="69">
        <v>9.6</v>
      </c>
      <c r="N419" s="69">
        <v>6.8</v>
      </c>
      <c r="O419" s="69"/>
      <c r="P419" s="69"/>
      <c r="Q419" s="69">
        <v>14.2</v>
      </c>
      <c r="R419" s="69"/>
      <c r="S419" s="69"/>
      <c r="T419" s="69">
        <v>9.4</v>
      </c>
      <c r="U419" s="69">
        <v>2.2000000000000002</v>
      </c>
      <c r="V419" s="69"/>
      <c r="W419" s="69">
        <v>1.9</v>
      </c>
      <c r="X419" s="69"/>
      <c r="Y419" s="69">
        <v>2.5</v>
      </c>
      <c r="Z419" s="69">
        <v>6.5</v>
      </c>
      <c r="AA419" s="69">
        <v>5.9</v>
      </c>
      <c r="AB419" s="69"/>
      <c r="AC419" s="69"/>
      <c r="AD419" s="69">
        <v>5.7</v>
      </c>
      <c r="AE419" s="69"/>
      <c r="AF419" s="69"/>
      <c r="AG419" s="69">
        <v>1.7</v>
      </c>
      <c r="AH419" s="69"/>
      <c r="AI419" s="69">
        <v>5.3</v>
      </c>
      <c r="AJ419" s="69"/>
      <c r="AK419" s="69"/>
      <c r="AL419" s="69"/>
    </row>
    <row r="420" spans="1:38" x14ac:dyDescent="0.2">
      <c r="A420" s="10">
        <v>32813</v>
      </c>
      <c r="B420" s="69">
        <v>5.7868930000000001</v>
      </c>
      <c r="C420" s="69"/>
      <c r="D420" s="69">
        <v>7</v>
      </c>
      <c r="E420" s="69">
        <v>7.5</v>
      </c>
      <c r="F420" s="69">
        <v>7.6877760000000004</v>
      </c>
      <c r="G420" s="69"/>
      <c r="H420" s="69"/>
      <c r="I420" s="69">
        <v>7</v>
      </c>
      <c r="J420" s="69">
        <v>16.100000000000001</v>
      </c>
      <c r="K420" s="69"/>
      <c r="L420" s="69">
        <v>2.9</v>
      </c>
      <c r="M420" s="69">
        <v>9.6</v>
      </c>
      <c r="N420" s="69">
        <v>6.8</v>
      </c>
      <c r="O420" s="69"/>
      <c r="P420" s="69"/>
      <c r="Q420" s="69">
        <v>14.1</v>
      </c>
      <c r="R420" s="69"/>
      <c r="S420" s="69"/>
      <c r="T420" s="69">
        <v>9.4</v>
      </c>
      <c r="U420" s="69">
        <v>2.2000000000000002</v>
      </c>
      <c r="V420" s="69"/>
      <c r="W420" s="69">
        <v>1.8</v>
      </c>
      <c r="X420" s="69"/>
      <c r="Y420" s="69">
        <v>2.7</v>
      </c>
      <c r="Z420" s="69">
        <v>6.4</v>
      </c>
      <c r="AA420" s="69">
        <v>5.9</v>
      </c>
      <c r="AB420" s="69"/>
      <c r="AC420" s="69"/>
      <c r="AD420" s="69">
        <v>5.8</v>
      </c>
      <c r="AE420" s="69"/>
      <c r="AF420" s="69"/>
      <c r="AG420" s="69">
        <v>1.5</v>
      </c>
      <c r="AH420" s="69"/>
      <c r="AI420" s="69">
        <v>5.4</v>
      </c>
      <c r="AJ420" s="69"/>
      <c r="AK420" s="69"/>
      <c r="AL420" s="69"/>
    </row>
    <row r="421" spans="1:38" x14ac:dyDescent="0.2">
      <c r="A421" s="10">
        <v>32843</v>
      </c>
      <c r="B421" s="69">
        <v>5.8479609999999997</v>
      </c>
      <c r="C421" s="69"/>
      <c r="D421" s="69">
        <v>6.9</v>
      </c>
      <c r="E421" s="69">
        <v>7.7</v>
      </c>
      <c r="F421" s="69">
        <v>7.4113689999999997</v>
      </c>
      <c r="G421" s="69"/>
      <c r="H421" s="69"/>
      <c r="I421" s="69">
        <v>7</v>
      </c>
      <c r="J421" s="69">
        <v>16.100000000000001</v>
      </c>
      <c r="K421" s="69"/>
      <c r="L421" s="69">
        <v>2.9</v>
      </c>
      <c r="M421" s="69">
        <v>9.6</v>
      </c>
      <c r="N421" s="69">
        <v>6.8</v>
      </c>
      <c r="O421" s="69"/>
      <c r="P421" s="69"/>
      <c r="Q421" s="69">
        <v>13.9</v>
      </c>
      <c r="R421" s="69"/>
      <c r="S421" s="69"/>
      <c r="T421" s="69">
        <v>9.3000000000000007</v>
      </c>
      <c r="U421" s="69">
        <v>2.1</v>
      </c>
      <c r="V421" s="69"/>
      <c r="W421" s="69">
        <v>1.8</v>
      </c>
      <c r="X421" s="69"/>
      <c r="Y421" s="69">
        <v>2.7</v>
      </c>
      <c r="Z421" s="69">
        <v>6.4</v>
      </c>
      <c r="AA421" s="69">
        <v>5.8</v>
      </c>
      <c r="AB421" s="69"/>
      <c r="AC421" s="69"/>
      <c r="AD421" s="69">
        <v>5.9</v>
      </c>
      <c r="AE421" s="69"/>
      <c r="AF421" s="69"/>
      <c r="AG421" s="69">
        <v>1.5</v>
      </c>
      <c r="AH421" s="69"/>
      <c r="AI421" s="69">
        <v>5.4</v>
      </c>
      <c r="AJ421" s="69"/>
      <c r="AK421" s="69"/>
      <c r="AL421" s="69"/>
    </row>
    <row r="422" spans="1:38" x14ac:dyDescent="0.2">
      <c r="A422" s="10">
        <v>32874</v>
      </c>
      <c r="B422" s="69">
        <v>6.1129670000000003</v>
      </c>
      <c r="C422" s="69"/>
      <c r="D422" s="69">
        <v>6.8</v>
      </c>
      <c r="E422" s="69">
        <v>7.9</v>
      </c>
      <c r="F422" s="69">
        <v>7.3158719999999997</v>
      </c>
      <c r="G422" s="69"/>
      <c r="H422" s="69"/>
      <c r="I422" s="69">
        <v>7</v>
      </c>
      <c r="J422" s="69">
        <v>15.9</v>
      </c>
      <c r="K422" s="69"/>
      <c r="L422" s="69">
        <v>3</v>
      </c>
      <c r="M422" s="69">
        <v>9.5</v>
      </c>
      <c r="N422" s="69">
        <v>6.8</v>
      </c>
      <c r="O422" s="69"/>
      <c r="P422" s="69"/>
      <c r="Q422" s="69">
        <v>13.8</v>
      </c>
      <c r="R422" s="69"/>
      <c r="S422" s="69"/>
      <c r="T422" s="69">
        <v>9.1</v>
      </c>
      <c r="U422" s="69">
        <v>2.2000000000000002</v>
      </c>
      <c r="V422" s="69">
        <v>2.6</v>
      </c>
      <c r="W422" s="69">
        <v>1.8</v>
      </c>
      <c r="X422" s="69"/>
      <c r="Y422" s="69">
        <v>2.5</v>
      </c>
      <c r="Z422" s="69">
        <v>6.3</v>
      </c>
      <c r="AA422" s="69">
        <v>6</v>
      </c>
      <c r="AB422" s="69"/>
      <c r="AC422" s="69"/>
      <c r="AD422" s="69">
        <v>6</v>
      </c>
      <c r="AE422" s="69"/>
      <c r="AF422" s="69"/>
      <c r="AG422" s="69">
        <v>1.5</v>
      </c>
      <c r="AH422" s="69"/>
      <c r="AI422" s="69">
        <v>5.4</v>
      </c>
      <c r="AJ422" s="69"/>
      <c r="AK422" s="69"/>
      <c r="AL422" s="69"/>
    </row>
    <row r="423" spans="1:38" x14ac:dyDescent="0.2">
      <c r="A423" s="10">
        <v>32905</v>
      </c>
      <c r="B423" s="69">
        <v>6.3918569999999999</v>
      </c>
      <c r="C423" s="69"/>
      <c r="D423" s="69">
        <v>6.7</v>
      </c>
      <c r="E423" s="69">
        <v>7.7</v>
      </c>
      <c r="F423" s="69">
        <v>7.4011110000000002</v>
      </c>
      <c r="G423" s="69"/>
      <c r="H423" s="69"/>
      <c r="I423" s="69">
        <v>7</v>
      </c>
      <c r="J423" s="69">
        <v>15.8</v>
      </c>
      <c r="K423" s="69"/>
      <c r="L423" s="69">
        <v>3</v>
      </c>
      <c r="M423" s="69">
        <v>9.5</v>
      </c>
      <c r="N423" s="69">
        <v>6.8</v>
      </c>
      <c r="O423" s="69"/>
      <c r="P423" s="69"/>
      <c r="Q423" s="69">
        <v>13.7</v>
      </c>
      <c r="R423" s="69"/>
      <c r="S423" s="69"/>
      <c r="T423" s="69">
        <v>9</v>
      </c>
      <c r="U423" s="69">
        <v>2.2000000000000002</v>
      </c>
      <c r="V423" s="69">
        <v>2.5</v>
      </c>
      <c r="W423" s="69">
        <v>1.8</v>
      </c>
      <c r="X423" s="69"/>
      <c r="Y423" s="69">
        <v>2.5</v>
      </c>
      <c r="Z423" s="69">
        <v>6.3</v>
      </c>
      <c r="AA423" s="69">
        <v>5.9</v>
      </c>
      <c r="AB423" s="69"/>
      <c r="AC423" s="69"/>
      <c r="AD423" s="69">
        <v>5.9</v>
      </c>
      <c r="AE423" s="69"/>
      <c r="AF423" s="69"/>
      <c r="AG423" s="69">
        <v>1.4</v>
      </c>
      <c r="AH423" s="69"/>
      <c r="AI423" s="69">
        <v>5.3</v>
      </c>
      <c r="AJ423" s="69"/>
      <c r="AK423" s="69"/>
      <c r="AL423" s="69"/>
    </row>
    <row r="424" spans="1:38" x14ac:dyDescent="0.2">
      <c r="A424" s="10">
        <v>32933</v>
      </c>
      <c r="B424" s="69">
        <v>6.1852260000000001</v>
      </c>
      <c r="C424" s="69"/>
      <c r="D424" s="69">
        <v>6.7</v>
      </c>
      <c r="E424" s="69">
        <v>7.3</v>
      </c>
      <c r="F424" s="69">
        <v>7.6691180000000001</v>
      </c>
      <c r="G424" s="69"/>
      <c r="H424" s="69"/>
      <c r="I424" s="69">
        <v>7</v>
      </c>
      <c r="J424" s="69">
        <v>15.6</v>
      </c>
      <c r="K424" s="69"/>
      <c r="L424" s="69">
        <v>3</v>
      </c>
      <c r="M424" s="69">
        <v>9.5</v>
      </c>
      <c r="N424" s="69">
        <v>6.7</v>
      </c>
      <c r="O424" s="69"/>
      <c r="P424" s="69"/>
      <c r="Q424" s="69">
        <v>13.4</v>
      </c>
      <c r="R424" s="69"/>
      <c r="S424" s="69"/>
      <c r="T424" s="69">
        <v>8.9</v>
      </c>
      <c r="U424" s="69">
        <v>2</v>
      </c>
      <c r="V424" s="69">
        <v>2.2000000000000002</v>
      </c>
      <c r="W424" s="69">
        <v>1.7</v>
      </c>
      <c r="X424" s="69"/>
      <c r="Y424" s="69">
        <v>2.5</v>
      </c>
      <c r="Z424" s="69">
        <v>6.2</v>
      </c>
      <c r="AA424" s="69">
        <v>5.8</v>
      </c>
      <c r="AB424" s="69"/>
      <c r="AC424" s="69"/>
      <c r="AD424" s="69">
        <v>5.7</v>
      </c>
      <c r="AE424" s="69"/>
      <c r="AF424" s="69"/>
      <c r="AG424" s="69">
        <v>1.4</v>
      </c>
      <c r="AH424" s="69"/>
      <c r="AI424" s="69">
        <v>5.2</v>
      </c>
      <c r="AJ424" s="69"/>
      <c r="AK424" s="69"/>
      <c r="AL424" s="69"/>
    </row>
    <row r="425" spans="1:38" x14ac:dyDescent="0.2">
      <c r="A425" s="10">
        <v>32964</v>
      </c>
      <c r="B425" s="69">
        <v>6.2795800000000002</v>
      </c>
      <c r="C425" s="69"/>
      <c r="D425" s="69">
        <v>6.6</v>
      </c>
      <c r="E425" s="69">
        <v>7.6</v>
      </c>
      <c r="F425" s="69">
        <v>7.8126850000000001</v>
      </c>
      <c r="G425" s="69"/>
      <c r="H425" s="69"/>
      <c r="I425" s="69">
        <v>7</v>
      </c>
      <c r="J425" s="69">
        <v>15.6</v>
      </c>
      <c r="K425" s="69"/>
      <c r="L425" s="69">
        <v>3</v>
      </c>
      <c r="M425" s="69">
        <v>9.4</v>
      </c>
      <c r="N425" s="69">
        <v>6.8</v>
      </c>
      <c r="O425" s="69"/>
      <c r="P425" s="69"/>
      <c r="Q425" s="69">
        <v>13.2</v>
      </c>
      <c r="R425" s="69"/>
      <c r="S425" s="69"/>
      <c r="T425" s="69">
        <v>8.9</v>
      </c>
      <c r="U425" s="69">
        <v>2.1</v>
      </c>
      <c r="V425" s="69">
        <v>2.2000000000000002</v>
      </c>
      <c r="W425" s="69">
        <v>1.7</v>
      </c>
      <c r="X425" s="69"/>
      <c r="Y425" s="69">
        <v>2.7</v>
      </c>
      <c r="Z425" s="69">
        <v>6.2</v>
      </c>
      <c r="AA425" s="69">
        <v>5.6</v>
      </c>
      <c r="AB425" s="69"/>
      <c r="AC425" s="69"/>
      <c r="AD425" s="69">
        <v>5.4</v>
      </c>
      <c r="AE425" s="69"/>
      <c r="AF425" s="69"/>
      <c r="AG425" s="69">
        <v>1.4</v>
      </c>
      <c r="AH425" s="69"/>
      <c r="AI425" s="69">
        <v>5.4</v>
      </c>
      <c r="AJ425" s="69"/>
      <c r="AK425" s="69"/>
      <c r="AL425" s="69"/>
    </row>
    <row r="426" spans="1:38" x14ac:dyDescent="0.2">
      <c r="A426" s="10">
        <v>32994</v>
      </c>
      <c r="B426" s="69">
        <v>6.5046099999999996</v>
      </c>
      <c r="C426" s="69"/>
      <c r="D426" s="69">
        <v>6.6</v>
      </c>
      <c r="E426" s="69">
        <v>7.8</v>
      </c>
      <c r="F426" s="69">
        <v>7.896611</v>
      </c>
      <c r="G426" s="69"/>
      <c r="H426" s="69"/>
      <c r="I426" s="69">
        <v>7.1</v>
      </c>
      <c r="J426" s="69">
        <v>15.6</v>
      </c>
      <c r="K426" s="69"/>
      <c r="L426" s="69">
        <v>2.9</v>
      </c>
      <c r="M426" s="69">
        <v>9.4</v>
      </c>
      <c r="N426" s="69">
        <v>6.7</v>
      </c>
      <c r="O426" s="69"/>
      <c r="P426" s="69"/>
      <c r="Q426" s="69">
        <v>13.2</v>
      </c>
      <c r="R426" s="69"/>
      <c r="S426" s="69"/>
      <c r="T426" s="69">
        <v>8.9</v>
      </c>
      <c r="U426" s="69">
        <v>2.1</v>
      </c>
      <c r="V426" s="69">
        <v>2.4</v>
      </c>
      <c r="W426" s="69">
        <v>1.7</v>
      </c>
      <c r="X426" s="69"/>
      <c r="Y426" s="69">
        <v>2.8</v>
      </c>
      <c r="Z426" s="69">
        <v>6.1</v>
      </c>
      <c r="AA426" s="69">
        <v>5.7</v>
      </c>
      <c r="AB426" s="69"/>
      <c r="AC426" s="69"/>
      <c r="AD426" s="69">
        <v>5.4</v>
      </c>
      <c r="AE426" s="69"/>
      <c r="AF426" s="69"/>
      <c r="AG426" s="69">
        <v>1.7</v>
      </c>
      <c r="AH426" s="69"/>
      <c r="AI426" s="69">
        <v>5.4</v>
      </c>
      <c r="AJ426" s="69"/>
      <c r="AK426" s="69"/>
      <c r="AL426" s="69"/>
    </row>
    <row r="427" spans="1:38" x14ac:dyDescent="0.2">
      <c r="A427" s="10">
        <v>33025</v>
      </c>
      <c r="B427" s="69">
        <v>6.609394</v>
      </c>
      <c r="C427" s="69"/>
      <c r="D427" s="69">
        <v>6.6</v>
      </c>
      <c r="E427" s="69">
        <v>7.6</v>
      </c>
      <c r="F427" s="69">
        <v>7.8828180000000003</v>
      </c>
      <c r="G427" s="69"/>
      <c r="H427" s="69"/>
      <c r="I427" s="69">
        <v>7.1</v>
      </c>
      <c r="J427" s="69">
        <v>15.5</v>
      </c>
      <c r="K427" s="69"/>
      <c r="L427" s="69">
        <v>2.9</v>
      </c>
      <c r="M427" s="69">
        <v>9.4</v>
      </c>
      <c r="N427" s="69">
        <v>6.7</v>
      </c>
      <c r="O427" s="69"/>
      <c r="P427" s="69"/>
      <c r="Q427" s="69">
        <v>13.2</v>
      </c>
      <c r="R427" s="69"/>
      <c r="S427" s="69"/>
      <c r="T427" s="69">
        <v>8.9</v>
      </c>
      <c r="U427" s="69">
        <v>2.2000000000000002</v>
      </c>
      <c r="V427" s="69">
        <v>2.2999999999999998</v>
      </c>
      <c r="W427" s="69">
        <v>1.7</v>
      </c>
      <c r="X427" s="69"/>
      <c r="Y427" s="69">
        <v>3</v>
      </c>
      <c r="Z427" s="69">
        <v>6.1</v>
      </c>
      <c r="AA427" s="69">
        <v>5.9</v>
      </c>
      <c r="AB427" s="69"/>
      <c r="AC427" s="69"/>
      <c r="AD427" s="69">
        <v>5.6</v>
      </c>
      <c r="AE427" s="69"/>
      <c r="AF427" s="69"/>
      <c r="AG427" s="69">
        <v>1.5</v>
      </c>
      <c r="AH427" s="69"/>
      <c r="AI427" s="69">
        <v>5.2</v>
      </c>
      <c r="AJ427" s="69"/>
      <c r="AK427" s="69"/>
      <c r="AL427" s="69"/>
    </row>
    <row r="428" spans="1:38" x14ac:dyDescent="0.2">
      <c r="A428" s="10">
        <v>33055</v>
      </c>
      <c r="B428" s="69">
        <v>7.0893439999999996</v>
      </c>
      <c r="C428" s="69"/>
      <c r="D428" s="69">
        <v>6.6</v>
      </c>
      <c r="E428" s="69">
        <v>7.9</v>
      </c>
      <c r="F428" s="69">
        <v>7.8217080000000001</v>
      </c>
      <c r="G428" s="69"/>
      <c r="H428" s="69"/>
      <c r="I428" s="69">
        <v>7.2</v>
      </c>
      <c r="J428" s="69">
        <v>15.3</v>
      </c>
      <c r="K428" s="69"/>
      <c r="L428" s="69">
        <v>2.9</v>
      </c>
      <c r="M428" s="69">
        <v>9.3000000000000007</v>
      </c>
      <c r="N428" s="69">
        <v>6.8</v>
      </c>
      <c r="O428" s="69"/>
      <c r="P428" s="69"/>
      <c r="Q428" s="69">
        <v>13.2</v>
      </c>
      <c r="R428" s="69"/>
      <c r="S428" s="69"/>
      <c r="T428" s="69">
        <v>8.8000000000000007</v>
      </c>
      <c r="U428" s="69">
        <v>2.1</v>
      </c>
      <c r="V428" s="69">
        <v>2.5</v>
      </c>
      <c r="W428" s="69">
        <v>1.6</v>
      </c>
      <c r="X428" s="69"/>
      <c r="Y428" s="69">
        <v>3.2</v>
      </c>
      <c r="Z428" s="69">
        <v>6</v>
      </c>
      <c r="AA428" s="69">
        <v>5.8</v>
      </c>
      <c r="AB428" s="69"/>
      <c r="AC428" s="69"/>
      <c r="AD428" s="69">
        <v>5.7</v>
      </c>
      <c r="AE428" s="69"/>
      <c r="AF428" s="69"/>
      <c r="AG428" s="69">
        <v>1.7</v>
      </c>
      <c r="AH428" s="69"/>
      <c r="AI428" s="69">
        <v>5.5</v>
      </c>
      <c r="AJ428" s="69">
        <v>7.589817</v>
      </c>
      <c r="AK428" s="69"/>
      <c r="AL428" s="69"/>
    </row>
    <row r="429" spans="1:38" x14ac:dyDescent="0.2">
      <c r="A429" s="10">
        <v>33086</v>
      </c>
      <c r="B429" s="69">
        <v>7.2121050000000002</v>
      </c>
      <c r="C429" s="69"/>
      <c r="D429" s="69">
        <v>6.5</v>
      </c>
      <c r="E429" s="69">
        <v>8.1</v>
      </c>
      <c r="F429" s="69">
        <v>7.718229</v>
      </c>
      <c r="G429" s="69"/>
      <c r="H429" s="69"/>
      <c r="I429" s="69">
        <v>7.2</v>
      </c>
      <c r="J429" s="69">
        <v>15.3</v>
      </c>
      <c r="K429" s="69"/>
      <c r="L429" s="69">
        <v>3</v>
      </c>
      <c r="M429" s="69">
        <v>9.3000000000000007</v>
      </c>
      <c r="N429" s="69">
        <v>6.8</v>
      </c>
      <c r="O429" s="69"/>
      <c r="P429" s="69"/>
      <c r="Q429" s="69">
        <v>13.3</v>
      </c>
      <c r="R429" s="69"/>
      <c r="S429" s="69"/>
      <c r="T429" s="69">
        <v>8.8000000000000007</v>
      </c>
      <c r="U429" s="69">
        <v>2</v>
      </c>
      <c r="V429" s="69">
        <v>2.5</v>
      </c>
      <c r="W429" s="69">
        <v>1.6</v>
      </c>
      <c r="X429" s="69"/>
      <c r="Y429" s="69">
        <v>3.1</v>
      </c>
      <c r="Z429" s="69">
        <v>6</v>
      </c>
      <c r="AA429" s="69">
        <v>5.8</v>
      </c>
      <c r="AB429" s="69"/>
      <c r="AC429" s="69"/>
      <c r="AD429" s="69">
        <v>5.8</v>
      </c>
      <c r="AE429" s="69"/>
      <c r="AF429" s="69"/>
      <c r="AG429" s="69">
        <v>1.7</v>
      </c>
      <c r="AH429" s="69"/>
      <c r="AI429" s="69">
        <v>5.7</v>
      </c>
      <c r="AJ429" s="69">
        <v>7.6440530000000004</v>
      </c>
      <c r="AK429" s="69"/>
      <c r="AL429" s="69"/>
    </row>
    <row r="430" spans="1:38" x14ac:dyDescent="0.2">
      <c r="A430" s="10">
        <v>33117</v>
      </c>
      <c r="B430" s="69">
        <v>7.3746739999999997</v>
      </c>
      <c r="C430" s="69"/>
      <c r="D430" s="69">
        <v>6.4</v>
      </c>
      <c r="E430" s="69">
        <v>8.5</v>
      </c>
      <c r="F430" s="69">
        <v>7.8672019999999998</v>
      </c>
      <c r="G430" s="69"/>
      <c r="H430" s="69"/>
      <c r="I430" s="69">
        <v>7.3</v>
      </c>
      <c r="J430" s="69">
        <v>15.3</v>
      </c>
      <c r="K430" s="69"/>
      <c r="L430" s="69">
        <v>3.2</v>
      </c>
      <c r="M430" s="69">
        <v>9.3000000000000007</v>
      </c>
      <c r="N430" s="69">
        <v>6.9</v>
      </c>
      <c r="O430" s="69"/>
      <c r="P430" s="69"/>
      <c r="Q430" s="69">
        <v>13.3</v>
      </c>
      <c r="R430" s="69"/>
      <c r="S430" s="69"/>
      <c r="T430" s="69">
        <v>8.8000000000000007</v>
      </c>
      <c r="U430" s="69">
        <v>2.1</v>
      </c>
      <c r="V430" s="69">
        <v>2.6</v>
      </c>
      <c r="W430" s="69">
        <v>1.5</v>
      </c>
      <c r="X430" s="69"/>
      <c r="Y430" s="69">
        <v>2.4</v>
      </c>
      <c r="Z430" s="69">
        <v>6</v>
      </c>
      <c r="AA430" s="69">
        <v>5.6</v>
      </c>
      <c r="AB430" s="69"/>
      <c r="AC430" s="69"/>
      <c r="AD430" s="69">
        <v>5.8</v>
      </c>
      <c r="AE430" s="69"/>
      <c r="AF430" s="69"/>
      <c r="AG430" s="69">
        <v>1.9</v>
      </c>
      <c r="AH430" s="69"/>
      <c r="AI430" s="69">
        <v>5.9</v>
      </c>
      <c r="AJ430" s="69">
        <v>7.6992399999999996</v>
      </c>
      <c r="AK430" s="69"/>
      <c r="AL430" s="69"/>
    </row>
    <row r="431" spans="1:38" x14ac:dyDescent="0.2">
      <c r="A431" s="10">
        <v>33147</v>
      </c>
      <c r="B431" s="69">
        <v>7.6372660000000003</v>
      </c>
      <c r="C431" s="69"/>
      <c r="D431" s="69">
        <v>6.4</v>
      </c>
      <c r="E431" s="69">
        <v>8.8000000000000007</v>
      </c>
      <c r="F431" s="69">
        <v>8.1155899999999992</v>
      </c>
      <c r="G431" s="69"/>
      <c r="H431" s="69"/>
      <c r="I431" s="69">
        <v>7.3</v>
      </c>
      <c r="J431" s="69">
        <v>15.3</v>
      </c>
      <c r="K431" s="69"/>
      <c r="L431" s="69">
        <v>3.5</v>
      </c>
      <c r="M431" s="69">
        <v>9.3000000000000007</v>
      </c>
      <c r="N431" s="69">
        <v>7</v>
      </c>
      <c r="O431" s="69"/>
      <c r="P431" s="69"/>
      <c r="Q431" s="69">
        <v>13.4</v>
      </c>
      <c r="R431" s="69"/>
      <c r="S431" s="69"/>
      <c r="T431" s="69">
        <v>8.8000000000000007</v>
      </c>
      <c r="U431" s="69">
        <v>2.2000000000000002</v>
      </c>
      <c r="V431" s="69">
        <v>2.6</v>
      </c>
      <c r="W431" s="69">
        <v>1.6</v>
      </c>
      <c r="X431" s="69"/>
      <c r="Y431" s="69">
        <v>3</v>
      </c>
      <c r="Z431" s="69">
        <v>5.9</v>
      </c>
      <c r="AA431" s="69">
        <v>5.7</v>
      </c>
      <c r="AB431" s="69"/>
      <c r="AC431" s="69"/>
      <c r="AD431" s="69">
        <v>5.5</v>
      </c>
      <c r="AE431" s="69"/>
      <c r="AF431" s="69"/>
      <c r="AG431" s="69">
        <v>2</v>
      </c>
      <c r="AH431" s="69"/>
      <c r="AI431" s="69">
        <v>5.9</v>
      </c>
      <c r="AJ431" s="69">
        <v>7.7244809999999999</v>
      </c>
      <c r="AK431" s="69"/>
      <c r="AL431" s="69"/>
    </row>
    <row r="432" spans="1:38" x14ac:dyDescent="0.2">
      <c r="A432" s="10">
        <v>33178</v>
      </c>
      <c r="B432" s="69">
        <v>7.946186</v>
      </c>
      <c r="C432" s="69"/>
      <c r="D432" s="69">
        <v>6.4</v>
      </c>
      <c r="E432" s="69">
        <v>9.1</v>
      </c>
      <c r="F432" s="69">
        <v>8.0385740000000006</v>
      </c>
      <c r="G432" s="69"/>
      <c r="H432" s="69"/>
      <c r="I432" s="69">
        <v>7.4</v>
      </c>
      <c r="J432" s="69">
        <v>15.3</v>
      </c>
      <c r="K432" s="69"/>
      <c r="L432" s="69">
        <v>3.7</v>
      </c>
      <c r="M432" s="69">
        <v>9.3000000000000007</v>
      </c>
      <c r="N432" s="69">
        <v>7.1</v>
      </c>
      <c r="O432" s="69"/>
      <c r="P432" s="69"/>
      <c r="Q432" s="69">
        <v>13.6</v>
      </c>
      <c r="R432" s="69"/>
      <c r="S432" s="69"/>
      <c r="T432" s="69">
        <v>8.6999999999999993</v>
      </c>
      <c r="U432" s="69">
        <v>2</v>
      </c>
      <c r="V432" s="69">
        <v>2.6</v>
      </c>
      <c r="W432" s="69">
        <v>1.6</v>
      </c>
      <c r="X432" s="69"/>
      <c r="Y432" s="69">
        <v>2.6</v>
      </c>
      <c r="Z432" s="69">
        <v>5.9</v>
      </c>
      <c r="AA432" s="69">
        <v>5.7</v>
      </c>
      <c r="AB432" s="69"/>
      <c r="AC432" s="69"/>
      <c r="AD432" s="69">
        <v>5.4</v>
      </c>
      <c r="AE432" s="69"/>
      <c r="AF432" s="69"/>
      <c r="AG432" s="69">
        <v>2.2999999999999998</v>
      </c>
      <c r="AH432" s="69"/>
      <c r="AI432" s="69">
        <v>6.2</v>
      </c>
      <c r="AJ432" s="69">
        <v>7.7629149999999996</v>
      </c>
      <c r="AK432" s="69"/>
      <c r="AL432" s="69"/>
    </row>
    <row r="433" spans="1:38" x14ac:dyDescent="0.2">
      <c r="A433" s="10">
        <v>33208</v>
      </c>
      <c r="B433" s="69">
        <v>8.0190760000000001</v>
      </c>
      <c r="C433" s="69"/>
      <c r="D433" s="69">
        <v>6.4</v>
      </c>
      <c r="E433" s="69">
        <v>9.5</v>
      </c>
      <c r="F433" s="69">
        <v>7.9704329999999999</v>
      </c>
      <c r="G433" s="69"/>
      <c r="H433" s="69"/>
      <c r="I433" s="69">
        <v>7.4</v>
      </c>
      <c r="J433" s="69">
        <v>15.3</v>
      </c>
      <c r="K433" s="69"/>
      <c r="L433" s="69">
        <v>3.9</v>
      </c>
      <c r="M433" s="69">
        <v>9.3000000000000007</v>
      </c>
      <c r="N433" s="69">
        <v>7.4</v>
      </c>
      <c r="O433" s="69"/>
      <c r="P433" s="69"/>
      <c r="Q433" s="69">
        <v>13.7</v>
      </c>
      <c r="R433" s="69"/>
      <c r="S433" s="69"/>
      <c r="T433" s="69">
        <v>8.6999999999999993</v>
      </c>
      <c r="U433" s="69">
        <v>2</v>
      </c>
      <c r="V433" s="69">
        <v>2.5</v>
      </c>
      <c r="W433" s="69">
        <v>1.6</v>
      </c>
      <c r="X433" s="69"/>
      <c r="Y433" s="69">
        <v>2.6</v>
      </c>
      <c r="Z433" s="69">
        <v>5.9</v>
      </c>
      <c r="AA433" s="69">
        <v>5.9</v>
      </c>
      <c r="AB433" s="69"/>
      <c r="AC433" s="69"/>
      <c r="AD433" s="69">
        <v>5.3</v>
      </c>
      <c r="AE433" s="69"/>
      <c r="AF433" s="69"/>
      <c r="AG433" s="69">
        <v>2.2000000000000002</v>
      </c>
      <c r="AH433" s="69"/>
      <c r="AI433" s="69">
        <v>6.3</v>
      </c>
      <c r="AJ433" s="69">
        <v>7.7925300000000002</v>
      </c>
      <c r="AK433" s="69"/>
      <c r="AL433" s="69"/>
    </row>
    <row r="434" spans="1:38" x14ac:dyDescent="0.2">
      <c r="A434" s="10">
        <v>33239</v>
      </c>
      <c r="B434" s="69">
        <v>8.3975840000000002</v>
      </c>
      <c r="C434" s="69"/>
      <c r="D434" s="69">
        <v>6.4</v>
      </c>
      <c r="E434" s="69">
        <v>9.8000000000000007</v>
      </c>
      <c r="F434" s="69">
        <v>7.9804529999999998</v>
      </c>
      <c r="G434" s="69"/>
      <c r="H434" s="69">
        <v>5.2</v>
      </c>
      <c r="I434" s="69">
        <v>7.4</v>
      </c>
      <c r="J434" s="69">
        <v>15.1</v>
      </c>
      <c r="K434" s="69"/>
      <c r="L434" s="69">
        <v>4.3</v>
      </c>
      <c r="M434" s="69">
        <v>9.1999999999999993</v>
      </c>
      <c r="N434" s="69">
        <v>7.5</v>
      </c>
      <c r="O434" s="69"/>
      <c r="P434" s="69"/>
      <c r="Q434" s="69">
        <v>13.9</v>
      </c>
      <c r="R434" s="69"/>
      <c r="S434" s="69"/>
      <c r="T434" s="69">
        <v>8.6999999999999993</v>
      </c>
      <c r="U434" s="69">
        <v>2</v>
      </c>
      <c r="V434" s="69">
        <v>2.6</v>
      </c>
      <c r="W434" s="69">
        <v>1.6</v>
      </c>
      <c r="X434" s="69"/>
      <c r="Y434" s="69">
        <v>2.7</v>
      </c>
      <c r="Z434" s="69">
        <v>5.8</v>
      </c>
      <c r="AA434" s="69">
        <v>5.8</v>
      </c>
      <c r="AB434" s="69"/>
      <c r="AC434" s="69"/>
      <c r="AD434" s="69">
        <v>5.2</v>
      </c>
      <c r="AE434" s="69"/>
      <c r="AF434" s="69"/>
      <c r="AG434" s="69">
        <v>2.2000000000000002</v>
      </c>
      <c r="AH434" s="69"/>
      <c r="AI434" s="69">
        <v>6.4</v>
      </c>
      <c r="AJ434" s="69">
        <v>7.7905439999999997</v>
      </c>
      <c r="AK434" s="69">
        <v>5.9949070000000004</v>
      </c>
      <c r="AL434" s="69"/>
    </row>
    <row r="435" spans="1:38" x14ac:dyDescent="0.2">
      <c r="A435" s="10">
        <v>33270</v>
      </c>
      <c r="B435" s="69">
        <v>8.6171489999999995</v>
      </c>
      <c r="C435" s="69"/>
      <c r="D435" s="69">
        <v>6.4</v>
      </c>
      <c r="E435" s="69">
        <v>10.199999999999999</v>
      </c>
      <c r="F435" s="69">
        <v>8.2929019999999998</v>
      </c>
      <c r="G435" s="69"/>
      <c r="H435" s="69">
        <v>5.2</v>
      </c>
      <c r="I435" s="69">
        <v>7.5</v>
      </c>
      <c r="J435" s="69">
        <v>15.1</v>
      </c>
      <c r="K435" s="69"/>
      <c r="L435" s="69">
        <v>4.5999999999999996</v>
      </c>
      <c r="M435" s="69">
        <v>9.3000000000000007</v>
      </c>
      <c r="N435" s="69">
        <v>7.7</v>
      </c>
      <c r="O435" s="69"/>
      <c r="P435" s="69"/>
      <c r="Q435" s="69">
        <v>14.1</v>
      </c>
      <c r="R435" s="69"/>
      <c r="S435" s="69"/>
      <c r="T435" s="69">
        <v>8.6</v>
      </c>
      <c r="U435" s="69">
        <v>2.1</v>
      </c>
      <c r="V435" s="69">
        <v>2.5</v>
      </c>
      <c r="W435" s="69">
        <v>1.5</v>
      </c>
      <c r="X435" s="69"/>
      <c r="Y435" s="69">
        <v>2.6</v>
      </c>
      <c r="Z435" s="69">
        <v>5.8</v>
      </c>
      <c r="AA435" s="69">
        <v>5.8</v>
      </c>
      <c r="AB435" s="69"/>
      <c r="AC435" s="69"/>
      <c r="AD435" s="69">
        <v>5</v>
      </c>
      <c r="AE435" s="69"/>
      <c r="AF435" s="69"/>
      <c r="AG435" s="69">
        <v>2.5</v>
      </c>
      <c r="AH435" s="69"/>
      <c r="AI435" s="69">
        <v>6.6</v>
      </c>
      <c r="AJ435" s="69">
        <v>7.8084800000000003</v>
      </c>
      <c r="AK435" s="69">
        <v>6.109064</v>
      </c>
      <c r="AL435" s="69"/>
    </row>
    <row r="436" spans="1:38" x14ac:dyDescent="0.2">
      <c r="A436" s="10">
        <v>33298</v>
      </c>
      <c r="B436" s="69">
        <v>9.1829429999999999</v>
      </c>
      <c r="C436" s="69"/>
      <c r="D436" s="69">
        <v>6.4</v>
      </c>
      <c r="E436" s="69">
        <v>10.5</v>
      </c>
      <c r="F436" s="69">
        <v>8.2028239999999997</v>
      </c>
      <c r="G436" s="69"/>
      <c r="H436" s="69">
        <v>5.3</v>
      </c>
      <c r="I436" s="69">
        <v>7.6</v>
      </c>
      <c r="J436" s="69">
        <v>15.1</v>
      </c>
      <c r="K436" s="69"/>
      <c r="L436" s="69">
        <v>5</v>
      </c>
      <c r="M436" s="69">
        <v>9.3000000000000007</v>
      </c>
      <c r="N436" s="69">
        <v>8.1</v>
      </c>
      <c r="O436" s="69"/>
      <c r="P436" s="69"/>
      <c r="Q436" s="69">
        <v>14.3</v>
      </c>
      <c r="R436" s="69"/>
      <c r="S436" s="69"/>
      <c r="T436" s="69">
        <v>8.6</v>
      </c>
      <c r="U436" s="69">
        <v>2.2000000000000002</v>
      </c>
      <c r="V436" s="69">
        <v>2.4</v>
      </c>
      <c r="W436" s="69">
        <v>1.4</v>
      </c>
      <c r="X436" s="69"/>
      <c r="Y436" s="69">
        <v>2.9</v>
      </c>
      <c r="Z436" s="69">
        <v>5.8</v>
      </c>
      <c r="AA436" s="69">
        <v>5.9</v>
      </c>
      <c r="AB436" s="69"/>
      <c r="AC436" s="69"/>
      <c r="AD436" s="69">
        <v>4.9000000000000004</v>
      </c>
      <c r="AE436" s="69"/>
      <c r="AF436" s="69"/>
      <c r="AG436" s="69">
        <v>2.6</v>
      </c>
      <c r="AH436" s="69"/>
      <c r="AI436" s="69">
        <v>6.8</v>
      </c>
      <c r="AJ436" s="69">
        <v>7.8309699999999998</v>
      </c>
      <c r="AK436" s="69">
        <v>6.2874699999999999</v>
      </c>
      <c r="AL436" s="69"/>
    </row>
    <row r="437" spans="1:38" x14ac:dyDescent="0.2">
      <c r="A437" s="10">
        <v>33329</v>
      </c>
      <c r="B437" s="69">
        <v>9.8613909999999994</v>
      </c>
      <c r="C437" s="69"/>
      <c r="D437" s="69">
        <v>6.4</v>
      </c>
      <c r="E437" s="69">
        <v>10.3</v>
      </c>
      <c r="F437" s="69">
        <v>8.1396610000000003</v>
      </c>
      <c r="G437" s="69"/>
      <c r="H437" s="69">
        <v>5.3</v>
      </c>
      <c r="I437" s="69">
        <v>7.7</v>
      </c>
      <c r="J437" s="69">
        <v>15.2</v>
      </c>
      <c r="K437" s="69"/>
      <c r="L437" s="69">
        <v>5.4</v>
      </c>
      <c r="M437" s="69">
        <v>9.4</v>
      </c>
      <c r="N437" s="69">
        <v>8.3000000000000007</v>
      </c>
      <c r="O437" s="69"/>
      <c r="P437" s="69"/>
      <c r="Q437" s="69">
        <v>14.6</v>
      </c>
      <c r="R437" s="69"/>
      <c r="S437" s="69"/>
      <c r="T437" s="69">
        <v>8.5</v>
      </c>
      <c r="U437" s="69">
        <v>2.1</v>
      </c>
      <c r="V437" s="69">
        <v>2.2999999999999998</v>
      </c>
      <c r="W437" s="69">
        <v>1.5</v>
      </c>
      <c r="X437" s="69"/>
      <c r="Y437" s="69">
        <v>2.6</v>
      </c>
      <c r="Z437" s="69">
        <v>5.8</v>
      </c>
      <c r="AA437" s="69">
        <v>5.9</v>
      </c>
      <c r="AB437" s="69"/>
      <c r="AC437" s="69"/>
      <c r="AD437" s="69">
        <v>4.8</v>
      </c>
      <c r="AE437" s="69"/>
      <c r="AF437" s="69"/>
      <c r="AG437" s="69">
        <v>2.7</v>
      </c>
      <c r="AH437" s="69"/>
      <c r="AI437" s="69">
        <v>6.7</v>
      </c>
      <c r="AJ437" s="69">
        <v>7.8696700000000002</v>
      </c>
      <c r="AK437" s="69">
        <v>6.2436439999999997</v>
      </c>
      <c r="AL437" s="69"/>
    </row>
    <row r="438" spans="1:38" x14ac:dyDescent="0.2">
      <c r="A438" s="10">
        <v>33359</v>
      </c>
      <c r="B438" s="69">
        <v>9.5029489999999992</v>
      </c>
      <c r="C438" s="69"/>
      <c r="D438" s="69">
        <v>6.4</v>
      </c>
      <c r="E438" s="69">
        <v>10.199999999999999</v>
      </c>
      <c r="F438" s="69">
        <v>8.0355430000000005</v>
      </c>
      <c r="G438" s="69"/>
      <c r="H438" s="69">
        <v>5.3</v>
      </c>
      <c r="I438" s="69">
        <v>7.8</v>
      </c>
      <c r="J438" s="69">
        <v>15.3</v>
      </c>
      <c r="K438" s="69"/>
      <c r="L438" s="69">
        <v>5.9</v>
      </c>
      <c r="M438" s="69">
        <v>9.4</v>
      </c>
      <c r="N438" s="69">
        <v>8.5</v>
      </c>
      <c r="O438" s="69"/>
      <c r="P438" s="69"/>
      <c r="Q438" s="69">
        <v>14.7</v>
      </c>
      <c r="R438" s="69"/>
      <c r="S438" s="69"/>
      <c r="T438" s="69">
        <v>8.5</v>
      </c>
      <c r="U438" s="69">
        <v>2.1</v>
      </c>
      <c r="V438" s="69">
        <v>2.2999999999999998</v>
      </c>
      <c r="W438" s="69">
        <v>1.6</v>
      </c>
      <c r="X438" s="69"/>
      <c r="Y438" s="69">
        <v>2.2999999999999998</v>
      </c>
      <c r="Z438" s="69">
        <v>5.7</v>
      </c>
      <c r="AA438" s="69">
        <v>5.7</v>
      </c>
      <c r="AB438" s="69"/>
      <c r="AC438" s="69"/>
      <c r="AD438" s="69">
        <v>4.9000000000000004</v>
      </c>
      <c r="AE438" s="69"/>
      <c r="AF438" s="69"/>
      <c r="AG438" s="69">
        <v>2.7</v>
      </c>
      <c r="AH438" s="69"/>
      <c r="AI438" s="69">
        <v>6.9</v>
      </c>
      <c r="AJ438" s="69">
        <v>7.9291850000000004</v>
      </c>
      <c r="AK438" s="69">
        <v>6.338387</v>
      </c>
      <c r="AL438" s="69"/>
    </row>
    <row r="439" spans="1:38" x14ac:dyDescent="0.2">
      <c r="A439" s="10">
        <v>33390</v>
      </c>
      <c r="B439" s="69">
        <v>9.5374680000000005</v>
      </c>
      <c r="C439" s="69"/>
      <c r="D439" s="69">
        <v>6.4</v>
      </c>
      <c r="E439" s="69">
        <v>10.5</v>
      </c>
      <c r="F439" s="69">
        <v>8.4544049999999995</v>
      </c>
      <c r="G439" s="69"/>
      <c r="H439" s="69">
        <v>5.4</v>
      </c>
      <c r="I439" s="69">
        <v>7.9</v>
      </c>
      <c r="J439" s="69">
        <v>15.4</v>
      </c>
      <c r="K439" s="69"/>
      <c r="L439" s="69">
        <v>6.4</v>
      </c>
      <c r="M439" s="69">
        <v>9.5</v>
      </c>
      <c r="N439" s="69">
        <v>8.6</v>
      </c>
      <c r="O439" s="69"/>
      <c r="P439" s="69"/>
      <c r="Q439" s="69">
        <v>14.8</v>
      </c>
      <c r="R439" s="69"/>
      <c r="S439" s="69"/>
      <c r="T439" s="69">
        <v>8.4</v>
      </c>
      <c r="U439" s="69">
        <v>2.1</v>
      </c>
      <c r="V439" s="69">
        <v>2.2999999999999998</v>
      </c>
      <c r="W439" s="69">
        <v>1.6</v>
      </c>
      <c r="X439" s="69"/>
      <c r="Y439" s="69">
        <v>2.2000000000000002</v>
      </c>
      <c r="Z439" s="69">
        <v>5.7</v>
      </c>
      <c r="AA439" s="69">
        <v>5.8</v>
      </c>
      <c r="AB439" s="69"/>
      <c r="AC439" s="69"/>
      <c r="AD439" s="69">
        <v>5</v>
      </c>
      <c r="AE439" s="69"/>
      <c r="AF439" s="69"/>
      <c r="AG439" s="69">
        <v>2.8</v>
      </c>
      <c r="AH439" s="69"/>
      <c r="AI439" s="69">
        <v>6.9</v>
      </c>
      <c r="AJ439" s="69">
        <v>7.5948520000000004</v>
      </c>
      <c r="AK439" s="69">
        <v>6.3656470000000001</v>
      </c>
      <c r="AL439" s="69"/>
    </row>
    <row r="440" spans="1:38" x14ac:dyDescent="0.2">
      <c r="A440" s="10">
        <v>33420</v>
      </c>
      <c r="B440" s="69">
        <v>9.6900790000000008</v>
      </c>
      <c r="C440" s="69"/>
      <c r="D440" s="69">
        <v>6.4</v>
      </c>
      <c r="E440" s="69">
        <v>10.5</v>
      </c>
      <c r="F440" s="69">
        <v>8.5028500000000005</v>
      </c>
      <c r="G440" s="69"/>
      <c r="H440" s="69">
        <v>5.5</v>
      </c>
      <c r="I440" s="69">
        <v>7.9</v>
      </c>
      <c r="J440" s="69">
        <v>15.6</v>
      </c>
      <c r="K440" s="69"/>
      <c r="L440" s="69">
        <v>6.9</v>
      </c>
      <c r="M440" s="69">
        <v>9.6</v>
      </c>
      <c r="N440" s="69">
        <v>8.8000000000000007</v>
      </c>
      <c r="O440" s="69"/>
      <c r="P440" s="69"/>
      <c r="Q440" s="69">
        <v>15</v>
      </c>
      <c r="R440" s="69"/>
      <c r="S440" s="69"/>
      <c r="T440" s="69">
        <v>8.4</v>
      </c>
      <c r="U440" s="69">
        <v>2.1</v>
      </c>
      <c r="V440" s="69">
        <v>2.5</v>
      </c>
      <c r="W440" s="69">
        <v>1.6</v>
      </c>
      <c r="X440" s="69"/>
      <c r="Y440" s="69">
        <v>2.4</v>
      </c>
      <c r="Z440" s="69">
        <v>5.7</v>
      </c>
      <c r="AA440" s="69">
        <v>5.9</v>
      </c>
      <c r="AB440" s="69"/>
      <c r="AC440" s="69"/>
      <c r="AD440" s="69">
        <v>5.2</v>
      </c>
      <c r="AE440" s="69"/>
      <c r="AF440" s="69"/>
      <c r="AG440" s="69">
        <v>3.2</v>
      </c>
      <c r="AH440" s="69"/>
      <c r="AI440" s="69">
        <v>6.8</v>
      </c>
      <c r="AJ440" s="69">
        <v>7.7632779999999997</v>
      </c>
      <c r="AK440" s="69">
        <v>6.382034</v>
      </c>
      <c r="AL440" s="69"/>
    </row>
    <row r="441" spans="1:38" x14ac:dyDescent="0.2">
      <c r="A441" s="10">
        <v>33451</v>
      </c>
      <c r="B441" s="69">
        <v>9.7881959999999992</v>
      </c>
      <c r="C441" s="69"/>
      <c r="D441" s="69">
        <v>6.4</v>
      </c>
      <c r="E441" s="69">
        <v>10.5</v>
      </c>
      <c r="F441" s="69">
        <v>8.6457029999999992</v>
      </c>
      <c r="G441" s="69"/>
      <c r="H441" s="69">
        <v>5.6</v>
      </c>
      <c r="I441" s="69">
        <v>8</v>
      </c>
      <c r="J441" s="69">
        <v>15.8</v>
      </c>
      <c r="K441" s="69"/>
      <c r="L441" s="69">
        <v>7.5</v>
      </c>
      <c r="M441" s="69">
        <v>9.6999999999999993</v>
      </c>
      <c r="N441" s="69">
        <v>9</v>
      </c>
      <c r="O441" s="69"/>
      <c r="P441" s="69"/>
      <c r="Q441" s="69">
        <v>15</v>
      </c>
      <c r="R441" s="69"/>
      <c r="S441" s="69"/>
      <c r="T441" s="69">
        <v>8.4</v>
      </c>
      <c r="U441" s="69">
        <v>2.1</v>
      </c>
      <c r="V441" s="69">
        <v>2.2999999999999998</v>
      </c>
      <c r="W441" s="69">
        <v>1.7</v>
      </c>
      <c r="X441" s="69"/>
      <c r="Y441" s="69">
        <v>3.3</v>
      </c>
      <c r="Z441" s="69">
        <v>5.7</v>
      </c>
      <c r="AA441" s="69">
        <v>6.2</v>
      </c>
      <c r="AB441" s="69"/>
      <c r="AC441" s="69"/>
      <c r="AD441" s="69">
        <v>5.2</v>
      </c>
      <c r="AE441" s="69"/>
      <c r="AF441" s="69"/>
      <c r="AG441" s="69">
        <v>3.4</v>
      </c>
      <c r="AH441" s="69"/>
      <c r="AI441" s="69">
        <v>6.9</v>
      </c>
      <c r="AJ441" s="69">
        <v>7.8229470000000001</v>
      </c>
      <c r="AK441" s="69">
        <v>6.4370019999999997</v>
      </c>
      <c r="AL441" s="69"/>
    </row>
    <row r="442" spans="1:38" x14ac:dyDescent="0.2">
      <c r="A442" s="10">
        <v>33482</v>
      </c>
      <c r="B442" s="69">
        <v>10.03317</v>
      </c>
      <c r="C442" s="69"/>
      <c r="D442" s="69">
        <v>6.4</v>
      </c>
      <c r="E442" s="69">
        <v>10.3</v>
      </c>
      <c r="F442" s="69">
        <v>8.4413889999999991</v>
      </c>
      <c r="G442" s="69"/>
      <c r="H442" s="69">
        <v>5.7</v>
      </c>
      <c r="I442" s="69">
        <v>8.1</v>
      </c>
      <c r="J442" s="69">
        <v>15.9</v>
      </c>
      <c r="K442" s="69"/>
      <c r="L442" s="69">
        <v>8</v>
      </c>
      <c r="M442" s="69">
        <v>9.8000000000000007</v>
      </c>
      <c r="N442" s="69">
        <v>9</v>
      </c>
      <c r="O442" s="69"/>
      <c r="P442" s="69"/>
      <c r="Q442" s="69">
        <v>15.1</v>
      </c>
      <c r="R442" s="69"/>
      <c r="S442" s="69"/>
      <c r="T442" s="69">
        <v>8.5</v>
      </c>
      <c r="U442" s="69">
        <v>2.1</v>
      </c>
      <c r="V442" s="69">
        <v>2.4</v>
      </c>
      <c r="W442" s="69">
        <v>1.7</v>
      </c>
      <c r="X442" s="69"/>
      <c r="Y442" s="69">
        <v>2.8</v>
      </c>
      <c r="Z442" s="69">
        <v>5.7</v>
      </c>
      <c r="AA442" s="69">
        <v>5.9</v>
      </c>
      <c r="AB442" s="69"/>
      <c r="AC442" s="69"/>
      <c r="AD442" s="69">
        <v>5.2</v>
      </c>
      <c r="AE442" s="69"/>
      <c r="AF442" s="69"/>
      <c r="AG442" s="69">
        <v>3.5</v>
      </c>
      <c r="AH442" s="69"/>
      <c r="AI442" s="69">
        <v>6.9</v>
      </c>
      <c r="AJ442" s="69">
        <v>7.8426280000000004</v>
      </c>
      <c r="AK442" s="69">
        <v>6.4597600000000002</v>
      </c>
      <c r="AL442" s="69"/>
    </row>
    <row r="443" spans="1:38" x14ac:dyDescent="0.2">
      <c r="A443" s="10">
        <v>33512</v>
      </c>
      <c r="B443" s="69">
        <v>9.9872979999999991</v>
      </c>
      <c r="C443" s="69"/>
      <c r="D443" s="69">
        <v>6.5</v>
      </c>
      <c r="E443" s="69">
        <v>10.3</v>
      </c>
      <c r="F443" s="69">
        <v>8.2060329999999997</v>
      </c>
      <c r="G443" s="69"/>
      <c r="H443" s="69">
        <v>5.8</v>
      </c>
      <c r="I443" s="69">
        <v>8.1</v>
      </c>
      <c r="J443" s="69">
        <v>15.9</v>
      </c>
      <c r="K443" s="69"/>
      <c r="L443" s="69">
        <v>8.3000000000000007</v>
      </c>
      <c r="M443" s="69">
        <v>9.9</v>
      </c>
      <c r="N443" s="69">
        <v>9</v>
      </c>
      <c r="O443" s="69"/>
      <c r="P443" s="69"/>
      <c r="Q443" s="69">
        <v>15.1</v>
      </c>
      <c r="R443" s="69"/>
      <c r="S443" s="69"/>
      <c r="T443" s="69">
        <v>8.5</v>
      </c>
      <c r="U443" s="69">
        <v>2</v>
      </c>
      <c r="V443" s="69">
        <v>2.5</v>
      </c>
      <c r="W443" s="69">
        <v>1.8</v>
      </c>
      <c r="X443" s="69"/>
      <c r="Y443" s="69">
        <v>2.9</v>
      </c>
      <c r="Z443" s="69">
        <v>5.7</v>
      </c>
      <c r="AA443" s="69">
        <v>6.2</v>
      </c>
      <c r="AB443" s="69"/>
      <c r="AC443" s="69"/>
      <c r="AD443" s="69">
        <v>5.2</v>
      </c>
      <c r="AE443" s="69"/>
      <c r="AF443" s="69"/>
      <c r="AG443" s="69">
        <v>3.7</v>
      </c>
      <c r="AH443" s="69"/>
      <c r="AI443" s="69">
        <v>7</v>
      </c>
      <c r="AJ443" s="69">
        <v>7.9007740000000002</v>
      </c>
      <c r="AK443" s="69">
        <v>6.5003849999999996</v>
      </c>
      <c r="AL443" s="69"/>
    </row>
    <row r="444" spans="1:38" x14ac:dyDescent="0.2">
      <c r="A444" s="10">
        <v>33543</v>
      </c>
      <c r="B444" s="69">
        <v>10.19815</v>
      </c>
      <c r="C444" s="69"/>
      <c r="D444" s="69">
        <v>6.6</v>
      </c>
      <c r="E444" s="69">
        <v>10.4</v>
      </c>
      <c r="F444" s="69">
        <v>7.6539419999999998</v>
      </c>
      <c r="G444" s="69"/>
      <c r="H444" s="69">
        <v>5.9</v>
      </c>
      <c r="I444" s="69">
        <v>8.1999999999999993</v>
      </c>
      <c r="J444" s="69">
        <v>15.9</v>
      </c>
      <c r="K444" s="69"/>
      <c r="L444" s="69">
        <v>8.6999999999999993</v>
      </c>
      <c r="M444" s="69">
        <v>10</v>
      </c>
      <c r="N444" s="69">
        <v>9.1</v>
      </c>
      <c r="O444" s="69"/>
      <c r="P444" s="69"/>
      <c r="Q444" s="69">
        <v>15.1</v>
      </c>
      <c r="R444" s="69"/>
      <c r="S444" s="69"/>
      <c r="T444" s="69">
        <v>8.6999999999999993</v>
      </c>
      <c r="U444" s="69">
        <v>2.1</v>
      </c>
      <c r="V444" s="69">
        <v>2.5</v>
      </c>
      <c r="W444" s="69">
        <v>1.8</v>
      </c>
      <c r="X444" s="69"/>
      <c r="Y444" s="69">
        <v>2.9</v>
      </c>
      <c r="Z444" s="69">
        <v>5.6</v>
      </c>
      <c r="AA444" s="69">
        <v>6.5</v>
      </c>
      <c r="AB444" s="69"/>
      <c r="AC444" s="69"/>
      <c r="AD444" s="69">
        <v>5</v>
      </c>
      <c r="AE444" s="69"/>
      <c r="AF444" s="69"/>
      <c r="AG444" s="69">
        <v>3.8</v>
      </c>
      <c r="AH444" s="69"/>
      <c r="AI444" s="69">
        <v>7</v>
      </c>
      <c r="AJ444" s="69">
        <v>7.9541500000000003</v>
      </c>
      <c r="AK444" s="69">
        <v>6.5792539999999997</v>
      </c>
      <c r="AL444" s="69"/>
    </row>
    <row r="445" spans="1:38" x14ac:dyDescent="0.2">
      <c r="A445" s="10">
        <v>33573</v>
      </c>
      <c r="B445" s="69">
        <v>10.47358</v>
      </c>
      <c r="C445" s="69"/>
      <c r="D445" s="69">
        <v>6.7</v>
      </c>
      <c r="E445" s="69">
        <v>10.3</v>
      </c>
      <c r="F445" s="69">
        <v>7.3354900000000001</v>
      </c>
      <c r="G445" s="69"/>
      <c r="H445" s="69">
        <v>6</v>
      </c>
      <c r="I445" s="69">
        <v>8.1999999999999993</v>
      </c>
      <c r="J445" s="69">
        <v>15.9</v>
      </c>
      <c r="K445" s="69"/>
      <c r="L445" s="69">
        <v>9.1999999999999993</v>
      </c>
      <c r="M445" s="69">
        <v>10.1</v>
      </c>
      <c r="N445" s="69">
        <v>9.1999999999999993</v>
      </c>
      <c r="O445" s="69"/>
      <c r="P445" s="69"/>
      <c r="Q445" s="69">
        <v>15.1</v>
      </c>
      <c r="R445" s="69"/>
      <c r="S445" s="69"/>
      <c r="T445" s="69">
        <v>8.6</v>
      </c>
      <c r="U445" s="69">
        <v>2.1</v>
      </c>
      <c r="V445" s="69">
        <v>2.4</v>
      </c>
      <c r="W445" s="69">
        <v>1.8</v>
      </c>
      <c r="X445" s="69"/>
      <c r="Y445" s="69">
        <v>2.8</v>
      </c>
      <c r="Z445" s="69">
        <v>5.6</v>
      </c>
      <c r="AA445" s="69">
        <v>6.7</v>
      </c>
      <c r="AB445" s="69"/>
      <c r="AC445" s="69"/>
      <c r="AD445" s="69">
        <v>4.9000000000000004</v>
      </c>
      <c r="AE445" s="69"/>
      <c r="AF445" s="69"/>
      <c r="AG445" s="69">
        <v>4.0999999999999996</v>
      </c>
      <c r="AH445" s="69"/>
      <c r="AI445" s="69">
        <v>7.3</v>
      </c>
      <c r="AJ445" s="69">
        <v>7.9742879999999996</v>
      </c>
      <c r="AK445" s="69">
        <v>6.6813719999999996</v>
      </c>
      <c r="AL445" s="69"/>
    </row>
    <row r="446" spans="1:38" x14ac:dyDescent="0.2">
      <c r="A446" s="10">
        <v>33604</v>
      </c>
      <c r="B446" s="69">
        <v>10.347630000000001</v>
      </c>
      <c r="C446" s="69"/>
      <c r="D446" s="69">
        <v>6.7</v>
      </c>
      <c r="E446" s="69">
        <v>10.4</v>
      </c>
      <c r="F446" s="69">
        <v>7.1650169999999997</v>
      </c>
      <c r="G446" s="69"/>
      <c r="H446" s="69">
        <v>6</v>
      </c>
      <c r="I446" s="69">
        <v>8.1999999999999993</v>
      </c>
      <c r="J446" s="69">
        <v>16</v>
      </c>
      <c r="K446" s="69"/>
      <c r="L446" s="69">
        <v>9.6</v>
      </c>
      <c r="M446" s="69">
        <v>10.199999999999999</v>
      </c>
      <c r="N446" s="69">
        <v>9.3000000000000007</v>
      </c>
      <c r="O446" s="69"/>
      <c r="P446" s="69"/>
      <c r="Q446" s="69">
        <v>15.1</v>
      </c>
      <c r="R446" s="69"/>
      <c r="S446" s="69"/>
      <c r="T446" s="69">
        <v>8.6</v>
      </c>
      <c r="U446" s="69">
        <v>2.1</v>
      </c>
      <c r="V446" s="69">
        <v>2.4</v>
      </c>
      <c r="W446" s="69">
        <v>1.8</v>
      </c>
      <c r="X446" s="69"/>
      <c r="Y446" s="69">
        <v>2.8</v>
      </c>
      <c r="Z446" s="69">
        <v>5.6</v>
      </c>
      <c r="AA446" s="69">
        <v>6.5</v>
      </c>
      <c r="AB446" s="69"/>
      <c r="AC446" s="69"/>
      <c r="AD446" s="69">
        <v>4.8</v>
      </c>
      <c r="AE446" s="69"/>
      <c r="AF446" s="69"/>
      <c r="AG446" s="69">
        <v>4.3</v>
      </c>
      <c r="AH446" s="69"/>
      <c r="AI446" s="69">
        <v>7.3</v>
      </c>
      <c r="AJ446" s="69">
        <v>8.1345609999999997</v>
      </c>
      <c r="AK446" s="69">
        <v>6.7245850000000003</v>
      </c>
      <c r="AL446" s="69"/>
    </row>
    <row r="447" spans="1:38" x14ac:dyDescent="0.2">
      <c r="A447" s="10">
        <v>33635</v>
      </c>
      <c r="B447" s="69">
        <v>10.40541</v>
      </c>
      <c r="C447" s="69"/>
      <c r="D447" s="69">
        <v>6.7</v>
      </c>
      <c r="E447" s="69">
        <v>10.5</v>
      </c>
      <c r="F447" s="69">
        <v>7.0638620000000003</v>
      </c>
      <c r="G447" s="69"/>
      <c r="H447" s="69">
        <v>6.1</v>
      </c>
      <c r="I447" s="69">
        <v>8.3000000000000007</v>
      </c>
      <c r="J447" s="69">
        <v>16.100000000000001</v>
      </c>
      <c r="K447" s="69"/>
      <c r="L447" s="69">
        <v>9.9</v>
      </c>
      <c r="M447" s="69">
        <v>10.3</v>
      </c>
      <c r="N447" s="69">
        <v>9.3000000000000007</v>
      </c>
      <c r="O447" s="69"/>
      <c r="P447" s="69"/>
      <c r="Q447" s="69">
        <v>15.2</v>
      </c>
      <c r="R447" s="69"/>
      <c r="S447" s="69"/>
      <c r="T447" s="69">
        <v>8.6999999999999993</v>
      </c>
      <c r="U447" s="69">
        <v>2</v>
      </c>
      <c r="V447" s="69">
        <v>2.4</v>
      </c>
      <c r="W447" s="69">
        <v>1.9</v>
      </c>
      <c r="X447" s="69"/>
      <c r="Y447" s="69">
        <v>3.1</v>
      </c>
      <c r="Z447" s="69">
        <v>5.6</v>
      </c>
      <c r="AA447" s="69">
        <v>6.4</v>
      </c>
      <c r="AB447" s="69"/>
      <c r="AC447" s="69"/>
      <c r="AD447" s="69">
        <v>4.8</v>
      </c>
      <c r="AE447" s="69"/>
      <c r="AF447" s="69"/>
      <c r="AG447" s="69">
        <v>4.5999999999999996</v>
      </c>
      <c r="AH447" s="69"/>
      <c r="AI447" s="69">
        <v>7.4</v>
      </c>
      <c r="AJ447" s="69">
        <v>8.1439000000000004</v>
      </c>
      <c r="AK447" s="69">
        <v>6.7799310000000004</v>
      </c>
      <c r="AL447" s="69"/>
    </row>
    <row r="448" spans="1:38" x14ac:dyDescent="0.2">
      <c r="A448" s="10">
        <v>33664</v>
      </c>
      <c r="B448" s="69">
        <v>10.496779999999999</v>
      </c>
      <c r="C448" s="69"/>
      <c r="D448" s="69">
        <v>6.8</v>
      </c>
      <c r="E448" s="69">
        <v>10.9</v>
      </c>
      <c r="F448" s="69">
        <v>6.6484480000000001</v>
      </c>
      <c r="G448" s="69"/>
      <c r="H448" s="69">
        <v>6.2</v>
      </c>
      <c r="I448" s="69">
        <v>8.3000000000000007</v>
      </c>
      <c r="J448" s="69">
        <v>16.3</v>
      </c>
      <c r="K448" s="69"/>
      <c r="L448" s="69">
        <v>10.1</v>
      </c>
      <c r="M448" s="69">
        <v>10.3</v>
      </c>
      <c r="N448" s="69">
        <v>9.3000000000000007</v>
      </c>
      <c r="O448" s="69"/>
      <c r="P448" s="69"/>
      <c r="Q448" s="69">
        <v>15.3</v>
      </c>
      <c r="R448" s="69"/>
      <c r="S448" s="69"/>
      <c r="T448" s="69">
        <v>8.6999999999999993</v>
      </c>
      <c r="U448" s="69">
        <v>2.1</v>
      </c>
      <c r="V448" s="69">
        <v>2.4</v>
      </c>
      <c r="W448" s="69">
        <v>2</v>
      </c>
      <c r="X448" s="69"/>
      <c r="Y448" s="69">
        <v>2.7</v>
      </c>
      <c r="Z448" s="69">
        <v>5.6</v>
      </c>
      <c r="AA448" s="69">
        <v>6.3</v>
      </c>
      <c r="AB448" s="69"/>
      <c r="AC448" s="69"/>
      <c r="AD448" s="69">
        <v>4.8</v>
      </c>
      <c r="AE448" s="69"/>
      <c r="AF448" s="69"/>
      <c r="AG448" s="69">
        <v>4.8</v>
      </c>
      <c r="AH448" s="69"/>
      <c r="AI448" s="69">
        <v>7.4</v>
      </c>
      <c r="AJ448" s="69">
        <v>8.1949210000000008</v>
      </c>
      <c r="AK448" s="69">
        <v>6.8222820000000004</v>
      </c>
      <c r="AL448" s="69"/>
    </row>
    <row r="449" spans="1:38" x14ac:dyDescent="0.2">
      <c r="A449" s="10">
        <v>33695</v>
      </c>
      <c r="B449" s="69">
        <v>10.470980000000001</v>
      </c>
      <c r="C449" s="69"/>
      <c r="D449" s="69">
        <v>6.9</v>
      </c>
      <c r="E449" s="69">
        <v>10.7</v>
      </c>
      <c r="F449" s="69">
        <v>6.363448</v>
      </c>
      <c r="G449" s="69"/>
      <c r="H449" s="69">
        <v>6.3</v>
      </c>
      <c r="I449" s="69">
        <v>8.3000000000000007</v>
      </c>
      <c r="J449" s="69">
        <v>16.399999999999999</v>
      </c>
      <c r="K449" s="69"/>
      <c r="L449" s="69">
        <v>10.5</v>
      </c>
      <c r="M449" s="69">
        <v>10.4</v>
      </c>
      <c r="N449" s="69">
        <v>9.8331820000000008</v>
      </c>
      <c r="O449" s="69"/>
      <c r="P449" s="69"/>
      <c r="Q449" s="69">
        <v>15.3</v>
      </c>
      <c r="R449" s="69"/>
      <c r="S449" s="69"/>
      <c r="T449" s="69">
        <v>8.6999999999999993</v>
      </c>
      <c r="U449" s="69">
        <v>2.1</v>
      </c>
      <c r="V449" s="69">
        <v>2.5</v>
      </c>
      <c r="W449" s="69">
        <v>2</v>
      </c>
      <c r="X449" s="69"/>
      <c r="Y449" s="69">
        <v>2.7</v>
      </c>
      <c r="Z449" s="69">
        <v>5.6</v>
      </c>
      <c r="AA449" s="69">
        <v>6.5</v>
      </c>
      <c r="AB449" s="69"/>
      <c r="AC449" s="69"/>
      <c r="AD449" s="69">
        <v>4.9000000000000004</v>
      </c>
      <c r="AE449" s="69"/>
      <c r="AF449" s="69"/>
      <c r="AG449" s="69">
        <v>5</v>
      </c>
      <c r="AH449" s="69"/>
      <c r="AI449" s="69">
        <v>7.4</v>
      </c>
      <c r="AJ449" s="69">
        <v>8.2500999999999998</v>
      </c>
      <c r="AK449" s="69">
        <v>6.8642560000000001</v>
      </c>
      <c r="AL449" s="69"/>
    </row>
    <row r="450" spans="1:38" x14ac:dyDescent="0.2">
      <c r="A450" s="10">
        <v>33725</v>
      </c>
      <c r="B450" s="69">
        <v>10.61918</v>
      </c>
      <c r="C450" s="69"/>
      <c r="D450" s="69">
        <v>7</v>
      </c>
      <c r="E450" s="69">
        <v>10.9</v>
      </c>
      <c r="F450" s="69">
        <v>6.3837489999999999</v>
      </c>
      <c r="G450" s="69"/>
      <c r="H450" s="69">
        <v>6.4</v>
      </c>
      <c r="I450" s="69">
        <v>8.4</v>
      </c>
      <c r="J450" s="69">
        <v>16.5</v>
      </c>
      <c r="K450" s="69"/>
      <c r="L450" s="69">
        <v>11</v>
      </c>
      <c r="M450" s="69">
        <v>10.5</v>
      </c>
      <c r="N450" s="69">
        <v>9.7853940000000001</v>
      </c>
      <c r="O450" s="69"/>
      <c r="P450" s="69"/>
      <c r="Q450" s="69">
        <v>15.2</v>
      </c>
      <c r="R450" s="69"/>
      <c r="S450" s="69"/>
      <c r="T450" s="69">
        <v>8.6</v>
      </c>
      <c r="U450" s="69">
        <v>2.1</v>
      </c>
      <c r="V450" s="69">
        <v>2.4</v>
      </c>
      <c r="W450" s="69">
        <v>2.1</v>
      </c>
      <c r="X450" s="69"/>
      <c r="Y450" s="69">
        <v>2.9</v>
      </c>
      <c r="Z450" s="69">
        <v>5.6</v>
      </c>
      <c r="AA450" s="69">
        <v>6.5</v>
      </c>
      <c r="AB450" s="69"/>
      <c r="AC450" s="69"/>
      <c r="AD450" s="69">
        <v>4.9000000000000004</v>
      </c>
      <c r="AE450" s="69"/>
      <c r="AF450" s="69"/>
      <c r="AG450" s="69">
        <v>5.4</v>
      </c>
      <c r="AH450" s="69"/>
      <c r="AI450" s="69">
        <v>7.6</v>
      </c>
      <c r="AJ450" s="69">
        <v>8.2641410000000004</v>
      </c>
      <c r="AK450" s="69">
        <v>6.9849589999999999</v>
      </c>
      <c r="AL450" s="69"/>
    </row>
    <row r="451" spans="1:38" x14ac:dyDescent="0.2">
      <c r="A451" s="10">
        <v>33756</v>
      </c>
      <c r="B451" s="69">
        <v>10.81208</v>
      </c>
      <c r="C451" s="69"/>
      <c r="D451" s="69">
        <v>7.1</v>
      </c>
      <c r="E451" s="69">
        <v>11.4</v>
      </c>
      <c r="F451" s="69">
        <v>6.4199630000000001</v>
      </c>
      <c r="G451" s="69"/>
      <c r="H451" s="69">
        <v>6.5</v>
      </c>
      <c r="I451" s="69">
        <v>8.4</v>
      </c>
      <c r="J451" s="69">
        <v>16.7</v>
      </c>
      <c r="K451" s="69"/>
      <c r="L451" s="69">
        <v>11.6</v>
      </c>
      <c r="M451" s="69">
        <v>10.6</v>
      </c>
      <c r="N451" s="69">
        <v>9.8878059999999994</v>
      </c>
      <c r="O451" s="69"/>
      <c r="P451" s="69"/>
      <c r="Q451" s="69">
        <v>15.2</v>
      </c>
      <c r="R451" s="69"/>
      <c r="S451" s="69"/>
      <c r="T451" s="69">
        <v>8.6999999999999993</v>
      </c>
      <c r="U451" s="69">
        <v>2.1</v>
      </c>
      <c r="V451" s="69">
        <v>2.4</v>
      </c>
      <c r="W451" s="69">
        <v>2</v>
      </c>
      <c r="X451" s="69"/>
      <c r="Y451" s="69">
        <v>2.8</v>
      </c>
      <c r="Z451" s="69">
        <v>5.7</v>
      </c>
      <c r="AA451" s="69">
        <v>6.6</v>
      </c>
      <c r="AB451" s="69"/>
      <c r="AC451" s="69"/>
      <c r="AD451" s="69">
        <v>4.9000000000000004</v>
      </c>
      <c r="AE451" s="69"/>
      <c r="AF451" s="69"/>
      <c r="AG451" s="69">
        <v>5.4</v>
      </c>
      <c r="AH451" s="69"/>
      <c r="AI451" s="69">
        <v>7.8</v>
      </c>
      <c r="AJ451" s="69">
        <v>8.3599219999999992</v>
      </c>
      <c r="AK451" s="69">
        <v>7.1199539999999999</v>
      </c>
      <c r="AL451" s="69"/>
    </row>
    <row r="452" spans="1:38" x14ac:dyDescent="0.2">
      <c r="A452" s="10">
        <v>33786</v>
      </c>
      <c r="B452" s="69">
        <v>11.12781</v>
      </c>
      <c r="C452" s="69"/>
      <c r="D452" s="69">
        <v>7.1</v>
      </c>
      <c r="E452" s="69">
        <v>11.3</v>
      </c>
      <c r="F452" s="69">
        <v>6.532381</v>
      </c>
      <c r="G452" s="69"/>
      <c r="H452" s="69">
        <v>6.6</v>
      </c>
      <c r="I452" s="69">
        <v>8.5</v>
      </c>
      <c r="J452" s="69">
        <v>16.899999999999999</v>
      </c>
      <c r="K452" s="69"/>
      <c r="L452" s="69">
        <v>12.2</v>
      </c>
      <c r="M452" s="69">
        <v>10.7</v>
      </c>
      <c r="N452" s="69">
        <v>9.9365100000000002</v>
      </c>
      <c r="O452" s="69"/>
      <c r="P452" s="69"/>
      <c r="Q452" s="69">
        <v>15.4</v>
      </c>
      <c r="R452" s="69"/>
      <c r="S452" s="69"/>
      <c r="T452" s="69">
        <v>8.9</v>
      </c>
      <c r="U452" s="69">
        <v>2.1</v>
      </c>
      <c r="V452" s="69">
        <v>2.4</v>
      </c>
      <c r="W452" s="69">
        <v>2.1</v>
      </c>
      <c r="X452" s="69"/>
      <c r="Y452" s="69">
        <v>2.8</v>
      </c>
      <c r="Z452" s="69">
        <v>5.7</v>
      </c>
      <c r="AA452" s="69">
        <v>6.5</v>
      </c>
      <c r="AB452" s="69"/>
      <c r="AC452" s="69"/>
      <c r="AD452" s="69">
        <v>5</v>
      </c>
      <c r="AE452" s="69"/>
      <c r="AF452" s="69"/>
      <c r="AG452" s="69">
        <v>5.8</v>
      </c>
      <c r="AH452" s="69"/>
      <c r="AI452" s="69">
        <v>7.7</v>
      </c>
      <c r="AJ452" s="69">
        <v>8.4694369999999992</v>
      </c>
      <c r="AK452" s="69">
        <v>7.1008630000000004</v>
      </c>
      <c r="AL452" s="69"/>
    </row>
    <row r="453" spans="1:38" x14ac:dyDescent="0.2">
      <c r="A453" s="10">
        <v>33817</v>
      </c>
      <c r="B453" s="69">
        <v>10.72329</v>
      </c>
      <c r="C453" s="69"/>
      <c r="D453" s="69">
        <v>7.1</v>
      </c>
      <c r="E453" s="69">
        <v>11.7</v>
      </c>
      <c r="F453" s="69">
        <v>6.5709900000000001</v>
      </c>
      <c r="G453" s="69"/>
      <c r="H453" s="69">
        <v>6.8</v>
      </c>
      <c r="I453" s="69">
        <v>8.6999999999999993</v>
      </c>
      <c r="J453" s="69">
        <v>17.2</v>
      </c>
      <c r="K453" s="69"/>
      <c r="L453" s="69">
        <v>12.6</v>
      </c>
      <c r="M453" s="69">
        <v>10.8</v>
      </c>
      <c r="N453" s="69">
        <v>9.9370560000000001</v>
      </c>
      <c r="O453" s="69"/>
      <c r="P453" s="69"/>
      <c r="Q453" s="69">
        <v>15.5</v>
      </c>
      <c r="R453" s="69"/>
      <c r="S453" s="69"/>
      <c r="T453" s="69">
        <v>9</v>
      </c>
      <c r="U453" s="69">
        <v>2.2000000000000002</v>
      </c>
      <c r="V453" s="69">
        <v>2.6</v>
      </c>
      <c r="W453" s="69">
        <v>2.1</v>
      </c>
      <c r="X453" s="69"/>
      <c r="Y453" s="69">
        <v>2.6</v>
      </c>
      <c r="Z453" s="69">
        <v>5.8</v>
      </c>
      <c r="AA453" s="69">
        <v>6.6</v>
      </c>
      <c r="AB453" s="69"/>
      <c r="AC453" s="69"/>
      <c r="AD453" s="69">
        <v>5</v>
      </c>
      <c r="AE453" s="69"/>
      <c r="AF453" s="69"/>
      <c r="AG453" s="69">
        <v>6</v>
      </c>
      <c r="AH453" s="69"/>
      <c r="AI453" s="69">
        <v>7.6</v>
      </c>
      <c r="AJ453" s="69">
        <v>8.5864910000000005</v>
      </c>
      <c r="AK453" s="69">
        <v>7.1419329999999999</v>
      </c>
      <c r="AL453" s="69"/>
    </row>
    <row r="454" spans="1:38" x14ac:dyDescent="0.2">
      <c r="A454" s="10">
        <v>33848</v>
      </c>
      <c r="B454" s="69">
        <v>10.61706</v>
      </c>
      <c r="C454" s="69"/>
      <c r="D454" s="69">
        <v>7.2</v>
      </c>
      <c r="E454" s="69">
        <v>11.6</v>
      </c>
      <c r="F454" s="69">
        <v>6.5498789999999998</v>
      </c>
      <c r="G454" s="69"/>
      <c r="H454" s="69">
        <v>6.9</v>
      </c>
      <c r="I454" s="69">
        <v>8.8000000000000007</v>
      </c>
      <c r="J454" s="69">
        <v>17.5</v>
      </c>
      <c r="K454" s="69"/>
      <c r="L454" s="69">
        <v>13</v>
      </c>
      <c r="M454" s="69">
        <v>10.9</v>
      </c>
      <c r="N454" s="69">
        <v>10.068680000000001</v>
      </c>
      <c r="O454" s="69"/>
      <c r="P454" s="69"/>
      <c r="Q454" s="69">
        <v>15.6</v>
      </c>
      <c r="R454" s="69"/>
      <c r="S454" s="69"/>
      <c r="T454" s="69">
        <v>9.1</v>
      </c>
      <c r="U454" s="69">
        <v>2.2000000000000002</v>
      </c>
      <c r="V454" s="69">
        <v>2.7</v>
      </c>
      <c r="W454" s="69">
        <v>2.2000000000000002</v>
      </c>
      <c r="X454" s="69"/>
      <c r="Y454" s="69">
        <v>2.4</v>
      </c>
      <c r="Z454" s="69">
        <v>5.8</v>
      </c>
      <c r="AA454" s="69">
        <v>6.6</v>
      </c>
      <c r="AB454" s="69"/>
      <c r="AC454" s="69"/>
      <c r="AD454" s="69">
        <v>5.0999999999999996</v>
      </c>
      <c r="AE454" s="69"/>
      <c r="AF454" s="69"/>
      <c r="AG454" s="69">
        <v>6.1</v>
      </c>
      <c r="AH454" s="69"/>
      <c r="AI454" s="69">
        <v>7.6</v>
      </c>
      <c r="AJ454" s="69">
        <v>8.6988579999999995</v>
      </c>
      <c r="AK454" s="69">
        <v>7.1799390000000001</v>
      </c>
      <c r="AL454" s="69"/>
    </row>
    <row r="455" spans="1:38" x14ac:dyDescent="0.2">
      <c r="A455" s="10">
        <v>33878</v>
      </c>
      <c r="B455" s="69">
        <v>11.091430000000001</v>
      </c>
      <c r="C455" s="69"/>
      <c r="D455" s="69">
        <v>7.3</v>
      </c>
      <c r="E455" s="69">
        <v>11.4</v>
      </c>
      <c r="F455" s="69">
        <v>6.608174</v>
      </c>
      <c r="G455" s="69"/>
      <c r="H455" s="69">
        <v>7</v>
      </c>
      <c r="I455" s="69">
        <v>9</v>
      </c>
      <c r="J455" s="69">
        <v>18</v>
      </c>
      <c r="K455" s="69"/>
      <c r="L455" s="69">
        <v>13.3</v>
      </c>
      <c r="M455" s="69">
        <v>10.9</v>
      </c>
      <c r="N455" s="69">
        <v>10.24126</v>
      </c>
      <c r="O455" s="69"/>
      <c r="P455" s="69"/>
      <c r="Q455" s="69">
        <v>15.6</v>
      </c>
      <c r="R455" s="69"/>
      <c r="S455" s="69"/>
      <c r="T455" s="69">
        <v>8.9</v>
      </c>
      <c r="U455" s="69">
        <v>2.2000000000000002</v>
      </c>
      <c r="V455" s="69">
        <v>2.6</v>
      </c>
      <c r="W455" s="69">
        <v>2.2000000000000002</v>
      </c>
      <c r="X455" s="69"/>
      <c r="Y455" s="69">
        <v>2.6</v>
      </c>
      <c r="Z455" s="69">
        <v>5.9</v>
      </c>
      <c r="AA455" s="69">
        <v>6.7</v>
      </c>
      <c r="AB455" s="69"/>
      <c r="AC455" s="69"/>
      <c r="AD455" s="69">
        <v>5.0999999999999996</v>
      </c>
      <c r="AE455" s="69"/>
      <c r="AF455" s="69"/>
      <c r="AG455" s="69">
        <v>6.3</v>
      </c>
      <c r="AH455" s="69"/>
      <c r="AI455" s="69">
        <v>7.3</v>
      </c>
      <c r="AJ455" s="69">
        <v>8.8808070000000008</v>
      </c>
      <c r="AK455" s="69">
        <v>7.0721639999999999</v>
      </c>
      <c r="AL455" s="69"/>
    </row>
    <row r="456" spans="1:38" x14ac:dyDescent="0.2">
      <c r="A456" s="10">
        <v>33909</v>
      </c>
      <c r="B456" s="69">
        <v>11.13654</v>
      </c>
      <c r="C456" s="69"/>
      <c r="D456" s="69">
        <v>7.5</v>
      </c>
      <c r="E456" s="69">
        <v>12.1</v>
      </c>
      <c r="F456" s="69">
        <v>6.6613730000000002</v>
      </c>
      <c r="G456" s="69"/>
      <c r="H456" s="69">
        <v>7.1</v>
      </c>
      <c r="I456" s="69">
        <v>9.1</v>
      </c>
      <c r="J456" s="69">
        <v>18.399999999999999</v>
      </c>
      <c r="K456" s="69"/>
      <c r="L456" s="69">
        <v>13.6</v>
      </c>
      <c r="M456" s="69">
        <v>11</v>
      </c>
      <c r="N456" s="69">
        <v>10.371119999999999</v>
      </c>
      <c r="O456" s="69"/>
      <c r="P456" s="69"/>
      <c r="Q456" s="69">
        <v>15.7</v>
      </c>
      <c r="R456" s="69"/>
      <c r="S456" s="69"/>
      <c r="T456" s="69">
        <v>8.9</v>
      </c>
      <c r="U456" s="69">
        <v>2.2999999999999998</v>
      </c>
      <c r="V456" s="69">
        <v>2.6</v>
      </c>
      <c r="W456" s="69">
        <v>2.2000000000000002</v>
      </c>
      <c r="X456" s="69"/>
      <c r="Y456" s="69">
        <v>3.3</v>
      </c>
      <c r="Z456" s="69">
        <v>5.9</v>
      </c>
      <c r="AA456" s="69">
        <v>6.7</v>
      </c>
      <c r="AB456" s="69"/>
      <c r="AC456" s="69"/>
      <c r="AD456" s="69">
        <v>5.2</v>
      </c>
      <c r="AE456" s="69"/>
      <c r="AF456" s="69"/>
      <c r="AG456" s="69">
        <v>6.5</v>
      </c>
      <c r="AH456" s="69"/>
      <c r="AI456" s="69">
        <v>7.4</v>
      </c>
      <c r="AJ456" s="69">
        <v>8.9869199999999996</v>
      </c>
      <c r="AK456" s="69">
        <v>7.1925549999999996</v>
      </c>
      <c r="AL456" s="69"/>
    </row>
    <row r="457" spans="1:38" x14ac:dyDescent="0.2">
      <c r="A457" s="10">
        <v>33939</v>
      </c>
      <c r="B457" s="69">
        <v>11.217269999999999</v>
      </c>
      <c r="C457" s="69"/>
      <c r="D457" s="69">
        <v>7.7</v>
      </c>
      <c r="E457" s="69">
        <v>11.7</v>
      </c>
      <c r="F457" s="69">
        <v>6.6982759999999999</v>
      </c>
      <c r="G457" s="69"/>
      <c r="H457" s="69">
        <v>7.2</v>
      </c>
      <c r="I457" s="69">
        <v>9.3000000000000007</v>
      </c>
      <c r="J457" s="69">
        <v>18.8</v>
      </c>
      <c r="K457" s="69"/>
      <c r="L457" s="69">
        <v>13.9</v>
      </c>
      <c r="M457" s="69">
        <v>11.1</v>
      </c>
      <c r="N457" s="69">
        <v>10.545769999999999</v>
      </c>
      <c r="O457" s="69"/>
      <c r="P457" s="69"/>
      <c r="Q457" s="69">
        <v>15.7</v>
      </c>
      <c r="R457" s="69"/>
      <c r="S457" s="69"/>
      <c r="T457" s="69">
        <v>8.9</v>
      </c>
      <c r="U457" s="69">
        <v>2.2999999999999998</v>
      </c>
      <c r="V457" s="69">
        <v>2.6</v>
      </c>
      <c r="W457" s="69">
        <v>2.2000000000000002</v>
      </c>
      <c r="X457" s="69"/>
      <c r="Y457" s="69">
        <v>2.8</v>
      </c>
      <c r="Z457" s="69">
        <v>6</v>
      </c>
      <c r="AA457" s="69">
        <v>6.6</v>
      </c>
      <c r="AB457" s="69"/>
      <c r="AC457" s="69"/>
      <c r="AD457" s="69">
        <v>5.4</v>
      </c>
      <c r="AE457" s="69"/>
      <c r="AF457" s="69"/>
      <c r="AG457" s="69">
        <v>6.7</v>
      </c>
      <c r="AH457" s="69"/>
      <c r="AI457" s="69">
        <v>7.4</v>
      </c>
      <c r="AJ457" s="69">
        <v>9.1169360000000008</v>
      </c>
      <c r="AK457" s="69">
        <v>7.2189040000000002</v>
      </c>
      <c r="AL457" s="69"/>
    </row>
    <row r="458" spans="1:38" x14ac:dyDescent="0.2">
      <c r="A458" s="10">
        <v>33970</v>
      </c>
      <c r="B458" s="69">
        <v>10.834350000000001</v>
      </c>
      <c r="C458" s="69"/>
      <c r="D458" s="69">
        <v>7.8</v>
      </c>
      <c r="E458" s="69">
        <v>11.2</v>
      </c>
      <c r="F458" s="69">
        <v>6.5942550000000004</v>
      </c>
      <c r="G458" s="69">
        <v>4.5</v>
      </c>
      <c r="H458" s="69">
        <v>7.3</v>
      </c>
      <c r="I458" s="69">
        <v>9.5</v>
      </c>
      <c r="J458" s="69">
        <v>19.2</v>
      </c>
      <c r="K458" s="69"/>
      <c r="L458" s="69">
        <v>14.2</v>
      </c>
      <c r="M458" s="69">
        <v>11.2</v>
      </c>
      <c r="N458" s="69">
        <v>10.6839</v>
      </c>
      <c r="O458" s="69"/>
      <c r="P458" s="69"/>
      <c r="Q458" s="69">
        <v>15.8</v>
      </c>
      <c r="R458" s="69"/>
      <c r="S458" s="69"/>
      <c r="T458" s="69">
        <v>9</v>
      </c>
      <c r="U458" s="69">
        <v>2.2999999999999998</v>
      </c>
      <c r="V458" s="69">
        <v>2.8</v>
      </c>
      <c r="W458" s="69">
        <v>2.2000000000000002</v>
      </c>
      <c r="X458" s="69"/>
      <c r="Y458" s="69">
        <v>3</v>
      </c>
      <c r="Z458" s="69">
        <v>6.1</v>
      </c>
      <c r="AA458" s="69">
        <v>6.6</v>
      </c>
      <c r="AB458" s="69"/>
      <c r="AC458" s="69"/>
      <c r="AD458" s="69">
        <v>5.5</v>
      </c>
      <c r="AE458" s="69"/>
      <c r="AF458" s="69"/>
      <c r="AG458" s="69">
        <v>7.5</v>
      </c>
      <c r="AH458" s="69"/>
      <c r="AI458" s="69">
        <v>7.3</v>
      </c>
      <c r="AJ458" s="69">
        <v>9.4</v>
      </c>
      <c r="AK458" s="69">
        <v>7.1577630000000001</v>
      </c>
      <c r="AL458" s="69"/>
    </row>
    <row r="459" spans="1:38" x14ac:dyDescent="0.2">
      <c r="A459" s="10">
        <v>34001</v>
      </c>
      <c r="B459" s="69">
        <v>11.014849999999999</v>
      </c>
      <c r="C459" s="69"/>
      <c r="D459" s="69">
        <v>7.9</v>
      </c>
      <c r="E459" s="69">
        <v>11</v>
      </c>
      <c r="F459" s="69">
        <v>6.5767290000000003</v>
      </c>
      <c r="G459" s="69">
        <v>4.3</v>
      </c>
      <c r="H459" s="69">
        <v>7.4</v>
      </c>
      <c r="I459" s="69">
        <v>9.6</v>
      </c>
      <c r="J459" s="69">
        <v>19.5</v>
      </c>
      <c r="K459" s="69"/>
      <c r="L459" s="69">
        <v>14.7</v>
      </c>
      <c r="M459" s="69">
        <v>11.3</v>
      </c>
      <c r="N459" s="69">
        <v>10.61849</v>
      </c>
      <c r="O459" s="69"/>
      <c r="P459" s="69"/>
      <c r="Q459" s="69">
        <v>15.9</v>
      </c>
      <c r="R459" s="69"/>
      <c r="S459" s="69"/>
      <c r="T459" s="69">
        <v>9.1</v>
      </c>
      <c r="U459" s="69">
        <v>2.2999999999999998</v>
      </c>
      <c r="V459" s="69">
        <v>2.9</v>
      </c>
      <c r="W459" s="69">
        <v>2.2000000000000002</v>
      </c>
      <c r="X459" s="69"/>
      <c r="Y459" s="69">
        <v>3.5</v>
      </c>
      <c r="Z459" s="69">
        <v>6.2</v>
      </c>
      <c r="AA459" s="69">
        <v>6.6</v>
      </c>
      <c r="AB459" s="69"/>
      <c r="AC459" s="69"/>
      <c r="AD459" s="69">
        <v>5.7</v>
      </c>
      <c r="AE459" s="69"/>
      <c r="AF459" s="69"/>
      <c r="AG459" s="69">
        <v>7.6</v>
      </c>
      <c r="AH459" s="69"/>
      <c r="AI459" s="69">
        <v>7.1</v>
      </c>
      <c r="AJ459" s="69">
        <v>9.5</v>
      </c>
      <c r="AK459" s="69">
        <v>7.1376970000000002</v>
      </c>
      <c r="AL459" s="69"/>
    </row>
    <row r="460" spans="1:38" x14ac:dyDescent="0.2">
      <c r="A460" s="10">
        <v>34029</v>
      </c>
      <c r="B460" s="69">
        <v>10.858079999999999</v>
      </c>
      <c r="C460" s="69"/>
      <c r="D460" s="69">
        <v>8.1</v>
      </c>
      <c r="E460" s="69">
        <v>11.2</v>
      </c>
      <c r="F460" s="69">
        <v>6.4969049999999999</v>
      </c>
      <c r="G460" s="69">
        <v>4.4000000000000004</v>
      </c>
      <c r="H460" s="69">
        <v>7.5</v>
      </c>
      <c r="I460" s="69">
        <v>9.6999999999999993</v>
      </c>
      <c r="J460" s="69">
        <v>20</v>
      </c>
      <c r="K460" s="69"/>
      <c r="L460" s="69">
        <v>15.2</v>
      </c>
      <c r="M460" s="69">
        <v>11.4</v>
      </c>
      <c r="N460" s="69">
        <v>10.57991</v>
      </c>
      <c r="O460" s="69"/>
      <c r="P460" s="69"/>
      <c r="Q460" s="69">
        <v>15.8</v>
      </c>
      <c r="R460" s="69"/>
      <c r="S460" s="69"/>
      <c r="T460" s="69">
        <v>9.3000000000000007</v>
      </c>
      <c r="U460" s="69">
        <v>2.2999999999999998</v>
      </c>
      <c r="V460" s="69">
        <v>2.8</v>
      </c>
      <c r="W460" s="69">
        <v>2.2999999999999998</v>
      </c>
      <c r="X460" s="69"/>
      <c r="Y460" s="69">
        <v>3.5</v>
      </c>
      <c r="Z460" s="69">
        <v>6.3</v>
      </c>
      <c r="AA460" s="69">
        <v>6.8</v>
      </c>
      <c r="AB460" s="69"/>
      <c r="AC460" s="69"/>
      <c r="AD460" s="69">
        <v>5.9</v>
      </c>
      <c r="AE460" s="69"/>
      <c r="AF460" s="69"/>
      <c r="AG460" s="69">
        <v>8</v>
      </c>
      <c r="AH460" s="69"/>
      <c r="AI460" s="69">
        <v>7</v>
      </c>
      <c r="AJ460" s="69">
        <v>9.6999999999999993</v>
      </c>
      <c r="AK460" s="69">
        <v>7.134055</v>
      </c>
      <c r="AL460" s="69"/>
    </row>
    <row r="461" spans="1:38" x14ac:dyDescent="0.2">
      <c r="A461" s="10">
        <v>34060</v>
      </c>
      <c r="B461" s="69">
        <v>10.766260000000001</v>
      </c>
      <c r="C461" s="69"/>
      <c r="D461" s="69">
        <v>8.1999999999999993</v>
      </c>
      <c r="E461" s="69">
        <v>11.6</v>
      </c>
      <c r="F461" s="69">
        <v>6.3902960000000002</v>
      </c>
      <c r="G461" s="69">
        <v>4.4000000000000004</v>
      </c>
      <c r="H461" s="69">
        <v>7.5</v>
      </c>
      <c r="I461" s="69">
        <v>9.9</v>
      </c>
      <c r="J461" s="69">
        <v>20.2</v>
      </c>
      <c r="K461" s="69"/>
      <c r="L461" s="69">
        <v>15.6</v>
      </c>
      <c r="M461" s="69">
        <v>11.6</v>
      </c>
      <c r="N461" s="69">
        <v>10.454190000000001</v>
      </c>
      <c r="O461" s="69"/>
      <c r="P461" s="69"/>
      <c r="Q461" s="69">
        <v>15.8</v>
      </c>
      <c r="R461" s="69"/>
      <c r="S461" s="69"/>
      <c r="T461" s="69">
        <v>9.6999999999999993</v>
      </c>
      <c r="U461" s="69">
        <v>2.2999999999999998</v>
      </c>
      <c r="V461" s="69">
        <v>3</v>
      </c>
      <c r="W461" s="69">
        <v>2.4</v>
      </c>
      <c r="X461" s="69"/>
      <c r="Y461" s="69">
        <v>3</v>
      </c>
      <c r="Z461" s="69">
        <v>6.4</v>
      </c>
      <c r="AA461" s="69">
        <v>6.8</v>
      </c>
      <c r="AB461" s="69"/>
      <c r="AC461" s="69"/>
      <c r="AD461" s="69">
        <v>6.1</v>
      </c>
      <c r="AE461" s="69"/>
      <c r="AF461" s="69"/>
      <c r="AG461" s="69">
        <v>8.6</v>
      </c>
      <c r="AH461" s="69"/>
      <c r="AI461" s="69">
        <v>7.1</v>
      </c>
      <c r="AJ461" s="69">
        <v>9.9</v>
      </c>
      <c r="AK461" s="69">
        <v>7.1945480000000002</v>
      </c>
      <c r="AL461" s="69"/>
    </row>
    <row r="462" spans="1:38" x14ac:dyDescent="0.2">
      <c r="A462" s="10">
        <v>34090</v>
      </c>
      <c r="B462" s="69">
        <v>10.78655</v>
      </c>
      <c r="C462" s="69"/>
      <c r="D462" s="69">
        <v>8.4</v>
      </c>
      <c r="E462" s="69">
        <v>11.6</v>
      </c>
      <c r="F462" s="69">
        <v>6.2429920000000001</v>
      </c>
      <c r="G462" s="69">
        <v>4.4000000000000004</v>
      </c>
      <c r="H462" s="69">
        <v>7.6</v>
      </c>
      <c r="I462" s="69">
        <v>9.9</v>
      </c>
      <c r="J462" s="69">
        <v>20.399999999999999</v>
      </c>
      <c r="K462" s="69"/>
      <c r="L462" s="69">
        <v>16.100000000000001</v>
      </c>
      <c r="M462" s="69">
        <v>11.7</v>
      </c>
      <c r="N462" s="69">
        <v>10.384779999999999</v>
      </c>
      <c r="O462" s="69"/>
      <c r="P462" s="69"/>
      <c r="Q462" s="69">
        <v>15.8</v>
      </c>
      <c r="R462" s="69"/>
      <c r="S462" s="69"/>
      <c r="T462" s="69">
        <v>9.8000000000000007</v>
      </c>
      <c r="U462" s="69">
        <v>2.5</v>
      </c>
      <c r="V462" s="69">
        <v>3</v>
      </c>
      <c r="W462" s="69">
        <v>2.4</v>
      </c>
      <c r="X462" s="69"/>
      <c r="Y462" s="69">
        <v>3.3</v>
      </c>
      <c r="Z462" s="69">
        <v>6.4</v>
      </c>
      <c r="AA462" s="69">
        <v>6.6</v>
      </c>
      <c r="AB462" s="69"/>
      <c r="AC462" s="69"/>
      <c r="AD462" s="69">
        <v>6.2</v>
      </c>
      <c r="AE462" s="69"/>
      <c r="AF462" s="69"/>
      <c r="AG462" s="69">
        <v>8.6999999999999993</v>
      </c>
      <c r="AH462" s="69"/>
      <c r="AI462" s="69">
        <v>7.1</v>
      </c>
      <c r="AJ462" s="69">
        <v>10</v>
      </c>
      <c r="AK462" s="69">
        <v>7.2527689999999998</v>
      </c>
      <c r="AL462" s="69"/>
    </row>
    <row r="463" spans="1:38" x14ac:dyDescent="0.2">
      <c r="A463" s="10">
        <v>34121</v>
      </c>
      <c r="B463" s="69">
        <v>10.99423</v>
      </c>
      <c r="C463" s="69"/>
      <c r="D463" s="69">
        <v>8.5</v>
      </c>
      <c r="E463" s="69">
        <v>11.7</v>
      </c>
      <c r="F463" s="69">
        <v>6.2942609999999997</v>
      </c>
      <c r="G463" s="69">
        <v>4.4000000000000004</v>
      </c>
      <c r="H463" s="69">
        <v>7.7</v>
      </c>
      <c r="I463" s="69">
        <v>9.9</v>
      </c>
      <c r="J463" s="69">
        <v>20.9</v>
      </c>
      <c r="K463" s="69"/>
      <c r="L463" s="69">
        <v>16.5</v>
      </c>
      <c r="M463" s="69">
        <v>11.8</v>
      </c>
      <c r="N463" s="69">
        <v>10.37194</v>
      </c>
      <c r="O463" s="69"/>
      <c r="P463" s="69"/>
      <c r="Q463" s="69">
        <v>15.7</v>
      </c>
      <c r="R463" s="69"/>
      <c r="S463" s="69"/>
      <c r="T463" s="69">
        <v>9.9</v>
      </c>
      <c r="U463" s="69">
        <v>2.5</v>
      </c>
      <c r="V463" s="69">
        <v>3</v>
      </c>
      <c r="W463" s="69">
        <v>2.5</v>
      </c>
      <c r="X463" s="69"/>
      <c r="Y463" s="69">
        <v>3.2</v>
      </c>
      <c r="Z463" s="69">
        <v>6.5</v>
      </c>
      <c r="AA463" s="69">
        <v>6.6</v>
      </c>
      <c r="AB463" s="69"/>
      <c r="AC463" s="69"/>
      <c r="AD463" s="69">
        <v>6.3</v>
      </c>
      <c r="AE463" s="69"/>
      <c r="AF463" s="69"/>
      <c r="AG463" s="69">
        <v>9.8000000000000007</v>
      </c>
      <c r="AH463" s="69"/>
      <c r="AI463" s="69">
        <v>7</v>
      </c>
      <c r="AJ463" s="69">
        <v>10.199999999999999</v>
      </c>
      <c r="AK463" s="69">
        <v>7.2675470000000004</v>
      </c>
      <c r="AL463" s="69"/>
    </row>
    <row r="464" spans="1:38" x14ac:dyDescent="0.2">
      <c r="A464" s="10">
        <v>34151</v>
      </c>
      <c r="B464" s="69">
        <v>10.93708</v>
      </c>
      <c r="C464" s="69"/>
      <c r="D464" s="69">
        <v>8.6999999999999993</v>
      </c>
      <c r="E464" s="69">
        <v>11.6</v>
      </c>
      <c r="F464" s="69">
        <v>6.4292800000000003</v>
      </c>
      <c r="G464" s="69">
        <v>4.5</v>
      </c>
      <c r="H464" s="69">
        <v>7.8</v>
      </c>
      <c r="I464" s="69">
        <v>9.6999999999999993</v>
      </c>
      <c r="J464" s="69">
        <v>21.3</v>
      </c>
      <c r="K464" s="69"/>
      <c r="L464" s="69">
        <v>16.8</v>
      </c>
      <c r="M464" s="69">
        <v>11.9</v>
      </c>
      <c r="N464" s="69">
        <v>10.311489999999999</v>
      </c>
      <c r="O464" s="69"/>
      <c r="P464" s="69"/>
      <c r="Q464" s="69">
        <v>15.6</v>
      </c>
      <c r="R464" s="69"/>
      <c r="S464" s="69"/>
      <c r="T464" s="69">
        <v>9.9</v>
      </c>
      <c r="U464" s="69">
        <v>2.5</v>
      </c>
      <c r="V464" s="69">
        <v>3</v>
      </c>
      <c r="W464" s="69">
        <v>2.7</v>
      </c>
      <c r="X464" s="69"/>
      <c r="Y464" s="69">
        <v>3.3</v>
      </c>
      <c r="Z464" s="69">
        <v>6.6</v>
      </c>
      <c r="AA464" s="69">
        <v>6.6</v>
      </c>
      <c r="AB464" s="69"/>
      <c r="AC464" s="69"/>
      <c r="AD464" s="69">
        <v>6.4</v>
      </c>
      <c r="AE464" s="69"/>
      <c r="AF464" s="69"/>
      <c r="AG464" s="69">
        <v>9.6999999999999993</v>
      </c>
      <c r="AH464" s="69"/>
      <c r="AI464" s="69">
        <v>6.9</v>
      </c>
      <c r="AJ464" s="69">
        <v>10.3</v>
      </c>
      <c r="AK464" s="69">
        <v>7.2216250000000004</v>
      </c>
      <c r="AL464" s="69"/>
    </row>
    <row r="465" spans="1:38" x14ac:dyDescent="0.2">
      <c r="A465" s="10">
        <v>34182</v>
      </c>
      <c r="B465" s="69">
        <v>10.98404</v>
      </c>
      <c r="C465" s="69"/>
      <c r="D465" s="69">
        <v>8.9</v>
      </c>
      <c r="E465" s="69">
        <v>11.2</v>
      </c>
      <c r="F465" s="69">
        <v>6.482672</v>
      </c>
      <c r="G465" s="69">
        <v>4.2</v>
      </c>
      <c r="H465" s="69">
        <v>7.9</v>
      </c>
      <c r="I465" s="69">
        <v>9.5</v>
      </c>
      <c r="J465" s="69">
        <v>21.4</v>
      </c>
      <c r="K465" s="69"/>
      <c r="L465" s="69">
        <v>17.100000000000001</v>
      </c>
      <c r="M465" s="69">
        <v>12</v>
      </c>
      <c r="N465" s="69">
        <v>10.24657</v>
      </c>
      <c r="O465" s="69"/>
      <c r="P465" s="69"/>
      <c r="Q465" s="69">
        <v>15.5</v>
      </c>
      <c r="R465" s="69"/>
      <c r="S465" s="69"/>
      <c r="T465" s="69">
        <v>10</v>
      </c>
      <c r="U465" s="69">
        <v>2.5</v>
      </c>
      <c r="V465" s="69">
        <v>2.9</v>
      </c>
      <c r="W465" s="69">
        <v>2.8</v>
      </c>
      <c r="X465" s="69"/>
      <c r="Y465" s="69">
        <v>4</v>
      </c>
      <c r="Z465" s="69">
        <v>6.6</v>
      </c>
      <c r="AA465" s="69">
        <v>6.8</v>
      </c>
      <c r="AB465" s="69"/>
      <c r="AC465" s="69"/>
      <c r="AD465" s="69">
        <v>6.5</v>
      </c>
      <c r="AE465" s="69"/>
      <c r="AF465" s="69"/>
      <c r="AG465" s="69">
        <v>9.5</v>
      </c>
      <c r="AH465" s="69"/>
      <c r="AI465" s="69">
        <v>6.8</v>
      </c>
      <c r="AJ465" s="69">
        <v>10.4</v>
      </c>
      <c r="AK465" s="69">
        <v>7.1683479999999999</v>
      </c>
      <c r="AL465" s="69"/>
    </row>
    <row r="466" spans="1:38" x14ac:dyDescent="0.2">
      <c r="A466" s="10">
        <v>34213</v>
      </c>
      <c r="B466" s="69">
        <v>10.74207</v>
      </c>
      <c r="C466" s="69"/>
      <c r="D466" s="69">
        <v>9</v>
      </c>
      <c r="E466" s="69">
        <v>11.5</v>
      </c>
      <c r="F466" s="69">
        <v>6.4314470000000004</v>
      </c>
      <c r="G466" s="69">
        <v>4</v>
      </c>
      <c r="H466" s="69">
        <v>8</v>
      </c>
      <c r="I466" s="69">
        <v>9.5</v>
      </c>
      <c r="J466" s="69">
        <v>21.5</v>
      </c>
      <c r="K466" s="69"/>
      <c r="L466" s="69">
        <v>17.3</v>
      </c>
      <c r="M466" s="69">
        <v>12.2</v>
      </c>
      <c r="N466" s="69">
        <v>10.25075</v>
      </c>
      <c r="O466" s="69"/>
      <c r="P466" s="69"/>
      <c r="Q466" s="69">
        <v>15.5</v>
      </c>
      <c r="R466" s="69"/>
      <c r="S466" s="69"/>
      <c r="T466" s="69">
        <v>10</v>
      </c>
      <c r="U466" s="69">
        <v>2.6</v>
      </c>
      <c r="V466" s="69">
        <v>2.8</v>
      </c>
      <c r="W466" s="69">
        <v>2.9</v>
      </c>
      <c r="X466" s="69"/>
      <c r="Y466" s="69">
        <v>3.7</v>
      </c>
      <c r="Z466" s="69">
        <v>6.7</v>
      </c>
      <c r="AA466" s="69">
        <v>6.8</v>
      </c>
      <c r="AB466" s="69"/>
      <c r="AC466" s="69"/>
      <c r="AD466" s="69">
        <v>6.6</v>
      </c>
      <c r="AE466" s="69"/>
      <c r="AF466" s="69"/>
      <c r="AG466" s="69">
        <v>9.6999999999999993</v>
      </c>
      <c r="AH466" s="69"/>
      <c r="AI466" s="69">
        <v>6.7</v>
      </c>
      <c r="AJ466" s="69">
        <v>10.5</v>
      </c>
      <c r="AK466" s="69">
        <v>7.2093600000000002</v>
      </c>
      <c r="AL466" s="69"/>
    </row>
    <row r="467" spans="1:38" x14ac:dyDescent="0.2">
      <c r="A467" s="10">
        <v>34243</v>
      </c>
      <c r="B467" s="69">
        <v>10.957560000000001</v>
      </c>
      <c r="C467" s="69"/>
      <c r="D467" s="69">
        <v>9.1999999999999993</v>
      </c>
      <c r="E467" s="69">
        <v>11.3</v>
      </c>
      <c r="F467" s="69">
        <v>6.3745370000000001</v>
      </c>
      <c r="G467" s="69">
        <v>4.2</v>
      </c>
      <c r="H467" s="69">
        <v>8.1</v>
      </c>
      <c r="I467" s="69">
        <v>9.3000000000000007</v>
      </c>
      <c r="J467" s="69">
        <v>21.7</v>
      </c>
      <c r="K467" s="69"/>
      <c r="L467" s="69">
        <v>17.5</v>
      </c>
      <c r="M467" s="69">
        <v>12.3</v>
      </c>
      <c r="N467" s="69">
        <v>10.230409999999999</v>
      </c>
      <c r="O467" s="69"/>
      <c r="P467" s="69"/>
      <c r="Q467" s="69">
        <v>15.4</v>
      </c>
      <c r="R467" s="69"/>
      <c r="S467" s="69"/>
      <c r="T467" s="69">
        <v>10.4</v>
      </c>
      <c r="U467" s="69">
        <v>2.7</v>
      </c>
      <c r="V467" s="69">
        <v>3</v>
      </c>
      <c r="W467" s="69">
        <v>2.9</v>
      </c>
      <c r="X467" s="69"/>
      <c r="Y467" s="69">
        <v>3.4</v>
      </c>
      <c r="Z467" s="69">
        <v>6.7</v>
      </c>
      <c r="AA467" s="69">
        <v>6.7</v>
      </c>
      <c r="AB467" s="69"/>
      <c r="AC467" s="69"/>
      <c r="AD467" s="69">
        <v>6.7</v>
      </c>
      <c r="AE467" s="69"/>
      <c r="AF467" s="69"/>
      <c r="AG467" s="69">
        <v>9.8000000000000007</v>
      </c>
      <c r="AH467" s="69"/>
      <c r="AI467" s="69">
        <v>6.8</v>
      </c>
      <c r="AJ467" s="69">
        <v>10.6</v>
      </c>
      <c r="AK467" s="69">
        <v>7.2660799999999997</v>
      </c>
      <c r="AL467" s="69"/>
    </row>
    <row r="468" spans="1:38" x14ac:dyDescent="0.2">
      <c r="A468" s="10">
        <v>34274</v>
      </c>
      <c r="B468" s="69">
        <v>10.94914</v>
      </c>
      <c r="C468" s="69"/>
      <c r="D468" s="69">
        <v>9.3000000000000007</v>
      </c>
      <c r="E468" s="69">
        <v>11.2</v>
      </c>
      <c r="F468" s="69">
        <v>6.9039489999999999</v>
      </c>
      <c r="G468" s="69">
        <v>4.0999999999999996</v>
      </c>
      <c r="H468" s="69">
        <v>8.1999999999999993</v>
      </c>
      <c r="I468" s="69">
        <v>9.1</v>
      </c>
      <c r="J468" s="69">
        <v>21.9</v>
      </c>
      <c r="K468" s="69"/>
      <c r="L468" s="69">
        <v>17.5</v>
      </c>
      <c r="M468" s="69">
        <v>12.4</v>
      </c>
      <c r="N468" s="69">
        <v>10.25229</v>
      </c>
      <c r="O468" s="69"/>
      <c r="P468" s="69"/>
      <c r="Q468" s="69">
        <v>15.4</v>
      </c>
      <c r="R468" s="69"/>
      <c r="S468" s="69"/>
      <c r="T468" s="69">
        <v>10.4</v>
      </c>
      <c r="U468" s="69">
        <v>2.7</v>
      </c>
      <c r="V468" s="69">
        <v>2.8</v>
      </c>
      <c r="W468" s="69">
        <v>3</v>
      </c>
      <c r="X468" s="69"/>
      <c r="Y468" s="69">
        <v>3.5</v>
      </c>
      <c r="Z468" s="69">
        <v>6.7</v>
      </c>
      <c r="AA468" s="69">
        <v>6.4</v>
      </c>
      <c r="AB468" s="69"/>
      <c r="AC468" s="69"/>
      <c r="AD468" s="69">
        <v>6.8</v>
      </c>
      <c r="AE468" s="69"/>
      <c r="AF468" s="69"/>
      <c r="AG468" s="69">
        <v>9.8000000000000007</v>
      </c>
      <c r="AH468" s="69"/>
      <c r="AI468" s="69">
        <v>6.6</v>
      </c>
      <c r="AJ468" s="69">
        <v>10.7</v>
      </c>
      <c r="AK468" s="69">
        <v>7.2365050000000002</v>
      </c>
      <c r="AL468" s="69"/>
    </row>
    <row r="469" spans="1:38" x14ac:dyDescent="0.2">
      <c r="A469" s="10">
        <v>34304</v>
      </c>
      <c r="B469" s="69">
        <v>10.756270000000001</v>
      </c>
      <c r="C469" s="69"/>
      <c r="D469" s="69">
        <v>9.5</v>
      </c>
      <c r="E469" s="69">
        <v>11.4</v>
      </c>
      <c r="F469" s="69">
        <v>7.3245709999999997</v>
      </c>
      <c r="G469" s="69">
        <v>4.2</v>
      </c>
      <c r="H469" s="69">
        <v>8.3000000000000007</v>
      </c>
      <c r="I469" s="69">
        <v>8.8000000000000007</v>
      </c>
      <c r="J469" s="69">
        <v>22</v>
      </c>
      <c r="K469" s="69"/>
      <c r="L469" s="69">
        <v>17.600000000000001</v>
      </c>
      <c r="M469" s="69">
        <v>12.4</v>
      </c>
      <c r="N469" s="69">
        <v>10.250909999999999</v>
      </c>
      <c r="O469" s="69"/>
      <c r="P469" s="69"/>
      <c r="Q469" s="69">
        <v>15.4</v>
      </c>
      <c r="R469" s="69"/>
      <c r="S469" s="69"/>
      <c r="T469" s="69">
        <v>10.5</v>
      </c>
      <c r="U469" s="69">
        <v>2.8</v>
      </c>
      <c r="V469" s="69">
        <v>2.7</v>
      </c>
      <c r="W469" s="69">
        <v>3</v>
      </c>
      <c r="X469" s="69"/>
      <c r="Y469" s="69">
        <v>3.6</v>
      </c>
      <c r="Z469" s="69">
        <v>6.8</v>
      </c>
      <c r="AA469" s="69">
        <v>6</v>
      </c>
      <c r="AB469" s="69"/>
      <c r="AC469" s="69"/>
      <c r="AD469" s="69">
        <v>7</v>
      </c>
      <c r="AE469" s="69"/>
      <c r="AF469" s="69"/>
      <c r="AG469" s="69">
        <v>9.8000000000000007</v>
      </c>
      <c r="AH469" s="69"/>
      <c r="AI469" s="69">
        <v>6.5</v>
      </c>
      <c r="AJ469" s="69">
        <v>10.8</v>
      </c>
      <c r="AK469" s="69">
        <v>7.2518380000000002</v>
      </c>
      <c r="AL469" s="69"/>
    </row>
    <row r="470" spans="1:38" x14ac:dyDescent="0.2">
      <c r="A470" s="10">
        <v>34335</v>
      </c>
      <c r="B470" s="69">
        <v>10.5693</v>
      </c>
      <c r="C470" s="69"/>
      <c r="D470" s="69">
        <v>9.6</v>
      </c>
      <c r="E470" s="69">
        <v>11.4</v>
      </c>
      <c r="F470" s="69">
        <v>7.5443530000000001</v>
      </c>
      <c r="G470" s="69">
        <v>4.0999999999999996</v>
      </c>
      <c r="H470" s="69">
        <v>8.4</v>
      </c>
      <c r="I470" s="69">
        <v>8.6</v>
      </c>
      <c r="J470" s="69">
        <v>22.2</v>
      </c>
      <c r="K470" s="69"/>
      <c r="L470" s="69">
        <v>17.600000000000001</v>
      </c>
      <c r="M470" s="69">
        <v>12.5</v>
      </c>
      <c r="N470" s="69">
        <v>10.086539999999999</v>
      </c>
      <c r="O470" s="69"/>
      <c r="P470" s="69"/>
      <c r="Q470" s="69">
        <v>15.3</v>
      </c>
      <c r="R470" s="69"/>
      <c r="S470" s="69"/>
      <c r="T470" s="69">
        <v>10.4</v>
      </c>
      <c r="U470" s="69">
        <v>2.8</v>
      </c>
      <c r="V470" s="69">
        <v>2.7</v>
      </c>
      <c r="W470" s="69">
        <v>3.1</v>
      </c>
      <c r="X470" s="69"/>
      <c r="Y470" s="69">
        <v>3.7</v>
      </c>
      <c r="Z470" s="69">
        <v>6.8</v>
      </c>
      <c r="AA470" s="69">
        <v>6</v>
      </c>
      <c r="AB470" s="69"/>
      <c r="AC470" s="69"/>
      <c r="AD470" s="69">
        <v>7.2</v>
      </c>
      <c r="AE470" s="69"/>
      <c r="AF470" s="69"/>
      <c r="AG470" s="69">
        <v>9.9</v>
      </c>
      <c r="AH470" s="69"/>
      <c r="AI470" s="69">
        <v>6.6</v>
      </c>
      <c r="AJ470" s="69">
        <v>10.8</v>
      </c>
      <c r="AK470" s="69">
        <v>7.2753449999999997</v>
      </c>
      <c r="AL470" s="69"/>
    </row>
    <row r="471" spans="1:38" x14ac:dyDescent="0.2">
      <c r="A471" s="10">
        <v>34366</v>
      </c>
      <c r="B471" s="69">
        <v>10.399240000000001</v>
      </c>
      <c r="C471" s="69"/>
      <c r="D471" s="69">
        <v>9.6999999999999993</v>
      </c>
      <c r="E471" s="69">
        <v>11.1</v>
      </c>
      <c r="F471" s="69">
        <v>7.335223</v>
      </c>
      <c r="G471" s="69">
        <v>4.2</v>
      </c>
      <c r="H471" s="69">
        <v>8.5</v>
      </c>
      <c r="I471" s="69">
        <v>8.4</v>
      </c>
      <c r="J471" s="69">
        <v>22.3</v>
      </c>
      <c r="K471" s="69"/>
      <c r="L471" s="69">
        <v>16.600000000000001</v>
      </c>
      <c r="M471" s="69">
        <v>12.5</v>
      </c>
      <c r="N471" s="69">
        <v>9.9458210000000005</v>
      </c>
      <c r="O471" s="69"/>
      <c r="P471" s="69"/>
      <c r="Q471" s="69">
        <v>15.1</v>
      </c>
      <c r="R471" s="69"/>
      <c r="S471" s="69"/>
      <c r="T471" s="69">
        <v>10.4</v>
      </c>
      <c r="U471" s="69">
        <v>2.9</v>
      </c>
      <c r="V471" s="69">
        <v>2.7</v>
      </c>
      <c r="W471" s="69">
        <v>3.2</v>
      </c>
      <c r="X471" s="69"/>
      <c r="Y471" s="69">
        <v>3.6</v>
      </c>
      <c r="Z471" s="69">
        <v>6.8</v>
      </c>
      <c r="AA471" s="69">
        <v>6</v>
      </c>
      <c r="AB471" s="69"/>
      <c r="AC471" s="69"/>
      <c r="AD471" s="69">
        <v>7.3</v>
      </c>
      <c r="AE471" s="69"/>
      <c r="AF471" s="69"/>
      <c r="AG471" s="69">
        <v>9.8000000000000007</v>
      </c>
      <c r="AH471" s="69"/>
      <c r="AI471" s="69">
        <v>6.6</v>
      </c>
      <c r="AJ471" s="69">
        <v>10.9</v>
      </c>
      <c r="AK471" s="69">
        <v>7.2707420000000003</v>
      </c>
      <c r="AL471" s="69"/>
    </row>
    <row r="472" spans="1:38" x14ac:dyDescent="0.2">
      <c r="A472" s="10">
        <v>34394</v>
      </c>
      <c r="B472" s="69">
        <v>10.353540000000001</v>
      </c>
      <c r="C472" s="69"/>
      <c r="D472" s="69">
        <v>9.6999999999999993</v>
      </c>
      <c r="E472" s="69">
        <v>10.6</v>
      </c>
      <c r="F472" s="69">
        <v>7.4745619999999997</v>
      </c>
      <c r="G472" s="69">
        <v>4.0999999999999996</v>
      </c>
      <c r="H472" s="69">
        <v>8.5</v>
      </c>
      <c r="I472" s="69">
        <v>8.1999999999999993</v>
      </c>
      <c r="J472" s="69">
        <v>22.2</v>
      </c>
      <c r="K472" s="69"/>
      <c r="L472" s="69">
        <v>16.8</v>
      </c>
      <c r="M472" s="69">
        <v>12.5</v>
      </c>
      <c r="N472" s="69">
        <v>9.8133739999999996</v>
      </c>
      <c r="O472" s="69"/>
      <c r="P472" s="69"/>
      <c r="Q472" s="69">
        <v>15</v>
      </c>
      <c r="R472" s="69"/>
      <c r="S472" s="69"/>
      <c r="T472" s="69">
        <v>10.5</v>
      </c>
      <c r="U472" s="69">
        <v>2.9</v>
      </c>
      <c r="V472" s="69">
        <v>2.7</v>
      </c>
      <c r="W472" s="69">
        <v>3.3</v>
      </c>
      <c r="X472" s="69"/>
      <c r="Y472" s="69">
        <v>3.5</v>
      </c>
      <c r="Z472" s="69">
        <v>6.9</v>
      </c>
      <c r="AA472" s="69">
        <v>6</v>
      </c>
      <c r="AB472" s="69"/>
      <c r="AC472" s="69"/>
      <c r="AD472" s="69">
        <v>7.4</v>
      </c>
      <c r="AE472" s="69"/>
      <c r="AF472" s="69"/>
      <c r="AG472" s="69">
        <v>9.5</v>
      </c>
      <c r="AH472" s="69"/>
      <c r="AI472" s="69">
        <v>6.5</v>
      </c>
      <c r="AJ472" s="69">
        <v>10.9</v>
      </c>
      <c r="AK472" s="69">
        <v>7.2199450000000001</v>
      </c>
      <c r="AL472" s="69"/>
    </row>
    <row r="473" spans="1:38" x14ac:dyDescent="0.2">
      <c r="A473" s="10">
        <v>34425</v>
      </c>
      <c r="B473" s="69">
        <v>10.06194</v>
      </c>
      <c r="C473" s="69"/>
      <c r="D473" s="69">
        <v>9.8000000000000007</v>
      </c>
      <c r="E473" s="69">
        <v>10.9</v>
      </c>
      <c r="F473" s="69">
        <v>7.5841570000000003</v>
      </c>
      <c r="G473" s="69">
        <v>4.3</v>
      </c>
      <c r="H473" s="69">
        <v>8.6</v>
      </c>
      <c r="I473" s="69">
        <v>8</v>
      </c>
      <c r="J473" s="69">
        <v>22.2</v>
      </c>
      <c r="K473" s="69"/>
      <c r="L473" s="69">
        <v>17</v>
      </c>
      <c r="M473" s="69">
        <v>12.5</v>
      </c>
      <c r="N473" s="69">
        <v>9.7490769999999998</v>
      </c>
      <c r="O473" s="69"/>
      <c r="P473" s="69"/>
      <c r="Q473" s="69">
        <v>14.8</v>
      </c>
      <c r="R473" s="69"/>
      <c r="S473" s="69"/>
      <c r="T473" s="69">
        <v>10.5</v>
      </c>
      <c r="U473" s="69">
        <v>2.8</v>
      </c>
      <c r="V473" s="69">
        <v>2.7</v>
      </c>
      <c r="W473" s="69">
        <v>3.4</v>
      </c>
      <c r="X473" s="69"/>
      <c r="Y473" s="69">
        <v>3.6</v>
      </c>
      <c r="Z473" s="69">
        <v>6.9</v>
      </c>
      <c r="AA473" s="69">
        <v>6.1</v>
      </c>
      <c r="AB473" s="69"/>
      <c r="AC473" s="69"/>
      <c r="AD473" s="69">
        <v>7.5</v>
      </c>
      <c r="AE473" s="69"/>
      <c r="AF473" s="69"/>
      <c r="AG473" s="69">
        <v>9.3000000000000007</v>
      </c>
      <c r="AH473" s="69"/>
      <c r="AI473" s="69">
        <v>6.4</v>
      </c>
      <c r="AJ473" s="69">
        <v>10.9</v>
      </c>
      <c r="AK473" s="69">
        <v>7.1763199999999996</v>
      </c>
      <c r="AL473" s="69"/>
    </row>
    <row r="474" spans="1:38" x14ac:dyDescent="0.2">
      <c r="A474" s="10">
        <v>34455</v>
      </c>
      <c r="B474" s="69">
        <v>9.7667149999999996</v>
      </c>
      <c r="C474" s="69"/>
      <c r="D474" s="69">
        <v>9.8000000000000007</v>
      </c>
      <c r="E474" s="69">
        <v>10.7</v>
      </c>
      <c r="F474" s="69">
        <v>7.6750480000000003</v>
      </c>
      <c r="G474" s="69">
        <v>4.2</v>
      </c>
      <c r="H474" s="69">
        <v>8.5</v>
      </c>
      <c r="I474" s="69">
        <v>7.8</v>
      </c>
      <c r="J474" s="69">
        <v>22.2</v>
      </c>
      <c r="K474" s="69"/>
      <c r="L474" s="69">
        <v>17.100000000000001</v>
      </c>
      <c r="M474" s="69">
        <v>12.4</v>
      </c>
      <c r="N474" s="69">
        <v>9.7064570000000003</v>
      </c>
      <c r="O474" s="69"/>
      <c r="P474" s="69"/>
      <c r="Q474" s="69">
        <v>14.7</v>
      </c>
      <c r="R474" s="69"/>
      <c r="S474" s="69"/>
      <c r="T474" s="69">
        <v>10.6</v>
      </c>
      <c r="U474" s="69">
        <v>2.8</v>
      </c>
      <c r="V474" s="69">
        <v>2.5</v>
      </c>
      <c r="W474" s="69">
        <v>3.3</v>
      </c>
      <c r="X474" s="69"/>
      <c r="Y474" s="69">
        <v>3.3</v>
      </c>
      <c r="Z474" s="69">
        <v>7</v>
      </c>
      <c r="AA474" s="69">
        <v>6.2</v>
      </c>
      <c r="AB474" s="69"/>
      <c r="AC474" s="69"/>
      <c r="AD474" s="69">
        <v>7.6</v>
      </c>
      <c r="AE474" s="69"/>
      <c r="AF474" s="69"/>
      <c r="AG474" s="69">
        <v>9.1999999999999993</v>
      </c>
      <c r="AH474" s="69"/>
      <c r="AI474" s="69">
        <v>6.1</v>
      </c>
      <c r="AJ474" s="69">
        <v>10.9</v>
      </c>
      <c r="AK474" s="69">
        <v>7.0101589999999998</v>
      </c>
      <c r="AL474" s="69"/>
    </row>
    <row r="475" spans="1:38" x14ac:dyDescent="0.2">
      <c r="A475" s="10">
        <v>34486</v>
      </c>
      <c r="B475" s="69">
        <v>9.8210510000000006</v>
      </c>
      <c r="C475" s="69"/>
      <c r="D475" s="69">
        <v>9.8000000000000007</v>
      </c>
      <c r="E475" s="69">
        <v>10.3</v>
      </c>
      <c r="F475" s="69">
        <v>7.7280290000000003</v>
      </c>
      <c r="G475" s="69">
        <v>4.4000000000000004</v>
      </c>
      <c r="H475" s="69">
        <v>8.5</v>
      </c>
      <c r="I475" s="69">
        <v>7.7</v>
      </c>
      <c r="J475" s="69">
        <v>22.2</v>
      </c>
      <c r="K475" s="69"/>
      <c r="L475" s="69">
        <v>17.100000000000001</v>
      </c>
      <c r="M475" s="69">
        <v>12.3</v>
      </c>
      <c r="N475" s="69">
        <v>9.5864989999999999</v>
      </c>
      <c r="O475" s="69"/>
      <c r="P475" s="69"/>
      <c r="Q475" s="69">
        <v>14.5</v>
      </c>
      <c r="R475" s="69"/>
      <c r="S475" s="69"/>
      <c r="T475" s="69">
        <v>10.6</v>
      </c>
      <c r="U475" s="69">
        <v>2.8</v>
      </c>
      <c r="V475" s="69">
        <v>2.4</v>
      </c>
      <c r="W475" s="69">
        <v>3.2</v>
      </c>
      <c r="X475" s="69"/>
      <c r="Y475" s="69">
        <v>3.4</v>
      </c>
      <c r="Z475" s="69">
        <v>7.1</v>
      </c>
      <c r="AA475" s="69">
        <v>6.1</v>
      </c>
      <c r="AB475" s="69"/>
      <c r="AC475" s="69"/>
      <c r="AD475" s="69">
        <v>7.6</v>
      </c>
      <c r="AE475" s="69"/>
      <c r="AF475" s="69"/>
      <c r="AG475" s="69">
        <v>9.6</v>
      </c>
      <c r="AH475" s="69"/>
      <c r="AI475" s="69">
        <v>6.1</v>
      </c>
      <c r="AJ475" s="69">
        <v>10.9</v>
      </c>
      <c r="AK475" s="69">
        <v>6.9986100000000002</v>
      </c>
      <c r="AL475" s="69"/>
    </row>
    <row r="476" spans="1:38" x14ac:dyDescent="0.2">
      <c r="A476" s="10">
        <v>34516</v>
      </c>
      <c r="B476" s="69">
        <v>9.6282250000000005</v>
      </c>
      <c r="C476" s="69"/>
      <c r="D476" s="69">
        <v>9.8000000000000007</v>
      </c>
      <c r="E476" s="69">
        <v>10.1</v>
      </c>
      <c r="F476" s="69">
        <v>7.7108590000000001</v>
      </c>
      <c r="G476" s="69">
        <v>4.2</v>
      </c>
      <c r="H476" s="69">
        <v>8.5</v>
      </c>
      <c r="I476" s="69">
        <v>7.6</v>
      </c>
      <c r="J476" s="69">
        <v>22.1</v>
      </c>
      <c r="K476" s="69"/>
      <c r="L476" s="69">
        <v>16.899999999999999</v>
      </c>
      <c r="M476" s="69">
        <v>12.3</v>
      </c>
      <c r="N476" s="69">
        <v>9.5396129999999992</v>
      </c>
      <c r="O476" s="69"/>
      <c r="P476" s="69"/>
      <c r="Q476" s="69">
        <v>14.4</v>
      </c>
      <c r="R476" s="69"/>
      <c r="S476" s="69"/>
      <c r="T476" s="69">
        <v>10.4</v>
      </c>
      <c r="U476" s="69">
        <v>2.9</v>
      </c>
      <c r="V476" s="69">
        <v>2.4</v>
      </c>
      <c r="W476" s="69">
        <v>3.2</v>
      </c>
      <c r="X476" s="69"/>
      <c r="Y476" s="69">
        <v>3.5</v>
      </c>
      <c r="Z476" s="69">
        <v>7.2</v>
      </c>
      <c r="AA476" s="69">
        <v>5.9</v>
      </c>
      <c r="AB476" s="69"/>
      <c r="AC476" s="69"/>
      <c r="AD476" s="69">
        <v>7.7</v>
      </c>
      <c r="AE476" s="69"/>
      <c r="AF476" s="69"/>
      <c r="AG476" s="69">
        <v>9.4</v>
      </c>
      <c r="AH476" s="69"/>
      <c r="AI476" s="69">
        <v>6.1</v>
      </c>
      <c r="AJ476" s="69">
        <v>10.9</v>
      </c>
      <c r="AK476" s="69">
        <v>6.9891690000000004</v>
      </c>
      <c r="AL476" s="69"/>
    </row>
    <row r="477" spans="1:38" x14ac:dyDescent="0.2">
      <c r="A477" s="10">
        <v>34547</v>
      </c>
      <c r="B477" s="69">
        <v>9.445055</v>
      </c>
      <c r="C477" s="69"/>
      <c r="D477" s="69">
        <v>9.8000000000000007</v>
      </c>
      <c r="E477" s="69">
        <v>10.199999999999999</v>
      </c>
      <c r="F477" s="69">
        <v>7.8976160000000002</v>
      </c>
      <c r="G477" s="69">
        <v>4.5</v>
      </c>
      <c r="H477" s="69">
        <v>8.4</v>
      </c>
      <c r="I477" s="69">
        <v>7.5</v>
      </c>
      <c r="J477" s="69">
        <v>22</v>
      </c>
      <c r="K477" s="69"/>
      <c r="L477" s="69">
        <v>16.5</v>
      </c>
      <c r="M477" s="69">
        <v>12.2</v>
      </c>
      <c r="N477" s="69">
        <v>9.3597850000000005</v>
      </c>
      <c r="O477" s="69"/>
      <c r="P477" s="69"/>
      <c r="Q477" s="69">
        <v>14.1</v>
      </c>
      <c r="R477" s="69"/>
      <c r="S477" s="69"/>
      <c r="T477" s="69">
        <v>10.4</v>
      </c>
      <c r="U477" s="69">
        <v>3</v>
      </c>
      <c r="V477" s="69">
        <v>2.4</v>
      </c>
      <c r="W477" s="69">
        <v>3.1</v>
      </c>
      <c r="X477" s="69"/>
      <c r="Y477" s="69">
        <v>3.6</v>
      </c>
      <c r="Z477" s="69">
        <v>7.3</v>
      </c>
      <c r="AA477" s="69">
        <v>5.8</v>
      </c>
      <c r="AB477" s="69"/>
      <c r="AC477" s="69"/>
      <c r="AD477" s="69">
        <v>7.6</v>
      </c>
      <c r="AE477" s="69"/>
      <c r="AF477" s="69"/>
      <c r="AG477" s="69">
        <v>9.3000000000000007</v>
      </c>
      <c r="AH477" s="69"/>
      <c r="AI477" s="69">
        <v>6</v>
      </c>
      <c r="AJ477" s="69">
        <v>10.8</v>
      </c>
      <c r="AK477" s="69">
        <v>6.9513569999999998</v>
      </c>
      <c r="AL477" s="69"/>
    </row>
    <row r="478" spans="1:38" x14ac:dyDescent="0.2">
      <c r="A478" s="10">
        <v>34578</v>
      </c>
      <c r="B478" s="69">
        <v>9.35337</v>
      </c>
      <c r="C478" s="69"/>
      <c r="D478" s="69">
        <v>9.8000000000000007</v>
      </c>
      <c r="E478" s="69">
        <v>10.1</v>
      </c>
      <c r="F478" s="69">
        <v>8.2278330000000004</v>
      </c>
      <c r="G478" s="69">
        <v>4.4000000000000004</v>
      </c>
      <c r="H478" s="69">
        <v>8.4</v>
      </c>
      <c r="I478" s="69">
        <v>7.4</v>
      </c>
      <c r="J478" s="69">
        <v>22</v>
      </c>
      <c r="K478" s="69"/>
      <c r="L478" s="69">
        <v>16.2</v>
      </c>
      <c r="M478" s="69">
        <v>12.1</v>
      </c>
      <c r="N478" s="69">
        <v>9.2579879999999992</v>
      </c>
      <c r="O478" s="69"/>
      <c r="P478" s="69"/>
      <c r="Q478" s="69">
        <v>13.9</v>
      </c>
      <c r="R478" s="69"/>
      <c r="S478" s="69"/>
      <c r="T478" s="69">
        <v>10.4</v>
      </c>
      <c r="U478" s="69">
        <v>3</v>
      </c>
      <c r="V478" s="69">
        <v>2.5</v>
      </c>
      <c r="W478" s="69">
        <v>3.1</v>
      </c>
      <c r="X478" s="69"/>
      <c r="Y478" s="69">
        <v>3.6</v>
      </c>
      <c r="Z478" s="69">
        <v>7.4</v>
      </c>
      <c r="AA478" s="69">
        <v>6</v>
      </c>
      <c r="AB478" s="69"/>
      <c r="AC478" s="69"/>
      <c r="AD478" s="69">
        <v>7.7</v>
      </c>
      <c r="AE478" s="69"/>
      <c r="AF478" s="69"/>
      <c r="AG478" s="69">
        <v>9</v>
      </c>
      <c r="AH478" s="69"/>
      <c r="AI478" s="69">
        <v>5.9</v>
      </c>
      <c r="AJ478" s="69">
        <v>10.8</v>
      </c>
      <c r="AK478" s="69">
        <v>6.8740100000000002</v>
      </c>
      <c r="AL478" s="69"/>
    </row>
    <row r="479" spans="1:38" x14ac:dyDescent="0.2">
      <c r="A479" s="10">
        <v>34608</v>
      </c>
      <c r="B479" s="69">
        <v>9.0926840000000002</v>
      </c>
      <c r="C479" s="69"/>
      <c r="D479" s="69">
        <v>9.8000000000000007</v>
      </c>
      <c r="E479" s="69">
        <v>10</v>
      </c>
      <c r="F479" s="69">
        <v>8.482545</v>
      </c>
      <c r="G479" s="69">
        <v>4.4000000000000004</v>
      </c>
      <c r="H479" s="69">
        <v>8.3000000000000007</v>
      </c>
      <c r="I479" s="69">
        <v>7.3</v>
      </c>
      <c r="J479" s="69">
        <v>21.8</v>
      </c>
      <c r="K479" s="69"/>
      <c r="L479" s="69">
        <v>15.9</v>
      </c>
      <c r="M479" s="69">
        <v>12.1</v>
      </c>
      <c r="N479" s="69">
        <v>9.0788010000000003</v>
      </c>
      <c r="O479" s="69"/>
      <c r="P479" s="69"/>
      <c r="Q479" s="69">
        <v>13.7</v>
      </c>
      <c r="R479" s="69"/>
      <c r="S479" s="69"/>
      <c r="T479" s="69">
        <v>11.1</v>
      </c>
      <c r="U479" s="69">
        <v>3</v>
      </c>
      <c r="V479" s="69">
        <v>2.2999999999999998</v>
      </c>
      <c r="W479" s="69">
        <v>3.1</v>
      </c>
      <c r="X479" s="69"/>
      <c r="Y479" s="69">
        <v>3.9</v>
      </c>
      <c r="Z479" s="69">
        <v>7.5</v>
      </c>
      <c r="AA479" s="69">
        <v>5.9</v>
      </c>
      <c r="AB479" s="69"/>
      <c r="AC479" s="69"/>
      <c r="AD479" s="69">
        <v>7.8</v>
      </c>
      <c r="AE479" s="69"/>
      <c r="AF479" s="69"/>
      <c r="AG479" s="69">
        <v>9</v>
      </c>
      <c r="AH479" s="69"/>
      <c r="AI479" s="69">
        <v>5.8</v>
      </c>
      <c r="AJ479" s="69">
        <v>10.9</v>
      </c>
      <c r="AK479" s="69">
        <v>6.8487429999999998</v>
      </c>
      <c r="AL479" s="69"/>
    </row>
    <row r="480" spans="1:38" x14ac:dyDescent="0.2">
      <c r="A480" s="10">
        <v>34639</v>
      </c>
      <c r="B480" s="69">
        <v>9.1429270000000002</v>
      </c>
      <c r="C480" s="69"/>
      <c r="D480" s="69">
        <v>9.6999999999999993</v>
      </c>
      <c r="E480" s="69">
        <v>9.6999999999999993</v>
      </c>
      <c r="F480" s="69">
        <v>8.3731419999999996</v>
      </c>
      <c r="G480" s="69">
        <v>4.3</v>
      </c>
      <c r="H480" s="69">
        <v>8.3000000000000007</v>
      </c>
      <c r="I480" s="69">
        <v>7.2</v>
      </c>
      <c r="J480" s="69">
        <v>21.8</v>
      </c>
      <c r="K480" s="69"/>
      <c r="L480" s="69">
        <v>15.7</v>
      </c>
      <c r="M480" s="69">
        <v>12</v>
      </c>
      <c r="N480" s="69">
        <v>8.9637799999999999</v>
      </c>
      <c r="O480" s="69"/>
      <c r="P480" s="69"/>
      <c r="Q480" s="69">
        <v>13.5</v>
      </c>
      <c r="R480" s="69"/>
      <c r="S480" s="69"/>
      <c r="T480" s="69">
        <v>11.1</v>
      </c>
      <c r="U480" s="69">
        <v>2.9</v>
      </c>
      <c r="V480" s="69">
        <v>2.2000000000000002</v>
      </c>
      <c r="W480" s="69">
        <v>3</v>
      </c>
      <c r="X480" s="69"/>
      <c r="Y480" s="69">
        <v>4.0999999999999996</v>
      </c>
      <c r="Z480" s="69">
        <v>7.7</v>
      </c>
      <c r="AA480" s="69">
        <v>6</v>
      </c>
      <c r="AB480" s="69"/>
      <c r="AC480" s="69"/>
      <c r="AD480" s="69">
        <v>7.8</v>
      </c>
      <c r="AE480" s="69"/>
      <c r="AF480" s="69"/>
      <c r="AG480" s="69">
        <v>9</v>
      </c>
      <c r="AH480" s="69"/>
      <c r="AI480" s="69">
        <v>5.6</v>
      </c>
      <c r="AJ480" s="69">
        <v>10.8</v>
      </c>
      <c r="AK480" s="69">
        <v>6.7127230000000004</v>
      </c>
      <c r="AL480" s="69"/>
    </row>
    <row r="481" spans="1:38" x14ac:dyDescent="0.2">
      <c r="A481" s="10">
        <v>34669</v>
      </c>
      <c r="B481" s="69">
        <v>8.9352269999999994</v>
      </c>
      <c r="C481" s="69"/>
      <c r="D481" s="69">
        <v>9.6999999999999993</v>
      </c>
      <c r="E481" s="69">
        <v>9.6</v>
      </c>
      <c r="F481" s="69">
        <v>8.1146940000000001</v>
      </c>
      <c r="G481" s="69">
        <v>4.3</v>
      </c>
      <c r="H481" s="69">
        <v>8.1999999999999993</v>
      </c>
      <c r="I481" s="69">
        <v>7.1</v>
      </c>
      <c r="J481" s="69">
        <v>21.6</v>
      </c>
      <c r="K481" s="69"/>
      <c r="L481" s="69">
        <v>15.5</v>
      </c>
      <c r="M481" s="69">
        <v>11.9</v>
      </c>
      <c r="N481" s="69">
        <v>8.8925990000000006</v>
      </c>
      <c r="O481" s="69"/>
      <c r="P481" s="69"/>
      <c r="Q481" s="69">
        <v>13.2</v>
      </c>
      <c r="R481" s="69"/>
      <c r="S481" s="69"/>
      <c r="T481" s="69">
        <v>11.2</v>
      </c>
      <c r="U481" s="69">
        <v>2.9</v>
      </c>
      <c r="V481" s="69">
        <v>2.2000000000000002</v>
      </c>
      <c r="W481" s="69">
        <v>2.9</v>
      </c>
      <c r="X481" s="69"/>
      <c r="Y481" s="69">
        <v>4</v>
      </c>
      <c r="Z481" s="69">
        <v>7.8</v>
      </c>
      <c r="AA481" s="69">
        <v>6</v>
      </c>
      <c r="AB481" s="69"/>
      <c r="AC481" s="69"/>
      <c r="AD481" s="69">
        <v>7.8</v>
      </c>
      <c r="AE481" s="69"/>
      <c r="AF481" s="69"/>
      <c r="AG481" s="69">
        <v>9</v>
      </c>
      <c r="AH481" s="69"/>
      <c r="AI481" s="69">
        <v>5.5</v>
      </c>
      <c r="AJ481" s="69">
        <v>10.8</v>
      </c>
      <c r="AK481" s="69">
        <v>6.6439979999999998</v>
      </c>
      <c r="AL481" s="69"/>
    </row>
    <row r="482" spans="1:38" x14ac:dyDescent="0.2">
      <c r="A482" s="10">
        <v>34700</v>
      </c>
      <c r="B482" s="69">
        <v>8.8574310000000001</v>
      </c>
      <c r="C482" s="69"/>
      <c r="D482" s="69">
        <v>9.6999999999999993</v>
      </c>
      <c r="E482" s="69">
        <v>9.6</v>
      </c>
      <c r="F482" s="69">
        <v>7.8038340000000002</v>
      </c>
      <c r="G482" s="69">
        <v>4.2</v>
      </c>
      <c r="H482" s="69">
        <v>8.1999999999999993</v>
      </c>
      <c r="I482" s="69">
        <v>7</v>
      </c>
      <c r="J482" s="69">
        <v>21.4</v>
      </c>
      <c r="K482" s="69"/>
      <c r="L482" s="69">
        <v>15.3</v>
      </c>
      <c r="M482" s="69">
        <v>11.8</v>
      </c>
      <c r="N482" s="69">
        <v>8.8715759999999992</v>
      </c>
      <c r="O482" s="69"/>
      <c r="P482" s="69"/>
      <c r="Q482" s="69">
        <v>12.9</v>
      </c>
      <c r="R482" s="69"/>
      <c r="S482" s="69"/>
      <c r="T482" s="69">
        <v>11.2</v>
      </c>
      <c r="U482" s="69">
        <v>3</v>
      </c>
      <c r="V482" s="69">
        <v>2.1</v>
      </c>
      <c r="W482" s="69">
        <v>2.9</v>
      </c>
      <c r="X482" s="69"/>
      <c r="Y482" s="69">
        <v>4.4000000000000004</v>
      </c>
      <c r="Z482" s="69">
        <v>8</v>
      </c>
      <c r="AA482" s="69">
        <v>6</v>
      </c>
      <c r="AB482" s="69"/>
      <c r="AC482" s="69"/>
      <c r="AD482" s="69">
        <v>7.9</v>
      </c>
      <c r="AE482" s="69"/>
      <c r="AF482" s="69"/>
      <c r="AG482" s="69">
        <v>9</v>
      </c>
      <c r="AH482" s="69"/>
      <c r="AI482" s="69">
        <v>5.6</v>
      </c>
      <c r="AJ482" s="69">
        <v>10.7</v>
      </c>
      <c r="AK482" s="69">
        <v>6.6923599999999999</v>
      </c>
      <c r="AL482" s="69"/>
    </row>
    <row r="483" spans="1:38" x14ac:dyDescent="0.2">
      <c r="A483" s="10">
        <v>34731</v>
      </c>
      <c r="B483" s="69">
        <v>8.8235340000000004</v>
      </c>
      <c r="C483" s="69"/>
      <c r="D483" s="69">
        <v>9.6999999999999993</v>
      </c>
      <c r="E483" s="69">
        <v>9.6</v>
      </c>
      <c r="F483" s="69">
        <v>7.6685509999999999</v>
      </c>
      <c r="G483" s="69">
        <v>4.2</v>
      </c>
      <c r="H483" s="69">
        <v>8.1</v>
      </c>
      <c r="I483" s="69">
        <v>6.9</v>
      </c>
      <c r="J483" s="69">
        <v>21.2</v>
      </c>
      <c r="K483" s="69"/>
      <c r="L483" s="69">
        <v>15.1</v>
      </c>
      <c r="M483" s="69">
        <v>11.8</v>
      </c>
      <c r="N483" s="69">
        <v>8.8655190000000008</v>
      </c>
      <c r="O483" s="69"/>
      <c r="P483" s="69"/>
      <c r="Q483" s="69">
        <v>12.7</v>
      </c>
      <c r="R483" s="69"/>
      <c r="S483" s="69"/>
      <c r="T483" s="69">
        <v>11.2</v>
      </c>
      <c r="U483" s="69">
        <v>3</v>
      </c>
      <c r="V483" s="69">
        <v>2.2000000000000002</v>
      </c>
      <c r="W483" s="69">
        <v>2.9</v>
      </c>
      <c r="X483" s="69"/>
      <c r="Y483" s="69">
        <v>5.0999999999999996</v>
      </c>
      <c r="Z483" s="69">
        <v>8.1</v>
      </c>
      <c r="AA483" s="69">
        <v>6</v>
      </c>
      <c r="AB483" s="69"/>
      <c r="AC483" s="69"/>
      <c r="AD483" s="69">
        <v>8</v>
      </c>
      <c r="AE483" s="69"/>
      <c r="AF483" s="69"/>
      <c r="AG483" s="69">
        <v>8.8000000000000007</v>
      </c>
      <c r="AH483" s="69"/>
      <c r="AI483" s="69">
        <v>5.4</v>
      </c>
      <c r="AJ483" s="69">
        <v>10.7</v>
      </c>
      <c r="AK483" s="69">
        <v>6.6258710000000001</v>
      </c>
      <c r="AL483" s="69"/>
    </row>
    <row r="484" spans="1:38" x14ac:dyDescent="0.2">
      <c r="A484" s="10">
        <v>34759</v>
      </c>
      <c r="B484" s="69">
        <v>8.6169039999999999</v>
      </c>
      <c r="C484" s="69"/>
      <c r="D484" s="69">
        <v>9.6</v>
      </c>
      <c r="E484" s="69">
        <v>9.6999999999999993</v>
      </c>
      <c r="F484" s="69">
        <v>7.3858319999999997</v>
      </c>
      <c r="G484" s="69">
        <v>4.2</v>
      </c>
      <c r="H484" s="69">
        <v>8.1</v>
      </c>
      <c r="I484" s="69">
        <v>6.8</v>
      </c>
      <c r="J484" s="69">
        <v>20.9</v>
      </c>
      <c r="K484" s="69"/>
      <c r="L484" s="69">
        <v>14.9</v>
      </c>
      <c r="M484" s="69">
        <v>11.8</v>
      </c>
      <c r="N484" s="69">
        <v>8.8308949999999999</v>
      </c>
      <c r="O484" s="69"/>
      <c r="P484" s="69"/>
      <c r="Q484" s="69">
        <v>12.5</v>
      </c>
      <c r="R484" s="69"/>
      <c r="S484" s="69"/>
      <c r="T484" s="69">
        <v>11.3</v>
      </c>
      <c r="U484" s="69">
        <v>3.1</v>
      </c>
      <c r="V484" s="69">
        <v>2.1</v>
      </c>
      <c r="W484" s="69">
        <v>2.8</v>
      </c>
      <c r="X484" s="69"/>
      <c r="Y484" s="69">
        <v>5.6</v>
      </c>
      <c r="Z484" s="69">
        <v>8.1999999999999993</v>
      </c>
      <c r="AA484" s="69">
        <v>5.8</v>
      </c>
      <c r="AB484" s="69"/>
      <c r="AC484" s="69"/>
      <c r="AD484" s="69">
        <v>8</v>
      </c>
      <c r="AE484" s="69"/>
      <c r="AF484" s="69"/>
      <c r="AG484" s="69">
        <v>8.6999999999999993</v>
      </c>
      <c r="AH484" s="69"/>
      <c r="AI484" s="69">
        <v>5.4</v>
      </c>
      <c r="AJ484" s="69">
        <v>10.6</v>
      </c>
      <c r="AK484" s="69">
        <v>6.6485519999999996</v>
      </c>
      <c r="AL484" s="69"/>
    </row>
    <row r="485" spans="1:38" x14ac:dyDescent="0.2">
      <c r="A485" s="10">
        <v>34790</v>
      </c>
      <c r="B485" s="69">
        <v>8.2666459999999997</v>
      </c>
      <c r="C485" s="69"/>
      <c r="D485" s="69">
        <v>9.6</v>
      </c>
      <c r="E485" s="69">
        <v>9.5</v>
      </c>
      <c r="F485" s="69">
        <v>7.4639759999999997</v>
      </c>
      <c r="G485" s="69">
        <v>4.0999999999999996</v>
      </c>
      <c r="H485" s="69">
        <v>8.1</v>
      </c>
      <c r="I485" s="69">
        <v>6.8</v>
      </c>
      <c r="J485" s="69">
        <v>20.6</v>
      </c>
      <c r="K485" s="69"/>
      <c r="L485" s="69">
        <v>14.8</v>
      </c>
      <c r="M485" s="69">
        <v>11.8</v>
      </c>
      <c r="N485" s="69">
        <v>8.7666059999999995</v>
      </c>
      <c r="O485" s="69"/>
      <c r="P485" s="69"/>
      <c r="Q485" s="69">
        <v>12.3</v>
      </c>
      <c r="R485" s="69"/>
      <c r="S485" s="69"/>
      <c r="T485" s="69">
        <v>11.1</v>
      </c>
      <c r="U485" s="69">
        <v>3.1</v>
      </c>
      <c r="V485" s="69">
        <v>2</v>
      </c>
      <c r="W485" s="69">
        <v>2.8</v>
      </c>
      <c r="X485" s="69"/>
      <c r="Y485" s="69">
        <v>6.1</v>
      </c>
      <c r="Z485" s="69">
        <v>8.3000000000000007</v>
      </c>
      <c r="AA485" s="69">
        <v>5.7</v>
      </c>
      <c r="AB485" s="69"/>
      <c r="AC485" s="69"/>
      <c r="AD485" s="69">
        <v>8</v>
      </c>
      <c r="AE485" s="69"/>
      <c r="AF485" s="69"/>
      <c r="AG485" s="69">
        <v>8.8000000000000007</v>
      </c>
      <c r="AH485" s="69"/>
      <c r="AI485" s="69">
        <v>5.8</v>
      </c>
      <c r="AJ485" s="69">
        <v>10.6</v>
      </c>
      <c r="AK485" s="69">
        <v>6.7644950000000001</v>
      </c>
      <c r="AL485" s="69"/>
    </row>
    <row r="486" spans="1:38" x14ac:dyDescent="0.2">
      <c r="A486" s="10">
        <v>34820</v>
      </c>
      <c r="B486" s="69">
        <v>8.4744229999999998</v>
      </c>
      <c r="C486" s="69"/>
      <c r="D486" s="69">
        <v>9.6</v>
      </c>
      <c r="E486" s="69">
        <v>9.5</v>
      </c>
      <c r="F486" s="69">
        <v>7.4158869999999997</v>
      </c>
      <c r="G486" s="69">
        <v>4.0999999999999996</v>
      </c>
      <c r="H486" s="69">
        <v>8.1</v>
      </c>
      <c r="I486" s="69">
        <v>6.8</v>
      </c>
      <c r="J486" s="69">
        <v>20.5</v>
      </c>
      <c r="K486" s="69"/>
      <c r="L486" s="69">
        <v>14.8</v>
      </c>
      <c r="M486" s="69">
        <v>11.9</v>
      </c>
      <c r="N486" s="69">
        <v>8.6640160000000002</v>
      </c>
      <c r="O486" s="69"/>
      <c r="P486" s="69"/>
      <c r="Q486" s="69">
        <v>12.2</v>
      </c>
      <c r="R486" s="69"/>
      <c r="S486" s="69"/>
      <c r="T486" s="69">
        <v>11.1</v>
      </c>
      <c r="U486" s="69">
        <v>3</v>
      </c>
      <c r="V486" s="69">
        <v>2.1</v>
      </c>
      <c r="W486" s="69">
        <v>2.8</v>
      </c>
      <c r="X486" s="69"/>
      <c r="Y486" s="69">
        <v>6.5</v>
      </c>
      <c r="Z486" s="69">
        <v>8.4</v>
      </c>
      <c r="AA486" s="69">
        <v>5.5</v>
      </c>
      <c r="AB486" s="69"/>
      <c r="AC486" s="69"/>
      <c r="AD486" s="69">
        <v>7.9</v>
      </c>
      <c r="AE486" s="69"/>
      <c r="AF486" s="69"/>
      <c r="AG486" s="69">
        <v>8.6</v>
      </c>
      <c r="AH486" s="69"/>
      <c r="AI486" s="69">
        <v>5.6</v>
      </c>
      <c r="AJ486" s="69">
        <v>10.6</v>
      </c>
      <c r="AK486" s="69">
        <v>6.6924469999999996</v>
      </c>
      <c r="AL486" s="69"/>
    </row>
    <row r="487" spans="1:38" x14ac:dyDescent="0.2">
      <c r="A487" s="10">
        <v>34851</v>
      </c>
      <c r="B487" s="69">
        <v>8.3542009999999998</v>
      </c>
      <c r="C487" s="69"/>
      <c r="D487" s="69">
        <v>9.6</v>
      </c>
      <c r="E487" s="69">
        <v>9.5</v>
      </c>
      <c r="F487" s="69">
        <v>7.4036140000000001</v>
      </c>
      <c r="G487" s="69">
        <v>4.2</v>
      </c>
      <c r="H487" s="69">
        <v>8.1</v>
      </c>
      <c r="I487" s="69">
        <v>6.8</v>
      </c>
      <c r="J487" s="69">
        <v>20.6</v>
      </c>
      <c r="K487" s="69"/>
      <c r="L487" s="69">
        <v>14.9</v>
      </c>
      <c r="M487" s="69">
        <v>11.9</v>
      </c>
      <c r="N487" s="69">
        <v>8.668533</v>
      </c>
      <c r="O487" s="69"/>
      <c r="P487" s="69"/>
      <c r="Q487" s="69">
        <v>12.2</v>
      </c>
      <c r="R487" s="69"/>
      <c r="S487" s="69"/>
      <c r="T487" s="69">
        <v>11.1</v>
      </c>
      <c r="U487" s="69">
        <v>3.1</v>
      </c>
      <c r="V487" s="69">
        <v>2</v>
      </c>
      <c r="W487" s="69">
        <v>2.8</v>
      </c>
      <c r="X487" s="69"/>
      <c r="Y487" s="69">
        <v>6.7</v>
      </c>
      <c r="Z487" s="69">
        <v>8.4</v>
      </c>
      <c r="AA487" s="69">
        <v>5.4</v>
      </c>
      <c r="AB487" s="69"/>
      <c r="AC487" s="69"/>
      <c r="AD487" s="69">
        <v>7.8</v>
      </c>
      <c r="AE487" s="69"/>
      <c r="AF487" s="69"/>
      <c r="AG487" s="69">
        <v>8.6999999999999993</v>
      </c>
      <c r="AH487" s="69"/>
      <c r="AI487" s="69">
        <v>5.6</v>
      </c>
      <c r="AJ487" s="69">
        <v>10.6</v>
      </c>
      <c r="AK487" s="69">
        <v>6.7088679999999998</v>
      </c>
      <c r="AL487" s="69"/>
    </row>
    <row r="488" spans="1:38" x14ac:dyDescent="0.2">
      <c r="A488" s="10">
        <v>34881</v>
      </c>
      <c r="B488" s="69">
        <v>8.4248089999999998</v>
      </c>
      <c r="C488" s="69"/>
      <c r="D488" s="69">
        <v>9.6</v>
      </c>
      <c r="E488" s="69">
        <v>9.6</v>
      </c>
      <c r="F488" s="69">
        <v>7.2314040000000004</v>
      </c>
      <c r="G488" s="69">
        <v>4.0999999999999996</v>
      </c>
      <c r="H488" s="69">
        <v>8.1999999999999993</v>
      </c>
      <c r="I488" s="69">
        <v>6.7</v>
      </c>
      <c r="J488" s="69">
        <v>20.7</v>
      </c>
      <c r="K488" s="69"/>
      <c r="L488" s="69">
        <v>15</v>
      </c>
      <c r="M488" s="69">
        <v>11.9</v>
      </c>
      <c r="N488" s="69">
        <v>8.6241540000000008</v>
      </c>
      <c r="O488" s="69"/>
      <c r="P488" s="69"/>
      <c r="Q488" s="69">
        <v>12.1</v>
      </c>
      <c r="R488" s="69"/>
      <c r="S488" s="69"/>
      <c r="T488" s="69">
        <v>11.1</v>
      </c>
      <c r="U488" s="69">
        <v>3.1</v>
      </c>
      <c r="V488" s="69">
        <v>2</v>
      </c>
      <c r="W488" s="69">
        <v>2.8</v>
      </c>
      <c r="X488" s="69"/>
      <c r="Y488" s="69">
        <v>6.8</v>
      </c>
      <c r="Z488" s="69">
        <v>8.4</v>
      </c>
      <c r="AA488" s="69">
        <v>5.3</v>
      </c>
      <c r="AB488" s="69"/>
      <c r="AC488" s="69"/>
      <c r="AD488" s="69">
        <v>7.8</v>
      </c>
      <c r="AE488" s="69"/>
      <c r="AF488" s="69"/>
      <c r="AG488" s="69">
        <v>8.6</v>
      </c>
      <c r="AH488" s="69"/>
      <c r="AI488" s="69">
        <v>5.7</v>
      </c>
      <c r="AJ488" s="69">
        <v>10.6</v>
      </c>
      <c r="AK488" s="69">
        <v>6.7555959999999997</v>
      </c>
      <c r="AL488" s="69"/>
    </row>
    <row r="489" spans="1:38" x14ac:dyDescent="0.2">
      <c r="A489" s="10">
        <v>34912</v>
      </c>
      <c r="B489" s="69">
        <v>8.3201239999999999</v>
      </c>
      <c r="C489" s="69"/>
      <c r="D489" s="69">
        <v>9.6999999999999993</v>
      </c>
      <c r="E489" s="69">
        <v>9.5</v>
      </c>
      <c r="F489" s="69">
        <v>7.0519590000000001</v>
      </c>
      <c r="G489" s="69">
        <v>4</v>
      </c>
      <c r="H489" s="69">
        <v>8.3000000000000007</v>
      </c>
      <c r="I489" s="69">
        <v>6.7</v>
      </c>
      <c r="J489" s="69">
        <v>20.8</v>
      </c>
      <c r="K489" s="69"/>
      <c r="L489" s="69">
        <v>15</v>
      </c>
      <c r="M489" s="69">
        <v>12</v>
      </c>
      <c r="N489" s="69">
        <v>8.6480270000000008</v>
      </c>
      <c r="O489" s="69"/>
      <c r="P489" s="69"/>
      <c r="Q489" s="69">
        <v>12.1</v>
      </c>
      <c r="R489" s="69"/>
      <c r="S489" s="69"/>
      <c r="T489" s="69">
        <v>11.2</v>
      </c>
      <c r="U489" s="69">
        <v>3.2</v>
      </c>
      <c r="V489" s="69">
        <v>2.1</v>
      </c>
      <c r="W489" s="69">
        <v>2.8</v>
      </c>
      <c r="X489" s="69"/>
      <c r="Y489" s="69">
        <v>7.6</v>
      </c>
      <c r="Z489" s="69">
        <v>8.4</v>
      </c>
      <c r="AA489" s="69">
        <v>5.3</v>
      </c>
      <c r="AB489" s="69"/>
      <c r="AC489" s="69"/>
      <c r="AD489" s="69">
        <v>7.8</v>
      </c>
      <c r="AE489" s="69"/>
      <c r="AF489" s="69"/>
      <c r="AG489" s="69">
        <v>8.6999999999999993</v>
      </c>
      <c r="AH489" s="69"/>
      <c r="AI489" s="69">
        <v>5.7</v>
      </c>
      <c r="AJ489" s="69">
        <v>10.6</v>
      </c>
      <c r="AK489" s="69">
        <v>6.7783800000000003</v>
      </c>
      <c r="AL489" s="69"/>
    </row>
    <row r="490" spans="1:38" x14ac:dyDescent="0.2">
      <c r="A490" s="10">
        <v>34943</v>
      </c>
      <c r="B490" s="69">
        <v>8.3621259999999999</v>
      </c>
      <c r="C490" s="69"/>
      <c r="D490" s="69">
        <v>9.6999999999999993</v>
      </c>
      <c r="E490" s="69">
        <v>9.1999999999999993</v>
      </c>
      <c r="F490" s="69">
        <v>6.9377370000000003</v>
      </c>
      <c r="G490" s="69">
        <v>3.8</v>
      </c>
      <c r="H490" s="69">
        <v>8.3000000000000007</v>
      </c>
      <c r="I490" s="69">
        <v>6.7</v>
      </c>
      <c r="J490" s="69">
        <v>20.9</v>
      </c>
      <c r="K490" s="69"/>
      <c r="L490" s="69">
        <v>15</v>
      </c>
      <c r="M490" s="69">
        <v>12.1</v>
      </c>
      <c r="N490" s="69">
        <v>8.6112409999999997</v>
      </c>
      <c r="O490" s="69"/>
      <c r="P490" s="69"/>
      <c r="Q490" s="69">
        <v>12.1</v>
      </c>
      <c r="R490" s="69"/>
      <c r="S490" s="69"/>
      <c r="T490" s="69">
        <v>11.2</v>
      </c>
      <c r="U490" s="69">
        <v>3.2</v>
      </c>
      <c r="V490" s="69">
        <v>2.2000000000000002</v>
      </c>
      <c r="W490" s="69">
        <v>2.9</v>
      </c>
      <c r="X490" s="69"/>
      <c r="Y490" s="69">
        <v>6.7</v>
      </c>
      <c r="Z490" s="69">
        <v>8.4</v>
      </c>
      <c r="AA490" s="69">
        <v>5.2</v>
      </c>
      <c r="AB490" s="69"/>
      <c r="AC490" s="69"/>
      <c r="AD490" s="69">
        <v>7.8</v>
      </c>
      <c r="AE490" s="69"/>
      <c r="AF490" s="69"/>
      <c r="AG490" s="69">
        <v>8.6999999999999993</v>
      </c>
      <c r="AH490" s="69"/>
      <c r="AI490" s="69">
        <v>5.6</v>
      </c>
      <c r="AJ490" s="69">
        <v>10.7</v>
      </c>
      <c r="AK490" s="69">
        <v>6.7629789999999996</v>
      </c>
      <c r="AL490" s="69"/>
    </row>
    <row r="491" spans="1:38" x14ac:dyDescent="0.2">
      <c r="A491" s="10">
        <v>34973</v>
      </c>
      <c r="B491" s="69">
        <v>8.5751369999999998</v>
      </c>
      <c r="C491" s="69"/>
      <c r="D491" s="69">
        <v>9.8000000000000007</v>
      </c>
      <c r="E491" s="69">
        <v>9.3000000000000007</v>
      </c>
      <c r="F491" s="69">
        <v>6.8951099999999999</v>
      </c>
      <c r="G491" s="69">
        <v>4</v>
      </c>
      <c r="H491" s="69">
        <v>8.4</v>
      </c>
      <c r="I491" s="69">
        <v>6.6</v>
      </c>
      <c r="J491" s="69">
        <v>20.7</v>
      </c>
      <c r="K491" s="69"/>
      <c r="L491" s="69">
        <v>15.1</v>
      </c>
      <c r="M491" s="69">
        <v>12.1</v>
      </c>
      <c r="N491" s="69">
        <v>8.5521890000000003</v>
      </c>
      <c r="O491" s="69"/>
      <c r="P491" s="69"/>
      <c r="Q491" s="69">
        <v>12.1</v>
      </c>
      <c r="R491" s="69"/>
      <c r="S491" s="69"/>
      <c r="T491" s="69">
        <v>11.1</v>
      </c>
      <c r="U491" s="69">
        <v>3.2</v>
      </c>
      <c r="V491" s="69">
        <v>2.2000000000000002</v>
      </c>
      <c r="W491" s="69">
        <v>2.9</v>
      </c>
      <c r="X491" s="69"/>
      <c r="Y491" s="69">
        <v>6.6</v>
      </c>
      <c r="Z491" s="69">
        <v>8.4</v>
      </c>
      <c r="AA491" s="69">
        <v>5.0999999999999996</v>
      </c>
      <c r="AB491" s="69"/>
      <c r="AC491" s="69"/>
      <c r="AD491" s="69">
        <v>8</v>
      </c>
      <c r="AE491" s="69"/>
      <c r="AF491" s="69"/>
      <c r="AG491" s="69">
        <v>8.9</v>
      </c>
      <c r="AH491" s="69"/>
      <c r="AI491" s="69">
        <v>5.5</v>
      </c>
      <c r="AJ491" s="69">
        <v>10.7</v>
      </c>
      <c r="AK491" s="69">
        <v>6.7196160000000003</v>
      </c>
      <c r="AL491" s="69"/>
    </row>
    <row r="492" spans="1:38" x14ac:dyDescent="0.2">
      <c r="A492" s="10">
        <v>35004</v>
      </c>
      <c r="B492" s="69">
        <v>8.4518149999999999</v>
      </c>
      <c r="C492" s="69"/>
      <c r="D492" s="69">
        <v>9.8000000000000007</v>
      </c>
      <c r="E492" s="69">
        <v>9.1999999999999993</v>
      </c>
      <c r="F492" s="69">
        <v>7.0984800000000003</v>
      </c>
      <c r="G492" s="69">
        <v>3.6</v>
      </c>
      <c r="H492" s="69">
        <v>8.4</v>
      </c>
      <c r="I492" s="69">
        <v>6.7</v>
      </c>
      <c r="J492" s="69">
        <v>20.7</v>
      </c>
      <c r="K492" s="69"/>
      <c r="L492" s="69">
        <v>15.2</v>
      </c>
      <c r="M492" s="69">
        <v>12.2</v>
      </c>
      <c r="N492" s="69">
        <v>8.3038900000000009</v>
      </c>
      <c r="O492" s="69"/>
      <c r="P492" s="69"/>
      <c r="Q492" s="69">
        <v>12.1</v>
      </c>
      <c r="R492" s="69"/>
      <c r="S492" s="69"/>
      <c r="T492" s="69">
        <v>11.1</v>
      </c>
      <c r="U492" s="69">
        <v>3.4</v>
      </c>
      <c r="V492" s="69">
        <v>2</v>
      </c>
      <c r="W492" s="69">
        <v>2.9</v>
      </c>
      <c r="X492" s="69"/>
      <c r="Y492" s="69">
        <v>6.4</v>
      </c>
      <c r="Z492" s="69">
        <v>8.3000000000000007</v>
      </c>
      <c r="AA492" s="69">
        <v>5</v>
      </c>
      <c r="AB492" s="69"/>
      <c r="AC492" s="69"/>
      <c r="AD492" s="69">
        <v>8</v>
      </c>
      <c r="AE492" s="69"/>
      <c r="AF492" s="69"/>
      <c r="AG492" s="69">
        <v>9</v>
      </c>
      <c r="AH492" s="69"/>
      <c r="AI492" s="69">
        <v>5.6</v>
      </c>
      <c r="AJ492" s="69">
        <v>10.7</v>
      </c>
      <c r="AK492" s="69">
        <v>6.7727170000000001</v>
      </c>
      <c r="AL492" s="69"/>
    </row>
    <row r="493" spans="1:38" x14ac:dyDescent="0.2">
      <c r="A493" s="10">
        <v>35034</v>
      </c>
      <c r="B493" s="69">
        <v>8.1440640000000002</v>
      </c>
      <c r="C493" s="69"/>
      <c r="D493" s="69">
        <v>9.8000000000000007</v>
      </c>
      <c r="E493" s="69">
        <v>9.4</v>
      </c>
      <c r="F493" s="69">
        <v>7.5181060000000004</v>
      </c>
      <c r="G493" s="69">
        <v>3.6</v>
      </c>
      <c r="H493" s="69">
        <v>8.5</v>
      </c>
      <c r="I493" s="69">
        <v>6.6</v>
      </c>
      <c r="J493" s="69">
        <v>20.5</v>
      </c>
      <c r="K493" s="69"/>
      <c r="L493" s="69">
        <v>15.3</v>
      </c>
      <c r="M493" s="69">
        <v>12.2</v>
      </c>
      <c r="N493" s="69">
        <v>8.3789350000000002</v>
      </c>
      <c r="O493" s="69"/>
      <c r="P493" s="69"/>
      <c r="Q493" s="69">
        <v>12.1</v>
      </c>
      <c r="R493" s="69"/>
      <c r="S493" s="69"/>
      <c r="T493" s="69">
        <v>11.1</v>
      </c>
      <c r="U493" s="69">
        <v>3.4</v>
      </c>
      <c r="V493" s="69">
        <v>1.9</v>
      </c>
      <c r="W493" s="69">
        <v>2.9</v>
      </c>
      <c r="X493" s="69"/>
      <c r="Y493" s="69">
        <v>6.6</v>
      </c>
      <c r="Z493" s="69">
        <v>8.3000000000000007</v>
      </c>
      <c r="AA493" s="69">
        <v>5.0999999999999996</v>
      </c>
      <c r="AB493" s="69"/>
      <c r="AC493" s="69"/>
      <c r="AD493" s="69">
        <v>8</v>
      </c>
      <c r="AE493" s="69"/>
      <c r="AF493" s="69"/>
      <c r="AG493" s="69">
        <v>9</v>
      </c>
      <c r="AH493" s="69"/>
      <c r="AI493" s="69">
        <v>5.6</v>
      </c>
      <c r="AJ493" s="69">
        <v>10.7</v>
      </c>
      <c r="AK493" s="69">
        <v>6.804411</v>
      </c>
      <c r="AL493" s="69"/>
    </row>
    <row r="494" spans="1:38" x14ac:dyDescent="0.2">
      <c r="A494" s="10">
        <v>35065</v>
      </c>
      <c r="B494" s="69">
        <v>8.4544700000000006</v>
      </c>
      <c r="C494" s="69"/>
      <c r="D494" s="69">
        <v>9.9</v>
      </c>
      <c r="E494" s="69">
        <v>9.4</v>
      </c>
      <c r="F494" s="69">
        <v>7.4855340000000004</v>
      </c>
      <c r="G494" s="69">
        <v>3.9</v>
      </c>
      <c r="H494" s="69">
        <v>8.5</v>
      </c>
      <c r="I494" s="69">
        <v>6.6</v>
      </c>
      <c r="J494" s="69">
        <v>20.399999999999999</v>
      </c>
      <c r="K494" s="69"/>
      <c r="L494" s="69">
        <v>15.2</v>
      </c>
      <c r="M494" s="69">
        <v>12.3</v>
      </c>
      <c r="N494" s="69">
        <v>8.3173200000000005</v>
      </c>
      <c r="O494" s="69"/>
      <c r="P494" s="69">
        <v>10.3</v>
      </c>
      <c r="Q494" s="69">
        <v>12.1</v>
      </c>
      <c r="R494" s="69"/>
      <c r="S494" s="69"/>
      <c r="T494" s="69">
        <v>11</v>
      </c>
      <c r="U494" s="69">
        <v>3.5</v>
      </c>
      <c r="V494" s="69">
        <v>1.9</v>
      </c>
      <c r="W494" s="69">
        <v>3</v>
      </c>
      <c r="X494" s="69"/>
      <c r="Y494" s="69">
        <v>6.2</v>
      </c>
      <c r="Z494" s="69">
        <v>8.1999999999999993</v>
      </c>
      <c r="AA494" s="69">
        <v>4.8</v>
      </c>
      <c r="AB494" s="69"/>
      <c r="AC494" s="69"/>
      <c r="AD494" s="69">
        <v>8</v>
      </c>
      <c r="AE494" s="69"/>
      <c r="AF494" s="69">
        <v>7.2</v>
      </c>
      <c r="AG494" s="69">
        <v>8.6999999999999993</v>
      </c>
      <c r="AH494" s="69"/>
      <c r="AI494" s="69">
        <v>5.6</v>
      </c>
      <c r="AJ494" s="69">
        <v>10.7</v>
      </c>
      <c r="AK494" s="69">
        <v>6.8335369999999998</v>
      </c>
      <c r="AL494" s="69"/>
    </row>
    <row r="495" spans="1:38" x14ac:dyDescent="0.2">
      <c r="A495" s="10">
        <v>35096</v>
      </c>
      <c r="B495" s="69">
        <v>8.3267779999999991</v>
      </c>
      <c r="C495" s="69"/>
      <c r="D495" s="69">
        <v>9.9</v>
      </c>
      <c r="E495" s="69">
        <v>9.5</v>
      </c>
      <c r="F495" s="69">
        <v>6.8612580000000003</v>
      </c>
      <c r="G495" s="69">
        <v>3.4</v>
      </c>
      <c r="H495" s="69">
        <v>8.6</v>
      </c>
      <c r="I495" s="69">
        <v>6.7</v>
      </c>
      <c r="J495" s="69">
        <v>20.3</v>
      </c>
      <c r="K495" s="69"/>
      <c r="L495" s="69">
        <v>15.1</v>
      </c>
      <c r="M495" s="69">
        <v>12.3</v>
      </c>
      <c r="N495" s="69">
        <v>8.2342010000000005</v>
      </c>
      <c r="O495" s="69"/>
      <c r="P495" s="69">
        <v>10.1</v>
      </c>
      <c r="Q495" s="69">
        <v>12</v>
      </c>
      <c r="R495" s="69"/>
      <c r="S495" s="69"/>
      <c r="T495" s="69">
        <v>11</v>
      </c>
      <c r="U495" s="69">
        <v>3.4</v>
      </c>
      <c r="V495" s="69">
        <v>1.9</v>
      </c>
      <c r="W495" s="69">
        <v>3</v>
      </c>
      <c r="X495" s="69"/>
      <c r="Y495" s="69">
        <v>6.1</v>
      </c>
      <c r="Z495" s="69">
        <v>8.1</v>
      </c>
      <c r="AA495" s="69">
        <v>5</v>
      </c>
      <c r="AB495" s="69"/>
      <c r="AC495" s="69"/>
      <c r="AD495" s="69">
        <v>8</v>
      </c>
      <c r="AE495" s="69"/>
      <c r="AF495" s="69">
        <v>7.1</v>
      </c>
      <c r="AG495" s="69">
        <v>9.1999999999999993</v>
      </c>
      <c r="AH495" s="69"/>
      <c r="AI495" s="69">
        <v>5.5</v>
      </c>
      <c r="AJ495" s="69">
        <v>10.8</v>
      </c>
      <c r="AK495" s="69">
        <v>6.7565540000000004</v>
      </c>
      <c r="AL495" s="69"/>
    </row>
    <row r="496" spans="1:38" x14ac:dyDescent="0.2">
      <c r="A496" s="10">
        <v>35125</v>
      </c>
      <c r="B496" s="69">
        <v>8.4209750000000003</v>
      </c>
      <c r="C496" s="69"/>
      <c r="D496" s="69">
        <v>9.8000000000000007</v>
      </c>
      <c r="E496" s="69">
        <v>9.6</v>
      </c>
      <c r="F496" s="69">
        <v>6.3372549999999999</v>
      </c>
      <c r="G496" s="69">
        <v>3.6</v>
      </c>
      <c r="H496" s="69">
        <v>8.6</v>
      </c>
      <c r="I496" s="69">
        <v>6.7</v>
      </c>
      <c r="J496" s="69">
        <v>20.3</v>
      </c>
      <c r="K496" s="69"/>
      <c r="L496" s="69">
        <v>13.9</v>
      </c>
      <c r="M496" s="69">
        <v>12.3</v>
      </c>
      <c r="N496" s="69">
        <v>8.294613</v>
      </c>
      <c r="O496" s="69"/>
      <c r="P496" s="69">
        <v>10</v>
      </c>
      <c r="Q496" s="69">
        <v>11.9</v>
      </c>
      <c r="R496" s="69"/>
      <c r="S496" s="69"/>
      <c r="T496" s="69">
        <v>11</v>
      </c>
      <c r="U496" s="69">
        <v>3.2</v>
      </c>
      <c r="V496" s="69">
        <v>2</v>
      </c>
      <c r="W496" s="69">
        <v>3.1</v>
      </c>
      <c r="X496" s="69"/>
      <c r="Y496" s="69">
        <v>5.8</v>
      </c>
      <c r="Z496" s="69">
        <v>8</v>
      </c>
      <c r="AA496" s="69">
        <v>5</v>
      </c>
      <c r="AB496" s="69"/>
      <c r="AC496" s="69"/>
      <c r="AD496" s="69">
        <v>8.1</v>
      </c>
      <c r="AE496" s="69"/>
      <c r="AF496" s="69">
        <v>7</v>
      </c>
      <c r="AG496" s="69">
        <v>9.1</v>
      </c>
      <c r="AH496" s="69"/>
      <c r="AI496" s="69">
        <v>5.5</v>
      </c>
      <c r="AJ496" s="69">
        <v>10.8</v>
      </c>
      <c r="AK496" s="69">
        <v>6.736599</v>
      </c>
      <c r="AL496" s="69"/>
    </row>
    <row r="497" spans="1:38" x14ac:dyDescent="0.2">
      <c r="A497" s="10">
        <v>35156</v>
      </c>
      <c r="B497" s="69">
        <v>8.5782469999999993</v>
      </c>
      <c r="C497" s="69"/>
      <c r="D497" s="69">
        <v>9.8000000000000007</v>
      </c>
      <c r="E497" s="69">
        <v>9.3000000000000007</v>
      </c>
      <c r="F497" s="69">
        <v>6.2369380000000003</v>
      </c>
      <c r="G497" s="69">
        <v>4.0999999999999996</v>
      </c>
      <c r="H497" s="69">
        <v>8.6999999999999993</v>
      </c>
      <c r="I497" s="69">
        <v>6.7</v>
      </c>
      <c r="J497" s="69">
        <v>20.100000000000001</v>
      </c>
      <c r="K497" s="69"/>
      <c r="L497" s="69">
        <v>14.1</v>
      </c>
      <c r="M497" s="69">
        <v>12.3</v>
      </c>
      <c r="N497" s="69">
        <v>8.2797499999999999</v>
      </c>
      <c r="O497" s="69"/>
      <c r="P497" s="69">
        <v>10</v>
      </c>
      <c r="Q497" s="69">
        <v>11.9</v>
      </c>
      <c r="R497" s="69"/>
      <c r="S497" s="69"/>
      <c r="T497" s="69">
        <v>11.3</v>
      </c>
      <c r="U497" s="69">
        <v>3.4</v>
      </c>
      <c r="V497" s="69">
        <v>2</v>
      </c>
      <c r="W497" s="69">
        <v>3.1</v>
      </c>
      <c r="X497" s="69"/>
      <c r="Y497" s="69">
        <v>5.8</v>
      </c>
      <c r="Z497" s="69">
        <v>7.9</v>
      </c>
      <c r="AA497" s="69">
        <v>5</v>
      </c>
      <c r="AB497" s="69"/>
      <c r="AC497" s="69"/>
      <c r="AD497" s="69">
        <v>8.1999999999999993</v>
      </c>
      <c r="AE497" s="69"/>
      <c r="AF497" s="69">
        <v>7</v>
      </c>
      <c r="AG497" s="69">
        <v>9.4</v>
      </c>
      <c r="AH497" s="69"/>
      <c r="AI497" s="69">
        <v>5.6</v>
      </c>
      <c r="AJ497" s="69">
        <v>10.8</v>
      </c>
      <c r="AK497" s="69">
        <v>6.808738</v>
      </c>
      <c r="AL497" s="69"/>
    </row>
    <row r="498" spans="1:38" x14ac:dyDescent="0.2">
      <c r="A498" s="10">
        <v>35186</v>
      </c>
      <c r="B498" s="69">
        <v>8.4142080000000004</v>
      </c>
      <c r="C498" s="69"/>
      <c r="D498" s="69">
        <v>9.6999999999999993</v>
      </c>
      <c r="E498" s="69">
        <v>9.1999999999999993</v>
      </c>
      <c r="F498" s="69">
        <v>6.2960060000000002</v>
      </c>
      <c r="G498" s="69">
        <v>3.8</v>
      </c>
      <c r="H498" s="69">
        <v>8.8000000000000007</v>
      </c>
      <c r="I498" s="69">
        <v>6.5</v>
      </c>
      <c r="J498" s="69">
        <v>20.100000000000001</v>
      </c>
      <c r="K498" s="69"/>
      <c r="L498" s="69">
        <v>14.4</v>
      </c>
      <c r="M498" s="69">
        <v>12.4</v>
      </c>
      <c r="N498" s="69">
        <v>8.2548700000000004</v>
      </c>
      <c r="O498" s="69"/>
      <c r="P498" s="69">
        <v>10</v>
      </c>
      <c r="Q498" s="69">
        <v>11.8</v>
      </c>
      <c r="R498" s="69"/>
      <c r="S498" s="69"/>
      <c r="T498" s="69">
        <v>11.3</v>
      </c>
      <c r="U498" s="69">
        <v>3.4</v>
      </c>
      <c r="V498" s="69">
        <v>2</v>
      </c>
      <c r="W498" s="69">
        <v>3.1</v>
      </c>
      <c r="X498" s="69"/>
      <c r="Y498" s="69">
        <v>5.4</v>
      </c>
      <c r="Z498" s="69">
        <v>7.8</v>
      </c>
      <c r="AA498" s="69">
        <v>4.8</v>
      </c>
      <c r="AB498" s="69"/>
      <c r="AC498" s="69"/>
      <c r="AD498" s="69">
        <v>8.1999999999999993</v>
      </c>
      <c r="AE498" s="69"/>
      <c r="AF498" s="69">
        <v>7</v>
      </c>
      <c r="AG498" s="69">
        <v>9.5</v>
      </c>
      <c r="AH498" s="69"/>
      <c r="AI498" s="69">
        <v>5.6</v>
      </c>
      <c r="AJ498" s="69">
        <v>10.8</v>
      </c>
      <c r="AK498" s="69">
        <v>6.8287779999999998</v>
      </c>
      <c r="AL498" s="69"/>
    </row>
    <row r="499" spans="1:38" x14ac:dyDescent="0.2">
      <c r="A499" s="10">
        <v>35217</v>
      </c>
      <c r="B499" s="69">
        <v>8.2553830000000001</v>
      </c>
      <c r="C499" s="69"/>
      <c r="D499" s="69">
        <v>9.5</v>
      </c>
      <c r="E499" s="69">
        <v>9.8000000000000007</v>
      </c>
      <c r="F499" s="69">
        <v>6.5497129999999997</v>
      </c>
      <c r="G499" s="69">
        <v>3.8</v>
      </c>
      <c r="H499" s="69">
        <v>8.8000000000000007</v>
      </c>
      <c r="I499" s="69">
        <v>6.4</v>
      </c>
      <c r="J499" s="69">
        <v>20.2</v>
      </c>
      <c r="K499" s="69"/>
      <c r="L499" s="69">
        <v>14.7</v>
      </c>
      <c r="M499" s="69">
        <v>12.4</v>
      </c>
      <c r="N499" s="69">
        <v>8.172542</v>
      </c>
      <c r="O499" s="69"/>
      <c r="P499" s="69">
        <v>10</v>
      </c>
      <c r="Q499" s="69">
        <v>11.8</v>
      </c>
      <c r="R499" s="69"/>
      <c r="S499" s="69"/>
      <c r="T499" s="69">
        <v>11.3</v>
      </c>
      <c r="U499" s="69">
        <v>3.4</v>
      </c>
      <c r="V499" s="69">
        <v>2.1</v>
      </c>
      <c r="W499" s="69">
        <v>3</v>
      </c>
      <c r="X499" s="69"/>
      <c r="Y499" s="69">
        <v>5.6</v>
      </c>
      <c r="Z499" s="69">
        <v>7.7</v>
      </c>
      <c r="AA499" s="69">
        <v>4.7</v>
      </c>
      <c r="AB499" s="69"/>
      <c r="AC499" s="69"/>
      <c r="AD499" s="69">
        <v>8.1</v>
      </c>
      <c r="AE499" s="69"/>
      <c r="AF499" s="69">
        <v>6.9</v>
      </c>
      <c r="AG499" s="69">
        <v>9.6</v>
      </c>
      <c r="AH499" s="69"/>
      <c r="AI499" s="69">
        <v>5.3</v>
      </c>
      <c r="AJ499" s="69">
        <v>10.8</v>
      </c>
      <c r="AK499" s="69">
        <v>6.7402939999999996</v>
      </c>
      <c r="AL499" s="69"/>
    </row>
    <row r="500" spans="1:38" x14ac:dyDescent="0.2">
      <c r="A500" s="10">
        <v>35247</v>
      </c>
      <c r="B500" s="69">
        <v>8.5668930000000003</v>
      </c>
      <c r="C500" s="69"/>
      <c r="D500" s="69">
        <v>9.5</v>
      </c>
      <c r="E500" s="69">
        <v>9.6999999999999993</v>
      </c>
      <c r="F500" s="69">
        <v>6.4580599999999997</v>
      </c>
      <c r="G500" s="69">
        <v>4</v>
      </c>
      <c r="H500" s="69">
        <v>8.9</v>
      </c>
      <c r="I500" s="69">
        <v>6.5</v>
      </c>
      <c r="J500" s="69">
        <v>20.100000000000001</v>
      </c>
      <c r="K500" s="69"/>
      <c r="L500" s="69">
        <v>14.9</v>
      </c>
      <c r="M500" s="69">
        <v>12.4</v>
      </c>
      <c r="N500" s="69">
        <v>8.0611730000000001</v>
      </c>
      <c r="O500" s="69"/>
      <c r="P500" s="69">
        <v>9.9</v>
      </c>
      <c r="Q500" s="69">
        <v>11.7</v>
      </c>
      <c r="R500" s="69"/>
      <c r="S500" s="69"/>
      <c r="T500" s="69">
        <v>11.1</v>
      </c>
      <c r="U500" s="69">
        <v>3.4</v>
      </c>
      <c r="V500" s="69">
        <v>2</v>
      </c>
      <c r="W500" s="69">
        <v>2.9</v>
      </c>
      <c r="X500" s="69"/>
      <c r="Y500" s="69">
        <v>5.4</v>
      </c>
      <c r="Z500" s="69">
        <v>7.6</v>
      </c>
      <c r="AA500" s="69">
        <v>4.7</v>
      </c>
      <c r="AB500" s="69"/>
      <c r="AC500" s="69"/>
      <c r="AD500" s="69">
        <v>8</v>
      </c>
      <c r="AE500" s="69"/>
      <c r="AF500" s="69">
        <v>6.8</v>
      </c>
      <c r="AG500" s="69">
        <v>9.5</v>
      </c>
      <c r="AH500" s="69"/>
      <c r="AI500" s="69">
        <v>5.5</v>
      </c>
      <c r="AJ500" s="69">
        <v>10.8</v>
      </c>
      <c r="AK500" s="69">
        <v>6.7844899999999999</v>
      </c>
      <c r="AL500" s="69"/>
    </row>
    <row r="501" spans="1:38" x14ac:dyDescent="0.2">
      <c r="A501" s="10">
        <v>35278</v>
      </c>
      <c r="B501" s="69">
        <v>8.7196060000000006</v>
      </c>
      <c r="C501" s="69"/>
      <c r="D501" s="69">
        <v>9.4</v>
      </c>
      <c r="E501" s="69">
        <v>9.4</v>
      </c>
      <c r="F501" s="69">
        <v>6.2699160000000003</v>
      </c>
      <c r="G501" s="69">
        <v>3.9</v>
      </c>
      <c r="H501" s="69">
        <v>9</v>
      </c>
      <c r="I501" s="69">
        <v>6.3</v>
      </c>
      <c r="J501" s="69">
        <v>19.8</v>
      </c>
      <c r="K501" s="69"/>
      <c r="L501" s="69">
        <v>14.9</v>
      </c>
      <c r="M501" s="69">
        <v>12.4</v>
      </c>
      <c r="N501" s="69">
        <v>8.0614869999999996</v>
      </c>
      <c r="O501" s="69"/>
      <c r="P501" s="69">
        <v>9.8000000000000007</v>
      </c>
      <c r="Q501" s="69">
        <v>11.7</v>
      </c>
      <c r="R501" s="69"/>
      <c r="S501" s="69"/>
      <c r="T501" s="69">
        <v>11.1</v>
      </c>
      <c r="U501" s="69">
        <v>3.3</v>
      </c>
      <c r="V501" s="69">
        <v>2.1</v>
      </c>
      <c r="W501" s="69">
        <v>2.8</v>
      </c>
      <c r="X501" s="69"/>
      <c r="Y501" s="69">
        <v>5.3</v>
      </c>
      <c r="Z501" s="69">
        <v>7.5</v>
      </c>
      <c r="AA501" s="69">
        <v>4.8</v>
      </c>
      <c r="AB501" s="69"/>
      <c r="AC501" s="69"/>
      <c r="AD501" s="69">
        <v>7.9</v>
      </c>
      <c r="AE501" s="69"/>
      <c r="AF501" s="69">
        <v>6.7</v>
      </c>
      <c r="AG501" s="69">
        <v>9.9</v>
      </c>
      <c r="AH501" s="69"/>
      <c r="AI501" s="69">
        <v>5.0999999999999996</v>
      </c>
      <c r="AJ501" s="69">
        <v>10.8</v>
      </c>
      <c r="AK501" s="69">
        <v>6.6353289999999996</v>
      </c>
      <c r="AL501" s="69"/>
    </row>
    <row r="502" spans="1:38" x14ac:dyDescent="0.2">
      <c r="A502" s="10">
        <v>35309</v>
      </c>
      <c r="B502" s="69">
        <v>8.5756449999999997</v>
      </c>
      <c r="C502" s="69"/>
      <c r="D502" s="69">
        <v>9.4</v>
      </c>
      <c r="E502" s="69">
        <v>9.9</v>
      </c>
      <c r="F502" s="69">
        <v>5.9619730000000004</v>
      </c>
      <c r="G502" s="69">
        <v>3.9</v>
      </c>
      <c r="H502" s="69">
        <v>9.1</v>
      </c>
      <c r="I502" s="69">
        <v>6</v>
      </c>
      <c r="J502" s="69">
        <v>19.7</v>
      </c>
      <c r="K502" s="69"/>
      <c r="L502" s="69">
        <v>14.8</v>
      </c>
      <c r="M502" s="69">
        <v>12.5</v>
      </c>
      <c r="N502" s="69">
        <v>8.0520150000000008</v>
      </c>
      <c r="O502" s="69"/>
      <c r="P502" s="69">
        <v>9.6999999999999993</v>
      </c>
      <c r="Q502" s="69">
        <v>11.5</v>
      </c>
      <c r="R502" s="69"/>
      <c r="S502" s="69"/>
      <c r="T502" s="69">
        <v>11.1</v>
      </c>
      <c r="U502" s="69">
        <v>3.3</v>
      </c>
      <c r="V502" s="69">
        <v>2</v>
      </c>
      <c r="W502" s="69">
        <v>2.8</v>
      </c>
      <c r="X502" s="69"/>
      <c r="Y502" s="69">
        <v>5.4</v>
      </c>
      <c r="Z502" s="69">
        <v>7.4</v>
      </c>
      <c r="AA502" s="69">
        <v>4.7</v>
      </c>
      <c r="AB502" s="69"/>
      <c r="AC502" s="69"/>
      <c r="AD502" s="69">
        <v>7.9</v>
      </c>
      <c r="AE502" s="69"/>
      <c r="AF502" s="69">
        <v>6.8</v>
      </c>
      <c r="AG502" s="69">
        <v>9.8000000000000007</v>
      </c>
      <c r="AH502" s="69"/>
      <c r="AI502" s="69">
        <v>5.2</v>
      </c>
      <c r="AJ502" s="69">
        <v>10.8</v>
      </c>
      <c r="AK502" s="69">
        <v>6.6889719999999997</v>
      </c>
      <c r="AL502" s="69"/>
    </row>
    <row r="503" spans="1:38" x14ac:dyDescent="0.2">
      <c r="A503" s="10">
        <v>35339</v>
      </c>
      <c r="B503" s="69">
        <v>8.7594340000000006</v>
      </c>
      <c r="C503" s="69"/>
      <c r="D503" s="69">
        <v>9.3000000000000007</v>
      </c>
      <c r="E503" s="69">
        <v>9.9</v>
      </c>
      <c r="F503" s="69">
        <v>5.9629529999999997</v>
      </c>
      <c r="G503" s="69">
        <v>4.0999999999999996</v>
      </c>
      <c r="H503" s="69">
        <v>9.1999999999999993</v>
      </c>
      <c r="I503" s="69">
        <v>5.9</v>
      </c>
      <c r="J503" s="69">
        <v>19.5</v>
      </c>
      <c r="K503" s="69"/>
      <c r="L503" s="69">
        <v>14.6</v>
      </c>
      <c r="M503" s="69">
        <v>12.5</v>
      </c>
      <c r="N503" s="69">
        <v>7.9546349999999997</v>
      </c>
      <c r="O503" s="69"/>
      <c r="P503" s="69">
        <v>9.5</v>
      </c>
      <c r="Q503" s="69">
        <v>11.3</v>
      </c>
      <c r="R503" s="69"/>
      <c r="S503" s="69"/>
      <c r="T503" s="69">
        <v>11.2</v>
      </c>
      <c r="U503" s="69">
        <v>3.4</v>
      </c>
      <c r="V503" s="69">
        <v>2.1</v>
      </c>
      <c r="W503" s="69">
        <v>2.8</v>
      </c>
      <c r="X503" s="69"/>
      <c r="Y503" s="69">
        <v>5</v>
      </c>
      <c r="Z503" s="69">
        <v>7.3</v>
      </c>
      <c r="AA503" s="69">
        <v>4.5999999999999996</v>
      </c>
      <c r="AB503" s="69"/>
      <c r="AC503" s="69"/>
      <c r="AD503" s="69">
        <v>7.9</v>
      </c>
      <c r="AE503" s="69"/>
      <c r="AF503" s="69">
        <v>6.8</v>
      </c>
      <c r="AG503" s="69">
        <v>9.8000000000000007</v>
      </c>
      <c r="AH503" s="69"/>
      <c r="AI503" s="69">
        <v>5.2</v>
      </c>
      <c r="AJ503" s="69">
        <v>10.8</v>
      </c>
      <c r="AK503" s="69">
        <v>6.7259679999999999</v>
      </c>
      <c r="AL503" s="69"/>
    </row>
    <row r="504" spans="1:38" x14ac:dyDescent="0.2">
      <c r="A504" s="10">
        <v>35370</v>
      </c>
      <c r="B504" s="69">
        <v>8.4702870000000008</v>
      </c>
      <c r="C504" s="69"/>
      <c r="D504" s="69">
        <v>9.1999999999999993</v>
      </c>
      <c r="E504" s="69">
        <v>9.9</v>
      </c>
      <c r="F504" s="69">
        <v>5.8715789999999997</v>
      </c>
      <c r="G504" s="69">
        <v>4</v>
      </c>
      <c r="H504" s="69">
        <v>9.3000000000000007</v>
      </c>
      <c r="I504" s="69">
        <v>5.8</v>
      </c>
      <c r="J504" s="69">
        <v>19.3</v>
      </c>
      <c r="K504" s="69"/>
      <c r="L504" s="69">
        <v>14.4</v>
      </c>
      <c r="M504" s="69">
        <v>12.5</v>
      </c>
      <c r="N504" s="69">
        <v>7.8416940000000004</v>
      </c>
      <c r="O504" s="69"/>
      <c r="P504" s="69">
        <v>9.4</v>
      </c>
      <c r="Q504" s="69">
        <v>11.1</v>
      </c>
      <c r="R504" s="69"/>
      <c r="S504" s="69"/>
      <c r="T504" s="69">
        <v>11.2</v>
      </c>
      <c r="U504" s="69">
        <v>3.3</v>
      </c>
      <c r="V504" s="69">
        <v>2.2000000000000002</v>
      </c>
      <c r="W504" s="69">
        <v>2.8</v>
      </c>
      <c r="X504" s="69"/>
      <c r="Y504" s="69">
        <v>5.0999999999999996</v>
      </c>
      <c r="Z504" s="69">
        <v>7.2</v>
      </c>
      <c r="AA504" s="69">
        <v>4.5999999999999996</v>
      </c>
      <c r="AB504" s="69"/>
      <c r="AC504" s="69"/>
      <c r="AD504" s="69">
        <v>7.8</v>
      </c>
      <c r="AE504" s="69"/>
      <c r="AF504" s="69">
        <v>6.8</v>
      </c>
      <c r="AG504" s="69">
        <v>9.9</v>
      </c>
      <c r="AH504" s="69"/>
      <c r="AI504" s="69">
        <v>5.4</v>
      </c>
      <c r="AJ504" s="69">
        <v>10.8</v>
      </c>
      <c r="AK504" s="69">
        <v>6.7661259999999999</v>
      </c>
      <c r="AL504" s="69"/>
    </row>
    <row r="505" spans="1:38" x14ac:dyDescent="0.2">
      <c r="A505" s="10">
        <v>35400</v>
      </c>
      <c r="B505" s="69">
        <v>8.6307349999999996</v>
      </c>
      <c r="C505" s="69"/>
      <c r="D505" s="69">
        <v>9.1999999999999993</v>
      </c>
      <c r="E505" s="69">
        <v>9.6999999999999993</v>
      </c>
      <c r="F505" s="69">
        <v>5.925605</v>
      </c>
      <c r="G505" s="69">
        <v>4.2</v>
      </c>
      <c r="H505" s="69">
        <v>9.4</v>
      </c>
      <c r="I505" s="69">
        <v>5.7</v>
      </c>
      <c r="J505" s="69">
        <v>19.100000000000001</v>
      </c>
      <c r="K505" s="69"/>
      <c r="L505" s="69">
        <v>13.6</v>
      </c>
      <c r="M505" s="69">
        <v>12.5</v>
      </c>
      <c r="N505" s="69">
        <v>7.6703929999999998</v>
      </c>
      <c r="O505" s="69"/>
      <c r="P505" s="69">
        <v>9.4</v>
      </c>
      <c r="Q505" s="69">
        <v>11</v>
      </c>
      <c r="R505" s="69"/>
      <c r="S505" s="69"/>
      <c r="T505" s="69">
        <v>11.2</v>
      </c>
      <c r="U505" s="69">
        <v>3.4</v>
      </c>
      <c r="V505" s="69">
        <v>2.2999999999999998</v>
      </c>
      <c r="W505" s="69">
        <v>2.8</v>
      </c>
      <c r="X505" s="69"/>
      <c r="Y505" s="69">
        <v>4.4000000000000004</v>
      </c>
      <c r="Z505" s="69">
        <v>7.1</v>
      </c>
      <c r="AA505" s="69">
        <v>4.5999999999999996</v>
      </c>
      <c r="AB505" s="69"/>
      <c r="AC505" s="69"/>
      <c r="AD505" s="69">
        <v>7.8</v>
      </c>
      <c r="AE505" s="69"/>
      <c r="AF505" s="69">
        <v>6.8</v>
      </c>
      <c r="AG505" s="69">
        <v>10.1</v>
      </c>
      <c r="AH505" s="69"/>
      <c r="AI505" s="69">
        <v>5.4</v>
      </c>
      <c r="AJ505" s="69">
        <v>10.8</v>
      </c>
      <c r="AK505" s="69">
        <v>6.7790330000000001</v>
      </c>
      <c r="AL505" s="69"/>
    </row>
    <row r="506" spans="1:38" x14ac:dyDescent="0.2">
      <c r="A506" s="10">
        <v>35431</v>
      </c>
      <c r="B506" s="69">
        <v>8.5664449999999999</v>
      </c>
      <c r="C506" s="69"/>
      <c r="D506" s="69">
        <v>9.1</v>
      </c>
      <c r="E506" s="69">
        <v>9.5</v>
      </c>
      <c r="F506" s="69">
        <v>5.9073419999999999</v>
      </c>
      <c r="G506" s="69">
        <v>4.2</v>
      </c>
      <c r="H506" s="69">
        <v>9.5</v>
      </c>
      <c r="I506" s="69">
        <v>5.6</v>
      </c>
      <c r="J506" s="69">
        <v>18.8</v>
      </c>
      <c r="K506" s="69">
        <v>10.199999999999999</v>
      </c>
      <c r="L506" s="69">
        <v>13.5</v>
      </c>
      <c r="M506" s="69">
        <v>12.5</v>
      </c>
      <c r="N506" s="69">
        <v>7.4899889999999996</v>
      </c>
      <c r="O506" s="69"/>
      <c r="P506" s="69">
        <v>9.1</v>
      </c>
      <c r="Q506" s="69">
        <v>10.8</v>
      </c>
      <c r="R506" s="69"/>
      <c r="S506" s="69"/>
      <c r="T506" s="69">
        <v>11.2</v>
      </c>
      <c r="U506" s="69">
        <v>3.3</v>
      </c>
      <c r="V506" s="69">
        <v>2.4</v>
      </c>
      <c r="W506" s="69">
        <v>2.7</v>
      </c>
      <c r="X506" s="69"/>
      <c r="Y506" s="69">
        <v>4.3</v>
      </c>
      <c r="Z506" s="69">
        <v>7</v>
      </c>
      <c r="AA506" s="69">
        <v>4.5999999999999996</v>
      </c>
      <c r="AB506" s="69"/>
      <c r="AC506" s="69">
        <v>11.8</v>
      </c>
      <c r="AD506" s="69">
        <v>7.9</v>
      </c>
      <c r="AE506" s="69"/>
      <c r="AF506" s="69">
        <v>6.8</v>
      </c>
      <c r="AG506" s="69">
        <v>10</v>
      </c>
      <c r="AH506" s="69"/>
      <c r="AI506" s="69">
        <v>5.3</v>
      </c>
      <c r="AJ506" s="69">
        <v>10.8</v>
      </c>
      <c r="AK506" s="69">
        <v>6.7202469999999996</v>
      </c>
      <c r="AL506" s="69"/>
    </row>
    <row r="507" spans="1:38" x14ac:dyDescent="0.2">
      <c r="A507" s="10">
        <v>35462</v>
      </c>
      <c r="B507" s="69">
        <v>8.7026319999999995</v>
      </c>
      <c r="C507" s="69"/>
      <c r="D507" s="69">
        <v>9.1</v>
      </c>
      <c r="E507" s="69">
        <v>9.5</v>
      </c>
      <c r="F507" s="69">
        <v>6.1230140000000004</v>
      </c>
      <c r="G507" s="69">
        <v>4.0999999999999996</v>
      </c>
      <c r="H507" s="69">
        <v>9.5</v>
      </c>
      <c r="I507" s="69">
        <v>5.5</v>
      </c>
      <c r="J507" s="69">
        <v>18.7</v>
      </c>
      <c r="K507" s="69">
        <v>10.199999999999999</v>
      </c>
      <c r="L507" s="69">
        <v>13.4</v>
      </c>
      <c r="M507" s="69">
        <v>12.5</v>
      </c>
      <c r="N507" s="69">
        <v>7.3233610000000002</v>
      </c>
      <c r="O507" s="69"/>
      <c r="P507" s="69">
        <v>9.1999999999999993</v>
      </c>
      <c r="Q507" s="69">
        <v>10.6</v>
      </c>
      <c r="R507" s="69"/>
      <c r="S507" s="69"/>
      <c r="T507" s="69">
        <v>11.3</v>
      </c>
      <c r="U507" s="69">
        <v>3.4</v>
      </c>
      <c r="V507" s="69">
        <v>2.6</v>
      </c>
      <c r="W507" s="69">
        <v>2.6</v>
      </c>
      <c r="X507" s="69"/>
      <c r="Y507" s="69">
        <v>3.8</v>
      </c>
      <c r="Z507" s="69">
        <v>6.9</v>
      </c>
      <c r="AA507" s="69">
        <v>4</v>
      </c>
      <c r="AB507" s="69"/>
      <c r="AC507" s="69">
        <v>11.5</v>
      </c>
      <c r="AD507" s="69">
        <v>7.9</v>
      </c>
      <c r="AE507" s="69"/>
      <c r="AF507" s="69">
        <v>6.7</v>
      </c>
      <c r="AG507" s="69">
        <v>10.4</v>
      </c>
      <c r="AH507" s="69"/>
      <c r="AI507" s="69">
        <v>5.2</v>
      </c>
      <c r="AJ507" s="69">
        <v>10.9</v>
      </c>
      <c r="AK507" s="69">
        <v>6.7058049999999998</v>
      </c>
      <c r="AL507" s="69"/>
    </row>
    <row r="508" spans="1:38" x14ac:dyDescent="0.2">
      <c r="A508" s="10">
        <v>35490</v>
      </c>
      <c r="B508" s="69">
        <v>8.5921959999999995</v>
      </c>
      <c r="C508" s="69"/>
      <c r="D508" s="69">
        <v>9.1</v>
      </c>
      <c r="E508" s="69">
        <v>9.3000000000000007</v>
      </c>
      <c r="F508" s="69">
        <v>6.2133919999999998</v>
      </c>
      <c r="G508" s="69">
        <v>4.0999999999999996</v>
      </c>
      <c r="H508" s="69">
        <v>9.6</v>
      </c>
      <c r="I508" s="69">
        <v>5.3</v>
      </c>
      <c r="J508" s="69">
        <v>18.600000000000001</v>
      </c>
      <c r="K508" s="69">
        <v>10.199999999999999</v>
      </c>
      <c r="L508" s="69">
        <v>13.3</v>
      </c>
      <c r="M508" s="69">
        <v>12.5</v>
      </c>
      <c r="N508" s="69">
        <v>7.2052949999999996</v>
      </c>
      <c r="O508" s="69"/>
      <c r="P508" s="69">
        <v>9.1</v>
      </c>
      <c r="Q508" s="69">
        <v>10.5</v>
      </c>
      <c r="R508" s="69"/>
      <c r="S508" s="69"/>
      <c r="T508" s="69">
        <v>11.3</v>
      </c>
      <c r="U508" s="69">
        <v>3.3</v>
      </c>
      <c r="V508" s="69">
        <v>3</v>
      </c>
      <c r="W508" s="69">
        <v>2.6</v>
      </c>
      <c r="X508" s="69"/>
      <c r="Y508" s="69">
        <v>4.0999999999999996</v>
      </c>
      <c r="Z508" s="69">
        <v>6.8</v>
      </c>
      <c r="AA508" s="69">
        <v>4</v>
      </c>
      <c r="AB508" s="69"/>
      <c r="AC508" s="69">
        <v>11.3</v>
      </c>
      <c r="AD508" s="69">
        <v>7.7</v>
      </c>
      <c r="AE508" s="69"/>
      <c r="AF508" s="69">
        <v>6.7</v>
      </c>
      <c r="AG508" s="69">
        <v>10.4</v>
      </c>
      <c r="AH508" s="69"/>
      <c r="AI508" s="69">
        <v>5.2</v>
      </c>
      <c r="AJ508" s="69">
        <v>10.8</v>
      </c>
      <c r="AK508" s="69">
        <v>6.6325940000000001</v>
      </c>
      <c r="AL508" s="69"/>
    </row>
    <row r="509" spans="1:38" x14ac:dyDescent="0.2">
      <c r="A509" s="10">
        <v>35521</v>
      </c>
      <c r="B509" s="69">
        <v>8.5678859999999997</v>
      </c>
      <c r="C509" s="69"/>
      <c r="D509" s="69">
        <v>9.1</v>
      </c>
      <c r="E509" s="69">
        <v>9.4</v>
      </c>
      <c r="F509" s="69">
        <v>6.3149740000000003</v>
      </c>
      <c r="G509" s="69">
        <v>4.5</v>
      </c>
      <c r="H509" s="69">
        <v>9.6999999999999993</v>
      </c>
      <c r="I509" s="69">
        <v>5.2</v>
      </c>
      <c r="J509" s="69">
        <v>18.600000000000001</v>
      </c>
      <c r="K509" s="69">
        <v>9.6999999999999993</v>
      </c>
      <c r="L509" s="69">
        <v>13.2</v>
      </c>
      <c r="M509" s="69">
        <v>12.4</v>
      </c>
      <c r="N509" s="69">
        <v>7.1848029999999996</v>
      </c>
      <c r="O509" s="69"/>
      <c r="P509" s="69">
        <v>9.1</v>
      </c>
      <c r="Q509" s="69">
        <v>10.4</v>
      </c>
      <c r="R509" s="69"/>
      <c r="S509" s="69"/>
      <c r="T509" s="69">
        <v>11.4</v>
      </c>
      <c r="U509" s="69">
        <v>3.2</v>
      </c>
      <c r="V509" s="69">
        <v>2.7</v>
      </c>
      <c r="W509" s="69">
        <v>2.5</v>
      </c>
      <c r="X509" s="69"/>
      <c r="Y509" s="69">
        <v>4</v>
      </c>
      <c r="Z509" s="69">
        <v>6.7</v>
      </c>
      <c r="AA509" s="69">
        <v>4.0999999999999996</v>
      </c>
      <c r="AB509" s="69"/>
      <c r="AC509" s="69">
        <v>11.1</v>
      </c>
      <c r="AD509" s="69">
        <v>7.5</v>
      </c>
      <c r="AE509" s="69"/>
      <c r="AF509" s="69">
        <v>6.7</v>
      </c>
      <c r="AG509" s="69">
        <v>10.199999999999999</v>
      </c>
      <c r="AH509" s="69"/>
      <c r="AI509" s="69">
        <v>5.0999999999999996</v>
      </c>
      <c r="AJ509" s="69">
        <v>10.9</v>
      </c>
      <c r="AK509" s="69">
        <v>6.6038579999999998</v>
      </c>
      <c r="AL509" s="69"/>
    </row>
    <row r="510" spans="1:38" x14ac:dyDescent="0.2">
      <c r="A510" s="10">
        <v>35551</v>
      </c>
      <c r="B510" s="69">
        <v>8.5473879999999998</v>
      </c>
      <c r="C510" s="69"/>
      <c r="D510" s="69">
        <v>9.1</v>
      </c>
      <c r="E510" s="69">
        <v>9.4</v>
      </c>
      <c r="F510" s="69">
        <v>6.3189109999999999</v>
      </c>
      <c r="G510" s="69">
        <v>4.5999999999999996</v>
      </c>
      <c r="H510" s="69">
        <v>9.6999999999999993</v>
      </c>
      <c r="I510" s="69">
        <v>5.3</v>
      </c>
      <c r="J510" s="69">
        <v>18.7</v>
      </c>
      <c r="K510" s="69">
        <v>9.6999999999999993</v>
      </c>
      <c r="L510" s="69">
        <v>13</v>
      </c>
      <c r="M510" s="69">
        <v>12.4</v>
      </c>
      <c r="N510" s="69">
        <v>7.179729</v>
      </c>
      <c r="O510" s="69"/>
      <c r="P510" s="69">
        <v>9</v>
      </c>
      <c r="Q510" s="69">
        <v>10.199999999999999</v>
      </c>
      <c r="R510" s="69"/>
      <c r="S510" s="69"/>
      <c r="T510" s="69">
        <v>11.4</v>
      </c>
      <c r="U510" s="69">
        <v>3.4</v>
      </c>
      <c r="V510" s="69">
        <v>2.6</v>
      </c>
      <c r="W510" s="69">
        <v>2.6</v>
      </c>
      <c r="X510" s="69"/>
      <c r="Y510" s="69">
        <v>4</v>
      </c>
      <c r="Z510" s="69">
        <v>6.6</v>
      </c>
      <c r="AA510" s="69">
        <v>4.2</v>
      </c>
      <c r="AB510" s="69"/>
      <c r="AC510" s="69">
        <v>10.9</v>
      </c>
      <c r="AD510" s="69">
        <v>7.4</v>
      </c>
      <c r="AE510" s="69"/>
      <c r="AF510" s="69">
        <v>6.8</v>
      </c>
      <c r="AG510" s="69">
        <v>10.199999999999999</v>
      </c>
      <c r="AH510" s="69"/>
      <c r="AI510" s="69">
        <v>4.9000000000000004</v>
      </c>
      <c r="AJ510" s="69">
        <v>10.8</v>
      </c>
      <c r="AK510" s="69">
        <v>6.5686159999999996</v>
      </c>
      <c r="AL510" s="69"/>
    </row>
    <row r="511" spans="1:38" x14ac:dyDescent="0.2">
      <c r="A511" s="10">
        <v>35582</v>
      </c>
      <c r="B511" s="69">
        <v>8.3317040000000002</v>
      </c>
      <c r="C511" s="69"/>
      <c r="D511" s="69">
        <v>9.1999999999999993</v>
      </c>
      <c r="E511" s="69">
        <v>9.1</v>
      </c>
      <c r="F511" s="69">
        <v>6.2333590000000001</v>
      </c>
      <c r="G511" s="69">
        <v>4.8</v>
      </c>
      <c r="H511" s="69">
        <v>9.6999999999999993</v>
      </c>
      <c r="I511" s="69">
        <v>5.2</v>
      </c>
      <c r="J511" s="69">
        <v>18.8</v>
      </c>
      <c r="K511" s="69">
        <v>9.6999999999999993</v>
      </c>
      <c r="L511" s="69">
        <v>12.7</v>
      </c>
      <c r="M511" s="69">
        <v>12.4</v>
      </c>
      <c r="N511" s="69">
        <v>7.2904410000000004</v>
      </c>
      <c r="O511" s="69"/>
      <c r="P511" s="69">
        <v>9</v>
      </c>
      <c r="Q511" s="69">
        <v>10</v>
      </c>
      <c r="R511" s="69"/>
      <c r="S511" s="69"/>
      <c r="T511" s="69">
        <v>11.4</v>
      </c>
      <c r="U511" s="69">
        <v>3.4</v>
      </c>
      <c r="V511" s="69">
        <v>2.4</v>
      </c>
      <c r="W511" s="69">
        <v>2.7</v>
      </c>
      <c r="X511" s="69"/>
      <c r="Y511" s="69">
        <v>3.6</v>
      </c>
      <c r="Z511" s="69">
        <v>6.5</v>
      </c>
      <c r="AA511" s="69">
        <v>4.0999999999999996</v>
      </c>
      <c r="AB511" s="69"/>
      <c r="AC511" s="69">
        <v>10.9</v>
      </c>
      <c r="AD511" s="69">
        <v>7.4</v>
      </c>
      <c r="AE511" s="69"/>
      <c r="AF511" s="69">
        <v>6.9</v>
      </c>
      <c r="AG511" s="69">
        <v>10.5</v>
      </c>
      <c r="AH511" s="69"/>
      <c r="AI511" s="69">
        <v>5</v>
      </c>
      <c r="AJ511" s="69">
        <v>10.8</v>
      </c>
      <c r="AK511" s="69">
        <v>6.5940380000000003</v>
      </c>
      <c r="AL511" s="69"/>
    </row>
    <row r="512" spans="1:38" x14ac:dyDescent="0.2">
      <c r="A512" s="10">
        <v>35612</v>
      </c>
      <c r="B512" s="69">
        <v>8.5888170000000006</v>
      </c>
      <c r="C512" s="69"/>
      <c r="D512" s="69">
        <v>9.3000000000000007</v>
      </c>
      <c r="E512" s="69">
        <v>8.9</v>
      </c>
      <c r="F512" s="69">
        <v>6.1411249999999997</v>
      </c>
      <c r="G512" s="69">
        <v>4.9000000000000004</v>
      </c>
      <c r="H512" s="69">
        <v>9.6999999999999993</v>
      </c>
      <c r="I512" s="69">
        <v>5.2</v>
      </c>
      <c r="J512" s="69">
        <v>18.600000000000001</v>
      </c>
      <c r="K512" s="69">
        <v>9.5</v>
      </c>
      <c r="L512" s="69">
        <v>12.5</v>
      </c>
      <c r="M512" s="69">
        <v>12.4</v>
      </c>
      <c r="N512" s="69">
        <v>7.087726</v>
      </c>
      <c r="O512" s="69"/>
      <c r="P512" s="69">
        <v>9</v>
      </c>
      <c r="Q512" s="69">
        <v>9.8000000000000007</v>
      </c>
      <c r="R512" s="69"/>
      <c r="S512" s="69"/>
      <c r="T512" s="69">
        <v>11</v>
      </c>
      <c r="U512" s="69">
        <v>3.4</v>
      </c>
      <c r="V512" s="69">
        <v>2.4</v>
      </c>
      <c r="W512" s="69">
        <v>2.7</v>
      </c>
      <c r="X512" s="69"/>
      <c r="Y512" s="69">
        <v>4</v>
      </c>
      <c r="Z512" s="69">
        <v>6.4</v>
      </c>
      <c r="AA512" s="69">
        <v>4</v>
      </c>
      <c r="AB512" s="69"/>
      <c r="AC512" s="69">
        <v>10.8</v>
      </c>
      <c r="AD512" s="69">
        <v>7.6</v>
      </c>
      <c r="AE512" s="69"/>
      <c r="AF512" s="69">
        <v>7</v>
      </c>
      <c r="AG512" s="69">
        <v>10.1</v>
      </c>
      <c r="AH512" s="69"/>
      <c r="AI512" s="69">
        <v>4.9000000000000004</v>
      </c>
      <c r="AJ512" s="69">
        <v>10.7</v>
      </c>
      <c r="AK512" s="69">
        <v>6.4977590000000003</v>
      </c>
      <c r="AL512" s="69"/>
    </row>
    <row r="513" spans="1:38" x14ac:dyDescent="0.2">
      <c r="A513" s="10">
        <v>35643</v>
      </c>
      <c r="B513" s="69">
        <v>8.4650499999999997</v>
      </c>
      <c r="C513" s="69"/>
      <c r="D513" s="69">
        <v>9.3000000000000007</v>
      </c>
      <c r="E513" s="69">
        <v>8.9</v>
      </c>
      <c r="F513" s="69">
        <v>6.2093040000000004</v>
      </c>
      <c r="G513" s="69">
        <v>4.9000000000000004</v>
      </c>
      <c r="H513" s="69">
        <v>9.6999999999999993</v>
      </c>
      <c r="I513" s="69">
        <v>5.2</v>
      </c>
      <c r="J513" s="69">
        <v>18.3</v>
      </c>
      <c r="K513" s="69">
        <v>9.5</v>
      </c>
      <c r="L513" s="69">
        <v>12.3</v>
      </c>
      <c r="M513" s="69">
        <v>12.3</v>
      </c>
      <c r="N513" s="69">
        <v>6.8400509999999999</v>
      </c>
      <c r="O513" s="69"/>
      <c r="P513" s="69">
        <v>9</v>
      </c>
      <c r="Q513" s="69">
        <v>9.6</v>
      </c>
      <c r="R513" s="69"/>
      <c r="S513" s="69"/>
      <c r="T513" s="69">
        <v>11</v>
      </c>
      <c r="U513" s="69">
        <v>3.4</v>
      </c>
      <c r="V513" s="69">
        <v>2.4</v>
      </c>
      <c r="W513" s="69">
        <v>2.7</v>
      </c>
      <c r="X513" s="69"/>
      <c r="Y513" s="69">
        <v>3.6</v>
      </c>
      <c r="Z513" s="69">
        <v>6.3</v>
      </c>
      <c r="AA513" s="69">
        <v>3.8</v>
      </c>
      <c r="AB513" s="69"/>
      <c r="AC513" s="69">
        <v>10.7</v>
      </c>
      <c r="AD513" s="69">
        <v>7.6</v>
      </c>
      <c r="AE513" s="69"/>
      <c r="AF513" s="69">
        <v>7.1</v>
      </c>
      <c r="AG513" s="69">
        <v>9.6</v>
      </c>
      <c r="AH513" s="69"/>
      <c r="AI513" s="69">
        <v>4.8</v>
      </c>
      <c r="AJ513" s="69">
        <v>10.7</v>
      </c>
      <c r="AK513" s="69">
        <v>6.4554679999999998</v>
      </c>
      <c r="AL513" s="69"/>
    </row>
    <row r="514" spans="1:38" x14ac:dyDescent="0.2">
      <c r="A514" s="10">
        <v>35674</v>
      </c>
      <c r="B514" s="69">
        <v>8.0674100000000006</v>
      </c>
      <c r="C514" s="69"/>
      <c r="D514" s="69">
        <v>9.3000000000000007</v>
      </c>
      <c r="E514" s="69">
        <v>8.8000000000000007</v>
      </c>
      <c r="F514" s="69">
        <v>6.168361</v>
      </c>
      <c r="G514" s="69">
        <v>5</v>
      </c>
      <c r="H514" s="69">
        <v>9.6999999999999993</v>
      </c>
      <c r="I514" s="69">
        <v>5.0999999999999996</v>
      </c>
      <c r="J514" s="69">
        <v>18.3</v>
      </c>
      <c r="K514" s="69">
        <v>9.5</v>
      </c>
      <c r="L514" s="69">
        <v>12.2</v>
      </c>
      <c r="M514" s="69">
        <v>12.3</v>
      </c>
      <c r="N514" s="69">
        <v>6.6948829999999999</v>
      </c>
      <c r="O514" s="69"/>
      <c r="P514" s="69">
        <v>9</v>
      </c>
      <c r="Q514" s="69">
        <v>9.4</v>
      </c>
      <c r="R514" s="69"/>
      <c r="S514" s="69"/>
      <c r="T514" s="69">
        <v>11</v>
      </c>
      <c r="U514" s="69">
        <v>3.5</v>
      </c>
      <c r="V514" s="69">
        <v>2.5</v>
      </c>
      <c r="W514" s="69">
        <v>2.8</v>
      </c>
      <c r="X514" s="69"/>
      <c r="Y514" s="69">
        <v>3.4</v>
      </c>
      <c r="Z514" s="69">
        <v>6.2</v>
      </c>
      <c r="AA514" s="69">
        <v>3.7</v>
      </c>
      <c r="AB514" s="69"/>
      <c r="AC514" s="69">
        <v>10.5</v>
      </c>
      <c r="AD514" s="69">
        <v>7.5</v>
      </c>
      <c r="AE514" s="69"/>
      <c r="AF514" s="69">
        <v>7.1</v>
      </c>
      <c r="AG514" s="69">
        <v>9.5</v>
      </c>
      <c r="AH514" s="69"/>
      <c r="AI514" s="69">
        <v>4.9000000000000004</v>
      </c>
      <c r="AJ514" s="69">
        <v>10.7</v>
      </c>
      <c r="AK514" s="69">
        <v>6.4670269999999999</v>
      </c>
      <c r="AL514" s="69"/>
    </row>
    <row r="515" spans="1:38" x14ac:dyDescent="0.2">
      <c r="A515" s="10">
        <v>35704</v>
      </c>
      <c r="B515" s="69">
        <v>8.0330359999999992</v>
      </c>
      <c r="C515" s="69"/>
      <c r="D515" s="69">
        <v>9.3000000000000007</v>
      </c>
      <c r="E515" s="69">
        <v>8.9</v>
      </c>
      <c r="F515" s="69">
        <v>6.0520509999999996</v>
      </c>
      <c r="G515" s="69">
        <v>5.0999999999999996</v>
      </c>
      <c r="H515" s="69">
        <v>9.6999999999999993</v>
      </c>
      <c r="I515" s="69">
        <v>5.0999999999999996</v>
      </c>
      <c r="J515" s="69">
        <v>18</v>
      </c>
      <c r="K515" s="69">
        <v>9.1999999999999993</v>
      </c>
      <c r="L515" s="69">
        <v>12.1</v>
      </c>
      <c r="M515" s="69">
        <v>12.2</v>
      </c>
      <c r="N515" s="69">
        <v>6.6183009999999998</v>
      </c>
      <c r="O515" s="69"/>
      <c r="P515" s="69">
        <v>9</v>
      </c>
      <c r="Q515" s="69">
        <v>9.1999999999999993</v>
      </c>
      <c r="R515" s="69"/>
      <c r="S515" s="69"/>
      <c r="T515" s="69">
        <v>11.3</v>
      </c>
      <c r="U515" s="69">
        <v>3.5</v>
      </c>
      <c r="V515" s="69">
        <v>2.4</v>
      </c>
      <c r="W515" s="69">
        <v>2.8</v>
      </c>
      <c r="X515" s="69"/>
      <c r="Y515" s="69">
        <v>3.3</v>
      </c>
      <c r="Z515" s="69">
        <v>6.1</v>
      </c>
      <c r="AA515" s="69">
        <v>3.5</v>
      </c>
      <c r="AB515" s="69"/>
      <c r="AC515" s="69">
        <v>10.4</v>
      </c>
      <c r="AD515" s="69">
        <v>7.4</v>
      </c>
      <c r="AE515" s="69"/>
      <c r="AF515" s="69">
        <v>7.1</v>
      </c>
      <c r="AG515" s="69">
        <v>9.4</v>
      </c>
      <c r="AH515" s="69"/>
      <c r="AI515" s="69">
        <v>4.7</v>
      </c>
      <c r="AJ515" s="69">
        <v>10.7</v>
      </c>
      <c r="AK515" s="69">
        <v>6.42685</v>
      </c>
      <c r="AL515" s="69"/>
    </row>
    <row r="516" spans="1:38" x14ac:dyDescent="0.2">
      <c r="A516" s="10">
        <v>35735</v>
      </c>
      <c r="B516" s="69">
        <v>7.9864649999999999</v>
      </c>
      <c r="C516" s="69"/>
      <c r="D516" s="69">
        <v>9.3000000000000007</v>
      </c>
      <c r="E516" s="69">
        <v>8.9</v>
      </c>
      <c r="F516" s="69">
        <v>5.8229790000000001</v>
      </c>
      <c r="G516" s="69">
        <v>5.4</v>
      </c>
      <c r="H516" s="69">
        <v>9.6999999999999993</v>
      </c>
      <c r="I516" s="69">
        <v>5.0999999999999996</v>
      </c>
      <c r="J516" s="69">
        <v>17.8</v>
      </c>
      <c r="K516" s="69">
        <v>9.1999999999999993</v>
      </c>
      <c r="L516" s="69">
        <v>12</v>
      </c>
      <c r="M516" s="69">
        <v>12.2</v>
      </c>
      <c r="N516" s="69">
        <v>6.5409480000000002</v>
      </c>
      <c r="O516" s="69"/>
      <c r="P516" s="69">
        <v>9.1</v>
      </c>
      <c r="Q516" s="69">
        <v>9</v>
      </c>
      <c r="R516" s="69"/>
      <c r="S516" s="69"/>
      <c r="T516" s="69">
        <v>11.3</v>
      </c>
      <c r="U516" s="69">
        <v>3.5</v>
      </c>
      <c r="V516" s="69">
        <v>2.9</v>
      </c>
      <c r="W516" s="69">
        <v>2.8</v>
      </c>
      <c r="X516" s="69"/>
      <c r="Y516" s="69">
        <v>3.4</v>
      </c>
      <c r="Z516" s="69">
        <v>5.9</v>
      </c>
      <c r="AA516" s="69">
        <v>3.5</v>
      </c>
      <c r="AB516" s="69"/>
      <c r="AC516" s="69">
        <v>10.199999999999999</v>
      </c>
      <c r="AD516" s="69">
        <v>7.2</v>
      </c>
      <c r="AE516" s="69"/>
      <c r="AF516" s="69">
        <v>7.1</v>
      </c>
      <c r="AG516" s="69">
        <v>9.1999999999999993</v>
      </c>
      <c r="AH516" s="69"/>
      <c r="AI516" s="69">
        <v>4.5999999999999996</v>
      </c>
      <c r="AJ516" s="69">
        <v>10.6</v>
      </c>
      <c r="AK516" s="69">
        <v>6.3755870000000003</v>
      </c>
      <c r="AL516" s="69"/>
    </row>
    <row r="517" spans="1:38" x14ac:dyDescent="0.2">
      <c r="A517" s="10">
        <v>35765</v>
      </c>
      <c r="B517" s="69">
        <v>7.9104710000000003</v>
      </c>
      <c r="C517" s="69"/>
      <c r="D517" s="69">
        <v>9.4</v>
      </c>
      <c r="E517" s="69">
        <v>8.5</v>
      </c>
      <c r="F517" s="69">
        <v>5.721406</v>
      </c>
      <c r="G517" s="69">
        <v>5.7</v>
      </c>
      <c r="H517" s="69">
        <v>9.6999999999999993</v>
      </c>
      <c r="I517" s="69">
        <v>5.0999999999999996</v>
      </c>
      <c r="J517" s="69">
        <v>17.600000000000001</v>
      </c>
      <c r="K517" s="69">
        <v>9.1999999999999993</v>
      </c>
      <c r="L517" s="69">
        <v>11.9</v>
      </c>
      <c r="M517" s="69">
        <v>12.1</v>
      </c>
      <c r="N517" s="69">
        <v>6.4007769999999997</v>
      </c>
      <c r="O517" s="69"/>
      <c r="P517" s="69">
        <v>9.1</v>
      </c>
      <c r="Q517" s="69">
        <v>8.8000000000000007</v>
      </c>
      <c r="R517" s="69"/>
      <c r="S517" s="69"/>
      <c r="T517" s="69">
        <v>11.3</v>
      </c>
      <c r="U517" s="69">
        <v>3.5</v>
      </c>
      <c r="V517" s="69">
        <v>3.1</v>
      </c>
      <c r="W517" s="69">
        <v>2.9</v>
      </c>
      <c r="X517" s="69"/>
      <c r="Y517" s="69">
        <v>3.1</v>
      </c>
      <c r="Z517" s="69">
        <v>5.8</v>
      </c>
      <c r="AA517" s="69">
        <v>3.4</v>
      </c>
      <c r="AB517" s="69"/>
      <c r="AC517" s="69">
        <v>10.1</v>
      </c>
      <c r="AD517" s="69">
        <v>7</v>
      </c>
      <c r="AE517" s="69"/>
      <c r="AF517" s="69">
        <v>7.2</v>
      </c>
      <c r="AG517" s="69">
        <v>8.8000000000000007</v>
      </c>
      <c r="AH517" s="69"/>
      <c r="AI517" s="69">
        <v>4.7</v>
      </c>
      <c r="AJ517" s="69">
        <v>10.6</v>
      </c>
      <c r="AK517" s="69">
        <v>6.3840849999999998</v>
      </c>
      <c r="AL517" s="69"/>
    </row>
    <row r="518" spans="1:38" x14ac:dyDescent="0.2">
      <c r="A518" s="10">
        <v>35796</v>
      </c>
      <c r="B518" s="69">
        <v>7.8652049999999996</v>
      </c>
      <c r="C518" s="69"/>
      <c r="D518" s="69">
        <v>9.4</v>
      </c>
      <c r="E518" s="69">
        <v>8.8000000000000007</v>
      </c>
      <c r="F518" s="69">
        <v>5.5579859999999996</v>
      </c>
      <c r="G518" s="69">
        <v>5.6</v>
      </c>
      <c r="H518" s="69">
        <v>9.6999999999999993</v>
      </c>
      <c r="I518" s="69">
        <v>5.0999999999999996</v>
      </c>
      <c r="J518" s="69">
        <v>17.100000000000001</v>
      </c>
      <c r="K518" s="69">
        <v>9.1999999999999993</v>
      </c>
      <c r="L518" s="69">
        <v>11.8</v>
      </c>
      <c r="M518" s="69">
        <v>12.1</v>
      </c>
      <c r="N518" s="69">
        <v>6.377402</v>
      </c>
      <c r="O518" s="69"/>
      <c r="P518" s="69">
        <v>9.1</v>
      </c>
      <c r="Q518" s="69">
        <v>8.6</v>
      </c>
      <c r="R518" s="69"/>
      <c r="S518" s="69"/>
      <c r="T518" s="69">
        <v>11.1</v>
      </c>
      <c r="U518" s="69">
        <v>3.6</v>
      </c>
      <c r="V518" s="69">
        <v>4.0999999999999996</v>
      </c>
      <c r="W518" s="69">
        <v>2.8</v>
      </c>
      <c r="X518" s="69"/>
      <c r="Y518" s="69">
        <v>3.5</v>
      </c>
      <c r="Z518" s="69">
        <v>5.7</v>
      </c>
      <c r="AA518" s="69">
        <v>3.3</v>
      </c>
      <c r="AB518" s="69"/>
      <c r="AC518" s="69">
        <v>10</v>
      </c>
      <c r="AD518" s="69">
        <v>7.1</v>
      </c>
      <c r="AE518" s="69">
        <v>12.1</v>
      </c>
      <c r="AF518" s="69">
        <v>7.3</v>
      </c>
      <c r="AG518" s="69">
        <v>8.8000000000000007</v>
      </c>
      <c r="AH518" s="69"/>
      <c r="AI518" s="69">
        <v>4.5999999999999996</v>
      </c>
      <c r="AJ518" s="69">
        <v>10.5</v>
      </c>
      <c r="AK518" s="69">
        <v>6.3630769999999997</v>
      </c>
      <c r="AL518" s="69"/>
    </row>
    <row r="519" spans="1:38" x14ac:dyDescent="0.2">
      <c r="A519" s="10">
        <v>35827</v>
      </c>
      <c r="B519" s="69">
        <v>7.7723870000000002</v>
      </c>
      <c r="C519" s="69"/>
      <c r="D519" s="69">
        <v>9.4</v>
      </c>
      <c r="E519" s="69">
        <v>8.6</v>
      </c>
      <c r="F519" s="69">
        <v>5.5435990000000004</v>
      </c>
      <c r="G519" s="69">
        <v>5.7</v>
      </c>
      <c r="H519" s="69">
        <v>9.6999999999999993</v>
      </c>
      <c r="I519" s="69">
        <v>4.9000000000000004</v>
      </c>
      <c r="J519" s="69">
        <v>16.7</v>
      </c>
      <c r="K519" s="69">
        <v>9.1999999999999993</v>
      </c>
      <c r="L519" s="69">
        <v>11.7</v>
      </c>
      <c r="M519" s="69">
        <v>12</v>
      </c>
      <c r="N519" s="69">
        <v>6.3647369999999999</v>
      </c>
      <c r="O519" s="69"/>
      <c r="P519" s="69">
        <v>9.1</v>
      </c>
      <c r="Q519" s="69">
        <v>8.3000000000000007</v>
      </c>
      <c r="R519" s="69"/>
      <c r="S519" s="69"/>
      <c r="T519" s="69">
        <v>11.1</v>
      </c>
      <c r="U519" s="69">
        <v>3.6</v>
      </c>
      <c r="V519" s="69">
        <v>5</v>
      </c>
      <c r="W519" s="69">
        <v>2.8</v>
      </c>
      <c r="X519" s="69"/>
      <c r="Y519" s="69">
        <v>3.4</v>
      </c>
      <c r="Z519" s="69">
        <v>5.6</v>
      </c>
      <c r="AA519" s="69">
        <v>3.2</v>
      </c>
      <c r="AB519" s="69"/>
      <c r="AC519" s="69">
        <v>9.9</v>
      </c>
      <c r="AD519" s="69">
        <v>6.8</v>
      </c>
      <c r="AE519" s="69">
        <v>12.2</v>
      </c>
      <c r="AF519" s="69">
        <v>7.3</v>
      </c>
      <c r="AG519" s="69">
        <v>8.8000000000000007</v>
      </c>
      <c r="AH519" s="69"/>
      <c r="AI519" s="69">
        <v>4.5999999999999996</v>
      </c>
      <c r="AJ519" s="69">
        <v>10.5</v>
      </c>
      <c r="AK519" s="69">
        <v>6.338794</v>
      </c>
      <c r="AL519" s="69"/>
    </row>
    <row r="520" spans="1:38" x14ac:dyDescent="0.2">
      <c r="A520" s="10">
        <v>35855</v>
      </c>
      <c r="B520" s="69">
        <v>7.8833510000000002</v>
      </c>
      <c r="C520" s="69"/>
      <c r="D520" s="69">
        <v>9.5</v>
      </c>
      <c r="E520" s="69">
        <v>8.4</v>
      </c>
      <c r="F520" s="69">
        <v>5.500902</v>
      </c>
      <c r="G520" s="69">
        <v>6</v>
      </c>
      <c r="H520" s="69">
        <v>9.6</v>
      </c>
      <c r="I520" s="69">
        <v>4.9000000000000004</v>
      </c>
      <c r="J520" s="69">
        <v>16.7</v>
      </c>
      <c r="K520" s="69">
        <v>9.1999999999999993</v>
      </c>
      <c r="L520" s="69">
        <v>11.7</v>
      </c>
      <c r="M520" s="69">
        <v>12</v>
      </c>
      <c r="N520" s="69">
        <v>6.3112110000000001</v>
      </c>
      <c r="O520" s="69"/>
      <c r="P520" s="69">
        <v>9.1</v>
      </c>
      <c r="Q520" s="69">
        <v>8.1</v>
      </c>
      <c r="R520" s="69"/>
      <c r="S520" s="69"/>
      <c r="T520" s="69">
        <v>11.1</v>
      </c>
      <c r="U520" s="69">
        <v>3.8</v>
      </c>
      <c r="V520" s="69">
        <v>5.8</v>
      </c>
      <c r="W520" s="69">
        <v>2.8</v>
      </c>
      <c r="X520" s="69"/>
      <c r="Y520" s="69">
        <v>3.3</v>
      </c>
      <c r="Z520" s="69">
        <v>5.5</v>
      </c>
      <c r="AA520" s="69">
        <v>3.3</v>
      </c>
      <c r="AB520" s="69"/>
      <c r="AC520" s="69">
        <v>9.8000000000000007</v>
      </c>
      <c r="AD520" s="69">
        <v>6.5</v>
      </c>
      <c r="AE520" s="69">
        <v>12.2</v>
      </c>
      <c r="AF520" s="69">
        <v>7.4</v>
      </c>
      <c r="AG520" s="69">
        <v>8.4</v>
      </c>
      <c r="AH520" s="69"/>
      <c r="AI520" s="69">
        <v>4.7</v>
      </c>
      <c r="AJ520" s="69">
        <v>10.5</v>
      </c>
      <c r="AK520" s="69">
        <v>6.3941970000000001</v>
      </c>
      <c r="AL520" s="69"/>
    </row>
    <row r="521" spans="1:38" x14ac:dyDescent="0.2">
      <c r="A521" s="10">
        <v>35886</v>
      </c>
      <c r="B521" s="69">
        <v>7.6034249999999997</v>
      </c>
      <c r="C521" s="69"/>
      <c r="D521" s="69">
        <v>9.5</v>
      </c>
      <c r="E521" s="69">
        <v>8.3000000000000007</v>
      </c>
      <c r="F521" s="69">
        <v>5.6064749999999997</v>
      </c>
      <c r="G521" s="69">
        <v>5.9</v>
      </c>
      <c r="H521" s="69">
        <v>9.6</v>
      </c>
      <c r="I521" s="69">
        <v>4.9000000000000004</v>
      </c>
      <c r="J521" s="69">
        <v>16.600000000000001</v>
      </c>
      <c r="K521" s="69">
        <v>9.1</v>
      </c>
      <c r="L521" s="69">
        <v>11.7</v>
      </c>
      <c r="M521" s="69">
        <v>12</v>
      </c>
      <c r="N521" s="69">
        <v>6.270022</v>
      </c>
      <c r="O521" s="69">
        <v>10.9</v>
      </c>
      <c r="P521" s="69">
        <v>9</v>
      </c>
      <c r="Q521" s="69">
        <v>7.9</v>
      </c>
      <c r="R521" s="69"/>
      <c r="S521" s="69"/>
      <c r="T521" s="69">
        <v>11.5</v>
      </c>
      <c r="U521" s="69">
        <v>4</v>
      </c>
      <c r="V521" s="69">
        <v>6.5</v>
      </c>
      <c r="W521" s="69">
        <v>2.8</v>
      </c>
      <c r="X521" s="69">
        <v>14.3</v>
      </c>
      <c r="Y521" s="69">
        <v>3.1</v>
      </c>
      <c r="Z521" s="69">
        <v>5.4</v>
      </c>
      <c r="AA521" s="69">
        <v>3.4</v>
      </c>
      <c r="AB521" s="69">
        <v>6.4379249999999999</v>
      </c>
      <c r="AC521" s="69">
        <v>9.8000000000000007</v>
      </c>
      <c r="AD521" s="69">
        <v>6.3</v>
      </c>
      <c r="AE521" s="69">
        <v>12.2</v>
      </c>
      <c r="AF521" s="69">
        <v>7.4</v>
      </c>
      <c r="AG521" s="69">
        <v>8.6999999999999993</v>
      </c>
      <c r="AH521" s="69"/>
      <c r="AI521" s="69">
        <v>4.3</v>
      </c>
      <c r="AJ521" s="69">
        <v>10.8</v>
      </c>
      <c r="AK521" s="69">
        <v>6.3080879999999997</v>
      </c>
      <c r="AL521" s="69"/>
    </row>
    <row r="522" spans="1:38" x14ac:dyDescent="0.2">
      <c r="A522" s="10">
        <v>35916</v>
      </c>
      <c r="B522" s="69">
        <v>7.76478</v>
      </c>
      <c r="C522" s="69"/>
      <c r="D522" s="69">
        <v>9.4</v>
      </c>
      <c r="E522" s="69">
        <v>8.3000000000000007</v>
      </c>
      <c r="F522" s="69">
        <v>5.8354949999999999</v>
      </c>
      <c r="G522" s="69">
        <v>5.9</v>
      </c>
      <c r="H522" s="69">
        <v>9.5</v>
      </c>
      <c r="I522" s="69">
        <v>4.9000000000000004</v>
      </c>
      <c r="J522" s="69">
        <v>16.600000000000001</v>
      </c>
      <c r="K522" s="69">
        <v>9.1</v>
      </c>
      <c r="L522" s="69">
        <v>11.7</v>
      </c>
      <c r="M522" s="69">
        <v>12.1</v>
      </c>
      <c r="N522" s="69">
        <v>6.2837759999999996</v>
      </c>
      <c r="O522" s="69">
        <v>11</v>
      </c>
      <c r="P522" s="69">
        <v>8.9</v>
      </c>
      <c r="Q522" s="69">
        <v>7.8</v>
      </c>
      <c r="R522" s="69"/>
      <c r="S522" s="69"/>
      <c r="T522" s="69">
        <v>11.5</v>
      </c>
      <c r="U522" s="69">
        <v>4.0999999999999996</v>
      </c>
      <c r="V522" s="69">
        <v>7.1</v>
      </c>
      <c r="W522" s="69">
        <v>2.8</v>
      </c>
      <c r="X522" s="69">
        <v>14.4</v>
      </c>
      <c r="Y522" s="69">
        <v>3.3</v>
      </c>
      <c r="Z522" s="69">
        <v>5.3</v>
      </c>
      <c r="AA522" s="69">
        <v>3.3</v>
      </c>
      <c r="AB522" s="69">
        <v>6.4570179999999997</v>
      </c>
      <c r="AC522" s="69">
        <v>9.9</v>
      </c>
      <c r="AD522" s="69">
        <v>6</v>
      </c>
      <c r="AE522" s="69">
        <v>12.3</v>
      </c>
      <c r="AF522" s="69">
        <v>7.4</v>
      </c>
      <c r="AG522" s="69">
        <v>8.9</v>
      </c>
      <c r="AH522" s="69"/>
      <c r="AI522" s="69">
        <v>4.4000000000000004</v>
      </c>
      <c r="AJ522" s="69">
        <v>10.7</v>
      </c>
      <c r="AK522" s="69">
        <v>6.34429</v>
      </c>
      <c r="AL522" s="69"/>
    </row>
    <row r="523" spans="1:38" x14ac:dyDescent="0.2">
      <c r="A523" s="10">
        <v>35947</v>
      </c>
      <c r="B523" s="69">
        <v>7.8326950000000002</v>
      </c>
      <c r="C523" s="69"/>
      <c r="D523" s="69">
        <v>9.4</v>
      </c>
      <c r="E523" s="69">
        <v>8.4</v>
      </c>
      <c r="F523" s="69">
        <v>5.9956759999999996</v>
      </c>
      <c r="G523" s="69">
        <v>6.4</v>
      </c>
      <c r="H523" s="69">
        <v>9.4</v>
      </c>
      <c r="I523" s="69">
        <v>4.8</v>
      </c>
      <c r="J523" s="69">
        <v>16.8</v>
      </c>
      <c r="K523" s="69">
        <v>9.1</v>
      </c>
      <c r="L523" s="69">
        <v>11.6</v>
      </c>
      <c r="M523" s="69">
        <v>12.1</v>
      </c>
      <c r="N523" s="69">
        <v>6.3008749999999996</v>
      </c>
      <c r="O523" s="69">
        <v>10.9</v>
      </c>
      <c r="P523" s="69">
        <v>8.8000000000000007</v>
      </c>
      <c r="Q523" s="69">
        <v>7.6</v>
      </c>
      <c r="R523" s="69"/>
      <c r="S523" s="69"/>
      <c r="T523" s="69">
        <v>11.5</v>
      </c>
      <c r="U523" s="69">
        <v>4.0999999999999996</v>
      </c>
      <c r="V523" s="69">
        <v>7.5</v>
      </c>
      <c r="W523" s="69">
        <v>2.7</v>
      </c>
      <c r="X523" s="69">
        <v>14.4</v>
      </c>
      <c r="Y523" s="69">
        <v>3.3</v>
      </c>
      <c r="Z523" s="69">
        <v>5.2</v>
      </c>
      <c r="AA523" s="69">
        <v>3.3</v>
      </c>
      <c r="AB523" s="69">
        <v>6.4571529999999999</v>
      </c>
      <c r="AC523" s="69">
        <v>10</v>
      </c>
      <c r="AD523" s="69">
        <v>6.1</v>
      </c>
      <c r="AE523" s="69">
        <v>12.5</v>
      </c>
      <c r="AF523" s="69">
        <v>7.4</v>
      </c>
      <c r="AG523" s="69">
        <v>8.1999999999999993</v>
      </c>
      <c r="AH523" s="69"/>
      <c r="AI523" s="69">
        <v>4.5</v>
      </c>
      <c r="AJ523" s="69">
        <v>10.7</v>
      </c>
      <c r="AK523" s="69">
        <v>6.396363</v>
      </c>
      <c r="AL523" s="69"/>
    </row>
    <row r="524" spans="1:38" x14ac:dyDescent="0.2">
      <c r="A524" s="10">
        <v>35977</v>
      </c>
      <c r="B524" s="69">
        <v>7.974342</v>
      </c>
      <c r="C524" s="69"/>
      <c r="D524" s="69">
        <v>9.3000000000000007</v>
      </c>
      <c r="E524" s="69">
        <v>8.3000000000000007</v>
      </c>
      <c r="F524" s="69">
        <v>6.2664850000000003</v>
      </c>
      <c r="G524" s="69">
        <v>6.6</v>
      </c>
      <c r="H524" s="69">
        <v>9.4</v>
      </c>
      <c r="I524" s="69">
        <v>4.9000000000000004</v>
      </c>
      <c r="J524" s="69">
        <v>16.600000000000001</v>
      </c>
      <c r="K524" s="69">
        <v>9.1</v>
      </c>
      <c r="L524" s="69">
        <v>11.5</v>
      </c>
      <c r="M524" s="69">
        <v>12.1</v>
      </c>
      <c r="N524" s="69">
        <v>6.311979</v>
      </c>
      <c r="O524" s="69">
        <v>11</v>
      </c>
      <c r="P524" s="69">
        <v>8.6999999999999993</v>
      </c>
      <c r="Q524" s="69">
        <v>7.5</v>
      </c>
      <c r="R524" s="69"/>
      <c r="S524" s="69"/>
      <c r="T524" s="69">
        <v>11.3</v>
      </c>
      <c r="U524" s="69">
        <v>4.0999999999999996</v>
      </c>
      <c r="V524" s="69">
        <v>8.1999999999999993</v>
      </c>
      <c r="W524" s="69">
        <v>2.7</v>
      </c>
      <c r="X524" s="69">
        <v>14.3</v>
      </c>
      <c r="Y524" s="69">
        <v>3.3</v>
      </c>
      <c r="Z524" s="69">
        <v>5.0999999999999996</v>
      </c>
      <c r="AA524" s="69">
        <v>3.2</v>
      </c>
      <c r="AB524" s="69">
        <v>6.4813140000000002</v>
      </c>
      <c r="AC524" s="69">
        <v>10.1</v>
      </c>
      <c r="AD524" s="69">
        <v>6.1</v>
      </c>
      <c r="AE524" s="69">
        <v>12.9</v>
      </c>
      <c r="AF524" s="69">
        <v>7.4</v>
      </c>
      <c r="AG524" s="69">
        <v>8.3000000000000007</v>
      </c>
      <c r="AH524" s="69"/>
      <c r="AI524" s="69">
        <v>4.5</v>
      </c>
      <c r="AJ524" s="69">
        <v>10.6</v>
      </c>
      <c r="AK524" s="69">
        <v>6.3815350000000004</v>
      </c>
      <c r="AL524" s="69"/>
    </row>
    <row r="525" spans="1:38" x14ac:dyDescent="0.2">
      <c r="A525" s="10">
        <v>36008</v>
      </c>
      <c r="B525" s="69">
        <v>7.7552950000000003</v>
      </c>
      <c r="C525" s="69"/>
      <c r="D525" s="69">
        <v>9.4</v>
      </c>
      <c r="E525" s="69">
        <v>8.1</v>
      </c>
      <c r="F525" s="69">
        <v>6.3174580000000002</v>
      </c>
      <c r="G525" s="69">
        <v>6.6</v>
      </c>
      <c r="H525" s="69">
        <v>9.3000000000000007</v>
      </c>
      <c r="I525" s="69">
        <v>4.9000000000000004</v>
      </c>
      <c r="J525" s="69">
        <v>16.399999999999999</v>
      </c>
      <c r="K525" s="69">
        <v>9.1</v>
      </c>
      <c r="L525" s="69">
        <v>11.3</v>
      </c>
      <c r="M525" s="69">
        <v>12.1</v>
      </c>
      <c r="N525" s="69">
        <v>6.240113</v>
      </c>
      <c r="O525" s="69">
        <v>11.2</v>
      </c>
      <c r="P525" s="69">
        <v>8.6</v>
      </c>
      <c r="Q525" s="69">
        <v>7.3</v>
      </c>
      <c r="R525" s="69"/>
      <c r="S525" s="69"/>
      <c r="T525" s="69">
        <v>11.3</v>
      </c>
      <c r="U525" s="69">
        <v>4.4000000000000004</v>
      </c>
      <c r="V525" s="69">
        <v>8</v>
      </c>
      <c r="W525" s="69">
        <v>2.6</v>
      </c>
      <c r="X525" s="69">
        <v>14.1</v>
      </c>
      <c r="Y525" s="69">
        <v>3.1</v>
      </c>
      <c r="Z525" s="69">
        <v>5</v>
      </c>
      <c r="AA525" s="69">
        <v>3</v>
      </c>
      <c r="AB525" s="69">
        <v>6.5039889999999998</v>
      </c>
      <c r="AC525" s="69">
        <v>10.199999999999999</v>
      </c>
      <c r="AD525" s="69">
        <v>5.9</v>
      </c>
      <c r="AE525" s="69">
        <v>13</v>
      </c>
      <c r="AF525" s="69">
        <v>7.4</v>
      </c>
      <c r="AG525" s="69">
        <v>8.1</v>
      </c>
      <c r="AH525" s="69"/>
      <c r="AI525" s="69">
        <v>4.5</v>
      </c>
      <c r="AJ525" s="69">
        <v>10.6</v>
      </c>
      <c r="AK525" s="69">
        <v>6.3858800000000002</v>
      </c>
      <c r="AL525" s="69"/>
    </row>
    <row r="526" spans="1:38" x14ac:dyDescent="0.2">
      <c r="A526" s="10">
        <v>36039</v>
      </c>
      <c r="B526" s="69">
        <v>7.6335100000000002</v>
      </c>
      <c r="C526" s="69"/>
      <c r="D526" s="69">
        <v>9.4</v>
      </c>
      <c r="E526" s="69">
        <v>8.1999999999999993</v>
      </c>
      <c r="F526" s="69">
        <v>6.6852939999999998</v>
      </c>
      <c r="G526" s="69">
        <v>6.9</v>
      </c>
      <c r="H526" s="69">
        <v>9.1999999999999993</v>
      </c>
      <c r="I526" s="69">
        <v>4.8</v>
      </c>
      <c r="J526" s="69">
        <v>16.3</v>
      </c>
      <c r="K526" s="69">
        <v>9.1</v>
      </c>
      <c r="L526" s="69">
        <v>11</v>
      </c>
      <c r="M526" s="69">
        <v>12.1</v>
      </c>
      <c r="N526" s="69">
        <v>6.2171960000000004</v>
      </c>
      <c r="O526" s="69">
        <v>11.1</v>
      </c>
      <c r="P526" s="69">
        <v>8.4</v>
      </c>
      <c r="Q526" s="69">
        <v>7.1</v>
      </c>
      <c r="R526" s="69"/>
      <c r="S526" s="69"/>
      <c r="T526" s="69">
        <v>11.3</v>
      </c>
      <c r="U526" s="69">
        <v>4.3</v>
      </c>
      <c r="V526" s="69">
        <v>8.1999999999999993</v>
      </c>
      <c r="W526" s="69">
        <v>2.6</v>
      </c>
      <c r="X526" s="69">
        <v>13.9</v>
      </c>
      <c r="Y526" s="69">
        <v>3.2</v>
      </c>
      <c r="Z526" s="69">
        <v>4.9000000000000004</v>
      </c>
      <c r="AA526" s="69">
        <v>2.8</v>
      </c>
      <c r="AB526" s="69">
        <v>6.5571919999999997</v>
      </c>
      <c r="AC526" s="69">
        <v>10.4</v>
      </c>
      <c r="AD526" s="69">
        <v>5.7</v>
      </c>
      <c r="AE526" s="69">
        <v>13.2</v>
      </c>
      <c r="AF526" s="69">
        <v>7.4</v>
      </c>
      <c r="AG526" s="69">
        <v>7.6</v>
      </c>
      <c r="AH526" s="69"/>
      <c r="AI526" s="69">
        <v>4.5999999999999996</v>
      </c>
      <c r="AJ526" s="69">
        <v>10.5</v>
      </c>
      <c r="AK526" s="69">
        <v>6.3966900000000004</v>
      </c>
      <c r="AL526" s="69"/>
    </row>
    <row r="527" spans="1:38" x14ac:dyDescent="0.2">
      <c r="A527" s="10">
        <v>36069</v>
      </c>
      <c r="B527" s="69">
        <v>7.3134940000000004</v>
      </c>
      <c r="C527" s="69"/>
      <c r="D527" s="69">
        <v>9.1999999999999993</v>
      </c>
      <c r="E527" s="69">
        <v>8</v>
      </c>
      <c r="F527" s="69">
        <v>7.3421519999999996</v>
      </c>
      <c r="G527" s="69">
        <v>7.4</v>
      </c>
      <c r="H527" s="69">
        <v>9.1</v>
      </c>
      <c r="I527" s="69">
        <v>4.8</v>
      </c>
      <c r="J527" s="69">
        <v>16</v>
      </c>
      <c r="K527" s="69">
        <v>9.3000000000000007</v>
      </c>
      <c r="L527" s="69">
        <v>10.9</v>
      </c>
      <c r="M527" s="69">
        <v>12</v>
      </c>
      <c r="N527" s="69">
        <v>6.1576950000000004</v>
      </c>
      <c r="O527" s="69">
        <v>11.1</v>
      </c>
      <c r="P527" s="69">
        <v>8.3000000000000007</v>
      </c>
      <c r="Q527" s="69">
        <v>7</v>
      </c>
      <c r="R527" s="69"/>
      <c r="S527" s="69"/>
      <c r="T527" s="69">
        <v>11.5</v>
      </c>
      <c r="U527" s="69">
        <v>4.3</v>
      </c>
      <c r="V527" s="69">
        <v>8.1</v>
      </c>
      <c r="W527" s="69">
        <v>2.6</v>
      </c>
      <c r="X527" s="69">
        <v>13.8</v>
      </c>
      <c r="Y527" s="69">
        <v>3.1</v>
      </c>
      <c r="Z527" s="69">
        <v>4.8</v>
      </c>
      <c r="AA527" s="69">
        <v>2.7</v>
      </c>
      <c r="AB527" s="69">
        <v>6.6349840000000002</v>
      </c>
      <c r="AC527" s="69">
        <v>10.6</v>
      </c>
      <c r="AD527" s="69">
        <v>5.6</v>
      </c>
      <c r="AE527" s="69">
        <v>13.2</v>
      </c>
      <c r="AF527" s="69">
        <v>7.4</v>
      </c>
      <c r="AG527" s="69">
        <v>7.4</v>
      </c>
      <c r="AH527" s="69"/>
      <c r="AI527" s="69">
        <v>4.5</v>
      </c>
      <c r="AJ527" s="69">
        <v>10.5</v>
      </c>
      <c r="AK527" s="69">
        <v>6.3753929999999999</v>
      </c>
      <c r="AL527" s="69"/>
    </row>
    <row r="528" spans="1:38" x14ac:dyDescent="0.2">
      <c r="A528" s="10">
        <v>36100</v>
      </c>
      <c r="B528" s="69">
        <v>7.6269539999999996</v>
      </c>
      <c r="C528" s="69"/>
      <c r="D528" s="69">
        <v>9.1</v>
      </c>
      <c r="E528" s="69">
        <v>8</v>
      </c>
      <c r="F528" s="69">
        <v>7.9588530000000004</v>
      </c>
      <c r="G528" s="69">
        <v>7.3</v>
      </c>
      <c r="H528" s="69">
        <v>9.1</v>
      </c>
      <c r="I528" s="69">
        <v>4.8</v>
      </c>
      <c r="J528" s="69">
        <v>15.7</v>
      </c>
      <c r="K528" s="69">
        <v>9.3000000000000007</v>
      </c>
      <c r="L528" s="69">
        <v>10.8</v>
      </c>
      <c r="M528" s="69">
        <v>12</v>
      </c>
      <c r="N528" s="69">
        <v>6.1431129999999996</v>
      </c>
      <c r="O528" s="69">
        <v>11.4</v>
      </c>
      <c r="P528" s="69">
        <v>8.1</v>
      </c>
      <c r="Q528" s="69">
        <v>6.8</v>
      </c>
      <c r="R528" s="69"/>
      <c r="S528" s="69"/>
      <c r="T528" s="69">
        <v>11.4</v>
      </c>
      <c r="U528" s="69">
        <v>4.5</v>
      </c>
      <c r="V528" s="69">
        <v>7.9</v>
      </c>
      <c r="W528" s="69">
        <v>2.5</v>
      </c>
      <c r="X528" s="69">
        <v>13.7</v>
      </c>
      <c r="Y528" s="69">
        <v>3</v>
      </c>
      <c r="Z528" s="69">
        <v>4.7</v>
      </c>
      <c r="AA528" s="69">
        <v>2.9</v>
      </c>
      <c r="AB528" s="69">
        <v>6.7362640000000003</v>
      </c>
      <c r="AC528" s="69">
        <v>10.8</v>
      </c>
      <c r="AD528" s="69">
        <v>5.8</v>
      </c>
      <c r="AE528" s="69">
        <v>13.3</v>
      </c>
      <c r="AF528" s="69">
        <v>7.4</v>
      </c>
      <c r="AG528" s="69">
        <v>7.6</v>
      </c>
      <c r="AH528" s="69"/>
      <c r="AI528" s="69">
        <v>4.4000000000000004</v>
      </c>
      <c r="AJ528" s="69">
        <v>10.4</v>
      </c>
      <c r="AK528" s="69">
        <v>6.3489019999999998</v>
      </c>
      <c r="AL528" s="69"/>
    </row>
    <row r="529" spans="1:38" x14ac:dyDescent="0.2">
      <c r="A529" s="10">
        <v>36130</v>
      </c>
      <c r="B529" s="69">
        <v>7.1835870000000002</v>
      </c>
      <c r="C529" s="69"/>
      <c r="D529" s="69">
        <v>9.1</v>
      </c>
      <c r="E529" s="69">
        <v>8.1</v>
      </c>
      <c r="F529" s="69">
        <v>8.32864</v>
      </c>
      <c r="G529" s="69">
        <v>7.3</v>
      </c>
      <c r="H529" s="69">
        <v>9</v>
      </c>
      <c r="I529" s="69">
        <v>4.9000000000000004</v>
      </c>
      <c r="J529" s="69">
        <v>15.4</v>
      </c>
      <c r="K529" s="69">
        <v>9.3000000000000007</v>
      </c>
      <c r="L529" s="69">
        <v>10.8</v>
      </c>
      <c r="M529" s="69">
        <v>12</v>
      </c>
      <c r="N529" s="69">
        <v>6.2180249999999999</v>
      </c>
      <c r="O529" s="69">
        <v>11.4</v>
      </c>
      <c r="P529" s="69">
        <v>7.8</v>
      </c>
      <c r="Q529" s="69">
        <v>6.6</v>
      </c>
      <c r="R529" s="69"/>
      <c r="S529" s="69"/>
      <c r="T529" s="69">
        <v>11.4</v>
      </c>
      <c r="U529" s="69">
        <v>4.4000000000000004</v>
      </c>
      <c r="V529" s="69">
        <v>7.9</v>
      </c>
      <c r="W529" s="69">
        <v>2.4</v>
      </c>
      <c r="X529" s="69">
        <v>13.7</v>
      </c>
      <c r="Y529" s="69">
        <v>3.1</v>
      </c>
      <c r="Z529" s="69">
        <v>4.5999999999999996</v>
      </c>
      <c r="AA529" s="69">
        <v>2.8</v>
      </c>
      <c r="AB529" s="69">
        <v>6.7779610000000003</v>
      </c>
      <c r="AC529" s="69">
        <v>11</v>
      </c>
      <c r="AD529" s="69">
        <v>5.7</v>
      </c>
      <c r="AE529" s="69">
        <v>13.6</v>
      </c>
      <c r="AF529" s="69">
        <v>7.4</v>
      </c>
      <c r="AG529" s="69">
        <v>7.4</v>
      </c>
      <c r="AH529" s="69"/>
      <c r="AI529" s="69">
        <v>4.4000000000000004</v>
      </c>
      <c r="AJ529" s="69">
        <v>10.3</v>
      </c>
      <c r="AK529" s="69">
        <v>6.3108510000000004</v>
      </c>
      <c r="AL529" s="69"/>
    </row>
    <row r="530" spans="1:38" x14ac:dyDescent="0.2">
      <c r="A530" s="10">
        <v>36161</v>
      </c>
      <c r="B530" s="69">
        <v>7.1189270000000002</v>
      </c>
      <c r="C530" s="69"/>
      <c r="D530" s="69">
        <v>8.9</v>
      </c>
      <c r="E530" s="69">
        <v>7.9</v>
      </c>
      <c r="F530" s="69">
        <v>8.3915900000000008</v>
      </c>
      <c r="G530" s="69">
        <v>7.8</v>
      </c>
      <c r="H530" s="69">
        <v>8.9</v>
      </c>
      <c r="I530" s="69">
        <v>5</v>
      </c>
      <c r="J530" s="69">
        <v>14.8</v>
      </c>
      <c r="K530" s="69">
        <v>10.1</v>
      </c>
      <c r="L530" s="69">
        <v>10.7</v>
      </c>
      <c r="M530" s="69">
        <v>12</v>
      </c>
      <c r="N530" s="69">
        <v>6.2272290000000003</v>
      </c>
      <c r="O530" s="69">
        <v>11.4</v>
      </c>
      <c r="P530" s="69">
        <v>7.2</v>
      </c>
      <c r="Q530" s="69">
        <v>6.5</v>
      </c>
      <c r="R530" s="69"/>
      <c r="S530" s="69"/>
      <c r="T530" s="69">
        <v>11.1</v>
      </c>
      <c r="U530" s="69">
        <v>4.5</v>
      </c>
      <c r="V530" s="69">
        <v>7.6</v>
      </c>
      <c r="W530" s="69">
        <v>2.4</v>
      </c>
      <c r="X530" s="69">
        <v>13.7</v>
      </c>
      <c r="Y530" s="69">
        <v>2.6</v>
      </c>
      <c r="Z530" s="69">
        <v>4.5999999999999996</v>
      </c>
      <c r="AA530" s="69">
        <v>2.7</v>
      </c>
      <c r="AB530" s="69">
        <v>6.9538630000000001</v>
      </c>
      <c r="AC530" s="69">
        <v>11.5</v>
      </c>
      <c r="AD530" s="69">
        <v>5.6</v>
      </c>
      <c r="AE530" s="69">
        <v>14.2</v>
      </c>
      <c r="AF530" s="69">
        <v>7.3</v>
      </c>
      <c r="AG530" s="69">
        <v>7.3</v>
      </c>
      <c r="AH530" s="69"/>
      <c r="AI530" s="69">
        <v>4.3</v>
      </c>
      <c r="AJ530" s="69">
        <v>10.199999999999999</v>
      </c>
      <c r="AK530" s="69">
        <v>6.2628909999999998</v>
      </c>
      <c r="AL530" s="69"/>
    </row>
    <row r="531" spans="1:38" x14ac:dyDescent="0.2">
      <c r="A531" s="10">
        <v>36192</v>
      </c>
      <c r="B531" s="69">
        <v>7.1150840000000004</v>
      </c>
      <c r="C531" s="69"/>
      <c r="D531" s="69">
        <v>9</v>
      </c>
      <c r="E531" s="69">
        <v>7.9</v>
      </c>
      <c r="F531" s="69">
        <v>8.8364440000000002</v>
      </c>
      <c r="G531" s="69">
        <v>8.1999999999999993</v>
      </c>
      <c r="H531" s="69">
        <v>8.8000000000000007</v>
      </c>
      <c r="I531" s="69">
        <v>5</v>
      </c>
      <c r="J531" s="69">
        <v>14.3</v>
      </c>
      <c r="K531" s="69">
        <v>10.1</v>
      </c>
      <c r="L531" s="69">
        <v>10.6</v>
      </c>
      <c r="M531" s="69">
        <v>12</v>
      </c>
      <c r="N531" s="69">
        <v>6.1760339999999996</v>
      </c>
      <c r="O531" s="69">
        <v>11.4</v>
      </c>
      <c r="P531" s="69">
        <v>7.2</v>
      </c>
      <c r="Q531" s="69">
        <v>6.3</v>
      </c>
      <c r="R531" s="69"/>
      <c r="S531" s="69"/>
      <c r="T531" s="69">
        <v>11.1</v>
      </c>
      <c r="U531" s="69">
        <v>4.5999999999999996</v>
      </c>
      <c r="V531" s="69">
        <v>7.4</v>
      </c>
      <c r="W531" s="69">
        <v>2.4</v>
      </c>
      <c r="X531" s="69">
        <v>13.8</v>
      </c>
      <c r="Y531" s="69">
        <v>3.1</v>
      </c>
      <c r="Z531" s="69">
        <v>4.5</v>
      </c>
      <c r="AA531" s="69">
        <v>2.7</v>
      </c>
      <c r="AB531" s="69">
        <v>7.0294109999999996</v>
      </c>
      <c r="AC531" s="69">
        <v>12</v>
      </c>
      <c r="AD531" s="69">
        <v>5.7</v>
      </c>
      <c r="AE531" s="69">
        <v>14.8</v>
      </c>
      <c r="AF531" s="69">
        <v>7.2</v>
      </c>
      <c r="AG531" s="69">
        <v>7</v>
      </c>
      <c r="AH531" s="69"/>
      <c r="AI531" s="69">
        <v>4.4000000000000004</v>
      </c>
      <c r="AJ531" s="69">
        <v>10.1</v>
      </c>
      <c r="AK531" s="69">
        <v>6.3109149999999996</v>
      </c>
      <c r="AL531" s="69"/>
    </row>
    <row r="532" spans="1:38" x14ac:dyDescent="0.2">
      <c r="A532" s="10">
        <v>36220</v>
      </c>
      <c r="B532" s="69">
        <v>7.0126710000000001</v>
      </c>
      <c r="C532" s="69"/>
      <c r="D532" s="69">
        <v>9</v>
      </c>
      <c r="E532" s="69">
        <v>7.9</v>
      </c>
      <c r="F532" s="69">
        <v>9.3312030000000004</v>
      </c>
      <c r="G532" s="69">
        <v>8.5</v>
      </c>
      <c r="H532" s="69">
        <v>8.8000000000000007</v>
      </c>
      <c r="I532" s="69">
        <v>5</v>
      </c>
      <c r="J532" s="69">
        <v>13.9</v>
      </c>
      <c r="K532" s="69">
        <v>10.1</v>
      </c>
      <c r="L532" s="69">
        <v>10.5</v>
      </c>
      <c r="M532" s="69">
        <v>11.8</v>
      </c>
      <c r="N532" s="69">
        <v>6.1542849999999998</v>
      </c>
      <c r="O532" s="69">
        <v>11.4</v>
      </c>
      <c r="P532" s="69">
        <v>7.1</v>
      </c>
      <c r="Q532" s="69">
        <v>6.2</v>
      </c>
      <c r="R532" s="69"/>
      <c r="S532" s="69"/>
      <c r="T532" s="69">
        <v>11.1</v>
      </c>
      <c r="U532" s="69">
        <v>4.7</v>
      </c>
      <c r="V532" s="69">
        <v>7.2</v>
      </c>
      <c r="W532" s="69">
        <v>2.4</v>
      </c>
      <c r="X532" s="69">
        <v>13.8</v>
      </c>
      <c r="Y532" s="69">
        <v>2.7</v>
      </c>
      <c r="Z532" s="69">
        <v>4.4000000000000004</v>
      </c>
      <c r="AA532" s="69">
        <v>2.9</v>
      </c>
      <c r="AB532" s="69">
        <v>7.1072259999999998</v>
      </c>
      <c r="AC532" s="69">
        <v>12.3</v>
      </c>
      <c r="AD532" s="69">
        <v>5.7</v>
      </c>
      <c r="AE532" s="69">
        <v>15.4</v>
      </c>
      <c r="AF532" s="69">
        <v>7.2</v>
      </c>
      <c r="AG532" s="69">
        <v>7</v>
      </c>
      <c r="AH532" s="69"/>
      <c r="AI532" s="69">
        <v>4.2</v>
      </c>
      <c r="AJ532" s="69">
        <v>10.1</v>
      </c>
      <c r="AK532" s="69">
        <v>6.2154740000000004</v>
      </c>
      <c r="AL532" s="69"/>
    </row>
    <row r="533" spans="1:38" x14ac:dyDescent="0.2">
      <c r="A533" s="10">
        <v>36251</v>
      </c>
      <c r="B533" s="69">
        <v>6.9793580000000004</v>
      </c>
      <c r="C533" s="69"/>
      <c r="D533" s="69">
        <v>9</v>
      </c>
      <c r="E533" s="69">
        <v>8.1999999999999993</v>
      </c>
      <c r="F533" s="69">
        <v>10.046480000000001</v>
      </c>
      <c r="G533" s="69">
        <v>8.5</v>
      </c>
      <c r="H533" s="69">
        <v>8.6999999999999993</v>
      </c>
      <c r="I533" s="69">
        <v>5</v>
      </c>
      <c r="J533" s="69">
        <v>13.6</v>
      </c>
      <c r="K533" s="69">
        <v>11.1</v>
      </c>
      <c r="L533" s="69">
        <v>10.4</v>
      </c>
      <c r="M533" s="69">
        <v>11.7</v>
      </c>
      <c r="N533" s="69">
        <v>6.1087509999999998</v>
      </c>
      <c r="O533" s="69">
        <v>12.1</v>
      </c>
      <c r="P533" s="69">
        <v>7</v>
      </c>
      <c r="Q533" s="69">
        <v>6.2</v>
      </c>
      <c r="R533" s="69"/>
      <c r="S533" s="69"/>
      <c r="T533" s="69">
        <v>11.1</v>
      </c>
      <c r="U533" s="69">
        <v>4.7</v>
      </c>
      <c r="V533" s="69">
        <v>7</v>
      </c>
      <c r="W533" s="69">
        <v>2.4</v>
      </c>
      <c r="X533" s="69">
        <v>13.8</v>
      </c>
      <c r="Y533" s="69">
        <v>2.8</v>
      </c>
      <c r="Z533" s="69">
        <v>4.4000000000000004</v>
      </c>
      <c r="AA533" s="69">
        <v>2.9</v>
      </c>
      <c r="AB533" s="69">
        <v>7.1194610000000003</v>
      </c>
      <c r="AC533" s="69">
        <v>12.7</v>
      </c>
      <c r="AD533" s="69">
        <v>5.9</v>
      </c>
      <c r="AE533" s="69">
        <v>15.7</v>
      </c>
      <c r="AF533" s="69">
        <v>7.5</v>
      </c>
      <c r="AG533" s="69">
        <v>6.9</v>
      </c>
      <c r="AH533" s="69"/>
      <c r="AI533" s="69">
        <v>4.3</v>
      </c>
      <c r="AJ533" s="69">
        <v>10</v>
      </c>
      <c r="AK533" s="69">
        <v>6.2728250000000001</v>
      </c>
      <c r="AL533" s="69"/>
    </row>
    <row r="534" spans="1:38" x14ac:dyDescent="0.2">
      <c r="A534" s="10">
        <v>36281</v>
      </c>
      <c r="B534" s="69">
        <v>7.0250779999999997</v>
      </c>
      <c r="C534" s="69"/>
      <c r="D534" s="69">
        <v>9</v>
      </c>
      <c r="E534" s="69">
        <v>7.9</v>
      </c>
      <c r="F534" s="69">
        <v>10.641299999999999</v>
      </c>
      <c r="G534" s="69">
        <v>8.8000000000000007</v>
      </c>
      <c r="H534" s="69">
        <v>8.6</v>
      </c>
      <c r="I534" s="69">
        <v>5</v>
      </c>
      <c r="J534" s="69">
        <v>13.5</v>
      </c>
      <c r="K534" s="69">
        <v>11.1</v>
      </c>
      <c r="L534" s="69">
        <v>10.3</v>
      </c>
      <c r="M534" s="69">
        <v>11.5</v>
      </c>
      <c r="N534" s="69">
        <v>6.0447629999999997</v>
      </c>
      <c r="O534" s="69">
        <v>12</v>
      </c>
      <c r="P534" s="69">
        <v>6.9</v>
      </c>
      <c r="Q534" s="69">
        <v>6.2</v>
      </c>
      <c r="R534" s="69"/>
      <c r="S534" s="69"/>
      <c r="T534" s="69">
        <v>11.1</v>
      </c>
      <c r="U534" s="69">
        <v>4.7</v>
      </c>
      <c r="V534" s="69">
        <v>6.8</v>
      </c>
      <c r="W534" s="69">
        <v>2.4</v>
      </c>
      <c r="X534" s="69">
        <v>13.8</v>
      </c>
      <c r="Y534" s="69">
        <v>2.6</v>
      </c>
      <c r="Z534" s="69">
        <v>4.3</v>
      </c>
      <c r="AA534" s="69">
        <v>2.9</v>
      </c>
      <c r="AB534" s="69">
        <v>7.1286779999999998</v>
      </c>
      <c r="AC534" s="69">
        <v>12.9</v>
      </c>
      <c r="AD534" s="69">
        <v>5.9</v>
      </c>
      <c r="AE534" s="69">
        <v>16.100000000000001</v>
      </c>
      <c r="AF534" s="69">
        <v>7.5</v>
      </c>
      <c r="AG534" s="69">
        <v>6.7</v>
      </c>
      <c r="AH534" s="69"/>
      <c r="AI534" s="69">
        <v>4.2</v>
      </c>
      <c r="AJ534" s="69">
        <v>9.9</v>
      </c>
      <c r="AK534" s="69">
        <v>6.1555330000000001</v>
      </c>
      <c r="AL534" s="69"/>
    </row>
    <row r="535" spans="1:38" x14ac:dyDescent="0.2">
      <c r="A535" s="10">
        <v>36312</v>
      </c>
      <c r="B535" s="69">
        <v>6.6536210000000002</v>
      </c>
      <c r="C535" s="69"/>
      <c r="D535" s="69">
        <v>8.6999999999999993</v>
      </c>
      <c r="E535" s="69">
        <v>7.6</v>
      </c>
      <c r="F535" s="69">
        <v>10.726520000000001</v>
      </c>
      <c r="G535" s="69">
        <v>8.4</v>
      </c>
      <c r="H535" s="69">
        <v>8.6</v>
      </c>
      <c r="I535" s="69">
        <v>4.9000000000000004</v>
      </c>
      <c r="J535" s="69">
        <v>13.5</v>
      </c>
      <c r="K535" s="69">
        <v>11.1</v>
      </c>
      <c r="L535" s="69">
        <v>10.3</v>
      </c>
      <c r="M535" s="69">
        <v>11.4</v>
      </c>
      <c r="N535" s="69">
        <v>5.9748640000000002</v>
      </c>
      <c r="O535" s="69">
        <v>12</v>
      </c>
      <c r="P535" s="69">
        <v>6.9</v>
      </c>
      <c r="Q535" s="69">
        <v>5.9</v>
      </c>
      <c r="R535" s="69"/>
      <c r="S535" s="69"/>
      <c r="T535" s="69">
        <v>11</v>
      </c>
      <c r="U535" s="69">
        <v>4.8</v>
      </c>
      <c r="V535" s="69">
        <v>7.1</v>
      </c>
      <c r="W535" s="69">
        <v>2.4</v>
      </c>
      <c r="X535" s="69">
        <v>13.9</v>
      </c>
      <c r="Y535" s="69">
        <v>2.7</v>
      </c>
      <c r="Z535" s="69">
        <v>4.3</v>
      </c>
      <c r="AA535" s="69">
        <v>2.8</v>
      </c>
      <c r="AB535" s="69">
        <v>7.1317130000000004</v>
      </c>
      <c r="AC535" s="69">
        <v>13.2</v>
      </c>
      <c r="AD535" s="69">
        <v>5.8</v>
      </c>
      <c r="AE535" s="69">
        <v>16.5</v>
      </c>
      <c r="AF535" s="69">
        <v>7.6</v>
      </c>
      <c r="AG535" s="69">
        <v>6.7</v>
      </c>
      <c r="AH535" s="69"/>
      <c r="AI535" s="69">
        <v>4.3</v>
      </c>
      <c r="AJ535" s="69">
        <v>9.9</v>
      </c>
      <c r="AK535" s="69">
        <v>6.1824909999999997</v>
      </c>
      <c r="AL535" s="69"/>
    </row>
    <row r="536" spans="1:38" x14ac:dyDescent="0.2">
      <c r="A536" s="10">
        <v>36342</v>
      </c>
      <c r="B536" s="69">
        <v>6.6751469999999999</v>
      </c>
      <c r="C536" s="69"/>
      <c r="D536" s="69">
        <v>8.3000000000000007</v>
      </c>
      <c r="E536" s="69">
        <v>7.6</v>
      </c>
      <c r="F536" s="69">
        <v>10.92301</v>
      </c>
      <c r="G536" s="69">
        <v>8.6</v>
      </c>
      <c r="H536" s="69">
        <v>8.5</v>
      </c>
      <c r="I536" s="69">
        <v>5</v>
      </c>
      <c r="J536" s="69">
        <v>13.5</v>
      </c>
      <c r="K536" s="69">
        <v>11.8</v>
      </c>
      <c r="L536" s="69">
        <v>10.199999999999999</v>
      </c>
      <c r="M536" s="69">
        <v>11.3</v>
      </c>
      <c r="N536" s="69">
        <v>5.9040059999999999</v>
      </c>
      <c r="O536" s="69">
        <v>12</v>
      </c>
      <c r="P536" s="69">
        <v>6.8</v>
      </c>
      <c r="Q536" s="69">
        <v>5.7</v>
      </c>
      <c r="R536" s="69"/>
      <c r="S536" s="69"/>
      <c r="T536" s="69">
        <v>11</v>
      </c>
      <c r="U536" s="69">
        <v>4.8</v>
      </c>
      <c r="V536" s="69">
        <v>7</v>
      </c>
      <c r="W536" s="69">
        <v>2.4</v>
      </c>
      <c r="X536" s="69">
        <v>14</v>
      </c>
      <c r="Y536" s="69">
        <v>2.2999999999999998</v>
      </c>
      <c r="Z536" s="69">
        <v>4.2</v>
      </c>
      <c r="AA536" s="69">
        <v>2.9</v>
      </c>
      <c r="AB536" s="69">
        <v>7.2020770000000001</v>
      </c>
      <c r="AC536" s="69">
        <v>13.5</v>
      </c>
      <c r="AD536" s="69">
        <v>5.6</v>
      </c>
      <c r="AE536" s="69">
        <v>16.7</v>
      </c>
      <c r="AF536" s="69">
        <v>7.6</v>
      </c>
      <c r="AG536" s="69">
        <v>6.6</v>
      </c>
      <c r="AH536" s="69"/>
      <c r="AI536" s="69">
        <v>4.3</v>
      </c>
      <c r="AJ536" s="69">
        <v>9.8000000000000007</v>
      </c>
      <c r="AK536" s="69">
        <v>6.1857449999999998</v>
      </c>
      <c r="AL536" s="69"/>
    </row>
    <row r="537" spans="1:38" x14ac:dyDescent="0.2">
      <c r="A537" s="10">
        <v>36373</v>
      </c>
      <c r="B537" s="69">
        <v>6.9058529999999996</v>
      </c>
      <c r="C537" s="69"/>
      <c r="D537" s="69">
        <v>8.1999999999999993</v>
      </c>
      <c r="E537" s="69">
        <v>7.4</v>
      </c>
      <c r="F537" s="69">
        <v>10.94434</v>
      </c>
      <c r="G537" s="69">
        <v>9.1999999999999993</v>
      </c>
      <c r="H537" s="69">
        <v>8.5</v>
      </c>
      <c r="I537" s="69">
        <v>5.3</v>
      </c>
      <c r="J537" s="69">
        <v>13.5</v>
      </c>
      <c r="K537" s="69">
        <v>11.8</v>
      </c>
      <c r="L537" s="69">
        <v>10.1</v>
      </c>
      <c r="M537" s="69">
        <v>11.1</v>
      </c>
      <c r="N537" s="69">
        <v>5.8863859999999999</v>
      </c>
      <c r="O537" s="69">
        <v>12.1</v>
      </c>
      <c r="P537" s="69">
        <v>6.7</v>
      </c>
      <c r="Q537" s="69">
        <v>5.5</v>
      </c>
      <c r="R537" s="69"/>
      <c r="S537" s="69"/>
      <c r="T537" s="69">
        <v>10.9</v>
      </c>
      <c r="U537" s="69">
        <v>4.7</v>
      </c>
      <c r="V537" s="69">
        <v>6.5</v>
      </c>
      <c r="W537" s="69">
        <v>2.4</v>
      </c>
      <c r="X537" s="69">
        <v>14.1</v>
      </c>
      <c r="Y537" s="69">
        <v>2.5</v>
      </c>
      <c r="Z537" s="69">
        <v>4.2</v>
      </c>
      <c r="AA537" s="69">
        <v>3.1</v>
      </c>
      <c r="AB537" s="69">
        <v>7.1766379999999996</v>
      </c>
      <c r="AC537" s="69">
        <v>13.8</v>
      </c>
      <c r="AD537" s="69">
        <v>5.4</v>
      </c>
      <c r="AE537" s="69">
        <v>17.100000000000001</v>
      </c>
      <c r="AF537" s="69">
        <v>7.6</v>
      </c>
      <c r="AG537" s="69">
        <v>6.7</v>
      </c>
      <c r="AH537" s="69"/>
      <c r="AI537" s="69">
        <v>4.2</v>
      </c>
      <c r="AJ537" s="69">
        <v>9.6999999999999993</v>
      </c>
      <c r="AK537" s="69">
        <v>6.079529</v>
      </c>
      <c r="AL537" s="69"/>
    </row>
    <row r="538" spans="1:38" x14ac:dyDescent="0.2">
      <c r="A538" s="10">
        <v>36404</v>
      </c>
      <c r="B538" s="69">
        <v>7.0414209999999997</v>
      </c>
      <c r="C538" s="69"/>
      <c r="D538" s="69">
        <v>7.9</v>
      </c>
      <c r="E538" s="69">
        <v>7.5</v>
      </c>
      <c r="F538" s="69">
        <v>10.960100000000001</v>
      </c>
      <c r="G538" s="69">
        <v>9.1999999999999993</v>
      </c>
      <c r="H538" s="69">
        <v>8.4</v>
      </c>
      <c r="I538" s="69">
        <v>5.2</v>
      </c>
      <c r="J538" s="69">
        <v>13.4</v>
      </c>
      <c r="K538" s="69">
        <v>11.8</v>
      </c>
      <c r="L538" s="69">
        <v>10</v>
      </c>
      <c r="M538" s="69">
        <v>11</v>
      </c>
      <c r="N538" s="69">
        <v>5.8377299999999996</v>
      </c>
      <c r="O538" s="69">
        <v>12</v>
      </c>
      <c r="P538" s="69">
        <v>6.7</v>
      </c>
      <c r="Q538" s="69">
        <v>5.5</v>
      </c>
      <c r="R538" s="69"/>
      <c r="S538" s="69"/>
      <c r="T538" s="69">
        <v>10.9</v>
      </c>
      <c r="U538" s="69">
        <v>4.5999999999999996</v>
      </c>
      <c r="V538" s="69">
        <v>5.7</v>
      </c>
      <c r="W538" s="69">
        <v>2.4</v>
      </c>
      <c r="X538" s="69">
        <v>14.3</v>
      </c>
      <c r="Y538" s="69">
        <v>2.2999999999999998</v>
      </c>
      <c r="Z538" s="69">
        <v>4.0999999999999996</v>
      </c>
      <c r="AA538" s="69">
        <v>3.4</v>
      </c>
      <c r="AB538" s="69">
        <v>7.196123</v>
      </c>
      <c r="AC538" s="69">
        <v>14.2</v>
      </c>
      <c r="AD538" s="69">
        <v>5.4</v>
      </c>
      <c r="AE538" s="69">
        <v>17.3</v>
      </c>
      <c r="AF538" s="69">
        <v>7.6</v>
      </c>
      <c r="AG538" s="69">
        <v>6.6</v>
      </c>
      <c r="AH538" s="69"/>
      <c r="AI538" s="69">
        <v>4.2</v>
      </c>
      <c r="AJ538" s="69">
        <v>9.6</v>
      </c>
      <c r="AK538" s="69">
        <v>6.0594020000000004</v>
      </c>
      <c r="AL538" s="69"/>
    </row>
    <row r="539" spans="1:38" x14ac:dyDescent="0.2">
      <c r="A539" s="10">
        <v>36434</v>
      </c>
      <c r="B539" s="69">
        <v>6.7762219999999997</v>
      </c>
      <c r="C539" s="69"/>
      <c r="D539" s="69">
        <v>7.8</v>
      </c>
      <c r="E539" s="69">
        <v>7.2</v>
      </c>
      <c r="F539" s="69">
        <v>10.598699999999999</v>
      </c>
      <c r="G539" s="69">
        <v>9</v>
      </c>
      <c r="H539" s="69">
        <v>8.4</v>
      </c>
      <c r="I539" s="69">
        <v>5.3</v>
      </c>
      <c r="J539" s="69">
        <v>13.2</v>
      </c>
      <c r="K539" s="69">
        <v>12.4</v>
      </c>
      <c r="L539" s="69">
        <v>10.1</v>
      </c>
      <c r="M539" s="69">
        <v>10.8</v>
      </c>
      <c r="N539" s="69">
        <v>5.8463960000000004</v>
      </c>
      <c r="O539" s="69">
        <v>12.3</v>
      </c>
      <c r="P539" s="69">
        <v>6.7</v>
      </c>
      <c r="Q539" s="69">
        <v>5.7</v>
      </c>
      <c r="R539" s="69"/>
      <c r="S539" s="69"/>
      <c r="T539" s="69">
        <v>10.7</v>
      </c>
      <c r="U539" s="69">
        <v>4.5999999999999996</v>
      </c>
      <c r="V539" s="69">
        <v>5.5</v>
      </c>
      <c r="W539" s="69">
        <v>2.4</v>
      </c>
      <c r="X539" s="69">
        <v>14.4</v>
      </c>
      <c r="Y539" s="69">
        <v>2.4</v>
      </c>
      <c r="Z539" s="69">
        <v>4.0999999999999996</v>
      </c>
      <c r="AA539" s="69">
        <v>3.4</v>
      </c>
      <c r="AB539" s="69">
        <v>7.2209070000000004</v>
      </c>
      <c r="AC539" s="69">
        <v>14.5</v>
      </c>
      <c r="AD539" s="69">
        <v>5.0999999999999996</v>
      </c>
      <c r="AE539" s="69">
        <v>17.7</v>
      </c>
      <c r="AF539" s="69">
        <v>7.5</v>
      </c>
      <c r="AG539" s="69">
        <v>6.4</v>
      </c>
      <c r="AH539" s="69"/>
      <c r="AI539" s="69">
        <v>4.0999999999999996</v>
      </c>
      <c r="AJ539" s="69">
        <v>9.6</v>
      </c>
      <c r="AK539" s="69">
        <v>5.9778799999999999</v>
      </c>
      <c r="AL539" s="69"/>
    </row>
    <row r="540" spans="1:38" x14ac:dyDescent="0.2">
      <c r="A540" s="10">
        <v>36465</v>
      </c>
      <c r="B540" s="69">
        <v>6.4395790000000002</v>
      </c>
      <c r="C540" s="69"/>
      <c r="D540" s="69">
        <v>7.7</v>
      </c>
      <c r="E540" s="69">
        <v>6.9</v>
      </c>
      <c r="F540" s="69">
        <v>10.164289999999999</v>
      </c>
      <c r="G540" s="69">
        <v>9.1</v>
      </c>
      <c r="H540" s="69">
        <v>8.3000000000000007</v>
      </c>
      <c r="I540" s="69">
        <v>5.3</v>
      </c>
      <c r="J540" s="69">
        <v>13.1</v>
      </c>
      <c r="K540" s="69">
        <v>12.4</v>
      </c>
      <c r="L540" s="69">
        <v>10.1</v>
      </c>
      <c r="M540" s="69">
        <v>10.7</v>
      </c>
      <c r="N540" s="69">
        <v>5.8062750000000003</v>
      </c>
      <c r="O540" s="69">
        <v>12.4</v>
      </c>
      <c r="P540" s="69">
        <v>6.7</v>
      </c>
      <c r="Q540" s="69">
        <v>5.6</v>
      </c>
      <c r="R540" s="69"/>
      <c r="S540" s="69"/>
      <c r="T540" s="69">
        <v>10.7</v>
      </c>
      <c r="U540" s="69">
        <v>4.5999999999999996</v>
      </c>
      <c r="V540" s="69">
        <v>5.2</v>
      </c>
      <c r="W540" s="69">
        <v>2.4</v>
      </c>
      <c r="X540" s="69">
        <v>14.5</v>
      </c>
      <c r="Y540" s="69">
        <v>2.2999999999999998</v>
      </c>
      <c r="Z540" s="69">
        <v>4</v>
      </c>
      <c r="AA540" s="69">
        <v>3.4</v>
      </c>
      <c r="AB540" s="69">
        <v>7.2427950000000001</v>
      </c>
      <c r="AC540" s="69">
        <v>14.8</v>
      </c>
      <c r="AD540" s="69">
        <v>5.2</v>
      </c>
      <c r="AE540" s="69">
        <v>18.100000000000001</v>
      </c>
      <c r="AF540" s="69">
        <v>7.4</v>
      </c>
      <c r="AG540" s="69">
        <v>6.3</v>
      </c>
      <c r="AH540" s="69"/>
      <c r="AI540" s="69">
        <v>4.0999999999999996</v>
      </c>
      <c r="AJ540" s="69">
        <v>9.5</v>
      </c>
      <c r="AK540" s="69">
        <v>5.9034469999999999</v>
      </c>
      <c r="AL540" s="69"/>
    </row>
    <row r="541" spans="1:38" x14ac:dyDescent="0.2">
      <c r="A541" s="10">
        <v>36495</v>
      </c>
      <c r="B541" s="69">
        <v>6.68445</v>
      </c>
      <c r="C541" s="69"/>
      <c r="D541" s="69">
        <v>7.6</v>
      </c>
      <c r="E541" s="69">
        <v>6.8</v>
      </c>
      <c r="F541" s="69">
        <v>9.6162310000000009</v>
      </c>
      <c r="G541" s="69">
        <v>9.1</v>
      </c>
      <c r="H541" s="69">
        <v>8.1999999999999993</v>
      </c>
      <c r="I541" s="69">
        <v>5.3</v>
      </c>
      <c r="J541" s="69">
        <v>12.9</v>
      </c>
      <c r="K541" s="69">
        <v>12.4</v>
      </c>
      <c r="L541" s="69">
        <v>10.1</v>
      </c>
      <c r="M541" s="69">
        <v>10.5</v>
      </c>
      <c r="N541" s="69">
        <v>5.8664170000000002</v>
      </c>
      <c r="O541" s="69">
        <v>12.3</v>
      </c>
      <c r="P541" s="69">
        <v>6.6</v>
      </c>
      <c r="Q541" s="69">
        <v>5.5</v>
      </c>
      <c r="R541" s="69"/>
      <c r="S541" s="69"/>
      <c r="T541" s="69">
        <v>10.6</v>
      </c>
      <c r="U541" s="69">
        <v>4.7</v>
      </c>
      <c r="V541" s="69">
        <v>5.2</v>
      </c>
      <c r="W541" s="69">
        <v>2.4</v>
      </c>
      <c r="X541" s="69">
        <v>14.4</v>
      </c>
      <c r="Y541" s="69">
        <v>2.4</v>
      </c>
      <c r="Z541" s="69">
        <v>4</v>
      </c>
      <c r="AA541" s="69">
        <v>3.4</v>
      </c>
      <c r="AB541" s="69">
        <v>7.2253429999999996</v>
      </c>
      <c r="AC541" s="69">
        <v>15.1</v>
      </c>
      <c r="AD541" s="69">
        <v>5.3</v>
      </c>
      <c r="AE541" s="69">
        <v>18.3</v>
      </c>
      <c r="AF541" s="69">
        <v>7.1</v>
      </c>
      <c r="AG541" s="69">
        <v>6.3</v>
      </c>
      <c r="AH541" s="69"/>
      <c r="AI541" s="69">
        <v>4</v>
      </c>
      <c r="AJ541" s="69">
        <v>9.4</v>
      </c>
      <c r="AK541" s="69">
        <v>5.8697509999999999</v>
      </c>
      <c r="AL541" s="69"/>
    </row>
    <row r="542" spans="1:38" x14ac:dyDescent="0.2">
      <c r="A542" s="10">
        <v>36526</v>
      </c>
      <c r="B542" s="69">
        <v>6.7678149999999997</v>
      </c>
      <c r="C542" s="69"/>
      <c r="D542" s="69">
        <v>7.3</v>
      </c>
      <c r="E542" s="69">
        <v>6.8</v>
      </c>
      <c r="F542" s="69">
        <v>9.1915379999999995</v>
      </c>
      <c r="G542" s="69">
        <v>9.1</v>
      </c>
      <c r="H542" s="69">
        <v>8.1999999999999993</v>
      </c>
      <c r="I542" s="69">
        <v>5</v>
      </c>
      <c r="J542" s="69">
        <v>12.8</v>
      </c>
      <c r="K542" s="69">
        <v>14</v>
      </c>
      <c r="L542" s="69">
        <v>10.1</v>
      </c>
      <c r="M542" s="69">
        <v>10.4</v>
      </c>
      <c r="N542" s="69">
        <v>5.810689</v>
      </c>
      <c r="O542" s="69">
        <v>11.5</v>
      </c>
      <c r="P542" s="69">
        <v>6.6</v>
      </c>
      <c r="Q542" s="69">
        <v>5</v>
      </c>
      <c r="R542" s="69"/>
      <c r="S542" s="69"/>
      <c r="T542" s="69">
        <v>10.6</v>
      </c>
      <c r="U542" s="69">
        <v>4.7</v>
      </c>
      <c r="V542" s="69">
        <v>5</v>
      </c>
      <c r="W542" s="69">
        <v>2.2999999999999998</v>
      </c>
      <c r="X542" s="69">
        <v>14.4</v>
      </c>
      <c r="Y542" s="69">
        <v>2.2999999999999998</v>
      </c>
      <c r="Z542" s="69">
        <v>3.9</v>
      </c>
      <c r="AA542" s="69">
        <v>3.4</v>
      </c>
      <c r="AB542" s="69">
        <v>7.2422899999999997</v>
      </c>
      <c r="AC542" s="69">
        <v>15.5</v>
      </c>
      <c r="AD542" s="69">
        <v>5.5</v>
      </c>
      <c r="AE542" s="69">
        <v>18.3</v>
      </c>
      <c r="AF542" s="69">
        <v>6.8</v>
      </c>
      <c r="AG542" s="69">
        <v>6.2</v>
      </c>
      <c r="AH542" s="69"/>
      <c r="AI542" s="69">
        <v>4</v>
      </c>
      <c r="AJ542" s="69">
        <v>9.4</v>
      </c>
      <c r="AK542" s="69">
        <v>5.8437799999999998</v>
      </c>
      <c r="AL542" s="69"/>
    </row>
    <row r="543" spans="1:38" x14ac:dyDescent="0.2">
      <c r="A543" s="10">
        <v>36557</v>
      </c>
      <c r="B543" s="69">
        <v>6.6191690000000003</v>
      </c>
      <c r="C543" s="69"/>
      <c r="D543" s="69">
        <v>7.1</v>
      </c>
      <c r="E543" s="69">
        <v>6.9</v>
      </c>
      <c r="F543" s="69">
        <v>9.036486</v>
      </c>
      <c r="G543" s="69">
        <v>9.4</v>
      </c>
      <c r="H543" s="69">
        <v>8.1</v>
      </c>
      <c r="I543" s="69">
        <v>4.5999999999999996</v>
      </c>
      <c r="J543" s="69">
        <v>12.4</v>
      </c>
      <c r="K543" s="69">
        <v>14.9</v>
      </c>
      <c r="L543" s="69">
        <v>10.199999999999999</v>
      </c>
      <c r="M543" s="69">
        <v>10.199999999999999</v>
      </c>
      <c r="N543" s="69">
        <v>5.79277</v>
      </c>
      <c r="O543" s="69">
        <v>11.6</v>
      </c>
      <c r="P543" s="69">
        <v>6.6</v>
      </c>
      <c r="Q543" s="69">
        <v>4.9000000000000004</v>
      </c>
      <c r="R543" s="69"/>
      <c r="S543" s="69"/>
      <c r="T543" s="69">
        <v>10.6</v>
      </c>
      <c r="U543" s="69">
        <v>4.9000000000000004</v>
      </c>
      <c r="V543" s="69">
        <v>4.8</v>
      </c>
      <c r="W543" s="69">
        <v>2.2999999999999998</v>
      </c>
      <c r="X543" s="69">
        <v>14.3</v>
      </c>
      <c r="Y543" s="69">
        <v>2.1</v>
      </c>
      <c r="Z543" s="69">
        <v>3.9</v>
      </c>
      <c r="AA543" s="69">
        <v>3.4</v>
      </c>
      <c r="AB543" s="69">
        <v>7.2648809999999999</v>
      </c>
      <c r="AC543" s="69">
        <v>15.8</v>
      </c>
      <c r="AD543" s="69">
        <v>5.3</v>
      </c>
      <c r="AE543" s="69">
        <v>18.5</v>
      </c>
      <c r="AF543" s="69">
        <v>6.8</v>
      </c>
      <c r="AG543" s="69">
        <v>6.1</v>
      </c>
      <c r="AH543" s="69"/>
      <c r="AI543" s="69">
        <v>4.0999999999999996</v>
      </c>
      <c r="AJ543" s="69">
        <v>9.3000000000000007</v>
      </c>
      <c r="AK543" s="69">
        <v>5.8918949999999999</v>
      </c>
      <c r="AL543" s="69"/>
    </row>
    <row r="544" spans="1:38" x14ac:dyDescent="0.2">
      <c r="A544" s="10">
        <v>36586</v>
      </c>
      <c r="B544" s="69">
        <v>6.5651409999999997</v>
      </c>
      <c r="C544" s="69"/>
      <c r="D544" s="69">
        <v>6.9</v>
      </c>
      <c r="E544" s="69">
        <v>6.9</v>
      </c>
      <c r="F544" s="69">
        <v>9.2566939999999995</v>
      </c>
      <c r="G544" s="69">
        <v>9.1999999999999993</v>
      </c>
      <c r="H544" s="69">
        <v>8.1</v>
      </c>
      <c r="I544" s="69">
        <v>4.4000000000000004</v>
      </c>
      <c r="J544" s="69">
        <v>12.2</v>
      </c>
      <c r="K544" s="69">
        <v>14.2</v>
      </c>
      <c r="L544" s="69">
        <v>10.199999999999999</v>
      </c>
      <c r="M544" s="69">
        <v>10.1</v>
      </c>
      <c r="N544" s="69">
        <v>5.6948160000000003</v>
      </c>
      <c r="O544" s="69">
        <v>11.6</v>
      </c>
      <c r="P544" s="69">
        <v>6.5</v>
      </c>
      <c r="Q544" s="69">
        <v>4.8</v>
      </c>
      <c r="R544" s="69"/>
      <c r="S544" s="69"/>
      <c r="T544" s="69">
        <v>10.5</v>
      </c>
      <c r="U544" s="69">
        <v>4.9000000000000004</v>
      </c>
      <c r="V544" s="69">
        <v>4.5999999999999996</v>
      </c>
      <c r="W544" s="69">
        <v>2.2999999999999998</v>
      </c>
      <c r="X544" s="69">
        <v>14.3</v>
      </c>
      <c r="Y544" s="69">
        <v>2.2000000000000002</v>
      </c>
      <c r="Z544" s="69">
        <v>3.8</v>
      </c>
      <c r="AA544" s="69">
        <v>3.3</v>
      </c>
      <c r="AB544" s="69">
        <v>7.2938169999999998</v>
      </c>
      <c r="AC544" s="69">
        <v>16.100000000000001</v>
      </c>
      <c r="AD544" s="69">
        <v>5.0999999999999996</v>
      </c>
      <c r="AE544" s="69">
        <v>18.7</v>
      </c>
      <c r="AF544" s="69">
        <v>6.8</v>
      </c>
      <c r="AG544" s="69">
        <v>5.9</v>
      </c>
      <c r="AH544" s="69"/>
      <c r="AI544" s="69">
        <v>4</v>
      </c>
      <c r="AJ544" s="69">
        <v>9.1999999999999993</v>
      </c>
      <c r="AK544" s="69">
        <v>5.831664</v>
      </c>
      <c r="AL544" s="69"/>
    </row>
    <row r="545" spans="1:38" x14ac:dyDescent="0.2">
      <c r="A545" s="10">
        <v>36617</v>
      </c>
      <c r="B545" s="69">
        <v>6.3764349999999999</v>
      </c>
      <c r="C545" s="69"/>
      <c r="D545" s="69">
        <v>6.9</v>
      </c>
      <c r="E545" s="69">
        <v>6.7</v>
      </c>
      <c r="F545" s="69">
        <v>9.2420910000000003</v>
      </c>
      <c r="G545" s="69">
        <v>9</v>
      </c>
      <c r="H545" s="69">
        <v>8</v>
      </c>
      <c r="I545" s="69">
        <v>4.4000000000000004</v>
      </c>
      <c r="J545" s="69">
        <v>12</v>
      </c>
      <c r="K545" s="69">
        <v>14.5</v>
      </c>
      <c r="L545" s="69">
        <v>10</v>
      </c>
      <c r="M545" s="69">
        <v>9.9</v>
      </c>
      <c r="N545" s="69">
        <v>5.6385009999999998</v>
      </c>
      <c r="O545" s="69">
        <v>11.5</v>
      </c>
      <c r="P545" s="69">
        <v>6.5</v>
      </c>
      <c r="Q545" s="69">
        <v>4.9000000000000004</v>
      </c>
      <c r="R545" s="69"/>
      <c r="S545" s="69"/>
      <c r="T545" s="69">
        <v>10.3</v>
      </c>
      <c r="U545" s="69">
        <v>4.8</v>
      </c>
      <c r="V545" s="69">
        <v>4.5</v>
      </c>
      <c r="W545" s="69">
        <v>2.2999999999999998</v>
      </c>
      <c r="X545" s="69">
        <v>14.3</v>
      </c>
      <c r="Y545" s="69">
        <v>2.792068</v>
      </c>
      <c r="Z545" s="69">
        <v>3.8</v>
      </c>
      <c r="AA545" s="69">
        <v>3.2</v>
      </c>
      <c r="AB545" s="69">
        <v>7.2667169999999999</v>
      </c>
      <c r="AC545" s="69">
        <v>16.2</v>
      </c>
      <c r="AD545" s="69">
        <v>5.0999999999999996</v>
      </c>
      <c r="AE545" s="69">
        <v>18.899999999999999</v>
      </c>
      <c r="AF545" s="69">
        <v>7.1</v>
      </c>
      <c r="AG545" s="69">
        <v>5.9</v>
      </c>
      <c r="AH545" s="69"/>
      <c r="AI545" s="69">
        <v>3.8</v>
      </c>
      <c r="AJ545" s="69">
        <v>9.1</v>
      </c>
      <c r="AK545" s="69">
        <v>5.6922040000000003</v>
      </c>
      <c r="AL545" s="69"/>
    </row>
    <row r="546" spans="1:38" x14ac:dyDescent="0.2">
      <c r="A546" s="10">
        <v>36647</v>
      </c>
      <c r="B546" s="69">
        <v>6.4145620000000001</v>
      </c>
      <c r="C546" s="69"/>
      <c r="D546" s="69">
        <v>6.8</v>
      </c>
      <c r="E546" s="69">
        <v>6.6</v>
      </c>
      <c r="F546" s="69">
        <v>9.3952519999999993</v>
      </c>
      <c r="G546" s="69">
        <v>9</v>
      </c>
      <c r="H546" s="69">
        <v>8</v>
      </c>
      <c r="I546" s="69">
        <v>4.5</v>
      </c>
      <c r="J546" s="69">
        <v>11.9</v>
      </c>
      <c r="K546" s="69">
        <v>13.9</v>
      </c>
      <c r="L546" s="69">
        <v>9.8000000000000007</v>
      </c>
      <c r="M546" s="69">
        <v>9.6999999999999993</v>
      </c>
      <c r="N546" s="69">
        <v>5.5005350000000002</v>
      </c>
      <c r="O546" s="69">
        <v>11.5</v>
      </c>
      <c r="P546" s="69">
        <v>6.4</v>
      </c>
      <c r="Q546" s="69">
        <v>4.7</v>
      </c>
      <c r="R546" s="69"/>
      <c r="S546" s="69"/>
      <c r="T546" s="69">
        <v>10.3</v>
      </c>
      <c r="U546" s="69">
        <v>4.5999999999999996</v>
      </c>
      <c r="V546" s="69">
        <v>4.3</v>
      </c>
      <c r="W546" s="69">
        <v>2.2999999999999998</v>
      </c>
      <c r="X546" s="69">
        <v>14.4</v>
      </c>
      <c r="Y546" s="69">
        <v>2.7226469999999998</v>
      </c>
      <c r="Z546" s="69">
        <v>3.7</v>
      </c>
      <c r="AA546" s="69">
        <v>3</v>
      </c>
      <c r="AB546" s="69">
        <v>7.2515650000000003</v>
      </c>
      <c r="AC546" s="69">
        <v>16.3</v>
      </c>
      <c r="AD546" s="69">
        <v>5.0999999999999996</v>
      </c>
      <c r="AE546" s="69">
        <v>19.2</v>
      </c>
      <c r="AF546" s="69">
        <v>7.2</v>
      </c>
      <c r="AG546" s="69">
        <v>5.6</v>
      </c>
      <c r="AH546" s="69"/>
      <c r="AI546" s="69">
        <v>4</v>
      </c>
      <c r="AJ546" s="69">
        <v>9</v>
      </c>
      <c r="AK546" s="69">
        <v>5.7135800000000003</v>
      </c>
      <c r="AL546" s="69"/>
    </row>
    <row r="547" spans="1:38" x14ac:dyDescent="0.2">
      <c r="A547" s="10">
        <v>36678</v>
      </c>
      <c r="B547" s="69">
        <v>6.1152509999999998</v>
      </c>
      <c r="C547" s="69"/>
      <c r="D547" s="69">
        <v>6.7</v>
      </c>
      <c r="E547" s="69">
        <v>6.7</v>
      </c>
      <c r="F547" s="69">
        <v>9.9615829999999992</v>
      </c>
      <c r="G547" s="69">
        <v>8.5</v>
      </c>
      <c r="H547" s="69">
        <v>8</v>
      </c>
      <c r="I547" s="69">
        <v>4.4000000000000004</v>
      </c>
      <c r="J547" s="69">
        <v>11.9</v>
      </c>
      <c r="K547" s="69">
        <v>14</v>
      </c>
      <c r="L547" s="69">
        <v>9.6</v>
      </c>
      <c r="M547" s="69">
        <v>9.5</v>
      </c>
      <c r="N547" s="69">
        <v>5.3352250000000003</v>
      </c>
      <c r="O547" s="69">
        <v>11.4</v>
      </c>
      <c r="P547" s="69">
        <v>6.3</v>
      </c>
      <c r="Q547" s="69">
        <v>4.5999999999999996</v>
      </c>
      <c r="R547" s="69"/>
      <c r="S547" s="69"/>
      <c r="T547" s="69">
        <v>10.199999999999999</v>
      </c>
      <c r="U547" s="69">
        <v>4.7</v>
      </c>
      <c r="V547" s="69">
        <v>4.2</v>
      </c>
      <c r="W547" s="69">
        <v>2.2999999999999998</v>
      </c>
      <c r="X547" s="69">
        <v>14.4</v>
      </c>
      <c r="Y547" s="69">
        <v>2.72309</v>
      </c>
      <c r="Z547" s="69">
        <v>3.7</v>
      </c>
      <c r="AA547" s="69">
        <v>3</v>
      </c>
      <c r="AB547" s="69">
        <v>7.2837440000000004</v>
      </c>
      <c r="AC547" s="69">
        <v>16.100000000000001</v>
      </c>
      <c r="AD547" s="69">
        <v>5</v>
      </c>
      <c r="AE547" s="69">
        <v>19.399999999999999</v>
      </c>
      <c r="AF547" s="69">
        <v>7.2</v>
      </c>
      <c r="AG547" s="69">
        <v>5.8</v>
      </c>
      <c r="AH547" s="69"/>
      <c r="AI547" s="69">
        <v>4</v>
      </c>
      <c r="AJ547" s="69">
        <v>8.9</v>
      </c>
      <c r="AK547" s="69">
        <v>5.658093</v>
      </c>
      <c r="AL547" s="69"/>
    </row>
    <row r="548" spans="1:38" x14ac:dyDescent="0.2">
      <c r="A548" s="10">
        <v>36708</v>
      </c>
      <c r="B548" s="69">
        <v>5.9540439999999997</v>
      </c>
      <c r="C548" s="69"/>
      <c r="D548" s="69">
        <v>6.8</v>
      </c>
      <c r="E548" s="69">
        <v>6.8</v>
      </c>
      <c r="F548" s="69">
        <v>10.232290000000001</v>
      </c>
      <c r="G548" s="69">
        <v>8.6999999999999993</v>
      </c>
      <c r="H548" s="69">
        <v>7.9</v>
      </c>
      <c r="I548" s="69">
        <v>4.2</v>
      </c>
      <c r="J548" s="69">
        <v>11.9</v>
      </c>
      <c r="K548" s="69">
        <v>13.9</v>
      </c>
      <c r="L548" s="69">
        <v>9.6</v>
      </c>
      <c r="M548" s="69">
        <v>9.4</v>
      </c>
      <c r="N548" s="69">
        <v>5.255471</v>
      </c>
      <c r="O548" s="69">
        <v>11.3</v>
      </c>
      <c r="P548" s="69">
        <v>6.2</v>
      </c>
      <c r="Q548" s="69">
        <v>4.5</v>
      </c>
      <c r="R548" s="69"/>
      <c r="S548" s="69"/>
      <c r="T548" s="69">
        <v>10</v>
      </c>
      <c r="U548" s="69">
        <v>4.7</v>
      </c>
      <c r="V548" s="69">
        <v>4.0999999999999996</v>
      </c>
      <c r="W548" s="69">
        <v>2.2000000000000002</v>
      </c>
      <c r="X548" s="69">
        <v>14.3</v>
      </c>
      <c r="Y548" s="69">
        <v>2.4574569999999998</v>
      </c>
      <c r="Z548" s="69">
        <v>3.6</v>
      </c>
      <c r="AA548" s="69">
        <v>3.1</v>
      </c>
      <c r="AB548" s="69">
        <v>7.3258400000000004</v>
      </c>
      <c r="AC548" s="69">
        <v>16</v>
      </c>
      <c r="AD548" s="69">
        <v>5.0999999999999996</v>
      </c>
      <c r="AE548" s="69">
        <v>19.7</v>
      </c>
      <c r="AF548" s="69">
        <v>7</v>
      </c>
      <c r="AG548" s="69">
        <v>5.6</v>
      </c>
      <c r="AH548" s="69"/>
      <c r="AI548" s="69">
        <v>4</v>
      </c>
      <c r="AJ548" s="69">
        <v>8.8000000000000007</v>
      </c>
      <c r="AK548" s="69">
        <v>5.652501</v>
      </c>
      <c r="AL548" s="69"/>
    </row>
    <row r="549" spans="1:38" x14ac:dyDescent="0.2">
      <c r="A549" s="10">
        <v>36739</v>
      </c>
      <c r="B549" s="69">
        <v>6.0512329999999999</v>
      </c>
      <c r="C549" s="69"/>
      <c r="D549" s="69">
        <v>7</v>
      </c>
      <c r="E549" s="69">
        <v>7</v>
      </c>
      <c r="F549" s="69">
        <v>10.506460000000001</v>
      </c>
      <c r="G549" s="69">
        <v>8.6</v>
      </c>
      <c r="H549" s="69">
        <v>7.9</v>
      </c>
      <c r="I549" s="69">
        <v>4.0999999999999996</v>
      </c>
      <c r="J549" s="69">
        <v>11.8</v>
      </c>
      <c r="K549" s="69">
        <v>14.3</v>
      </c>
      <c r="L549" s="69">
        <v>9.6</v>
      </c>
      <c r="M549" s="69">
        <v>9.3000000000000007</v>
      </c>
      <c r="N549" s="69">
        <v>5.3185440000000002</v>
      </c>
      <c r="O549" s="69">
        <v>11.2</v>
      </c>
      <c r="P549" s="69">
        <v>6.1</v>
      </c>
      <c r="Q549" s="69">
        <v>4.4000000000000004</v>
      </c>
      <c r="R549" s="69"/>
      <c r="S549" s="69"/>
      <c r="T549" s="69">
        <v>10</v>
      </c>
      <c r="U549" s="69">
        <v>4.5999999999999996</v>
      </c>
      <c r="V549" s="69">
        <v>4.2</v>
      </c>
      <c r="W549" s="69">
        <v>2.2999999999999998</v>
      </c>
      <c r="X549" s="69">
        <v>14.4</v>
      </c>
      <c r="Y549" s="69">
        <v>2.7291599999999998</v>
      </c>
      <c r="Z549" s="69">
        <v>3.6</v>
      </c>
      <c r="AA549" s="69">
        <v>3.3</v>
      </c>
      <c r="AB549" s="69">
        <v>7.3593570000000001</v>
      </c>
      <c r="AC549" s="69">
        <v>15.9</v>
      </c>
      <c r="AD549" s="69">
        <v>5.0999999999999996</v>
      </c>
      <c r="AE549" s="69">
        <v>18.600000000000001</v>
      </c>
      <c r="AF549" s="69">
        <v>6.8</v>
      </c>
      <c r="AG549" s="69">
        <v>5.5</v>
      </c>
      <c r="AH549" s="69"/>
      <c r="AI549" s="69">
        <v>4.0999999999999996</v>
      </c>
      <c r="AJ549" s="69">
        <v>8.8000000000000007</v>
      </c>
      <c r="AK549" s="69">
        <v>5.6803999999999997</v>
      </c>
      <c r="AL549" s="69"/>
    </row>
    <row r="550" spans="1:38" x14ac:dyDescent="0.2">
      <c r="A550" s="10">
        <v>36770</v>
      </c>
      <c r="B550" s="69">
        <v>5.9631959999999999</v>
      </c>
      <c r="C550" s="69"/>
      <c r="D550" s="69">
        <v>6.9</v>
      </c>
      <c r="E550" s="69">
        <v>6.9</v>
      </c>
      <c r="F550" s="69">
        <v>10.1235</v>
      </c>
      <c r="G550" s="69">
        <v>8.3000000000000007</v>
      </c>
      <c r="H550" s="69">
        <v>7.9</v>
      </c>
      <c r="I550" s="69">
        <v>4</v>
      </c>
      <c r="J550" s="69">
        <v>11.7</v>
      </c>
      <c r="K550" s="69">
        <v>14.2</v>
      </c>
      <c r="L550" s="69">
        <v>9.6</v>
      </c>
      <c r="M550" s="69">
        <v>9.1</v>
      </c>
      <c r="N550" s="69">
        <v>5.3985159999999999</v>
      </c>
      <c r="O550" s="69">
        <v>11.2</v>
      </c>
      <c r="P550" s="69">
        <v>6</v>
      </c>
      <c r="Q550" s="69">
        <v>4.2</v>
      </c>
      <c r="R550" s="69"/>
      <c r="S550" s="69"/>
      <c r="T550" s="69">
        <v>9.9</v>
      </c>
      <c r="U550" s="69">
        <v>4.7</v>
      </c>
      <c r="V550" s="69">
        <v>4.5</v>
      </c>
      <c r="W550" s="69">
        <v>2.2000000000000002</v>
      </c>
      <c r="X550" s="69">
        <v>14.4</v>
      </c>
      <c r="Y550" s="69">
        <v>2.6192579999999999</v>
      </c>
      <c r="Z550" s="69">
        <v>3.5</v>
      </c>
      <c r="AA550" s="69">
        <v>3.3</v>
      </c>
      <c r="AB550" s="69">
        <v>7.4229630000000002</v>
      </c>
      <c r="AC550" s="69">
        <v>16</v>
      </c>
      <c r="AD550" s="69">
        <v>5.0999999999999996</v>
      </c>
      <c r="AE550" s="69">
        <v>18.600000000000001</v>
      </c>
      <c r="AF550" s="69">
        <v>6.6</v>
      </c>
      <c r="AG550" s="69">
        <v>5.2</v>
      </c>
      <c r="AH550" s="69"/>
      <c r="AI550" s="69">
        <v>3.9</v>
      </c>
      <c r="AJ550" s="69">
        <v>8.6999999999999993</v>
      </c>
      <c r="AK550" s="69">
        <v>5.6074960000000003</v>
      </c>
      <c r="AL550" s="69"/>
    </row>
    <row r="551" spans="1:38" x14ac:dyDescent="0.2">
      <c r="A551" s="10">
        <v>36800</v>
      </c>
      <c r="B551" s="69">
        <v>6.0095869999999998</v>
      </c>
      <c r="C551" s="69"/>
      <c r="D551" s="69">
        <v>6.8</v>
      </c>
      <c r="E551" s="69">
        <v>7</v>
      </c>
      <c r="F551" s="69">
        <v>10.18262</v>
      </c>
      <c r="G551" s="69">
        <v>8.5</v>
      </c>
      <c r="H551" s="69">
        <v>7.8</v>
      </c>
      <c r="I551" s="69">
        <v>4</v>
      </c>
      <c r="J551" s="69">
        <v>11.7</v>
      </c>
      <c r="K551" s="69">
        <v>14.1</v>
      </c>
      <c r="L551" s="69">
        <v>9.5</v>
      </c>
      <c r="M551" s="69">
        <v>9</v>
      </c>
      <c r="N551" s="69">
        <v>5.2991070000000002</v>
      </c>
      <c r="O551" s="69">
        <v>10.6</v>
      </c>
      <c r="P551" s="69">
        <v>6</v>
      </c>
      <c r="Q551" s="69">
        <v>4</v>
      </c>
      <c r="R551" s="69"/>
      <c r="S551" s="69"/>
      <c r="T551" s="69">
        <v>9.6</v>
      </c>
      <c r="U551" s="69">
        <v>4.7</v>
      </c>
      <c r="V551" s="69">
        <v>4.0999999999999996</v>
      </c>
      <c r="W551" s="69">
        <v>2.1</v>
      </c>
      <c r="X551" s="69">
        <v>14.5</v>
      </c>
      <c r="Y551" s="69">
        <v>2.4877009999999999</v>
      </c>
      <c r="Z551" s="69">
        <v>3.4</v>
      </c>
      <c r="AA551" s="69">
        <v>3.2</v>
      </c>
      <c r="AB551" s="69">
        <v>7.351934</v>
      </c>
      <c r="AC551" s="69">
        <v>16.2</v>
      </c>
      <c r="AD551" s="69">
        <v>5</v>
      </c>
      <c r="AE551" s="69">
        <v>18.8</v>
      </c>
      <c r="AF551" s="69">
        <v>6.3</v>
      </c>
      <c r="AG551" s="69">
        <v>5.2</v>
      </c>
      <c r="AH551" s="69"/>
      <c r="AI551" s="69">
        <v>3.9</v>
      </c>
      <c r="AJ551" s="69">
        <v>8.6</v>
      </c>
      <c r="AK551" s="69">
        <v>5.535183</v>
      </c>
      <c r="AL551" s="69"/>
    </row>
    <row r="552" spans="1:38" x14ac:dyDescent="0.2">
      <c r="A552" s="10">
        <v>36831</v>
      </c>
      <c r="B552" s="69">
        <v>6.2612170000000003</v>
      </c>
      <c r="C552" s="69"/>
      <c r="D552" s="69">
        <v>6.7</v>
      </c>
      <c r="E552" s="69">
        <v>6.9</v>
      </c>
      <c r="F552" s="69">
        <v>9.7295940000000005</v>
      </c>
      <c r="G552" s="69">
        <v>8.5</v>
      </c>
      <c r="H552" s="69">
        <v>7.8</v>
      </c>
      <c r="I552" s="69">
        <v>4.0999999999999996</v>
      </c>
      <c r="J552" s="69">
        <v>11.5</v>
      </c>
      <c r="K552" s="69">
        <v>14.4</v>
      </c>
      <c r="L552" s="69">
        <v>9.4</v>
      </c>
      <c r="M552" s="69">
        <v>8.9</v>
      </c>
      <c r="N552" s="69">
        <v>5.2274370000000001</v>
      </c>
      <c r="O552" s="69">
        <v>10.7</v>
      </c>
      <c r="P552" s="69">
        <v>5.9</v>
      </c>
      <c r="Q552" s="69">
        <v>3.9</v>
      </c>
      <c r="R552" s="69"/>
      <c r="S552" s="69"/>
      <c r="T552" s="69">
        <v>9.6</v>
      </c>
      <c r="U552" s="69">
        <v>4.7</v>
      </c>
      <c r="V552" s="69">
        <v>4.2</v>
      </c>
      <c r="W552" s="69">
        <v>2</v>
      </c>
      <c r="X552" s="69">
        <v>14.5</v>
      </c>
      <c r="Y552" s="69">
        <v>2.3592789999999999</v>
      </c>
      <c r="Z552" s="69">
        <v>3.4</v>
      </c>
      <c r="AA552" s="69">
        <v>3.3</v>
      </c>
      <c r="AB552" s="69">
        <v>7.3193029999999997</v>
      </c>
      <c r="AC552" s="69">
        <v>16.5</v>
      </c>
      <c r="AD552" s="69">
        <v>4.8</v>
      </c>
      <c r="AE552" s="69">
        <v>19</v>
      </c>
      <c r="AF552" s="69">
        <v>6.2</v>
      </c>
      <c r="AG552" s="69">
        <v>5.2</v>
      </c>
      <c r="AH552" s="69"/>
      <c r="AI552" s="69">
        <v>3.9</v>
      </c>
      <c r="AJ552" s="69">
        <v>8.5</v>
      </c>
      <c r="AK552" s="69">
        <v>5.5551180000000002</v>
      </c>
      <c r="AL552" s="69"/>
    </row>
    <row r="553" spans="1:38" x14ac:dyDescent="0.2">
      <c r="A553" s="10">
        <v>36861</v>
      </c>
      <c r="B553" s="69">
        <v>6.2438750000000001</v>
      </c>
      <c r="C553" s="69"/>
      <c r="D553" s="69">
        <v>6.4</v>
      </c>
      <c r="E553" s="69">
        <v>6.8</v>
      </c>
      <c r="F553" s="69">
        <v>9.8350609999999996</v>
      </c>
      <c r="G553" s="69">
        <v>8.1999999999999993</v>
      </c>
      <c r="H553" s="69">
        <v>7.7</v>
      </c>
      <c r="I553" s="69">
        <v>4.0999999999999996</v>
      </c>
      <c r="J553" s="69">
        <v>11.2</v>
      </c>
      <c r="K553" s="69">
        <v>14.3</v>
      </c>
      <c r="L553" s="69">
        <v>9.3000000000000007</v>
      </c>
      <c r="M553" s="69">
        <v>8.8000000000000007</v>
      </c>
      <c r="N553" s="69">
        <v>5.1625189999999996</v>
      </c>
      <c r="O553" s="69">
        <v>10.6</v>
      </c>
      <c r="P553" s="69">
        <v>5.8</v>
      </c>
      <c r="Q553" s="69">
        <v>4</v>
      </c>
      <c r="R553" s="69"/>
      <c r="S553" s="69"/>
      <c r="T553" s="69">
        <v>9.6</v>
      </c>
      <c r="U553" s="69">
        <v>4.8</v>
      </c>
      <c r="V553" s="69">
        <v>4.3</v>
      </c>
      <c r="W553" s="69">
        <v>2</v>
      </c>
      <c r="X553" s="69">
        <v>14.3</v>
      </c>
      <c r="Y553" s="69">
        <v>2.5472410000000001</v>
      </c>
      <c r="Z553" s="69">
        <v>3.3</v>
      </c>
      <c r="AA553" s="69">
        <v>3.4</v>
      </c>
      <c r="AB553" s="69">
        <v>7.3308400000000002</v>
      </c>
      <c r="AC553" s="69">
        <v>16.8</v>
      </c>
      <c r="AD553" s="69">
        <v>4.8</v>
      </c>
      <c r="AE553" s="69">
        <v>19.100000000000001</v>
      </c>
      <c r="AF553" s="69">
        <v>6.2</v>
      </c>
      <c r="AG553" s="69">
        <v>4.9000000000000004</v>
      </c>
      <c r="AH553" s="69"/>
      <c r="AI553" s="69">
        <v>3.9</v>
      </c>
      <c r="AJ553" s="69">
        <v>8.4</v>
      </c>
      <c r="AK553" s="69">
        <v>5.5282629999999999</v>
      </c>
      <c r="AL553" s="69"/>
    </row>
    <row r="554" spans="1:38" x14ac:dyDescent="0.2">
      <c r="A554" s="10">
        <v>36892</v>
      </c>
      <c r="B554" s="69">
        <v>6.1398339999999996</v>
      </c>
      <c r="C554" s="69"/>
      <c r="D554" s="69">
        <v>6.1</v>
      </c>
      <c r="E554" s="69">
        <v>6.9</v>
      </c>
      <c r="F554" s="69">
        <v>9.8324259999999999</v>
      </c>
      <c r="G554" s="69">
        <v>8.3000000000000007</v>
      </c>
      <c r="H554" s="69">
        <v>7.7</v>
      </c>
      <c r="I554" s="69">
        <v>4.3</v>
      </c>
      <c r="J554" s="69">
        <v>10.8</v>
      </c>
      <c r="K554" s="69">
        <v>14.4</v>
      </c>
      <c r="L554" s="69">
        <v>9.4</v>
      </c>
      <c r="M554" s="69">
        <v>8.6999999999999993</v>
      </c>
      <c r="N554" s="69">
        <v>5.2042890000000002</v>
      </c>
      <c r="O554" s="69">
        <v>10.5</v>
      </c>
      <c r="P554" s="69">
        <v>5.7</v>
      </c>
      <c r="Q554" s="69">
        <v>4</v>
      </c>
      <c r="R554" s="69"/>
      <c r="S554" s="69"/>
      <c r="T554" s="69">
        <v>9.4</v>
      </c>
      <c r="U554" s="69">
        <v>4.8</v>
      </c>
      <c r="V554" s="69">
        <v>4.4000000000000004</v>
      </c>
      <c r="W554" s="69">
        <v>1.9</v>
      </c>
      <c r="X554" s="69">
        <v>14.1</v>
      </c>
      <c r="Y554" s="69">
        <v>2.544988</v>
      </c>
      <c r="Z554" s="69">
        <v>3.2</v>
      </c>
      <c r="AA554" s="69">
        <v>3.4</v>
      </c>
      <c r="AB554" s="69">
        <v>7.262435</v>
      </c>
      <c r="AC554" s="69">
        <v>17.100000000000001</v>
      </c>
      <c r="AD554" s="69">
        <v>4.9000000000000004</v>
      </c>
      <c r="AE554" s="69">
        <v>19.399999999999999</v>
      </c>
      <c r="AF554" s="69">
        <v>6.1</v>
      </c>
      <c r="AG554" s="69">
        <v>6</v>
      </c>
      <c r="AH554" s="69"/>
      <c r="AI554" s="69">
        <v>4.2</v>
      </c>
      <c r="AJ554" s="69">
        <v>8.3000000000000007</v>
      </c>
      <c r="AK554" s="69">
        <v>5.6214630000000003</v>
      </c>
      <c r="AL554" s="69"/>
    </row>
    <row r="555" spans="1:38" x14ac:dyDescent="0.2">
      <c r="A555" s="10">
        <v>36923</v>
      </c>
      <c r="B555" s="69">
        <v>6.5018900000000004</v>
      </c>
      <c r="C555" s="69"/>
      <c r="D555" s="69">
        <v>6</v>
      </c>
      <c r="E555" s="69">
        <v>7</v>
      </c>
      <c r="F555" s="69">
        <v>9.9618009999999995</v>
      </c>
      <c r="G555" s="69">
        <v>8.3000000000000007</v>
      </c>
      <c r="H555" s="69">
        <v>7.7</v>
      </c>
      <c r="I555" s="69">
        <v>4.4000000000000004</v>
      </c>
      <c r="J555" s="69">
        <v>10.7</v>
      </c>
      <c r="K555" s="69">
        <v>13.9</v>
      </c>
      <c r="L555" s="69">
        <v>9.4</v>
      </c>
      <c r="M555" s="69">
        <v>8.6999999999999993</v>
      </c>
      <c r="N555" s="69">
        <v>5.089594</v>
      </c>
      <c r="O555" s="69">
        <v>10.5</v>
      </c>
      <c r="P555" s="69">
        <v>5.7</v>
      </c>
      <c r="Q555" s="69">
        <v>4</v>
      </c>
      <c r="R555" s="69"/>
      <c r="S555" s="69"/>
      <c r="T555" s="69">
        <v>9.4</v>
      </c>
      <c r="U555" s="69">
        <v>4.7</v>
      </c>
      <c r="V555" s="69">
        <v>4.7</v>
      </c>
      <c r="W555" s="69">
        <v>1.8</v>
      </c>
      <c r="X555" s="69">
        <v>13.8</v>
      </c>
      <c r="Y555" s="69">
        <v>3.2090510000000001</v>
      </c>
      <c r="Z555" s="69">
        <v>3.2</v>
      </c>
      <c r="AA555" s="69">
        <v>3.4</v>
      </c>
      <c r="AB555" s="69">
        <v>7.2342399999999998</v>
      </c>
      <c r="AC555" s="69">
        <v>17.399999999999999</v>
      </c>
      <c r="AD555" s="69">
        <v>5.0999999999999996</v>
      </c>
      <c r="AE555" s="69">
        <v>19.3</v>
      </c>
      <c r="AF555" s="69">
        <v>6</v>
      </c>
      <c r="AG555" s="69">
        <v>5.9</v>
      </c>
      <c r="AH555" s="69"/>
      <c r="AI555" s="69">
        <v>4.2</v>
      </c>
      <c r="AJ555" s="69">
        <v>8.3000000000000007</v>
      </c>
      <c r="AK555" s="69">
        <v>5.616663</v>
      </c>
      <c r="AL555" s="69"/>
    </row>
    <row r="556" spans="1:38" x14ac:dyDescent="0.2">
      <c r="A556" s="10">
        <v>36951</v>
      </c>
      <c r="B556" s="69">
        <v>6.45878</v>
      </c>
      <c r="C556" s="69"/>
      <c r="D556" s="69">
        <v>6.1</v>
      </c>
      <c r="E556" s="69">
        <v>7.1</v>
      </c>
      <c r="F556" s="69">
        <v>10.03955</v>
      </c>
      <c r="G556" s="69">
        <v>8.1</v>
      </c>
      <c r="H556" s="69">
        <v>7.6</v>
      </c>
      <c r="I556" s="69">
        <v>4.4000000000000004</v>
      </c>
      <c r="J556" s="69">
        <v>10.5</v>
      </c>
      <c r="K556" s="69">
        <v>14</v>
      </c>
      <c r="L556" s="69">
        <v>9</v>
      </c>
      <c r="M556" s="69">
        <v>8.6999999999999993</v>
      </c>
      <c r="N556" s="69">
        <v>5.0103669999999996</v>
      </c>
      <c r="O556" s="69">
        <v>10.5</v>
      </c>
      <c r="P556" s="69">
        <v>5.6</v>
      </c>
      <c r="Q556" s="69">
        <v>3.9</v>
      </c>
      <c r="R556" s="69"/>
      <c r="S556" s="69"/>
      <c r="T556" s="69">
        <v>9.3000000000000007</v>
      </c>
      <c r="U556" s="69">
        <v>4.8</v>
      </c>
      <c r="V556" s="69">
        <v>4.5999999999999996</v>
      </c>
      <c r="W556" s="69">
        <v>1.9</v>
      </c>
      <c r="X556" s="69">
        <v>13.5</v>
      </c>
      <c r="Y556" s="69">
        <v>2.663894</v>
      </c>
      <c r="Z556" s="69">
        <v>3.2</v>
      </c>
      <c r="AA556" s="69">
        <v>3.2</v>
      </c>
      <c r="AB556" s="69">
        <v>7.1790159999999998</v>
      </c>
      <c r="AC556" s="69">
        <v>17.7</v>
      </c>
      <c r="AD556" s="69">
        <v>5.0999999999999996</v>
      </c>
      <c r="AE556" s="69">
        <v>19.399999999999999</v>
      </c>
      <c r="AF556" s="69">
        <v>6.1</v>
      </c>
      <c r="AG556" s="69">
        <v>5.8</v>
      </c>
      <c r="AH556" s="69"/>
      <c r="AI556" s="69">
        <v>4.3</v>
      </c>
      <c r="AJ556" s="69">
        <v>8.3000000000000007</v>
      </c>
      <c r="AK556" s="69">
        <v>5.6236540000000002</v>
      </c>
      <c r="AL556" s="69"/>
    </row>
    <row r="557" spans="1:38" x14ac:dyDescent="0.2">
      <c r="A557" s="10">
        <v>36982</v>
      </c>
      <c r="B557" s="69">
        <v>6.7826269999999997</v>
      </c>
      <c r="C557" s="69"/>
      <c r="D557" s="69">
        <v>6.5</v>
      </c>
      <c r="E557" s="69">
        <v>7.1</v>
      </c>
      <c r="F557" s="69">
        <v>10.14889</v>
      </c>
      <c r="G557" s="69">
        <v>8.1</v>
      </c>
      <c r="H557" s="69">
        <v>7.6</v>
      </c>
      <c r="I557" s="69">
        <v>4.3</v>
      </c>
      <c r="J557" s="69">
        <v>10.4</v>
      </c>
      <c r="K557" s="69">
        <v>14.2</v>
      </c>
      <c r="L557" s="69">
        <v>9.1999999999999993</v>
      </c>
      <c r="M557" s="69">
        <v>8.6999999999999993</v>
      </c>
      <c r="N557" s="69">
        <v>4.9109949999999998</v>
      </c>
      <c r="O557" s="69">
        <v>10.7</v>
      </c>
      <c r="P557" s="69">
        <v>5.6</v>
      </c>
      <c r="Q557" s="69">
        <v>3.9</v>
      </c>
      <c r="R557" s="69"/>
      <c r="S557" s="69"/>
      <c r="T557" s="69">
        <v>9.1999999999999993</v>
      </c>
      <c r="U557" s="69">
        <v>4.8</v>
      </c>
      <c r="V557" s="69">
        <v>4.0999999999999996</v>
      </c>
      <c r="W557" s="69">
        <v>1.9</v>
      </c>
      <c r="X557" s="69">
        <v>13.2</v>
      </c>
      <c r="Y557" s="69">
        <v>2.7034720000000001</v>
      </c>
      <c r="Z557" s="69">
        <v>3.1</v>
      </c>
      <c r="AA557" s="69">
        <v>3.2</v>
      </c>
      <c r="AB557" s="69">
        <v>7.2550949999999998</v>
      </c>
      <c r="AC557" s="69">
        <v>18.100000000000001</v>
      </c>
      <c r="AD557" s="69">
        <v>5.2</v>
      </c>
      <c r="AE557" s="69">
        <v>19.600000000000001</v>
      </c>
      <c r="AF557" s="69">
        <v>6</v>
      </c>
      <c r="AG557" s="69">
        <v>5.7</v>
      </c>
      <c r="AH557" s="69"/>
      <c r="AI557" s="69">
        <v>4.4000000000000004</v>
      </c>
      <c r="AJ557" s="69">
        <v>8.3000000000000007</v>
      </c>
      <c r="AK557" s="69">
        <v>5.6639200000000001</v>
      </c>
      <c r="AL557" s="69"/>
    </row>
    <row r="558" spans="1:38" x14ac:dyDescent="0.2">
      <c r="A558" s="10">
        <v>37012</v>
      </c>
      <c r="B558" s="69">
        <v>6.8932919999999998</v>
      </c>
      <c r="C558" s="69"/>
      <c r="D558" s="69">
        <v>6.6</v>
      </c>
      <c r="E558" s="69">
        <v>7</v>
      </c>
      <c r="F558" s="69">
        <v>9.8840819999999994</v>
      </c>
      <c r="G558" s="69">
        <v>8.1</v>
      </c>
      <c r="H558" s="69">
        <v>7.7</v>
      </c>
      <c r="I558" s="69">
        <v>4.3</v>
      </c>
      <c r="J558" s="69">
        <v>10.6</v>
      </c>
      <c r="K558" s="69">
        <v>13.6</v>
      </c>
      <c r="L558" s="69">
        <v>9.1</v>
      </c>
      <c r="M558" s="69">
        <v>8.6999999999999993</v>
      </c>
      <c r="N558" s="69">
        <v>5.030761</v>
      </c>
      <c r="O558" s="69">
        <v>10.7</v>
      </c>
      <c r="P558" s="69">
        <v>5.6</v>
      </c>
      <c r="Q558" s="69">
        <v>4</v>
      </c>
      <c r="R558" s="69"/>
      <c r="S558" s="69"/>
      <c r="T558" s="69">
        <v>9.1</v>
      </c>
      <c r="U558" s="69">
        <v>4.9000000000000004</v>
      </c>
      <c r="V558" s="69">
        <v>3.9</v>
      </c>
      <c r="W558" s="69">
        <v>1.8</v>
      </c>
      <c r="X558" s="69">
        <v>13.1</v>
      </c>
      <c r="Y558" s="69">
        <v>2.7801420000000001</v>
      </c>
      <c r="Z558" s="69">
        <v>3.1</v>
      </c>
      <c r="AA558" s="69">
        <v>3.2</v>
      </c>
      <c r="AB558" s="69">
        <v>7.2382080000000002</v>
      </c>
      <c r="AC558" s="69">
        <v>18.399999999999999</v>
      </c>
      <c r="AD558" s="69">
        <v>5.2</v>
      </c>
      <c r="AE558" s="69">
        <v>19.5</v>
      </c>
      <c r="AF558" s="69">
        <v>5.9</v>
      </c>
      <c r="AG558" s="69">
        <v>5.7</v>
      </c>
      <c r="AH558" s="69"/>
      <c r="AI558" s="69">
        <v>4.3</v>
      </c>
      <c r="AJ558" s="69">
        <v>8.3000000000000007</v>
      </c>
      <c r="AK558" s="69">
        <v>5.6884969999999999</v>
      </c>
      <c r="AL558" s="69"/>
    </row>
    <row r="559" spans="1:38" x14ac:dyDescent="0.2">
      <c r="A559" s="10">
        <v>37043</v>
      </c>
      <c r="B559" s="69">
        <v>6.9329929999999997</v>
      </c>
      <c r="C559" s="69"/>
      <c r="D559" s="69">
        <v>6.4</v>
      </c>
      <c r="E559" s="69">
        <v>7.2</v>
      </c>
      <c r="F559" s="69">
        <v>9.7866370000000007</v>
      </c>
      <c r="G559" s="69">
        <v>8.1</v>
      </c>
      <c r="H559" s="69">
        <v>7.7</v>
      </c>
      <c r="I559" s="69">
        <v>4.4000000000000004</v>
      </c>
      <c r="J559" s="69">
        <v>10.5</v>
      </c>
      <c r="K559" s="69">
        <v>12.9</v>
      </c>
      <c r="L559" s="69">
        <v>9</v>
      </c>
      <c r="M559" s="69">
        <v>8.8000000000000007</v>
      </c>
      <c r="N559" s="69">
        <v>5.0462819999999997</v>
      </c>
      <c r="O559" s="69">
        <v>10.7</v>
      </c>
      <c r="P559" s="69">
        <v>5.6</v>
      </c>
      <c r="Q559" s="69">
        <v>4.0999999999999996</v>
      </c>
      <c r="R559" s="69"/>
      <c r="S559" s="69"/>
      <c r="T559" s="69">
        <v>9.1</v>
      </c>
      <c r="U559" s="69">
        <v>5</v>
      </c>
      <c r="V559" s="69">
        <v>3.8</v>
      </c>
      <c r="W559" s="69">
        <v>1.9</v>
      </c>
      <c r="X559" s="69">
        <v>13</v>
      </c>
      <c r="Y559" s="69">
        <v>2.737625</v>
      </c>
      <c r="Z559" s="69">
        <v>3.1</v>
      </c>
      <c r="AA559" s="69">
        <v>3.4</v>
      </c>
      <c r="AB559" s="69">
        <v>7.2764290000000003</v>
      </c>
      <c r="AC559" s="69">
        <v>18.5</v>
      </c>
      <c r="AD559" s="69">
        <v>5.2</v>
      </c>
      <c r="AE559" s="69">
        <v>19.5</v>
      </c>
      <c r="AF559" s="69">
        <v>5.9</v>
      </c>
      <c r="AG559" s="69">
        <v>5.7</v>
      </c>
      <c r="AH559" s="69"/>
      <c r="AI559" s="69">
        <v>4.5</v>
      </c>
      <c r="AJ559" s="69">
        <v>8.3000000000000007</v>
      </c>
      <c r="AK559" s="69">
        <v>5.7816669999999997</v>
      </c>
      <c r="AL559" s="69"/>
    </row>
    <row r="560" spans="1:38" x14ac:dyDescent="0.2">
      <c r="A560" s="10">
        <v>37073</v>
      </c>
      <c r="B560" s="69">
        <v>6.8799099999999997</v>
      </c>
      <c r="C560" s="69"/>
      <c r="D560" s="69">
        <v>6.1</v>
      </c>
      <c r="E560" s="69">
        <v>7.1</v>
      </c>
      <c r="F560" s="69">
        <v>9.6363050000000001</v>
      </c>
      <c r="G560" s="69">
        <v>8.1999999999999993</v>
      </c>
      <c r="H560" s="69">
        <v>7.8</v>
      </c>
      <c r="I560" s="69">
        <v>4.5</v>
      </c>
      <c r="J560" s="69">
        <v>10.5</v>
      </c>
      <c r="K560" s="69">
        <v>13.1</v>
      </c>
      <c r="L560" s="69">
        <v>8.8000000000000007</v>
      </c>
      <c r="M560" s="69">
        <v>8.8000000000000007</v>
      </c>
      <c r="N560" s="69">
        <v>5.0775990000000002</v>
      </c>
      <c r="O560" s="69">
        <v>10.7</v>
      </c>
      <c r="P560" s="69">
        <v>5.6</v>
      </c>
      <c r="Q560" s="69">
        <v>4.3</v>
      </c>
      <c r="R560" s="69"/>
      <c r="S560" s="69"/>
      <c r="T560" s="69">
        <v>9.1</v>
      </c>
      <c r="U560" s="69">
        <v>5</v>
      </c>
      <c r="V560" s="69">
        <v>3.8</v>
      </c>
      <c r="W560" s="69">
        <v>1.9</v>
      </c>
      <c r="X560" s="69">
        <v>13.1</v>
      </c>
      <c r="Y560" s="69">
        <v>2.82023</v>
      </c>
      <c r="Z560" s="69">
        <v>3.1</v>
      </c>
      <c r="AA560" s="69">
        <v>3.4</v>
      </c>
      <c r="AB560" s="69">
        <v>7.1873839999999998</v>
      </c>
      <c r="AC560" s="69">
        <v>18.399999999999999</v>
      </c>
      <c r="AD560" s="69">
        <v>5.2</v>
      </c>
      <c r="AE560" s="69">
        <v>19.399999999999999</v>
      </c>
      <c r="AF560" s="69">
        <v>5.9</v>
      </c>
      <c r="AG560" s="69">
        <v>5.9</v>
      </c>
      <c r="AH560" s="69"/>
      <c r="AI560" s="69">
        <v>4.5999999999999996</v>
      </c>
      <c r="AJ560" s="69">
        <v>8.3000000000000007</v>
      </c>
      <c r="AK560" s="69">
        <v>5.8232229999999996</v>
      </c>
      <c r="AL560" s="69"/>
    </row>
    <row r="561" spans="1:38" x14ac:dyDescent="0.2">
      <c r="A561" s="10">
        <v>37104</v>
      </c>
      <c r="B561" s="69">
        <v>6.8807200000000002</v>
      </c>
      <c r="C561" s="69"/>
      <c r="D561" s="69">
        <v>6.2</v>
      </c>
      <c r="E561" s="69">
        <v>7.2</v>
      </c>
      <c r="F561" s="69">
        <v>10.092739999999999</v>
      </c>
      <c r="G561" s="69">
        <v>8.1999999999999993</v>
      </c>
      <c r="H561" s="69">
        <v>7.8</v>
      </c>
      <c r="I561" s="69">
        <v>4.7</v>
      </c>
      <c r="J561" s="69">
        <v>10.6</v>
      </c>
      <c r="K561" s="69">
        <v>12.6</v>
      </c>
      <c r="L561" s="69">
        <v>8.9</v>
      </c>
      <c r="M561" s="69">
        <v>8.8000000000000007</v>
      </c>
      <c r="N561" s="69">
        <v>5.0931839999999999</v>
      </c>
      <c r="O561" s="69">
        <v>10.6</v>
      </c>
      <c r="P561" s="69">
        <v>5.5</v>
      </c>
      <c r="Q561" s="69">
        <v>4.4000000000000004</v>
      </c>
      <c r="R561" s="69"/>
      <c r="S561" s="69"/>
      <c r="T561" s="69">
        <v>9</v>
      </c>
      <c r="U561" s="69">
        <v>5.0999999999999996</v>
      </c>
      <c r="V561" s="69">
        <v>3.8</v>
      </c>
      <c r="W561" s="69">
        <v>1.9</v>
      </c>
      <c r="X561" s="69">
        <v>13.1</v>
      </c>
      <c r="Y561" s="69">
        <v>2.3071799999999998</v>
      </c>
      <c r="Z561" s="69">
        <v>3.1</v>
      </c>
      <c r="AA561" s="69">
        <v>3.4</v>
      </c>
      <c r="AB561" s="69">
        <v>7.1781579999999998</v>
      </c>
      <c r="AC561" s="69">
        <v>18.399999999999999</v>
      </c>
      <c r="AD561" s="69">
        <v>5.2</v>
      </c>
      <c r="AE561" s="69">
        <v>19.5</v>
      </c>
      <c r="AF561" s="69">
        <v>6</v>
      </c>
      <c r="AG561" s="69">
        <v>5.8</v>
      </c>
      <c r="AH561" s="69"/>
      <c r="AI561" s="69">
        <v>4.9000000000000004</v>
      </c>
      <c r="AJ561" s="69">
        <v>8.3000000000000007</v>
      </c>
      <c r="AK561" s="69">
        <v>5.9765280000000001</v>
      </c>
      <c r="AL561" s="69"/>
    </row>
    <row r="562" spans="1:38" x14ac:dyDescent="0.2">
      <c r="A562" s="10">
        <v>37135</v>
      </c>
      <c r="B562" s="69">
        <v>6.8411679999999997</v>
      </c>
      <c r="C562" s="69"/>
      <c r="D562" s="69">
        <v>6.6</v>
      </c>
      <c r="E562" s="69">
        <v>7.2</v>
      </c>
      <c r="F562" s="69">
        <v>9.9677939999999996</v>
      </c>
      <c r="G562" s="69">
        <v>8.3000000000000007</v>
      </c>
      <c r="H562" s="69">
        <v>7.9</v>
      </c>
      <c r="I562" s="69">
        <v>4.7</v>
      </c>
      <c r="J562" s="69">
        <v>10.5</v>
      </c>
      <c r="K562" s="69">
        <v>12.7</v>
      </c>
      <c r="L562" s="69">
        <v>9.5</v>
      </c>
      <c r="M562" s="69">
        <v>8.8000000000000007</v>
      </c>
      <c r="N562" s="69">
        <v>5.0901889999999996</v>
      </c>
      <c r="O562" s="69">
        <v>10.6</v>
      </c>
      <c r="P562" s="69">
        <v>5.5</v>
      </c>
      <c r="Q562" s="69">
        <v>4.4000000000000004</v>
      </c>
      <c r="R562" s="69"/>
      <c r="S562" s="69"/>
      <c r="T562" s="69">
        <v>9</v>
      </c>
      <c r="U562" s="69">
        <v>5.3</v>
      </c>
      <c r="V562" s="69">
        <v>3.7</v>
      </c>
      <c r="W562" s="69">
        <v>1.9</v>
      </c>
      <c r="X562" s="69">
        <v>13.2</v>
      </c>
      <c r="Y562" s="69">
        <v>2.5037829999999999</v>
      </c>
      <c r="Z562" s="69">
        <v>3.1</v>
      </c>
      <c r="AA562" s="69">
        <v>3.6</v>
      </c>
      <c r="AB562" s="69">
        <v>7.1652740000000001</v>
      </c>
      <c r="AC562" s="69">
        <v>18.600000000000001</v>
      </c>
      <c r="AD562" s="69">
        <v>5.0999999999999996</v>
      </c>
      <c r="AE562" s="69">
        <v>19.5</v>
      </c>
      <c r="AF562" s="69">
        <v>6.3</v>
      </c>
      <c r="AG562" s="69">
        <v>5.8</v>
      </c>
      <c r="AH562" s="69"/>
      <c r="AI562" s="69">
        <v>5</v>
      </c>
      <c r="AJ562" s="69">
        <v>8.3000000000000007</v>
      </c>
      <c r="AK562" s="69">
        <v>6.041633</v>
      </c>
      <c r="AL562" s="69"/>
    </row>
    <row r="563" spans="1:38" x14ac:dyDescent="0.2">
      <c r="A563" s="10">
        <v>37165</v>
      </c>
      <c r="B563" s="69">
        <v>7.1932980000000004</v>
      </c>
      <c r="C563" s="69"/>
      <c r="D563" s="69">
        <v>7.3</v>
      </c>
      <c r="E563" s="69">
        <v>7.3</v>
      </c>
      <c r="F563" s="69">
        <v>9.7835940000000008</v>
      </c>
      <c r="G563" s="69">
        <v>7.8</v>
      </c>
      <c r="H563" s="69">
        <v>8</v>
      </c>
      <c r="I563" s="69">
        <v>4.7</v>
      </c>
      <c r="J563" s="69">
        <v>10.5</v>
      </c>
      <c r="K563" s="69">
        <v>11.6</v>
      </c>
      <c r="L563" s="69">
        <v>9</v>
      </c>
      <c r="M563" s="69">
        <v>8.8000000000000007</v>
      </c>
      <c r="N563" s="69">
        <v>5.1064100000000003</v>
      </c>
      <c r="O563" s="69">
        <v>10.9</v>
      </c>
      <c r="P563" s="69">
        <v>5.5</v>
      </c>
      <c r="Q563" s="69">
        <v>4.4000000000000004</v>
      </c>
      <c r="R563" s="69"/>
      <c r="S563" s="69"/>
      <c r="T563" s="69">
        <v>8.9</v>
      </c>
      <c r="U563" s="69">
        <v>5.3</v>
      </c>
      <c r="V563" s="69">
        <v>3.6</v>
      </c>
      <c r="W563" s="69">
        <v>2</v>
      </c>
      <c r="X563" s="69">
        <v>14.1</v>
      </c>
      <c r="Y563" s="69">
        <v>2.8632689999999998</v>
      </c>
      <c r="Z563" s="69">
        <v>3.1</v>
      </c>
      <c r="AA563" s="69">
        <v>3.7</v>
      </c>
      <c r="AB563" s="69">
        <v>7.1516260000000003</v>
      </c>
      <c r="AC563" s="69">
        <v>18.8</v>
      </c>
      <c r="AD563" s="69">
        <v>5.0999999999999996</v>
      </c>
      <c r="AE563" s="69">
        <v>19.600000000000001</v>
      </c>
      <c r="AF563" s="69">
        <v>6.5</v>
      </c>
      <c r="AG563" s="69">
        <v>6.2</v>
      </c>
      <c r="AH563" s="69"/>
      <c r="AI563" s="69">
        <v>5.3</v>
      </c>
      <c r="AJ563" s="69">
        <v>8.3000000000000007</v>
      </c>
      <c r="AK563" s="69">
        <v>6.209803</v>
      </c>
      <c r="AL563" s="69"/>
    </row>
    <row r="564" spans="1:38" x14ac:dyDescent="0.2">
      <c r="A564" s="10">
        <v>37196</v>
      </c>
      <c r="B564" s="69">
        <v>6.8835750000000004</v>
      </c>
      <c r="C564" s="69"/>
      <c r="D564" s="69">
        <v>7.4</v>
      </c>
      <c r="E564" s="69">
        <v>7.5</v>
      </c>
      <c r="F564" s="69">
        <v>9.4701170000000001</v>
      </c>
      <c r="G564" s="69">
        <v>7.9</v>
      </c>
      <c r="H564" s="69">
        <v>8</v>
      </c>
      <c r="I564" s="69">
        <v>4.7</v>
      </c>
      <c r="J564" s="69">
        <v>10.6</v>
      </c>
      <c r="K564" s="69">
        <v>11.9</v>
      </c>
      <c r="L564" s="69">
        <v>9.4</v>
      </c>
      <c r="M564" s="69">
        <v>8.8000000000000007</v>
      </c>
      <c r="N564" s="69">
        <v>5.1825099999999997</v>
      </c>
      <c r="O564" s="69">
        <v>10.9</v>
      </c>
      <c r="P564" s="69">
        <v>5.5</v>
      </c>
      <c r="Q564" s="69">
        <v>4.4000000000000004</v>
      </c>
      <c r="R564" s="69"/>
      <c r="S564" s="69"/>
      <c r="T564" s="69">
        <v>8.9</v>
      </c>
      <c r="U564" s="69">
        <v>5.4</v>
      </c>
      <c r="V564" s="69">
        <v>3.7</v>
      </c>
      <c r="W564" s="69">
        <v>2</v>
      </c>
      <c r="X564" s="69">
        <v>14</v>
      </c>
      <c r="Y564" s="69">
        <v>2.9964219999999999</v>
      </c>
      <c r="Z564" s="69">
        <v>3.1</v>
      </c>
      <c r="AA564" s="69">
        <v>3.6</v>
      </c>
      <c r="AB564" s="69">
        <v>7.1184580000000004</v>
      </c>
      <c r="AC564" s="69">
        <v>19.100000000000001</v>
      </c>
      <c r="AD564" s="69">
        <v>5.0999999999999996</v>
      </c>
      <c r="AE564" s="69">
        <v>19.5</v>
      </c>
      <c r="AF564" s="69">
        <v>6.8</v>
      </c>
      <c r="AG564" s="69">
        <v>5.8</v>
      </c>
      <c r="AH564" s="69"/>
      <c r="AI564" s="69">
        <v>5.5</v>
      </c>
      <c r="AJ564" s="69">
        <v>8.4</v>
      </c>
      <c r="AK564" s="69">
        <v>6.3320590000000001</v>
      </c>
      <c r="AL564" s="69"/>
    </row>
    <row r="565" spans="1:38" x14ac:dyDescent="0.2">
      <c r="A565" s="10">
        <v>37226</v>
      </c>
      <c r="B565" s="69">
        <v>6.8613609999999996</v>
      </c>
      <c r="C565" s="69"/>
      <c r="D565" s="69">
        <v>7.5</v>
      </c>
      <c r="E565" s="69">
        <v>8.1</v>
      </c>
      <c r="F565" s="69">
        <v>9.6467220000000005</v>
      </c>
      <c r="G565" s="69">
        <v>8</v>
      </c>
      <c r="H565" s="69">
        <v>8.1</v>
      </c>
      <c r="I565" s="69">
        <v>4.7</v>
      </c>
      <c r="J565" s="69">
        <v>10.7</v>
      </c>
      <c r="K565" s="69">
        <v>11.5</v>
      </c>
      <c r="L565" s="69">
        <v>8.9</v>
      </c>
      <c r="M565" s="69">
        <v>8.8000000000000007</v>
      </c>
      <c r="N565" s="69">
        <v>5.1837150000000003</v>
      </c>
      <c r="O565" s="69">
        <v>10.8</v>
      </c>
      <c r="P565" s="69">
        <v>5.5</v>
      </c>
      <c r="Q565" s="69">
        <v>4.4000000000000004</v>
      </c>
      <c r="R565" s="69"/>
      <c r="S565" s="69"/>
      <c r="T565" s="69">
        <v>8.8000000000000007</v>
      </c>
      <c r="U565" s="69">
        <v>5.4</v>
      </c>
      <c r="V565" s="69">
        <v>3.6</v>
      </c>
      <c r="W565" s="69">
        <v>2</v>
      </c>
      <c r="X565" s="69">
        <v>13.5</v>
      </c>
      <c r="Y565" s="69">
        <v>3.0861649999999998</v>
      </c>
      <c r="Z565" s="69">
        <v>3.2</v>
      </c>
      <c r="AA565" s="69">
        <v>3.6</v>
      </c>
      <c r="AB565" s="69">
        <v>7.0880390000000002</v>
      </c>
      <c r="AC565" s="69">
        <v>19.2</v>
      </c>
      <c r="AD565" s="69">
        <v>5.0999999999999996</v>
      </c>
      <c r="AE565" s="69">
        <v>19.3</v>
      </c>
      <c r="AF565" s="69">
        <v>6.8</v>
      </c>
      <c r="AG565" s="69">
        <v>5.9</v>
      </c>
      <c r="AH565" s="69"/>
      <c r="AI565" s="69">
        <v>5.7</v>
      </c>
      <c r="AJ565" s="69">
        <v>8.4</v>
      </c>
      <c r="AK565" s="69">
        <v>6.4459770000000001</v>
      </c>
      <c r="AL565" s="69"/>
    </row>
    <row r="566" spans="1:38" x14ac:dyDescent="0.2">
      <c r="A566" s="10">
        <v>37257</v>
      </c>
      <c r="B566" s="69">
        <v>6.9136420000000003</v>
      </c>
      <c r="C566" s="69"/>
      <c r="D566" s="69">
        <v>7.4</v>
      </c>
      <c r="E566" s="69">
        <v>8</v>
      </c>
      <c r="F566" s="69">
        <v>9.9004300000000001</v>
      </c>
      <c r="G566" s="69">
        <v>7.4</v>
      </c>
      <c r="H566" s="69">
        <v>8.1</v>
      </c>
      <c r="I566" s="69">
        <v>4.5999999999999996</v>
      </c>
      <c r="J566" s="69">
        <v>11.1</v>
      </c>
      <c r="K566" s="69">
        <v>11.6</v>
      </c>
      <c r="L566" s="69">
        <v>9.4</v>
      </c>
      <c r="M566" s="69">
        <v>8.8000000000000007</v>
      </c>
      <c r="N566" s="69">
        <v>5.1475229999999996</v>
      </c>
      <c r="O566" s="69">
        <v>10.7</v>
      </c>
      <c r="P566" s="69">
        <v>5.5</v>
      </c>
      <c r="Q566" s="69">
        <v>4.4000000000000004</v>
      </c>
      <c r="R566" s="69"/>
      <c r="S566" s="69"/>
      <c r="T566" s="69">
        <v>8.6</v>
      </c>
      <c r="U566" s="69">
        <v>5.2</v>
      </c>
      <c r="V566" s="69">
        <v>3.6</v>
      </c>
      <c r="W566" s="69">
        <v>2.1</v>
      </c>
      <c r="X566" s="69">
        <v>12.7</v>
      </c>
      <c r="Y566" s="69">
        <v>3.3601290000000001</v>
      </c>
      <c r="Z566" s="69">
        <v>3.2</v>
      </c>
      <c r="AA566" s="69">
        <v>3.6</v>
      </c>
      <c r="AB566" s="69">
        <v>7.080171</v>
      </c>
      <c r="AC566" s="69">
        <v>19.399999999999999</v>
      </c>
      <c r="AD566" s="69">
        <v>5.3</v>
      </c>
      <c r="AE566" s="69">
        <v>19.100000000000001</v>
      </c>
      <c r="AF566" s="69">
        <v>6.7</v>
      </c>
      <c r="AG566" s="69">
        <v>5.8</v>
      </c>
      <c r="AH566" s="69"/>
      <c r="AI566" s="69">
        <v>5.7</v>
      </c>
      <c r="AJ566" s="69">
        <v>8.4</v>
      </c>
      <c r="AK566" s="69">
        <v>6.3752700000000004</v>
      </c>
      <c r="AL566" s="69"/>
    </row>
    <row r="567" spans="1:38" x14ac:dyDescent="0.2">
      <c r="A567" s="10">
        <v>37288</v>
      </c>
      <c r="B567" s="69">
        <v>6.536505</v>
      </c>
      <c r="C567" s="69"/>
      <c r="D567" s="69">
        <v>7.3</v>
      </c>
      <c r="E567" s="69">
        <v>8</v>
      </c>
      <c r="F567" s="69">
        <v>10.02922</v>
      </c>
      <c r="G567" s="69">
        <v>7.5</v>
      </c>
      <c r="H567" s="69">
        <v>8.1999999999999993</v>
      </c>
      <c r="I567" s="69">
        <v>4.4000000000000004</v>
      </c>
      <c r="J567" s="69">
        <v>11.5</v>
      </c>
      <c r="K567" s="69">
        <v>11.6</v>
      </c>
      <c r="L567" s="69">
        <v>9</v>
      </c>
      <c r="M567" s="69">
        <v>8.8000000000000007</v>
      </c>
      <c r="N567" s="69">
        <v>5.1688679999999998</v>
      </c>
      <c r="O567" s="69">
        <v>10.7</v>
      </c>
      <c r="P567" s="69">
        <v>5.5</v>
      </c>
      <c r="Q567" s="69">
        <v>4.5</v>
      </c>
      <c r="R567" s="69"/>
      <c r="S567" s="69"/>
      <c r="T567" s="69">
        <v>8.5</v>
      </c>
      <c r="U567" s="69">
        <v>5.3</v>
      </c>
      <c r="V567" s="69">
        <v>3.5</v>
      </c>
      <c r="W567" s="69">
        <v>2.1</v>
      </c>
      <c r="X567" s="69">
        <v>12.4</v>
      </c>
      <c r="Y567" s="69">
        <v>3.0352899999999998</v>
      </c>
      <c r="Z567" s="69">
        <v>3.3</v>
      </c>
      <c r="AA567" s="69">
        <v>3.8</v>
      </c>
      <c r="AB567" s="69">
        <v>7.051857</v>
      </c>
      <c r="AC567" s="69">
        <v>19.399999999999999</v>
      </c>
      <c r="AD567" s="69">
        <v>5.3</v>
      </c>
      <c r="AE567" s="69">
        <v>19</v>
      </c>
      <c r="AF567" s="69">
        <v>6.6</v>
      </c>
      <c r="AG567" s="69">
        <v>5.8</v>
      </c>
      <c r="AH567" s="69"/>
      <c r="AI567" s="69">
        <v>5.7</v>
      </c>
      <c r="AJ567" s="69">
        <v>8.5</v>
      </c>
      <c r="AK567" s="69">
        <v>6.3910929999999997</v>
      </c>
      <c r="AL567" s="69"/>
    </row>
    <row r="568" spans="1:38" x14ac:dyDescent="0.2">
      <c r="A568" s="10">
        <v>37316</v>
      </c>
      <c r="B568" s="69">
        <v>6.4304639999999997</v>
      </c>
      <c r="C568" s="69"/>
      <c r="D568" s="69">
        <v>7.3</v>
      </c>
      <c r="E568" s="69">
        <v>7.9</v>
      </c>
      <c r="F568" s="69">
        <v>9.9086069999999999</v>
      </c>
      <c r="G568" s="69">
        <v>7.4</v>
      </c>
      <c r="H568" s="69">
        <v>8.1999999999999993</v>
      </c>
      <c r="I568" s="69">
        <v>4.3</v>
      </c>
      <c r="J568" s="69">
        <v>11.2</v>
      </c>
      <c r="K568" s="69">
        <v>11.2</v>
      </c>
      <c r="L568" s="69">
        <v>8.9</v>
      </c>
      <c r="M568" s="69">
        <v>8.6999999999999993</v>
      </c>
      <c r="N568" s="69">
        <v>5.1817909999999996</v>
      </c>
      <c r="O568" s="69">
        <v>10.7</v>
      </c>
      <c r="P568" s="69">
        <v>5.5</v>
      </c>
      <c r="Q568" s="69">
        <v>4.7</v>
      </c>
      <c r="R568" s="69"/>
      <c r="S568" s="69"/>
      <c r="T568" s="69">
        <v>8.5</v>
      </c>
      <c r="U568" s="69">
        <v>5.3</v>
      </c>
      <c r="V568" s="69">
        <v>3.4</v>
      </c>
      <c r="W568" s="69">
        <v>2.2000000000000002</v>
      </c>
      <c r="X568" s="69">
        <v>12.8</v>
      </c>
      <c r="Y568" s="69">
        <v>3.022208</v>
      </c>
      <c r="Z568" s="69">
        <v>3.4</v>
      </c>
      <c r="AA568" s="69">
        <v>3.7</v>
      </c>
      <c r="AB568" s="69">
        <v>7.0202369999999998</v>
      </c>
      <c r="AC568" s="69">
        <v>19.600000000000001</v>
      </c>
      <c r="AD568" s="69">
        <v>5.5</v>
      </c>
      <c r="AE568" s="69">
        <v>18.899999999999999</v>
      </c>
      <c r="AF568" s="69">
        <v>6.4</v>
      </c>
      <c r="AG568" s="69">
        <v>5.8</v>
      </c>
      <c r="AH568" s="69"/>
      <c r="AI568" s="69">
        <v>5.7</v>
      </c>
      <c r="AJ568" s="69">
        <v>8.5</v>
      </c>
      <c r="AK568" s="69">
        <v>6.413843</v>
      </c>
      <c r="AL568" s="69"/>
    </row>
    <row r="569" spans="1:38" x14ac:dyDescent="0.2">
      <c r="A569" s="10">
        <v>37347</v>
      </c>
      <c r="B569" s="69">
        <v>6.3461590000000001</v>
      </c>
      <c r="C569" s="69"/>
      <c r="D569" s="69">
        <v>7.3</v>
      </c>
      <c r="E569" s="69">
        <v>7.7</v>
      </c>
      <c r="F569" s="69">
        <v>9.7823670000000007</v>
      </c>
      <c r="G569" s="69">
        <v>7</v>
      </c>
      <c r="H569" s="69">
        <v>8.3000000000000007</v>
      </c>
      <c r="I569" s="69">
        <v>4.3</v>
      </c>
      <c r="J569" s="69">
        <v>11.2</v>
      </c>
      <c r="K569" s="69">
        <v>10.7</v>
      </c>
      <c r="L569" s="69">
        <v>9.1999999999999993</v>
      </c>
      <c r="M569" s="69">
        <v>8.6999999999999993</v>
      </c>
      <c r="N569" s="69">
        <v>5.2405999999999997</v>
      </c>
      <c r="O569" s="69">
        <v>10.3</v>
      </c>
      <c r="P569" s="69">
        <v>5.5</v>
      </c>
      <c r="Q569" s="69">
        <v>4.5999999999999996</v>
      </c>
      <c r="R569" s="69"/>
      <c r="S569" s="69"/>
      <c r="T569" s="69">
        <v>8.9</v>
      </c>
      <c r="U569" s="69">
        <v>5.3</v>
      </c>
      <c r="V569" s="69">
        <v>3.4</v>
      </c>
      <c r="W569" s="69">
        <v>2.2999999999999998</v>
      </c>
      <c r="X569" s="69">
        <v>13.6</v>
      </c>
      <c r="Y569" s="69">
        <v>3.0523600000000002</v>
      </c>
      <c r="Z569" s="69">
        <v>3.4</v>
      </c>
      <c r="AA569" s="69">
        <v>3.8</v>
      </c>
      <c r="AB569" s="69">
        <v>6.897284</v>
      </c>
      <c r="AC569" s="69">
        <v>19.899999999999999</v>
      </c>
      <c r="AD569" s="69">
        <v>5.6</v>
      </c>
      <c r="AE569" s="69">
        <v>18.899999999999999</v>
      </c>
      <c r="AF569" s="69">
        <v>6.3</v>
      </c>
      <c r="AG569" s="69">
        <v>6</v>
      </c>
      <c r="AH569" s="69"/>
      <c r="AI569" s="69">
        <v>5.9</v>
      </c>
      <c r="AJ569" s="69">
        <v>8.6</v>
      </c>
      <c r="AK569" s="69">
        <v>6.5208349999999999</v>
      </c>
      <c r="AL569" s="69"/>
    </row>
    <row r="570" spans="1:38" x14ac:dyDescent="0.2">
      <c r="A570" s="10">
        <v>37377</v>
      </c>
      <c r="B570" s="69">
        <v>6.3728860000000003</v>
      </c>
      <c r="C570" s="69"/>
      <c r="D570" s="69">
        <v>7.3</v>
      </c>
      <c r="E570" s="69">
        <v>7.8</v>
      </c>
      <c r="F570" s="69">
        <v>9.7827450000000002</v>
      </c>
      <c r="G570" s="69">
        <v>7.2</v>
      </c>
      <c r="H570" s="69">
        <v>8.4</v>
      </c>
      <c r="I570" s="69">
        <v>4.4000000000000004</v>
      </c>
      <c r="J570" s="69">
        <v>11.2</v>
      </c>
      <c r="K570" s="69">
        <v>10.5</v>
      </c>
      <c r="L570" s="69">
        <v>9.5</v>
      </c>
      <c r="M570" s="69">
        <v>8.6</v>
      </c>
      <c r="N570" s="69">
        <v>5.1592539999999998</v>
      </c>
      <c r="O570" s="69">
        <v>10.3</v>
      </c>
      <c r="P570" s="69">
        <v>5.5</v>
      </c>
      <c r="Q570" s="69">
        <v>4.7</v>
      </c>
      <c r="R570" s="69"/>
      <c r="S570" s="69"/>
      <c r="T570" s="69">
        <v>8.8000000000000007</v>
      </c>
      <c r="U570" s="69">
        <v>5.4</v>
      </c>
      <c r="V570" s="69">
        <v>3.3</v>
      </c>
      <c r="W570" s="69">
        <v>2.5</v>
      </c>
      <c r="X570" s="69">
        <v>13.8</v>
      </c>
      <c r="Y570" s="69">
        <v>3.1289370000000001</v>
      </c>
      <c r="Z570" s="69">
        <v>3.5</v>
      </c>
      <c r="AA570" s="69">
        <v>3.7</v>
      </c>
      <c r="AB570" s="69">
        <v>6.9252770000000003</v>
      </c>
      <c r="AC570" s="69">
        <v>19.8</v>
      </c>
      <c r="AD570" s="69">
        <v>5.9</v>
      </c>
      <c r="AE570" s="69">
        <v>19</v>
      </c>
      <c r="AF570" s="69">
        <v>6.3</v>
      </c>
      <c r="AG570" s="69">
        <v>5.8</v>
      </c>
      <c r="AH570" s="69"/>
      <c r="AI570" s="69">
        <v>5.8</v>
      </c>
      <c r="AJ570" s="69">
        <v>8.6</v>
      </c>
      <c r="AK570" s="69">
        <v>6.481338</v>
      </c>
      <c r="AL570" s="69"/>
    </row>
    <row r="571" spans="1:38" x14ac:dyDescent="0.2">
      <c r="A571" s="10">
        <v>37408</v>
      </c>
      <c r="B571" s="69">
        <v>6.4958830000000001</v>
      </c>
      <c r="C571" s="69"/>
      <c r="D571" s="69">
        <v>7.3</v>
      </c>
      <c r="E571" s="69">
        <v>7.6</v>
      </c>
      <c r="F571" s="69">
        <v>9.5627110000000002</v>
      </c>
      <c r="G571" s="69">
        <v>7.3</v>
      </c>
      <c r="H571" s="69">
        <v>8.5</v>
      </c>
      <c r="I571" s="69">
        <v>4.5</v>
      </c>
      <c r="J571" s="69">
        <v>11.4</v>
      </c>
      <c r="K571" s="69">
        <v>11.2</v>
      </c>
      <c r="L571" s="69">
        <v>8.6999999999999993</v>
      </c>
      <c r="M571" s="69">
        <v>8.6</v>
      </c>
      <c r="N571" s="69">
        <v>5.1872809999999996</v>
      </c>
      <c r="O571" s="69">
        <v>10.3</v>
      </c>
      <c r="P571" s="69">
        <v>5.6</v>
      </c>
      <c r="Q571" s="69">
        <v>4.5999999999999996</v>
      </c>
      <c r="R571" s="69"/>
      <c r="S571" s="69"/>
      <c r="T571" s="69">
        <v>8.8000000000000007</v>
      </c>
      <c r="U571" s="69">
        <v>5.5</v>
      </c>
      <c r="V571" s="69">
        <v>3.1</v>
      </c>
      <c r="W571" s="69">
        <v>2.5</v>
      </c>
      <c r="X571" s="69">
        <v>13.2</v>
      </c>
      <c r="Y571" s="69">
        <v>3.0393780000000001</v>
      </c>
      <c r="Z571" s="69">
        <v>3.6</v>
      </c>
      <c r="AA571" s="69">
        <v>3.5</v>
      </c>
      <c r="AB571" s="69">
        <v>6.8734070000000003</v>
      </c>
      <c r="AC571" s="69">
        <v>20.2</v>
      </c>
      <c r="AD571" s="69">
        <v>6.1</v>
      </c>
      <c r="AE571" s="69">
        <v>18.899999999999999</v>
      </c>
      <c r="AF571" s="69">
        <v>6.1</v>
      </c>
      <c r="AG571" s="69">
        <v>5.6</v>
      </c>
      <c r="AH571" s="69"/>
      <c r="AI571" s="69">
        <v>5.8</v>
      </c>
      <c r="AJ571" s="69">
        <v>8.6</v>
      </c>
      <c r="AK571" s="69">
        <v>6.50122</v>
      </c>
      <c r="AL571" s="69"/>
    </row>
    <row r="572" spans="1:38" x14ac:dyDescent="0.2">
      <c r="A572" s="10">
        <v>37438</v>
      </c>
      <c r="B572" s="69">
        <v>6.1797579999999996</v>
      </c>
      <c r="C572" s="69"/>
      <c r="D572" s="69">
        <v>7.5</v>
      </c>
      <c r="E572" s="69">
        <v>7.6</v>
      </c>
      <c r="F572" s="69">
        <v>9.6613229999999994</v>
      </c>
      <c r="G572" s="69">
        <v>7.1</v>
      </c>
      <c r="H572" s="69">
        <v>8.6</v>
      </c>
      <c r="I572" s="69">
        <v>4.8</v>
      </c>
      <c r="J572" s="69">
        <v>11.7</v>
      </c>
      <c r="K572" s="69">
        <v>11.4</v>
      </c>
      <c r="L572" s="69">
        <v>9.1</v>
      </c>
      <c r="M572" s="69">
        <v>8.6</v>
      </c>
      <c r="N572" s="69">
        <v>5.2193969999999998</v>
      </c>
      <c r="O572" s="69">
        <v>10.3</v>
      </c>
      <c r="P572" s="69">
        <v>5.6</v>
      </c>
      <c r="Q572" s="69">
        <v>4.4000000000000004</v>
      </c>
      <c r="R572" s="69"/>
      <c r="S572" s="69"/>
      <c r="T572" s="69">
        <v>8.6</v>
      </c>
      <c r="U572" s="69">
        <v>5.4</v>
      </c>
      <c r="V572" s="69">
        <v>3.1</v>
      </c>
      <c r="W572" s="69">
        <v>2.6</v>
      </c>
      <c r="X572" s="69">
        <v>11.8</v>
      </c>
      <c r="Y572" s="69">
        <v>2.9074949999999999</v>
      </c>
      <c r="Z572" s="69">
        <v>3.7</v>
      </c>
      <c r="AA572" s="69">
        <v>3.4</v>
      </c>
      <c r="AB572" s="69">
        <v>6.898358</v>
      </c>
      <c r="AC572" s="69">
        <v>20.399999999999999</v>
      </c>
      <c r="AD572" s="69">
        <v>6.3</v>
      </c>
      <c r="AE572" s="69">
        <v>18.8</v>
      </c>
      <c r="AF572" s="69">
        <v>6.1</v>
      </c>
      <c r="AG572" s="69">
        <v>6.1</v>
      </c>
      <c r="AH572" s="69"/>
      <c r="AI572" s="69">
        <v>5.8</v>
      </c>
      <c r="AJ572" s="69">
        <v>8.6</v>
      </c>
      <c r="AK572" s="69">
        <v>6.4811439999999996</v>
      </c>
      <c r="AL572" s="69"/>
    </row>
    <row r="573" spans="1:38" x14ac:dyDescent="0.2">
      <c r="A573" s="10">
        <v>37469</v>
      </c>
      <c r="B573" s="69">
        <v>6.348516</v>
      </c>
      <c r="C573" s="69"/>
      <c r="D573" s="69">
        <v>7.4</v>
      </c>
      <c r="E573" s="69">
        <v>7.4</v>
      </c>
      <c r="F573" s="69">
        <v>9.86585</v>
      </c>
      <c r="G573" s="69">
        <v>7.3</v>
      </c>
      <c r="H573" s="69">
        <v>8.6999999999999993</v>
      </c>
      <c r="I573" s="69">
        <v>5</v>
      </c>
      <c r="J573" s="69">
        <v>11.8</v>
      </c>
      <c r="K573" s="69">
        <v>11.2</v>
      </c>
      <c r="L573" s="69">
        <v>9.1999999999999993</v>
      </c>
      <c r="M573" s="69">
        <v>8.6</v>
      </c>
      <c r="N573" s="69">
        <v>5.3084090000000002</v>
      </c>
      <c r="O573" s="69">
        <v>10.199999999999999</v>
      </c>
      <c r="P573" s="69">
        <v>5.6</v>
      </c>
      <c r="Q573" s="69">
        <v>4.4000000000000004</v>
      </c>
      <c r="R573" s="69"/>
      <c r="S573" s="69"/>
      <c r="T573" s="69">
        <v>8.6</v>
      </c>
      <c r="U573" s="69">
        <v>5.5</v>
      </c>
      <c r="V573" s="69">
        <v>3.3</v>
      </c>
      <c r="W573" s="69">
        <v>2.7</v>
      </c>
      <c r="X573" s="69">
        <v>11.3</v>
      </c>
      <c r="Y573" s="69">
        <v>2.7774079999999999</v>
      </c>
      <c r="Z573" s="69">
        <v>3.8</v>
      </c>
      <c r="AA573" s="69">
        <v>3.6</v>
      </c>
      <c r="AB573" s="69">
        <v>6.8770170000000004</v>
      </c>
      <c r="AC573" s="69">
        <v>20.5</v>
      </c>
      <c r="AD573" s="69">
        <v>6.2</v>
      </c>
      <c r="AE573" s="69">
        <v>18.8</v>
      </c>
      <c r="AF573" s="69">
        <v>6.3</v>
      </c>
      <c r="AG573" s="69">
        <v>5.9</v>
      </c>
      <c r="AH573" s="69"/>
      <c r="AI573" s="69">
        <v>5.7</v>
      </c>
      <c r="AJ573" s="69">
        <v>8.6999999999999993</v>
      </c>
      <c r="AK573" s="69">
        <v>6.4859109999999998</v>
      </c>
      <c r="AL573" s="69"/>
    </row>
    <row r="574" spans="1:38" x14ac:dyDescent="0.2">
      <c r="A574" s="10">
        <v>37500</v>
      </c>
      <c r="B574" s="69">
        <v>6.3114710000000001</v>
      </c>
      <c r="C574" s="69"/>
      <c r="D574" s="69">
        <v>7.6</v>
      </c>
      <c r="E574" s="69">
        <v>7.5</v>
      </c>
      <c r="F574" s="69">
        <v>10.081480000000001</v>
      </c>
      <c r="G574" s="69">
        <v>7.1</v>
      </c>
      <c r="H574" s="69">
        <v>8.9</v>
      </c>
      <c r="I574" s="69">
        <v>5</v>
      </c>
      <c r="J574" s="69">
        <v>11.7</v>
      </c>
      <c r="K574" s="69">
        <v>11.3</v>
      </c>
      <c r="L574" s="69">
        <v>9</v>
      </c>
      <c r="M574" s="69">
        <v>8.6</v>
      </c>
      <c r="N574" s="69">
        <v>5.2273589999999999</v>
      </c>
      <c r="O574" s="69">
        <v>10.199999999999999</v>
      </c>
      <c r="P574" s="69">
        <v>5.7</v>
      </c>
      <c r="Q574" s="69">
        <v>4.7</v>
      </c>
      <c r="R574" s="69"/>
      <c r="S574" s="69"/>
      <c r="T574" s="69">
        <v>8.6</v>
      </c>
      <c r="U574" s="69">
        <v>5.4</v>
      </c>
      <c r="V574" s="69">
        <v>3</v>
      </c>
      <c r="W574" s="69">
        <v>2.8</v>
      </c>
      <c r="X574" s="69">
        <v>11.5</v>
      </c>
      <c r="Y574" s="69">
        <v>2.8863439999999998</v>
      </c>
      <c r="Z574" s="69">
        <v>3.9</v>
      </c>
      <c r="AA574" s="69">
        <v>3.7</v>
      </c>
      <c r="AB574" s="69">
        <v>6.828964</v>
      </c>
      <c r="AC574" s="69">
        <v>20.5</v>
      </c>
      <c r="AD574" s="69">
        <v>6.5</v>
      </c>
      <c r="AE574" s="69">
        <v>18.7</v>
      </c>
      <c r="AF574" s="69">
        <v>6.3</v>
      </c>
      <c r="AG574" s="69">
        <v>6.2</v>
      </c>
      <c r="AH574" s="69"/>
      <c r="AI574" s="69">
        <v>5.7</v>
      </c>
      <c r="AJ574" s="69">
        <v>8.6999999999999993</v>
      </c>
      <c r="AK574" s="69">
        <v>6.4640490000000002</v>
      </c>
      <c r="AL574" s="69"/>
    </row>
    <row r="575" spans="1:38" x14ac:dyDescent="0.2">
      <c r="A575" s="10">
        <v>37530</v>
      </c>
      <c r="B575" s="69">
        <v>6.1282220000000001</v>
      </c>
      <c r="C575" s="69"/>
      <c r="D575" s="69">
        <v>7.8</v>
      </c>
      <c r="E575" s="69">
        <v>7.6</v>
      </c>
      <c r="F575" s="69">
        <v>9.9423530000000007</v>
      </c>
      <c r="G575" s="69">
        <v>7.2</v>
      </c>
      <c r="H575" s="69">
        <v>9</v>
      </c>
      <c r="I575" s="69">
        <v>4.9000000000000004</v>
      </c>
      <c r="J575" s="69">
        <v>11.6</v>
      </c>
      <c r="K575" s="69">
        <v>11.8</v>
      </c>
      <c r="L575" s="69">
        <v>9.1999999999999993</v>
      </c>
      <c r="M575" s="69">
        <v>8.6</v>
      </c>
      <c r="N575" s="69">
        <v>5.1760849999999996</v>
      </c>
      <c r="O575" s="69">
        <v>10</v>
      </c>
      <c r="P575" s="69">
        <v>5.7</v>
      </c>
      <c r="Q575" s="69">
        <v>5.0999999999999996</v>
      </c>
      <c r="R575" s="69"/>
      <c r="S575" s="69"/>
      <c r="T575" s="69">
        <v>8.5</v>
      </c>
      <c r="U575" s="69">
        <v>5.4</v>
      </c>
      <c r="V575" s="69">
        <v>3.1</v>
      </c>
      <c r="W575" s="69">
        <v>2.9</v>
      </c>
      <c r="X575" s="69">
        <v>12.2</v>
      </c>
      <c r="Y575" s="69">
        <v>2.7949459999999999</v>
      </c>
      <c r="Z575" s="69">
        <v>4</v>
      </c>
      <c r="AA575" s="69">
        <v>3.8</v>
      </c>
      <c r="AB575" s="69">
        <v>6.7771059999999999</v>
      </c>
      <c r="AC575" s="69">
        <v>20.399999999999999</v>
      </c>
      <c r="AD575" s="69">
        <v>6.9</v>
      </c>
      <c r="AE575" s="69">
        <v>18.7</v>
      </c>
      <c r="AF575" s="69">
        <v>6.2</v>
      </c>
      <c r="AG575" s="69">
        <v>6</v>
      </c>
      <c r="AH575" s="69"/>
      <c r="AI575" s="69">
        <v>5.7</v>
      </c>
      <c r="AJ575" s="69">
        <v>8.8000000000000007</v>
      </c>
      <c r="AK575" s="69">
        <v>6.4816640000000003</v>
      </c>
      <c r="AL575" s="69"/>
    </row>
    <row r="576" spans="1:38" x14ac:dyDescent="0.2">
      <c r="A576" s="10">
        <v>37561</v>
      </c>
      <c r="B576" s="69">
        <v>6.1618060000000003</v>
      </c>
      <c r="C576" s="69"/>
      <c r="D576" s="69">
        <v>8</v>
      </c>
      <c r="E576" s="69">
        <v>7.4</v>
      </c>
      <c r="F576" s="69">
        <v>9.5357769999999995</v>
      </c>
      <c r="G576" s="69">
        <v>7.5</v>
      </c>
      <c r="H576" s="69">
        <v>9.1</v>
      </c>
      <c r="I576" s="69">
        <v>4.8</v>
      </c>
      <c r="J576" s="69">
        <v>11.6</v>
      </c>
      <c r="K576" s="69">
        <v>11.5</v>
      </c>
      <c r="L576" s="69">
        <v>8.8000000000000007</v>
      </c>
      <c r="M576" s="69">
        <v>8.6</v>
      </c>
      <c r="N576" s="69">
        <v>5.1163480000000003</v>
      </c>
      <c r="O576" s="69">
        <v>10</v>
      </c>
      <c r="P576" s="69">
        <v>5.7</v>
      </c>
      <c r="Q576" s="69">
        <v>5.4</v>
      </c>
      <c r="R576" s="69"/>
      <c r="S576" s="69"/>
      <c r="T576" s="69">
        <v>8.5</v>
      </c>
      <c r="U576" s="69">
        <v>5.2</v>
      </c>
      <c r="V576" s="69">
        <v>3.1</v>
      </c>
      <c r="W576" s="69">
        <v>3</v>
      </c>
      <c r="X576" s="69">
        <v>12.5</v>
      </c>
      <c r="Y576" s="69">
        <v>3.0007700000000002</v>
      </c>
      <c r="Z576" s="69">
        <v>4.0999999999999996</v>
      </c>
      <c r="AA576" s="69">
        <v>3.8</v>
      </c>
      <c r="AB576" s="69">
        <v>6.6963109999999997</v>
      </c>
      <c r="AC576" s="69">
        <v>20.3</v>
      </c>
      <c r="AD576" s="69">
        <v>7.1</v>
      </c>
      <c r="AE576" s="69">
        <v>18.600000000000001</v>
      </c>
      <c r="AF576" s="69">
        <v>6.4</v>
      </c>
      <c r="AG576" s="69">
        <v>6.2</v>
      </c>
      <c r="AH576" s="69"/>
      <c r="AI576" s="69">
        <v>5.9</v>
      </c>
      <c r="AJ576" s="69">
        <v>8.8000000000000007</v>
      </c>
      <c r="AK576" s="69">
        <v>6.5189019999999998</v>
      </c>
      <c r="AL576" s="69"/>
    </row>
    <row r="577" spans="1:38" x14ac:dyDescent="0.2">
      <c r="A577" s="10">
        <v>37591</v>
      </c>
      <c r="B577" s="69">
        <v>6.1822010000000001</v>
      </c>
      <c r="C577" s="69"/>
      <c r="D577" s="69">
        <v>8.1</v>
      </c>
      <c r="E577" s="69">
        <v>7.5</v>
      </c>
      <c r="F577" s="69">
        <v>9.3755450000000007</v>
      </c>
      <c r="G577" s="69">
        <v>7.3</v>
      </c>
      <c r="H577" s="69">
        <v>9.1999999999999993</v>
      </c>
      <c r="I577" s="69">
        <v>4.7</v>
      </c>
      <c r="J577" s="69">
        <v>11.6</v>
      </c>
      <c r="K577" s="69">
        <v>11.9</v>
      </c>
      <c r="L577" s="69">
        <v>9</v>
      </c>
      <c r="M577" s="69">
        <v>8.5</v>
      </c>
      <c r="N577" s="69">
        <v>5.0080819999999999</v>
      </c>
      <c r="O577" s="69">
        <v>10</v>
      </c>
      <c r="P577" s="69">
        <v>5.7</v>
      </c>
      <c r="Q577" s="69">
        <v>5.3</v>
      </c>
      <c r="R577" s="69"/>
      <c r="S577" s="69"/>
      <c r="T577" s="69">
        <v>8.4</v>
      </c>
      <c r="U577" s="69">
        <v>5.4</v>
      </c>
      <c r="V577" s="69">
        <v>3.1</v>
      </c>
      <c r="W577" s="69">
        <v>3</v>
      </c>
      <c r="X577" s="69">
        <v>12.2</v>
      </c>
      <c r="Y577" s="69">
        <v>2.7291249999999998</v>
      </c>
      <c r="Z577" s="69">
        <v>4.2</v>
      </c>
      <c r="AA577" s="69">
        <v>3.8</v>
      </c>
      <c r="AB577" s="69">
        <v>6.7407190000000003</v>
      </c>
      <c r="AC577" s="69">
        <v>20.100000000000001</v>
      </c>
      <c r="AD577" s="69">
        <v>7.2</v>
      </c>
      <c r="AE577" s="69">
        <v>18.5</v>
      </c>
      <c r="AF577" s="69">
        <v>6.4</v>
      </c>
      <c r="AG577" s="69">
        <v>6.3</v>
      </c>
      <c r="AH577" s="69"/>
      <c r="AI577" s="69">
        <v>6</v>
      </c>
      <c r="AJ577" s="69">
        <v>8.8000000000000007</v>
      </c>
      <c r="AK577" s="69">
        <v>6.5803859999999998</v>
      </c>
      <c r="AL577" s="69"/>
    </row>
    <row r="578" spans="1:38" x14ac:dyDescent="0.2">
      <c r="A578" s="10">
        <v>37622</v>
      </c>
      <c r="B578" s="69">
        <v>6.0813069999999998</v>
      </c>
      <c r="C578" s="69"/>
      <c r="D578" s="69">
        <v>8.1</v>
      </c>
      <c r="E578" s="69">
        <v>7.5</v>
      </c>
      <c r="F578" s="69">
        <v>9.5645190000000007</v>
      </c>
      <c r="G578" s="69">
        <v>7.2</v>
      </c>
      <c r="H578" s="69">
        <v>9.4</v>
      </c>
      <c r="I578" s="69">
        <v>4.8</v>
      </c>
      <c r="J578" s="69">
        <v>11.7</v>
      </c>
      <c r="K578" s="69">
        <v>11.4</v>
      </c>
      <c r="L578" s="69">
        <v>9.1</v>
      </c>
      <c r="M578" s="69">
        <v>8.3000000000000007</v>
      </c>
      <c r="N578" s="69">
        <v>5.1279279999999998</v>
      </c>
      <c r="O578" s="69">
        <v>9.8000000000000007</v>
      </c>
      <c r="P578" s="69">
        <v>5.7</v>
      </c>
      <c r="Q578" s="69">
        <v>5</v>
      </c>
      <c r="R578" s="69">
        <v>3.7</v>
      </c>
      <c r="S578" s="69"/>
      <c r="T578" s="69">
        <v>8.8000000000000007</v>
      </c>
      <c r="U578" s="69">
        <v>5.4</v>
      </c>
      <c r="V578" s="69">
        <v>3.3</v>
      </c>
      <c r="W578" s="69">
        <v>3.2</v>
      </c>
      <c r="X578" s="69">
        <v>11.5</v>
      </c>
      <c r="Y578" s="69">
        <v>2.8900190000000001</v>
      </c>
      <c r="Z578" s="69">
        <v>4.3</v>
      </c>
      <c r="AA578" s="69">
        <v>3.9</v>
      </c>
      <c r="AB578" s="69">
        <v>6.741727</v>
      </c>
      <c r="AC578" s="69">
        <v>19.899999999999999</v>
      </c>
      <c r="AD578" s="69">
        <v>7.2</v>
      </c>
      <c r="AE578" s="69">
        <v>18.2</v>
      </c>
      <c r="AF578" s="69">
        <v>6.5</v>
      </c>
      <c r="AG578" s="69">
        <v>6.4</v>
      </c>
      <c r="AH578" s="69"/>
      <c r="AI578" s="69">
        <v>5.8</v>
      </c>
      <c r="AJ578" s="69">
        <v>9</v>
      </c>
      <c r="AK578" s="69">
        <v>6.57599</v>
      </c>
      <c r="AL578" s="69"/>
    </row>
    <row r="579" spans="1:38" x14ac:dyDescent="0.2">
      <c r="A579" s="10">
        <v>37653</v>
      </c>
      <c r="B579" s="69">
        <v>5.9551790000000002</v>
      </c>
      <c r="C579" s="69"/>
      <c r="D579" s="69">
        <v>8.1</v>
      </c>
      <c r="E579" s="69">
        <v>7.5</v>
      </c>
      <c r="F579" s="69">
        <v>9.5880489999999998</v>
      </c>
      <c r="G579" s="69">
        <v>7.3</v>
      </c>
      <c r="H579" s="69">
        <v>9.5</v>
      </c>
      <c r="I579" s="69">
        <v>5</v>
      </c>
      <c r="J579" s="69">
        <v>11.7</v>
      </c>
      <c r="K579" s="69">
        <v>11.2</v>
      </c>
      <c r="L579" s="69">
        <v>8.6</v>
      </c>
      <c r="M579" s="69">
        <v>8.3000000000000007</v>
      </c>
      <c r="N579" s="69">
        <v>5.1665010000000002</v>
      </c>
      <c r="O579" s="69">
        <v>9.6999999999999993</v>
      </c>
      <c r="P579" s="69">
        <v>5.7</v>
      </c>
      <c r="Q579" s="69">
        <v>4.8</v>
      </c>
      <c r="R579" s="69">
        <v>3.6</v>
      </c>
      <c r="S579" s="69"/>
      <c r="T579" s="69">
        <v>8.6999999999999993</v>
      </c>
      <c r="U579" s="69">
        <v>5.2</v>
      </c>
      <c r="V579" s="69">
        <v>3.3</v>
      </c>
      <c r="W579" s="69">
        <v>3.3</v>
      </c>
      <c r="X579" s="69">
        <v>11.2</v>
      </c>
      <c r="Y579" s="69">
        <v>2.9803799999999998</v>
      </c>
      <c r="Z579" s="69">
        <v>4.3</v>
      </c>
      <c r="AA579" s="69">
        <v>4</v>
      </c>
      <c r="AB579" s="69">
        <v>6.6992669999999999</v>
      </c>
      <c r="AC579" s="69">
        <v>19.8</v>
      </c>
      <c r="AD579" s="69">
        <v>7.3</v>
      </c>
      <c r="AE579" s="69">
        <v>18</v>
      </c>
      <c r="AF579" s="69">
        <v>6.7</v>
      </c>
      <c r="AG579" s="69">
        <v>6</v>
      </c>
      <c r="AH579" s="69"/>
      <c r="AI579" s="69">
        <v>5.9</v>
      </c>
      <c r="AJ579" s="69">
        <v>9</v>
      </c>
      <c r="AK579" s="69">
        <v>6.5761729999999998</v>
      </c>
      <c r="AL579" s="69"/>
    </row>
    <row r="580" spans="1:38" x14ac:dyDescent="0.2">
      <c r="A580" s="10">
        <v>37681</v>
      </c>
      <c r="B580" s="69">
        <v>6.1313899999999997</v>
      </c>
      <c r="C580" s="69"/>
      <c r="D580" s="69">
        <v>8.1</v>
      </c>
      <c r="E580" s="69">
        <v>7.4</v>
      </c>
      <c r="F580" s="69">
        <v>9.7832889999999999</v>
      </c>
      <c r="G580" s="69">
        <v>7.6</v>
      </c>
      <c r="H580" s="69">
        <v>9.6</v>
      </c>
      <c r="I580" s="69">
        <v>5.2</v>
      </c>
      <c r="J580" s="69">
        <v>11.6</v>
      </c>
      <c r="K580" s="69">
        <v>11.1</v>
      </c>
      <c r="L580" s="69">
        <v>9.1999999999999993</v>
      </c>
      <c r="M580" s="69">
        <v>8.3000000000000007</v>
      </c>
      <c r="N580" s="69">
        <v>5.1163090000000002</v>
      </c>
      <c r="O580" s="69">
        <v>9.6999999999999993</v>
      </c>
      <c r="P580" s="69">
        <v>5.7</v>
      </c>
      <c r="Q580" s="69">
        <v>4.7</v>
      </c>
      <c r="R580" s="69">
        <v>3.5</v>
      </c>
      <c r="S580" s="69"/>
      <c r="T580" s="69">
        <v>8.6999999999999993</v>
      </c>
      <c r="U580" s="69">
        <v>5.4</v>
      </c>
      <c r="V580" s="69">
        <v>3.4</v>
      </c>
      <c r="W580" s="69">
        <v>3.4</v>
      </c>
      <c r="X580" s="69">
        <v>11.2</v>
      </c>
      <c r="Y580" s="69">
        <v>3.1239080000000001</v>
      </c>
      <c r="Z580" s="69">
        <v>4.5</v>
      </c>
      <c r="AA580" s="69">
        <v>4</v>
      </c>
      <c r="AB580" s="69">
        <v>6.6147340000000003</v>
      </c>
      <c r="AC580" s="69">
        <v>19.600000000000001</v>
      </c>
      <c r="AD580" s="69">
        <v>7.3</v>
      </c>
      <c r="AE580" s="69">
        <v>17.8</v>
      </c>
      <c r="AF580" s="69">
        <v>6.8</v>
      </c>
      <c r="AG580" s="69">
        <v>6.3</v>
      </c>
      <c r="AH580" s="69"/>
      <c r="AI580" s="69">
        <v>5.9</v>
      </c>
      <c r="AJ580" s="69">
        <v>9</v>
      </c>
      <c r="AK580" s="69">
        <v>6.6080810000000003</v>
      </c>
      <c r="AL580" s="69"/>
    </row>
    <row r="581" spans="1:38" x14ac:dyDescent="0.2">
      <c r="A581" s="10">
        <v>37712</v>
      </c>
      <c r="B581" s="69">
        <v>6.0304789999999997</v>
      </c>
      <c r="C581" s="69"/>
      <c r="D581" s="69">
        <v>8.1</v>
      </c>
      <c r="E581" s="69">
        <v>7.6</v>
      </c>
      <c r="F581" s="69">
        <v>9.5998739999999998</v>
      </c>
      <c r="G581" s="69">
        <v>7.5</v>
      </c>
      <c r="H581" s="69">
        <v>9.6999999999999993</v>
      </c>
      <c r="I581" s="69">
        <v>5.4</v>
      </c>
      <c r="J581" s="69">
        <v>11.4</v>
      </c>
      <c r="K581" s="69">
        <v>10.8</v>
      </c>
      <c r="L581" s="69">
        <v>9.4</v>
      </c>
      <c r="M581" s="69">
        <v>8.4</v>
      </c>
      <c r="N581" s="69">
        <v>5.0047689999999996</v>
      </c>
      <c r="O581" s="69">
        <v>9.6999999999999993</v>
      </c>
      <c r="P581" s="69">
        <v>5.8</v>
      </c>
      <c r="Q581" s="69">
        <v>4.8</v>
      </c>
      <c r="R581" s="69">
        <v>3.4</v>
      </c>
      <c r="S581" s="69"/>
      <c r="T581" s="69">
        <v>8.4</v>
      </c>
      <c r="U581" s="69">
        <v>5.5</v>
      </c>
      <c r="V581" s="69">
        <v>3.4</v>
      </c>
      <c r="W581" s="69">
        <v>3.5</v>
      </c>
      <c r="X581" s="69">
        <v>11.4</v>
      </c>
      <c r="Y581" s="69">
        <v>3.0914999999999999</v>
      </c>
      <c r="Z581" s="69">
        <v>4.5999999999999996</v>
      </c>
      <c r="AA581" s="69">
        <v>4.2</v>
      </c>
      <c r="AB581" s="69">
        <v>6.5451360000000003</v>
      </c>
      <c r="AC581" s="69">
        <v>19.5</v>
      </c>
      <c r="AD581" s="69">
        <v>7.4</v>
      </c>
      <c r="AE581" s="69">
        <v>17.399999999999999</v>
      </c>
      <c r="AF581" s="69">
        <v>6.8</v>
      </c>
      <c r="AG581" s="69">
        <v>6.3</v>
      </c>
      <c r="AH581" s="69"/>
      <c r="AI581" s="69">
        <v>6</v>
      </c>
      <c r="AJ581" s="69">
        <v>9</v>
      </c>
      <c r="AK581" s="69">
        <v>6.6774990000000001</v>
      </c>
      <c r="AL581" s="69"/>
    </row>
    <row r="582" spans="1:38" x14ac:dyDescent="0.2">
      <c r="A582" s="10">
        <v>37742</v>
      </c>
      <c r="B582" s="69">
        <v>6.0694419999999996</v>
      </c>
      <c r="C582" s="69"/>
      <c r="D582" s="69">
        <v>8.1</v>
      </c>
      <c r="E582" s="69">
        <v>7.8</v>
      </c>
      <c r="F582" s="69">
        <v>9.57653</v>
      </c>
      <c r="G582" s="69">
        <v>7.8</v>
      </c>
      <c r="H582" s="69">
        <v>9.6999999999999993</v>
      </c>
      <c r="I582" s="69">
        <v>5.6</v>
      </c>
      <c r="J582" s="69">
        <v>11.3</v>
      </c>
      <c r="K582" s="69">
        <v>11.1</v>
      </c>
      <c r="L582" s="69">
        <v>9.1</v>
      </c>
      <c r="M582" s="69">
        <v>8.4</v>
      </c>
      <c r="N582" s="69">
        <v>4.9397409999999997</v>
      </c>
      <c r="O582" s="69">
        <v>9.6999999999999993</v>
      </c>
      <c r="P582" s="69">
        <v>5.8</v>
      </c>
      <c r="Q582" s="69">
        <v>4.7</v>
      </c>
      <c r="R582" s="69">
        <v>3.4</v>
      </c>
      <c r="S582" s="69"/>
      <c r="T582" s="69">
        <v>8.5</v>
      </c>
      <c r="U582" s="69">
        <v>5.4</v>
      </c>
      <c r="V582" s="69">
        <v>3.6</v>
      </c>
      <c r="W582" s="69">
        <v>3.6</v>
      </c>
      <c r="X582" s="69">
        <v>11.7</v>
      </c>
      <c r="Y582" s="69">
        <v>3.1919520000000001</v>
      </c>
      <c r="Z582" s="69">
        <v>4.7</v>
      </c>
      <c r="AA582" s="69">
        <v>4.2</v>
      </c>
      <c r="AB582" s="69">
        <v>6.5100569999999998</v>
      </c>
      <c r="AC582" s="69">
        <v>19.5</v>
      </c>
      <c r="AD582" s="69">
        <v>7.5</v>
      </c>
      <c r="AE582" s="69">
        <v>17.3</v>
      </c>
      <c r="AF582" s="69">
        <v>6.8</v>
      </c>
      <c r="AG582" s="69">
        <v>6.3</v>
      </c>
      <c r="AH582" s="69"/>
      <c r="AI582" s="69">
        <v>6.1</v>
      </c>
      <c r="AJ582" s="69">
        <v>9</v>
      </c>
      <c r="AK582" s="69">
        <v>6.7174339999999999</v>
      </c>
      <c r="AL582" s="69"/>
    </row>
    <row r="583" spans="1:38" x14ac:dyDescent="0.2">
      <c r="A583" s="10">
        <v>37773</v>
      </c>
      <c r="B583" s="69">
        <v>6.0548599999999997</v>
      </c>
      <c r="C583" s="69"/>
      <c r="D583" s="69">
        <v>8.1</v>
      </c>
      <c r="E583" s="69">
        <v>7.6</v>
      </c>
      <c r="F583" s="69">
        <v>9.4509939999999997</v>
      </c>
      <c r="G583" s="69">
        <v>7.8</v>
      </c>
      <c r="H583" s="69">
        <v>9.8000000000000007</v>
      </c>
      <c r="I583" s="69">
        <v>5.6</v>
      </c>
      <c r="J583" s="69">
        <v>11.5</v>
      </c>
      <c r="K583" s="69">
        <v>11</v>
      </c>
      <c r="L583" s="69">
        <v>9.4</v>
      </c>
      <c r="M583" s="69">
        <v>8.5</v>
      </c>
      <c r="N583" s="69">
        <v>5.0641299999999996</v>
      </c>
      <c r="O583" s="69">
        <v>9.6999999999999993</v>
      </c>
      <c r="P583" s="69">
        <v>5.7</v>
      </c>
      <c r="Q583" s="69">
        <v>4.9000000000000004</v>
      </c>
      <c r="R583" s="69">
        <v>3.4</v>
      </c>
      <c r="S583" s="69"/>
      <c r="T583" s="69">
        <v>8.5</v>
      </c>
      <c r="U583" s="69">
        <v>5.4</v>
      </c>
      <c r="V583" s="69">
        <v>3.6</v>
      </c>
      <c r="W583" s="69">
        <v>3.7</v>
      </c>
      <c r="X583" s="69">
        <v>12.2</v>
      </c>
      <c r="Y583" s="69">
        <v>3.2674289999999999</v>
      </c>
      <c r="Z583" s="69">
        <v>4.8</v>
      </c>
      <c r="AA583" s="69">
        <v>4.3</v>
      </c>
      <c r="AB583" s="69">
        <v>6.4445160000000001</v>
      </c>
      <c r="AC583" s="69">
        <v>19.7</v>
      </c>
      <c r="AD583" s="69">
        <v>7.5</v>
      </c>
      <c r="AE583" s="69">
        <v>17.3</v>
      </c>
      <c r="AF583" s="69">
        <v>6.8</v>
      </c>
      <c r="AG583" s="69">
        <v>6.4</v>
      </c>
      <c r="AH583" s="69"/>
      <c r="AI583" s="69">
        <v>6.3</v>
      </c>
      <c r="AJ583" s="69">
        <v>9.1</v>
      </c>
      <c r="AK583" s="69">
        <v>6.7950980000000003</v>
      </c>
      <c r="AL583" s="69"/>
    </row>
    <row r="584" spans="1:38" x14ac:dyDescent="0.2">
      <c r="A584" s="10">
        <v>37803</v>
      </c>
      <c r="B584" s="69">
        <v>6.128107</v>
      </c>
      <c r="C584" s="69"/>
      <c r="D584" s="69">
        <v>8.1</v>
      </c>
      <c r="E584" s="69">
        <v>7.7</v>
      </c>
      <c r="F584" s="69">
        <v>9.6338880000000007</v>
      </c>
      <c r="G584" s="69">
        <v>7.8</v>
      </c>
      <c r="H584" s="69">
        <v>9.8000000000000007</v>
      </c>
      <c r="I584" s="69">
        <v>5.4</v>
      </c>
      <c r="J584" s="69">
        <v>11.6</v>
      </c>
      <c r="K584" s="69">
        <v>10.5</v>
      </c>
      <c r="L584" s="69">
        <v>9</v>
      </c>
      <c r="M584" s="69">
        <v>8.5</v>
      </c>
      <c r="N584" s="69">
        <v>5.0577880000000004</v>
      </c>
      <c r="O584" s="69">
        <v>9.6999999999999993</v>
      </c>
      <c r="P584" s="69">
        <v>5.7</v>
      </c>
      <c r="Q584" s="69">
        <v>5</v>
      </c>
      <c r="R584" s="69">
        <v>3.5</v>
      </c>
      <c r="S584" s="69"/>
      <c r="T584" s="69">
        <v>8.4</v>
      </c>
      <c r="U584" s="69">
        <v>5.2</v>
      </c>
      <c r="V584" s="69">
        <v>3.7</v>
      </c>
      <c r="W584" s="69">
        <v>3.8</v>
      </c>
      <c r="X584" s="69">
        <v>12.5</v>
      </c>
      <c r="Y584" s="69">
        <v>3.576365</v>
      </c>
      <c r="Z584" s="69">
        <v>4.9000000000000004</v>
      </c>
      <c r="AA584" s="69">
        <v>4.3</v>
      </c>
      <c r="AB584" s="69">
        <v>6.4006299999999996</v>
      </c>
      <c r="AC584" s="69">
        <v>19.899999999999999</v>
      </c>
      <c r="AD584" s="69">
        <v>7.4</v>
      </c>
      <c r="AE584" s="69">
        <v>17.399999999999999</v>
      </c>
      <c r="AF584" s="69">
        <v>6.8</v>
      </c>
      <c r="AG584" s="69">
        <v>6.5</v>
      </c>
      <c r="AH584" s="69"/>
      <c r="AI584" s="69">
        <v>6.2</v>
      </c>
      <c r="AJ584" s="69">
        <v>9.1</v>
      </c>
      <c r="AK584" s="69">
        <v>6.699859</v>
      </c>
      <c r="AL584" s="69"/>
    </row>
    <row r="585" spans="1:38" x14ac:dyDescent="0.2">
      <c r="A585" s="10">
        <v>37834</v>
      </c>
      <c r="B585" s="69">
        <v>5.8169969999999998</v>
      </c>
      <c r="C585" s="69"/>
      <c r="D585" s="69">
        <v>8.1</v>
      </c>
      <c r="E585" s="69">
        <v>7.8</v>
      </c>
      <c r="F585" s="69">
        <v>9.711843</v>
      </c>
      <c r="G585" s="69">
        <v>7.9</v>
      </c>
      <c r="H585" s="69">
        <v>9.8000000000000007</v>
      </c>
      <c r="I585" s="69">
        <v>5.4</v>
      </c>
      <c r="J585" s="69">
        <v>11.5</v>
      </c>
      <c r="K585" s="69">
        <v>10.1</v>
      </c>
      <c r="L585" s="69">
        <v>8.6999999999999993</v>
      </c>
      <c r="M585" s="69">
        <v>8.4</v>
      </c>
      <c r="N585" s="69">
        <v>5.0485879999999996</v>
      </c>
      <c r="O585" s="69">
        <v>9.6999999999999993</v>
      </c>
      <c r="P585" s="69">
        <v>5.7</v>
      </c>
      <c r="Q585" s="69">
        <v>5</v>
      </c>
      <c r="R585" s="69">
        <v>3.5</v>
      </c>
      <c r="S585" s="69"/>
      <c r="T585" s="69">
        <v>8.4</v>
      </c>
      <c r="U585" s="69">
        <v>5.0999999999999996</v>
      </c>
      <c r="V585" s="69">
        <v>3.7</v>
      </c>
      <c r="W585" s="69">
        <v>3.9</v>
      </c>
      <c r="X585" s="69">
        <v>12.5</v>
      </c>
      <c r="Y585" s="69">
        <v>3.6646920000000001</v>
      </c>
      <c r="Z585" s="69">
        <v>5</v>
      </c>
      <c r="AA585" s="69">
        <v>4.4000000000000004</v>
      </c>
      <c r="AB585" s="69">
        <v>6.2953460000000003</v>
      </c>
      <c r="AC585" s="69">
        <v>20</v>
      </c>
      <c r="AD585" s="69">
        <v>7.4</v>
      </c>
      <c r="AE585" s="69">
        <v>17.600000000000001</v>
      </c>
      <c r="AF585" s="69">
        <v>6.8</v>
      </c>
      <c r="AG585" s="69">
        <v>6.9</v>
      </c>
      <c r="AH585" s="69"/>
      <c r="AI585" s="69">
        <v>6.1</v>
      </c>
      <c r="AJ585" s="69">
        <v>9.1</v>
      </c>
      <c r="AK585" s="69">
        <v>6.6460290000000004</v>
      </c>
      <c r="AL585" s="69"/>
    </row>
    <row r="586" spans="1:38" x14ac:dyDescent="0.2">
      <c r="A586" s="10">
        <v>37865</v>
      </c>
      <c r="B586" s="69">
        <v>5.774591</v>
      </c>
      <c r="C586" s="69"/>
      <c r="D586" s="69">
        <v>8.1999999999999993</v>
      </c>
      <c r="E586" s="69">
        <v>7.8</v>
      </c>
      <c r="F586" s="69">
        <v>9.5161809999999996</v>
      </c>
      <c r="G586" s="69">
        <v>8.1999999999999993</v>
      </c>
      <c r="H586" s="69">
        <v>9.8000000000000007</v>
      </c>
      <c r="I586" s="69">
        <v>5.5</v>
      </c>
      <c r="J586" s="69">
        <v>11.5</v>
      </c>
      <c r="K586" s="69">
        <v>9.1</v>
      </c>
      <c r="L586" s="69">
        <v>9</v>
      </c>
      <c r="M586" s="69">
        <v>8.6</v>
      </c>
      <c r="N586" s="69">
        <v>4.9502090000000001</v>
      </c>
      <c r="O586" s="69">
        <v>9.6999999999999993</v>
      </c>
      <c r="P586" s="69">
        <v>5.7</v>
      </c>
      <c r="Q586" s="69">
        <v>5</v>
      </c>
      <c r="R586" s="69">
        <v>3.4</v>
      </c>
      <c r="S586" s="69"/>
      <c r="T586" s="69">
        <v>8.4</v>
      </c>
      <c r="U586" s="69">
        <v>5.2</v>
      </c>
      <c r="V586" s="69">
        <v>3.7</v>
      </c>
      <c r="W586" s="69">
        <v>4.0999999999999996</v>
      </c>
      <c r="X586" s="69">
        <v>12.1</v>
      </c>
      <c r="Y586" s="69">
        <v>3.8164009999999999</v>
      </c>
      <c r="Z586" s="69">
        <v>5.0999999999999996</v>
      </c>
      <c r="AA586" s="69">
        <v>4.4000000000000004</v>
      </c>
      <c r="AB586" s="69">
        <v>6.302657</v>
      </c>
      <c r="AC586" s="69">
        <v>19.899999999999999</v>
      </c>
      <c r="AD586" s="69">
        <v>7.4</v>
      </c>
      <c r="AE586" s="69">
        <v>17.5</v>
      </c>
      <c r="AF586" s="69">
        <v>6.8</v>
      </c>
      <c r="AG586" s="69">
        <v>6.5</v>
      </c>
      <c r="AH586" s="69"/>
      <c r="AI586" s="69">
        <v>6.1</v>
      </c>
      <c r="AJ586" s="69">
        <v>9.1</v>
      </c>
      <c r="AK586" s="69">
        <v>6.6733260000000003</v>
      </c>
      <c r="AL586" s="69"/>
    </row>
    <row r="587" spans="1:38" x14ac:dyDescent="0.2">
      <c r="A587" s="10">
        <v>37895</v>
      </c>
      <c r="B587" s="69">
        <v>5.7834380000000003</v>
      </c>
      <c r="C587" s="69"/>
      <c r="D587" s="69">
        <v>8.3000000000000007</v>
      </c>
      <c r="E587" s="69">
        <v>7.6</v>
      </c>
      <c r="F587" s="69">
        <v>9.3381089999999993</v>
      </c>
      <c r="G587" s="69">
        <v>7.9</v>
      </c>
      <c r="H587" s="69">
        <v>9.8000000000000007</v>
      </c>
      <c r="I587" s="69">
        <v>5.7</v>
      </c>
      <c r="J587" s="69">
        <v>11.4</v>
      </c>
      <c r="K587" s="69">
        <v>9.3000000000000007</v>
      </c>
      <c r="L587" s="69">
        <v>9</v>
      </c>
      <c r="M587" s="69">
        <v>8.6999999999999993</v>
      </c>
      <c r="N587" s="69">
        <v>4.91045</v>
      </c>
      <c r="O587" s="69">
        <v>9.9</v>
      </c>
      <c r="P587" s="69">
        <v>5.7</v>
      </c>
      <c r="Q587" s="69">
        <v>4.7</v>
      </c>
      <c r="R587" s="69">
        <v>3.4</v>
      </c>
      <c r="S587" s="69"/>
      <c r="T587" s="69">
        <v>8.1999999999999993</v>
      </c>
      <c r="U587" s="69">
        <v>5.0999999999999996</v>
      </c>
      <c r="V587" s="69">
        <v>3.7</v>
      </c>
      <c r="W587" s="69">
        <v>4.3</v>
      </c>
      <c r="X587" s="69">
        <v>11.4</v>
      </c>
      <c r="Y587" s="69">
        <v>3.7697310000000002</v>
      </c>
      <c r="Z587" s="69">
        <v>5.2</v>
      </c>
      <c r="AA587" s="69">
        <v>4.3</v>
      </c>
      <c r="AB587" s="69">
        <v>6.2846310000000001</v>
      </c>
      <c r="AC587" s="69">
        <v>19.8</v>
      </c>
      <c r="AD587" s="69">
        <v>7.6</v>
      </c>
      <c r="AE587" s="69">
        <v>17.600000000000001</v>
      </c>
      <c r="AF587" s="69">
        <v>6.6</v>
      </c>
      <c r="AG587" s="69">
        <v>6.9</v>
      </c>
      <c r="AH587" s="69"/>
      <c r="AI587" s="69">
        <v>6</v>
      </c>
      <c r="AJ587" s="69">
        <v>9.1</v>
      </c>
      <c r="AK587" s="69">
        <v>6.5789660000000003</v>
      </c>
      <c r="AL587" s="69"/>
    </row>
    <row r="588" spans="1:38" x14ac:dyDescent="0.2">
      <c r="A588" s="10">
        <v>37926</v>
      </c>
      <c r="B588" s="69">
        <v>5.6608580000000002</v>
      </c>
      <c r="C588" s="69"/>
      <c r="D588" s="69">
        <v>8.3000000000000007</v>
      </c>
      <c r="E588" s="69">
        <v>7.4</v>
      </c>
      <c r="F588" s="69">
        <v>9.2853399999999997</v>
      </c>
      <c r="G588" s="69">
        <v>8.1</v>
      </c>
      <c r="H588" s="69">
        <v>9.8000000000000007</v>
      </c>
      <c r="I588" s="69">
        <v>5.8</v>
      </c>
      <c r="J588" s="69">
        <v>11.3</v>
      </c>
      <c r="K588" s="69">
        <v>9.4</v>
      </c>
      <c r="L588" s="69">
        <v>8.9</v>
      </c>
      <c r="M588" s="69">
        <v>8.8000000000000007</v>
      </c>
      <c r="N588" s="69">
        <v>4.8961670000000002</v>
      </c>
      <c r="O588" s="69">
        <v>9.9</v>
      </c>
      <c r="P588" s="69">
        <v>5.7</v>
      </c>
      <c r="Q588" s="69">
        <v>4.7</v>
      </c>
      <c r="R588" s="69">
        <v>3.4</v>
      </c>
      <c r="S588" s="69"/>
      <c r="T588" s="69">
        <v>8.1999999999999993</v>
      </c>
      <c r="U588" s="69">
        <v>5.0999999999999996</v>
      </c>
      <c r="V588" s="69">
        <v>3.9</v>
      </c>
      <c r="W588" s="69">
        <v>4.3</v>
      </c>
      <c r="X588" s="69">
        <v>10.9</v>
      </c>
      <c r="Y588" s="69">
        <v>4.0353250000000003</v>
      </c>
      <c r="Z588" s="69">
        <v>5.2</v>
      </c>
      <c r="AA588" s="69">
        <v>4.3</v>
      </c>
      <c r="AB588" s="69">
        <v>6.258826</v>
      </c>
      <c r="AC588" s="69">
        <v>19.7</v>
      </c>
      <c r="AD588" s="69">
        <v>7.5</v>
      </c>
      <c r="AE588" s="69">
        <v>17.899999999999999</v>
      </c>
      <c r="AF588" s="69">
        <v>6.5</v>
      </c>
      <c r="AG588" s="69">
        <v>7.3</v>
      </c>
      <c r="AH588" s="69"/>
      <c r="AI588" s="69">
        <v>5.8</v>
      </c>
      <c r="AJ588" s="69">
        <v>9.1</v>
      </c>
      <c r="AK588" s="69">
        <v>6.531085</v>
      </c>
      <c r="AL588" s="69"/>
    </row>
    <row r="589" spans="1:38" x14ac:dyDescent="0.2">
      <c r="A589" s="10">
        <v>37956</v>
      </c>
      <c r="B589" s="69">
        <v>5.6814049999999998</v>
      </c>
      <c r="C589" s="69"/>
      <c r="D589" s="69">
        <v>8.5</v>
      </c>
      <c r="E589" s="69">
        <v>7.3</v>
      </c>
      <c r="F589" s="69">
        <v>9.2511220000000005</v>
      </c>
      <c r="G589" s="69">
        <v>8.4</v>
      </c>
      <c r="H589" s="69">
        <v>9.8000000000000007</v>
      </c>
      <c r="I589" s="69">
        <v>5.8</v>
      </c>
      <c r="J589" s="69">
        <v>11.4</v>
      </c>
      <c r="K589" s="69">
        <v>10.4</v>
      </c>
      <c r="L589" s="69">
        <v>9</v>
      </c>
      <c r="M589" s="69">
        <v>8.9</v>
      </c>
      <c r="N589" s="69">
        <v>4.8309230000000003</v>
      </c>
      <c r="O589" s="69">
        <v>9.9</v>
      </c>
      <c r="P589" s="69">
        <v>5.7</v>
      </c>
      <c r="Q589" s="69">
        <v>4.8</v>
      </c>
      <c r="R589" s="69">
        <v>3.4</v>
      </c>
      <c r="S589" s="69"/>
      <c r="T589" s="69">
        <v>8.1999999999999993</v>
      </c>
      <c r="U589" s="69">
        <v>4.9000000000000004</v>
      </c>
      <c r="V589" s="69">
        <v>3.7</v>
      </c>
      <c r="W589" s="69">
        <v>4.4000000000000004</v>
      </c>
      <c r="X589" s="69">
        <v>11</v>
      </c>
      <c r="Y589" s="69">
        <v>3.4025460000000001</v>
      </c>
      <c r="Z589" s="69">
        <v>5.4</v>
      </c>
      <c r="AA589" s="69">
        <v>4.4000000000000004</v>
      </c>
      <c r="AB589" s="69">
        <v>6.1703809999999999</v>
      </c>
      <c r="AC589" s="69">
        <v>19.8</v>
      </c>
      <c r="AD589" s="69">
        <v>7.3</v>
      </c>
      <c r="AE589" s="69">
        <v>18.399999999999999</v>
      </c>
      <c r="AF589" s="69">
        <v>6.5</v>
      </c>
      <c r="AG589" s="69">
        <v>7</v>
      </c>
      <c r="AH589" s="69"/>
      <c r="AI589" s="69">
        <v>5.7</v>
      </c>
      <c r="AJ589" s="69">
        <v>9.1</v>
      </c>
      <c r="AK589" s="69">
        <v>6.4233650000000004</v>
      </c>
      <c r="AL589" s="69"/>
    </row>
    <row r="590" spans="1:38" x14ac:dyDescent="0.2">
      <c r="A590" s="10">
        <v>37987</v>
      </c>
      <c r="B590" s="69">
        <v>5.5310649999999999</v>
      </c>
      <c r="C590" s="69"/>
      <c r="D590" s="69">
        <v>8.6999999999999993</v>
      </c>
      <c r="E590" s="69">
        <v>7.3</v>
      </c>
      <c r="F590" s="69">
        <v>9.1792420000000003</v>
      </c>
      <c r="G590" s="69">
        <v>8.3000000000000007</v>
      </c>
      <c r="H590" s="69">
        <v>9.8000000000000007</v>
      </c>
      <c r="I590" s="69">
        <v>5.8</v>
      </c>
      <c r="J590" s="69">
        <v>11.3</v>
      </c>
      <c r="K590" s="69">
        <v>10.6</v>
      </c>
      <c r="L590" s="69">
        <v>9</v>
      </c>
      <c r="M590" s="69">
        <v>8.8000000000000007</v>
      </c>
      <c r="N590" s="69">
        <v>4.8072030000000003</v>
      </c>
      <c r="O590" s="69">
        <v>11.3</v>
      </c>
      <c r="P590" s="69">
        <v>5.9</v>
      </c>
      <c r="Q590" s="69">
        <v>5.0999999999999996</v>
      </c>
      <c r="R590" s="69">
        <v>3.4</v>
      </c>
      <c r="S590" s="69"/>
      <c r="T590" s="69">
        <v>8.3000000000000007</v>
      </c>
      <c r="U590" s="69">
        <v>4.9000000000000004</v>
      </c>
      <c r="V590" s="69">
        <v>3.5</v>
      </c>
      <c r="W590" s="69">
        <v>4.5999999999999996</v>
      </c>
      <c r="X590" s="69">
        <v>11.6</v>
      </c>
      <c r="Y590" s="69">
        <v>3.7777959999999999</v>
      </c>
      <c r="Z590" s="69">
        <v>5.4</v>
      </c>
      <c r="AA590" s="69">
        <v>4.2</v>
      </c>
      <c r="AB590" s="69">
        <v>6.090401</v>
      </c>
      <c r="AC590" s="69">
        <v>20</v>
      </c>
      <c r="AD590" s="69">
        <v>7.2</v>
      </c>
      <c r="AE590" s="69">
        <v>18.7</v>
      </c>
      <c r="AF590" s="69">
        <v>6.5</v>
      </c>
      <c r="AG590" s="69">
        <v>7</v>
      </c>
      <c r="AH590" s="69"/>
      <c r="AI590" s="69">
        <v>5.7</v>
      </c>
      <c r="AJ590" s="69">
        <v>9.1999999999999993</v>
      </c>
      <c r="AK590" s="69">
        <v>6.4352530000000003</v>
      </c>
      <c r="AL590" s="69"/>
    </row>
    <row r="591" spans="1:38" x14ac:dyDescent="0.2">
      <c r="A591" s="10">
        <v>38018</v>
      </c>
      <c r="B591" s="69">
        <v>5.6434629999999997</v>
      </c>
      <c r="C591" s="69"/>
      <c r="D591" s="69">
        <v>8.6</v>
      </c>
      <c r="E591" s="69">
        <v>7.3</v>
      </c>
      <c r="F591" s="69">
        <v>9.5410009999999996</v>
      </c>
      <c r="G591" s="69">
        <v>8.6</v>
      </c>
      <c r="H591" s="69">
        <v>10.1</v>
      </c>
      <c r="I591" s="69">
        <v>5.7</v>
      </c>
      <c r="J591" s="69">
        <v>11.2</v>
      </c>
      <c r="K591" s="69">
        <v>10</v>
      </c>
      <c r="L591" s="69">
        <v>8.6999999999999993</v>
      </c>
      <c r="M591" s="69">
        <v>8.8000000000000007</v>
      </c>
      <c r="N591" s="69">
        <v>4.7975029999999999</v>
      </c>
      <c r="O591" s="69">
        <v>10.8</v>
      </c>
      <c r="P591" s="69">
        <v>6</v>
      </c>
      <c r="Q591" s="69">
        <v>5.2</v>
      </c>
      <c r="R591" s="69">
        <v>3.4</v>
      </c>
      <c r="S591" s="69"/>
      <c r="T591" s="69">
        <v>8.1</v>
      </c>
      <c r="U591" s="69">
        <v>5</v>
      </c>
      <c r="V591" s="69">
        <v>3.6</v>
      </c>
      <c r="W591" s="69">
        <v>4.7</v>
      </c>
      <c r="X591" s="69">
        <v>11.9</v>
      </c>
      <c r="Y591" s="69">
        <v>4.0438390000000002</v>
      </c>
      <c r="Z591" s="69">
        <v>5.4</v>
      </c>
      <c r="AA591" s="69">
        <v>4.2</v>
      </c>
      <c r="AB591" s="69">
        <v>6.0818289999999999</v>
      </c>
      <c r="AC591" s="69">
        <v>19.899999999999999</v>
      </c>
      <c r="AD591" s="69">
        <v>7.3</v>
      </c>
      <c r="AE591" s="69">
        <v>19</v>
      </c>
      <c r="AF591" s="69">
        <v>6.5</v>
      </c>
      <c r="AG591" s="69">
        <v>7.6</v>
      </c>
      <c r="AH591" s="69"/>
      <c r="AI591" s="69">
        <v>5.6</v>
      </c>
      <c r="AJ591" s="69">
        <v>9.1999999999999993</v>
      </c>
      <c r="AK591" s="69">
        <v>6.405138</v>
      </c>
      <c r="AL591" s="69"/>
    </row>
    <row r="592" spans="1:38" x14ac:dyDescent="0.2">
      <c r="A592" s="10">
        <v>38047</v>
      </c>
      <c r="B592" s="69">
        <v>5.4377719999999998</v>
      </c>
      <c r="C592" s="69"/>
      <c r="D592" s="69">
        <v>8.3000000000000007</v>
      </c>
      <c r="E592" s="69">
        <v>7.3</v>
      </c>
      <c r="F592" s="69">
        <v>10.09008</v>
      </c>
      <c r="G592" s="69">
        <v>8.4</v>
      </c>
      <c r="H592" s="69">
        <v>10.3</v>
      </c>
      <c r="I592" s="69">
        <v>5.5</v>
      </c>
      <c r="J592" s="69">
        <v>11.1</v>
      </c>
      <c r="K592" s="69">
        <v>9.6999999999999993</v>
      </c>
      <c r="L592" s="69">
        <v>8.9</v>
      </c>
      <c r="M592" s="69">
        <v>8.8000000000000007</v>
      </c>
      <c r="N592" s="69">
        <v>4.8095359999999996</v>
      </c>
      <c r="O592" s="69">
        <v>10.9</v>
      </c>
      <c r="P592" s="69">
        <v>6</v>
      </c>
      <c r="Q592" s="69">
        <v>5.0999999999999996</v>
      </c>
      <c r="R592" s="69">
        <v>3.5</v>
      </c>
      <c r="S592" s="69"/>
      <c r="T592" s="69">
        <v>8.1999999999999993</v>
      </c>
      <c r="U592" s="69">
        <v>4.8</v>
      </c>
      <c r="V592" s="69">
        <v>3.6</v>
      </c>
      <c r="W592" s="69">
        <v>4.9000000000000004</v>
      </c>
      <c r="X592" s="69">
        <v>11.8</v>
      </c>
      <c r="Y592" s="69">
        <v>3.921735</v>
      </c>
      <c r="Z592" s="69">
        <v>5.5</v>
      </c>
      <c r="AA592" s="69">
        <v>4.0999999999999996</v>
      </c>
      <c r="AB592" s="69">
        <v>6.0239440000000002</v>
      </c>
      <c r="AC592" s="69">
        <v>19.8</v>
      </c>
      <c r="AD592" s="69">
        <v>7.3</v>
      </c>
      <c r="AE592" s="69">
        <v>19</v>
      </c>
      <c r="AF592" s="69">
        <v>6.5</v>
      </c>
      <c r="AG592" s="69">
        <v>7.4</v>
      </c>
      <c r="AH592" s="69"/>
      <c r="AI592" s="69">
        <v>5.8</v>
      </c>
      <c r="AJ592" s="69">
        <v>9.3000000000000007</v>
      </c>
      <c r="AK592" s="69">
        <v>6.4847590000000004</v>
      </c>
      <c r="AL592" s="69"/>
    </row>
    <row r="593" spans="1:38" x14ac:dyDescent="0.2">
      <c r="A593" s="10">
        <v>38078</v>
      </c>
      <c r="B593" s="69">
        <v>5.5081600000000002</v>
      </c>
      <c r="C593" s="69"/>
      <c r="D593" s="69">
        <v>7.7</v>
      </c>
      <c r="E593" s="69">
        <v>7.2</v>
      </c>
      <c r="F593" s="69">
        <v>10.483090000000001</v>
      </c>
      <c r="G593" s="69">
        <v>8.4</v>
      </c>
      <c r="H593" s="69">
        <v>10.3</v>
      </c>
      <c r="I593" s="69">
        <v>5.5</v>
      </c>
      <c r="J593" s="69">
        <v>11.2</v>
      </c>
      <c r="K593" s="69">
        <v>9.6</v>
      </c>
      <c r="L593" s="69">
        <v>9.5</v>
      </c>
      <c r="M593" s="69">
        <v>8.8000000000000007</v>
      </c>
      <c r="N593" s="69">
        <v>4.7980130000000001</v>
      </c>
      <c r="O593" s="69">
        <v>10.7</v>
      </c>
      <c r="P593" s="69">
        <v>5.9</v>
      </c>
      <c r="Q593" s="69">
        <v>4.8</v>
      </c>
      <c r="R593" s="69">
        <v>3.5</v>
      </c>
      <c r="S593" s="69"/>
      <c r="T593" s="69">
        <v>8.1</v>
      </c>
      <c r="U593" s="69">
        <v>4.8</v>
      </c>
      <c r="V593" s="69">
        <v>3.6</v>
      </c>
      <c r="W593" s="69">
        <v>5</v>
      </c>
      <c r="X593" s="69">
        <v>11.5</v>
      </c>
      <c r="Y593" s="69">
        <v>3.9876469999999999</v>
      </c>
      <c r="Z593" s="69">
        <v>5.7</v>
      </c>
      <c r="AA593" s="69">
        <v>4.2</v>
      </c>
      <c r="AB593" s="69">
        <v>6.01389</v>
      </c>
      <c r="AC593" s="69">
        <v>19.5</v>
      </c>
      <c r="AD593" s="69">
        <v>7.4</v>
      </c>
      <c r="AE593" s="69">
        <v>19.100000000000001</v>
      </c>
      <c r="AF593" s="69">
        <v>6.4</v>
      </c>
      <c r="AG593" s="69">
        <v>7.1</v>
      </c>
      <c r="AH593" s="69"/>
      <c r="AI593" s="69">
        <v>5.6</v>
      </c>
      <c r="AJ593" s="69">
        <v>9.3000000000000007</v>
      </c>
      <c r="AK593" s="69">
        <v>6.3881189999999997</v>
      </c>
      <c r="AL593" s="69"/>
    </row>
    <row r="594" spans="1:38" x14ac:dyDescent="0.2">
      <c r="A594" s="10">
        <v>38108</v>
      </c>
      <c r="B594" s="69">
        <v>5.3370490000000004</v>
      </c>
      <c r="C594" s="69"/>
      <c r="D594" s="69">
        <v>7.6</v>
      </c>
      <c r="E594" s="69">
        <v>7.1</v>
      </c>
      <c r="F594" s="69">
        <v>10.37616</v>
      </c>
      <c r="G594" s="69">
        <v>8.4</v>
      </c>
      <c r="H594" s="69">
        <v>10.3</v>
      </c>
      <c r="I594" s="69">
        <v>5.4</v>
      </c>
      <c r="J594" s="69">
        <v>11.2</v>
      </c>
      <c r="K594" s="69">
        <v>9.9</v>
      </c>
      <c r="L594" s="69">
        <v>9.5</v>
      </c>
      <c r="M594" s="69">
        <v>8.8000000000000007</v>
      </c>
      <c r="N594" s="69">
        <v>4.8051839999999997</v>
      </c>
      <c r="O594" s="69">
        <v>10.6</v>
      </c>
      <c r="P594" s="69">
        <v>5.9</v>
      </c>
      <c r="Q594" s="69">
        <v>4.7</v>
      </c>
      <c r="R594" s="69">
        <v>3.5</v>
      </c>
      <c r="S594" s="69"/>
      <c r="T594" s="69">
        <v>8.1999999999999993</v>
      </c>
      <c r="U594" s="69">
        <v>4.7</v>
      </c>
      <c r="V594" s="69">
        <v>3.7</v>
      </c>
      <c r="W594" s="69">
        <v>5</v>
      </c>
      <c r="X594" s="69">
        <v>11.4</v>
      </c>
      <c r="Y594" s="69">
        <v>3.884007</v>
      </c>
      <c r="Z594" s="69">
        <v>5.8</v>
      </c>
      <c r="AA594" s="69">
        <v>4.2</v>
      </c>
      <c r="AB594" s="69">
        <v>5.9479509999999998</v>
      </c>
      <c r="AC594" s="69">
        <v>19.3</v>
      </c>
      <c r="AD594" s="69">
        <v>7.7</v>
      </c>
      <c r="AE594" s="69">
        <v>18.8</v>
      </c>
      <c r="AF594" s="69">
        <v>6.4</v>
      </c>
      <c r="AG594" s="69">
        <v>7.6</v>
      </c>
      <c r="AH594" s="69"/>
      <c r="AI594" s="69">
        <v>5.6</v>
      </c>
      <c r="AJ594" s="69">
        <v>9.3000000000000007</v>
      </c>
      <c r="AK594" s="69">
        <v>6.3782209999999999</v>
      </c>
      <c r="AL594" s="69"/>
    </row>
    <row r="595" spans="1:38" x14ac:dyDescent="0.2">
      <c r="A595" s="10">
        <v>38139</v>
      </c>
      <c r="B595" s="69">
        <v>5.4634660000000004</v>
      </c>
      <c r="C595" s="69"/>
      <c r="D595" s="69">
        <v>8</v>
      </c>
      <c r="E595" s="69">
        <v>7.2</v>
      </c>
      <c r="F595" s="69">
        <v>10.29059</v>
      </c>
      <c r="G595" s="69">
        <v>8.3000000000000007</v>
      </c>
      <c r="H595" s="69">
        <v>10.3</v>
      </c>
      <c r="I595" s="69">
        <v>5.5</v>
      </c>
      <c r="J595" s="69">
        <v>11.2</v>
      </c>
      <c r="K595" s="69">
        <v>9.6999999999999993</v>
      </c>
      <c r="L595" s="69">
        <v>8.6</v>
      </c>
      <c r="M595" s="69">
        <v>8.8000000000000007</v>
      </c>
      <c r="N595" s="69">
        <v>4.7614900000000002</v>
      </c>
      <c r="O595" s="69">
        <v>10.4</v>
      </c>
      <c r="P595" s="69">
        <v>5.9</v>
      </c>
      <c r="Q595" s="69">
        <v>4.5</v>
      </c>
      <c r="R595" s="69">
        <v>3.5</v>
      </c>
      <c r="S595" s="69"/>
      <c r="T595" s="69">
        <v>7.9</v>
      </c>
      <c r="U595" s="69">
        <v>4.7</v>
      </c>
      <c r="V595" s="69">
        <v>3.5</v>
      </c>
      <c r="W595" s="69">
        <v>5</v>
      </c>
      <c r="X595" s="69">
        <v>11.3</v>
      </c>
      <c r="Y595" s="69">
        <v>3.9583750000000002</v>
      </c>
      <c r="Z595" s="69">
        <v>5.8</v>
      </c>
      <c r="AA595" s="69">
        <v>4.3</v>
      </c>
      <c r="AB595" s="69">
        <v>5.8872099999999996</v>
      </c>
      <c r="AC595" s="69">
        <v>19.2</v>
      </c>
      <c r="AD595" s="69">
        <v>7.9</v>
      </c>
      <c r="AE595" s="69">
        <v>18.5</v>
      </c>
      <c r="AF595" s="69">
        <v>6.2</v>
      </c>
      <c r="AG595" s="69">
        <v>7.4</v>
      </c>
      <c r="AH595" s="69"/>
      <c r="AI595" s="69">
        <v>5.6</v>
      </c>
      <c r="AJ595" s="69">
        <v>9.1999999999999993</v>
      </c>
      <c r="AK595" s="69">
        <v>6.3856529999999996</v>
      </c>
      <c r="AL595" s="69"/>
    </row>
    <row r="596" spans="1:38" x14ac:dyDescent="0.2">
      <c r="A596" s="10">
        <v>38169</v>
      </c>
      <c r="B596" s="69">
        <v>5.5506039999999999</v>
      </c>
      <c r="C596" s="69"/>
      <c r="D596" s="69">
        <v>8.6</v>
      </c>
      <c r="E596" s="69">
        <v>7.1</v>
      </c>
      <c r="F596" s="69">
        <v>10.40067</v>
      </c>
      <c r="G596" s="69">
        <v>8.1</v>
      </c>
      <c r="H596" s="69">
        <v>10.3</v>
      </c>
      <c r="I596" s="69">
        <v>5.6</v>
      </c>
      <c r="J596" s="69">
        <v>11</v>
      </c>
      <c r="K596" s="69">
        <v>10</v>
      </c>
      <c r="L596" s="69">
        <v>8.9</v>
      </c>
      <c r="M596" s="69">
        <v>8.8000000000000007</v>
      </c>
      <c r="N596" s="69">
        <v>4.7008830000000001</v>
      </c>
      <c r="O596" s="69">
        <v>10.6</v>
      </c>
      <c r="P596" s="69">
        <v>5.9</v>
      </c>
      <c r="Q596" s="69">
        <v>4.5</v>
      </c>
      <c r="R596" s="69">
        <v>3.5</v>
      </c>
      <c r="S596" s="69"/>
      <c r="T596" s="69">
        <v>7.9</v>
      </c>
      <c r="U596" s="69">
        <v>4.9000000000000004</v>
      </c>
      <c r="V596" s="69">
        <v>3.7</v>
      </c>
      <c r="W596" s="69">
        <v>5</v>
      </c>
      <c r="X596" s="69">
        <v>11.6</v>
      </c>
      <c r="Y596" s="69">
        <v>3.7950590000000002</v>
      </c>
      <c r="Z596" s="69">
        <v>5.7</v>
      </c>
      <c r="AA596" s="69">
        <v>4.3</v>
      </c>
      <c r="AB596" s="69">
        <v>5.7989699999999997</v>
      </c>
      <c r="AC596" s="69">
        <v>19</v>
      </c>
      <c r="AD596" s="69">
        <v>7.8</v>
      </c>
      <c r="AE596" s="69">
        <v>18.2</v>
      </c>
      <c r="AF596" s="69">
        <v>6.1</v>
      </c>
      <c r="AG596" s="69">
        <v>7.2</v>
      </c>
      <c r="AH596" s="69"/>
      <c r="AI596" s="69">
        <v>5.5</v>
      </c>
      <c r="AJ596" s="69">
        <v>9.1999999999999993</v>
      </c>
      <c r="AK596" s="69">
        <v>6.3572689999999996</v>
      </c>
      <c r="AL596" s="69"/>
    </row>
    <row r="597" spans="1:38" x14ac:dyDescent="0.2">
      <c r="A597" s="10">
        <v>38200</v>
      </c>
      <c r="B597" s="69">
        <v>5.5158110000000002</v>
      </c>
      <c r="C597" s="69"/>
      <c r="D597" s="69">
        <v>9</v>
      </c>
      <c r="E597" s="69">
        <v>7</v>
      </c>
      <c r="F597" s="69">
        <v>10.3912</v>
      </c>
      <c r="G597" s="69">
        <v>8.1999999999999993</v>
      </c>
      <c r="H597" s="69">
        <v>10.4</v>
      </c>
      <c r="I597" s="69">
        <v>5.6</v>
      </c>
      <c r="J597" s="69">
        <v>11</v>
      </c>
      <c r="K597" s="69">
        <v>10.4</v>
      </c>
      <c r="L597" s="69">
        <v>9</v>
      </c>
      <c r="M597" s="69">
        <v>8.8000000000000007</v>
      </c>
      <c r="N597" s="69">
        <v>4.6837090000000003</v>
      </c>
      <c r="O597" s="69">
        <v>10.5</v>
      </c>
      <c r="P597" s="69">
        <v>6.1</v>
      </c>
      <c r="Q597" s="69">
        <v>4.4000000000000004</v>
      </c>
      <c r="R597" s="69">
        <v>3.4</v>
      </c>
      <c r="S597" s="69"/>
      <c r="T597" s="69">
        <v>7.7</v>
      </c>
      <c r="U597" s="69">
        <v>4.8</v>
      </c>
      <c r="V597" s="69">
        <v>3.8</v>
      </c>
      <c r="W597" s="69">
        <v>5.0999999999999996</v>
      </c>
      <c r="X597" s="69">
        <v>11.8</v>
      </c>
      <c r="Y597" s="69">
        <v>3.997989</v>
      </c>
      <c r="Z597" s="69">
        <v>5.6</v>
      </c>
      <c r="AA597" s="69">
        <v>4.4000000000000004</v>
      </c>
      <c r="AB597" s="69">
        <v>5.7641249999999999</v>
      </c>
      <c r="AC597" s="69">
        <v>18.899999999999999</v>
      </c>
      <c r="AD597" s="69">
        <v>8.1</v>
      </c>
      <c r="AE597" s="69">
        <v>18</v>
      </c>
      <c r="AF597" s="69">
        <v>6.2</v>
      </c>
      <c r="AG597" s="69">
        <v>7.3</v>
      </c>
      <c r="AH597" s="69"/>
      <c r="AI597" s="69">
        <v>5.4</v>
      </c>
      <c r="AJ597" s="69">
        <v>9.1999999999999993</v>
      </c>
      <c r="AK597" s="69">
        <v>6.2925610000000001</v>
      </c>
      <c r="AL597" s="69"/>
    </row>
    <row r="598" spans="1:38" x14ac:dyDescent="0.2">
      <c r="A598" s="10">
        <v>38231</v>
      </c>
      <c r="B598" s="69">
        <v>5.3696529999999996</v>
      </c>
      <c r="C598" s="69"/>
      <c r="D598" s="69">
        <v>9</v>
      </c>
      <c r="E598" s="69">
        <v>6.9</v>
      </c>
      <c r="F598" s="69">
        <v>10.41574</v>
      </c>
      <c r="G598" s="69">
        <v>8.3000000000000007</v>
      </c>
      <c r="H598" s="69">
        <v>10.4</v>
      </c>
      <c r="I598" s="69">
        <v>5.6</v>
      </c>
      <c r="J598" s="69">
        <v>10.9</v>
      </c>
      <c r="K598" s="69">
        <v>10.199999999999999</v>
      </c>
      <c r="L598" s="69">
        <v>8</v>
      </c>
      <c r="M598" s="69">
        <v>8.8000000000000007</v>
      </c>
      <c r="N598" s="69">
        <v>4.6646089999999996</v>
      </c>
      <c r="O598" s="69">
        <v>10.199999999999999</v>
      </c>
      <c r="P598" s="69">
        <v>6</v>
      </c>
      <c r="Q598" s="69">
        <v>4.5999999999999996</v>
      </c>
      <c r="R598" s="69">
        <v>3.3</v>
      </c>
      <c r="S598" s="69"/>
      <c r="T598" s="69">
        <v>8</v>
      </c>
      <c r="U598" s="69">
        <v>4.5999999999999996</v>
      </c>
      <c r="V598" s="69">
        <v>3.7</v>
      </c>
      <c r="W598" s="69">
        <v>5.0999999999999996</v>
      </c>
      <c r="X598" s="69">
        <v>12</v>
      </c>
      <c r="Y598" s="69">
        <v>3.8437800000000002</v>
      </c>
      <c r="Z598" s="69">
        <v>5.7</v>
      </c>
      <c r="AA598" s="69">
        <v>4.4000000000000004</v>
      </c>
      <c r="AB598" s="69">
        <v>5.7457409999999998</v>
      </c>
      <c r="AC598" s="69">
        <v>18.7</v>
      </c>
      <c r="AD598" s="69">
        <v>8.1</v>
      </c>
      <c r="AE598" s="69">
        <v>17.899999999999999</v>
      </c>
      <c r="AF598" s="69">
        <v>6.2</v>
      </c>
      <c r="AG598" s="69">
        <v>7.8</v>
      </c>
      <c r="AH598" s="69"/>
      <c r="AI598" s="69">
        <v>5.4</v>
      </c>
      <c r="AJ598" s="69">
        <v>9.3000000000000007</v>
      </c>
      <c r="AK598" s="69">
        <v>6.2670810000000001</v>
      </c>
      <c r="AL598" s="69"/>
    </row>
    <row r="599" spans="1:38" x14ac:dyDescent="0.2">
      <c r="A599" s="10">
        <v>38261</v>
      </c>
      <c r="B599" s="69">
        <v>5.1228559999999996</v>
      </c>
      <c r="C599" s="69"/>
      <c r="D599" s="69">
        <v>8.6</v>
      </c>
      <c r="E599" s="69">
        <v>7.1</v>
      </c>
      <c r="F599" s="69">
        <v>10.01174</v>
      </c>
      <c r="G599" s="69">
        <v>8.6</v>
      </c>
      <c r="H599" s="69">
        <v>10.5</v>
      </c>
      <c r="I599" s="69">
        <v>5.4</v>
      </c>
      <c r="J599" s="69">
        <v>10.7</v>
      </c>
      <c r="K599" s="69">
        <v>10.3</v>
      </c>
      <c r="L599" s="69">
        <v>8.6</v>
      </c>
      <c r="M599" s="69">
        <v>8.9</v>
      </c>
      <c r="N599" s="69">
        <v>4.6842610000000002</v>
      </c>
      <c r="O599" s="69">
        <v>10.3</v>
      </c>
      <c r="P599" s="69">
        <v>6.2</v>
      </c>
      <c r="Q599" s="69">
        <v>4.7</v>
      </c>
      <c r="R599" s="69">
        <v>3.3</v>
      </c>
      <c r="S599" s="69"/>
      <c r="T599" s="69">
        <v>8</v>
      </c>
      <c r="U599" s="69">
        <v>4.5999999999999996</v>
      </c>
      <c r="V599" s="69">
        <v>3.7</v>
      </c>
      <c r="W599" s="69">
        <v>5</v>
      </c>
      <c r="X599" s="69">
        <v>12.2</v>
      </c>
      <c r="Y599" s="69">
        <v>3.9000059999999999</v>
      </c>
      <c r="Z599" s="69">
        <v>5.7</v>
      </c>
      <c r="AA599" s="69">
        <v>4.4000000000000004</v>
      </c>
      <c r="AB599" s="69">
        <v>5.7618989999999997</v>
      </c>
      <c r="AC599" s="69">
        <v>18.600000000000001</v>
      </c>
      <c r="AD599" s="69">
        <v>8.1</v>
      </c>
      <c r="AE599" s="69">
        <v>17.8</v>
      </c>
      <c r="AF599" s="69">
        <v>6.3</v>
      </c>
      <c r="AG599" s="69">
        <v>7.1</v>
      </c>
      <c r="AH599" s="69"/>
      <c r="AI599" s="69">
        <v>5.5</v>
      </c>
      <c r="AJ599" s="69">
        <v>9.3000000000000007</v>
      </c>
      <c r="AK599" s="69">
        <v>6.3183720000000001</v>
      </c>
      <c r="AL599" s="69"/>
    </row>
    <row r="600" spans="1:38" x14ac:dyDescent="0.2">
      <c r="A600" s="10">
        <v>38292</v>
      </c>
      <c r="B600" s="69">
        <v>5.1615690000000001</v>
      </c>
      <c r="C600" s="69"/>
      <c r="D600" s="69">
        <v>8.3000000000000007</v>
      </c>
      <c r="E600" s="69">
        <v>7.2</v>
      </c>
      <c r="F600" s="69">
        <v>9.7468339999999998</v>
      </c>
      <c r="G600" s="69">
        <v>8.3000000000000007</v>
      </c>
      <c r="H600" s="69">
        <v>10.6</v>
      </c>
      <c r="I600" s="69">
        <v>5.3</v>
      </c>
      <c r="J600" s="69">
        <v>10.6</v>
      </c>
      <c r="K600" s="69">
        <v>9.5</v>
      </c>
      <c r="L600" s="69">
        <v>8.6999999999999993</v>
      </c>
      <c r="M600" s="69">
        <v>8.9</v>
      </c>
      <c r="N600" s="69">
        <v>4.7288990000000002</v>
      </c>
      <c r="O600" s="69">
        <v>10.4</v>
      </c>
      <c r="P600" s="69">
        <v>6.3</v>
      </c>
      <c r="Q600" s="69">
        <v>4.7</v>
      </c>
      <c r="R600" s="69">
        <v>3.2</v>
      </c>
      <c r="S600" s="69"/>
      <c r="T600" s="69">
        <v>8.1</v>
      </c>
      <c r="U600" s="69">
        <v>4.5</v>
      </c>
      <c r="V600" s="69">
        <v>3.7</v>
      </c>
      <c r="W600" s="69">
        <v>5</v>
      </c>
      <c r="X600" s="69">
        <v>12.1</v>
      </c>
      <c r="Y600" s="69">
        <v>3.8685269999999998</v>
      </c>
      <c r="Z600" s="69">
        <v>5.7</v>
      </c>
      <c r="AA600" s="69">
        <v>4.4000000000000004</v>
      </c>
      <c r="AB600" s="69">
        <v>5.7646730000000002</v>
      </c>
      <c r="AC600" s="69">
        <v>18.399999999999999</v>
      </c>
      <c r="AD600" s="69">
        <v>8.1</v>
      </c>
      <c r="AE600" s="69">
        <v>17.7</v>
      </c>
      <c r="AF600" s="69">
        <v>6.2</v>
      </c>
      <c r="AG600" s="69">
        <v>7.5</v>
      </c>
      <c r="AH600" s="69"/>
      <c r="AI600" s="69">
        <v>5.4</v>
      </c>
      <c r="AJ600" s="69">
        <v>9.3000000000000007</v>
      </c>
      <c r="AK600" s="69">
        <v>6.2899909999999997</v>
      </c>
      <c r="AL600" s="69"/>
    </row>
    <row r="601" spans="1:38" x14ac:dyDescent="0.2">
      <c r="A601" s="10">
        <v>38322</v>
      </c>
      <c r="B601" s="69">
        <v>5.0687530000000001</v>
      </c>
      <c r="C601" s="69"/>
      <c r="D601" s="69">
        <v>8.1999999999999993</v>
      </c>
      <c r="E601" s="69">
        <v>7.1</v>
      </c>
      <c r="F601" s="69">
        <v>9.4727680000000003</v>
      </c>
      <c r="G601" s="69">
        <v>7.8</v>
      </c>
      <c r="H601" s="69">
        <v>10.7</v>
      </c>
      <c r="I601" s="69">
        <v>5.3</v>
      </c>
      <c r="J601" s="69">
        <v>10.3</v>
      </c>
      <c r="K601" s="69">
        <v>9.5</v>
      </c>
      <c r="L601" s="69">
        <v>8.4</v>
      </c>
      <c r="M601" s="69">
        <v>8.9</v>
      </c>
      <c r="N601" s="69">
        <v>4.7271890000000001</v>
      </c>
      <c r="O601" s="69">
        <v>10.3</v>
      </c>
      <c r="P601" s="69">
        <v>6.6</v>
      </c>
      <c r="Q601" s="69">
        <v>4.5999999999999996</v>
      </c>
      <c r="R601" s="69">
        <v>3.1</v>
      </c>
      <c r="S601" s="69"/>
      <c r="T601" s="69">
        <v>7.8</v>
      </c>
      <c r="U601" s="69">
        <v>4.5</v>
      </c>
      <c r="V601" s="69">
        <v>3.8</v>
      </c>
      <c r="W601" s="69">
        <v>4.9000000000000004</v>
      </c>
      <c r="X601" s="69">
        <v>11.8</v>
      </c>
      <c r="Y601" s="69">
        <v>4.0345630000000003</v>
      </c>
      <c r="Z601" s="69">
        <v>5.9</v>
      </c>
      <c r="AA601" s="69">
        <v>4.4000000000000004</v>
      </c>
      <c r="AB601" s="69">
        <v>5.791588</v>
      </c>
      <c r="AC601" s="69">
        <v>18.3</v>
      </c>
      <c r="AD601" s="69">
        <v>8.3000000000000007</v>
      </c>
      <c r="AE601" s="69">
        <v>17.600000000000001</v>
      </c>
      <c r="AF601" s="69">
        <v>6.4</v>
      </c>
      <c r="AG601" s="69">
        <v>7.5</v>
      </c>
      <c r="AH601" s="69"/>
      <c r="AI601" s="69">
        <v>5.4</v>
      </c>
      <c r="AJ601" s="69">
        <v>9.1999999999999993</v>
      </c>
      <c r="AK601" s="69">
        <v>6.2683220000000004</v>
      </c>
      <c r="AL601" s="69"/>
    </row>
    <row r="602" spans="1:38" x14ac:dyDescent="0.2">
      <c r="A602" s="10">
        <v>38353</v>
      </c>
      <c r="B602" s="69">
        <v>5.0737800000000002</v>
      </c>
      <c r="C602" s="69"/>
      <c r="D602" s="69">
        <v>8.3000000000000007</v>
      </c>
      <c r="E602" s="69">
        <v>7</v>
      </c>
      <c r="F602" s="69">
        <v>9.5227179999999993</v>
      </c>
      <c r="G602" s="69">
        <v>8.1999999999999993</v>
      </c>
      <c r="H602" s="69">
        <v>10.7</v>
      </c>
      <c r="I602" s="69">
        <v>5.3</v>
      </c>
      <c r="J602" s="69">
        <v>10.1</v>
      </c>
      <c r="K602" s="69">
        <v>9.1999999999999993</v>
      </c>
      <c r="L602" s="69">
        <v>9.3000000000000007</v>
      </c>
      <c r="M602" s="69">
        <v>8.6999999999999993</v>
      </c>
      <c r="N602" s="69">
        <v>4.7837509999999996</v>
      </c>
      <c r="O602" s="69">
        <v>10.199999999999999</v>
      </c>
      <c r="P602" s="69">
        <v>6.8</v>
      </c>
      <c r="Q602" s="69">
        <v>4.4000000000000004</v>
      </c>
      <c r="R602" s="69">
        <v>3.1</v>
      </c>
      <c r="S602" s="69"/>
      <c r="T602" s="69">
        <v>7.8</v>
      </c>
      <c r="U602" s="69">
        <v>4.5</v>
      </c>
      <c r="V602" s="69">
        <v>3.8</v>
      </c>
      <c r="W602" s="69">
        <v>4.8</v>
      </c>
      <c r="X602" s="69">
        <v>11.3</v>
      </c>
      <c r="Y602" s="69">
        <v>3.9578869999999999</v>
      </c>
      <c r="Z602" s="69">
        <v>5.9</v>
      </c>
      <c r="AA602" s="69">
        <v>4.5</v>
      </c>
      <c r="AB602" s="69">
        <v>5.8008129999999998</v>
      </c>
      <c r="AC602" s="69">
        <v>18.100000000000001</v>
      </c>
      <c r="AD602" s="69">
        <v>8.3000000000000007</v>
      </c>
      <c r="AE602" s="69">
        <v>17.3</v>
      </c>
      <c r="AF602" s="69">
        <v>6.4</v>
      </c>
      <c r="AG602" s="69">
        <v>7</v>
      </c>
      <c r="AH602" s="69">
        <v>9.3000000000000007</v>
      </c>
      <c r="AI602" s="69">
        <v>5.3</v>
      </c>
      <c r="AJ602" s="69">
        <v>9.1999999999999993</v>
      </c>
      <c r="AK602" s="69">
        <v>6.2113209999999999</v>
      </c>
      <c r="AL602" s="69"/>
    </row>
    <row r="603" spans="1:38" x14ac:dyDescent="0.2">
      <c r="A603" s="10">
        <v>38384</v>
      </c>
      <c r="B603" s="69">
        <v>5.0850030000000004</v>
      </c>
      <c r="C603" s="69"/>
      <c r="D603" s="69">
        <v>8.5</v>
      </c>
      <c r="E603" s="69">
        <v>7</v>
      </c>
      <c r="F603" s="69">
        <v>9.378107</v>
      </c>
      <c r="G603" s="69">
        <v>8.1999999999999993</v>
      </c>
      <c r="H603" s="69">
        <v>10.9</v>
      </c>
      <c r="I603" s="69">
        <v>5.2</v>
      </c>
      <c r="J603" s="69">
        <v>9.9</v>
      </c>
      <c r="K603" s="69">
        <v>9.3000000000000007</v>
      </c>
      <c r="L603" s="69">
        <v>8.9</v>
      </c>
      <c r="M603" s="69">
        <v>8.6999999999999993</v>
      </c>
      <c r="N603" s="69">
        <v>4.6893219999999998</v>
      </c>
      <c r="O603" s="69">
        <v>10.1</v>
      </c>
      <c r="P603" s="69">
        <v>7</v>
      </c>
      <c r="Q603" s="69">
        <v>4.3</v>
      </c>
      <c r="R603" s="69">
        <v>3</v>
      </c>
      <c r="S603" s="69"/>
      <c r="T603" s="69">
        <v>8</v>
      </c>
      <c r="U603" s="69">
        <v>4.5999999999999996</v>
      </c>
      <c r="V603" s="69">
        <v>3.7</v>
      </c>
      <c r="W603" s="69">
        <v>4.8</v>
      </c>
      <c r="X603" s="69">
        <v>11</v>
      </c>
      <c r="Y603" s="69">
        <v>3.6383079999999999</v>
      </c>
      <c r="Z603" s="69">
        <v>6</v>
      </c>
      <c r="AA603" s="69">
        <v>4.4000000000000004</v>
      </c>
      <c r="AB603" s="69">
        <v>5.7460979999999999</v>
      </c>
      <c r="AC603" s="69">
        <v>18.2</v>
      </c>
      <c r="AD603" s="69">
        <v>8.4</v>
      </c>
      <c r="AE603" s="69">
        <v>17.100000000000001</v>
      </c>
      <c r="AF603" s="69">
        <v>6.5</v>
      </c>
      <c r="AG603" s="69">
        <v>7.8</v>
      </c>
      <c r="AH603" s="69">
        <v>9.1</v>
      </c>
      <c r="AI603" s="69">
        <v>5.4</v>
      </c>
      <c r="AJ603" s="69">
        <v>9.1999999999999993</v>
      </c>
      <c r="AK603" s="69">
        <v>6.3162310000000002</v>
      </c>
      <c r="AL603" s="69"/>
    </row>
    <row r="604" spans="1:38" x14ac:dyDescent="0.2">
      <c r="A604" s="10">
        <v>38412</v>
      </c>
      <c r="B604" s="69">
        <v>5.1632899999999999</v>
      </c>
      <c r="C604" s="69"/>
      <c r="D604" s="69">
        <v>8.6</v>
      </c>
      <c r="E604" s="69">
        <v>6.9</v>
      </c>
      <c r="F604" s="69">
        <v>9.5067260000000005</v>
      </c>
      <c r="G604" s="69">
        <v>7.9</v>
      </c>
      <c r="H604" s="69">
        <v>10.9</v>
      </c>
      <c r="I604" s="69">
        <v>5.2</v>
      </c>
      <c r="J604" s="69">
        <v>9.6999999999999993</v>
      </c>
      <c r="K604" s="69">
        <v>8.6</v>
      </c>
      <c r="L604" s="69">
        <v>7.9</v>
      </c>
      <c r="M604" s="69">
        <v>8.6999999999999993</v>
      </c>
      <c r="N604" s="69">
        <v>4.7043379999999999</v>
      </c>
      <c r="O604" s="69">
        <v>10.199999999999999</v>
      </c>
      <c r="P604" s="69">
        <v>7.1</v>
      </c>
      <c r="Q604" s="69">
        <v>4.5999999999999996</v>
      </c>
      <c r="R604" s="69">
        <v>2.9</v>
      </c>
      <c r="S604" s="69"/>
      <c r="T604" s="69">
        <v>7.9</v>
      </c>
      <c r="U604" s="69">
        <v>4.5</v>
      </c>
      <c r="V604" s="69">
        <v>3.7</v>
      </c>
      <c r="W604" s="69">
        <v>4.7</v>
      </c>
      <c r="X604" s="69">
        <v>10.7</v>
      </c>
      <c r="Y604" s="69">
        <v>3.744135</v>
      </c>
      <c r="Z604" s="69">
        <v>6</v>
      </c>
      <c r="AA604" s="69">
        <v>4.5999999999999996</v>
      </c>
      <c r="AB604" s="69">
        <v>5.7986810000000002</v>
      </c>
      <c r="AC604" s="69">
        <v>18.3</v>
      </c>
      <c r="AD604" s="69">
        <v>8.5</v>
      </c>
      <c r="AE604" s="69">
        <v>17</v>
      </c>
      <c r="AF604" s="69">
        <v>6.4</v>
      </c>
      <c r="AG604" s="69">
        <v>7.3</v>
      </c>
      <c r="AH604" s="69">
        <v>9.3000000000000007</v>
      </c>
      <c r="AI604" s="69">
        <v>5.2</v>
      </c>
      <c r="AJ604" s="69">
        <v>9.1999999999999993</v>
      </c>
      <c r="AK604" s="69">
        <v>6.221724</v>
      </c>
      <c r="AL604" s="69"/>
    </row>
    <row r="605" spans="1:38" x14ac:dyDescent="0.2">
      <c r="A605" s="10">
        <v>38443</v>
      </c>
      <c r="B605" s="69">
        <v>5.1230250000000002</v>
      </c>
      <c r="C605" s="69"/>
      <c r="D605" s="69">
        <v>8.4</v>
      </c>
      <c r="E605" s="69">
        <v>6.7</v>
      </c>
      <c r="F605" s="69">
        <v>9.3904720000000008</v>
      </c>
      <c r="G605" s="69">
        <v>8.1</v>
      </c>
      <c r="H605" s="69">
        <v>11.2</v>
      </c>
      <c r="I605" s="69">
        <v>5.2</v>
      </c>
      <c r="J605" s="69">
        <v>9.6999999999999993</v>
      </c>
      <c r="K605" s="69">
        <v>8.3000000000000007</v>
      </c>
      <c r="L605" s="69">
        <v>8.9</v>
      </c>
      <c r="M605" s="69">
        <v>8.8000000000000007</v>
      </c>
      <c r="N605" s="69">
        <v>4.7513909999999999</v>
      </c>
      <c r="O605" s="69">
        <v>10.1</v>
      </c>
      <c r="P605" s="69">
        <v>7.3</v>
      </c>
      <c r="Q605" s="69">
        <v>4.8</v>
      </c>
      <c r="R605" s="69">
        <v>2.9</v>
      </c>
      <c r="S605" s="69"/>
      <c r="T605" s="69">
        <v>7.9</v>
      </c>
      <c r="U605" s="69">
        <v>4.5</v>
      </c>
      <c r="V605" s="69">
        <v>3.7</v>
      </c>
      <c r="W605" s="69">
        <v>4.7</v>
      </c>
      <c r="X605" s="69">
        <v>10.199999999999999</v>
      </c>
      <c r="Y605" s="69">
        <v>3.8058830000000001</v>
      </c>
      <c r="Z605" s="69">
        <v>6</v>
      </c>
      <c r="AA605" s="69">
        <v>4.5999999999999996</v>
      </c>
      <c r="AB605" s="69">
        <v>5.782845</v>
      </c>
      <c r="AC605" s="69">
        <v>18.399999999999999</v>
      </c>
      <c r="AD605" s="69">
        <v>8.6999999999999993</v>
      </c>
      <c r="AE605" s="69">
        <v>16.7</v>
      </c>
      <c r="AF605" s="69">
        <v>6.1</v>
      </c>
      <c r="AG605" s="69">
        <v>7.6</v>
      </c>
      <c r="AH605" s="69">
        <v>9.5</v>
      </c>
      <c r="AI605" s="69">
        <v>5.2</v>
      </c>
      <c r="AJ605" s="69">
        <v>9.3000000000000007</v>
      </c>
      <c r="AK605" s="69">
        <v>6.2246610000000002</v>
      </c>
      <c r="AL605" s="69"/>
    </row>
    <row r="606" spans="1:38" x14ac:dyDescent="0.2">
      <c r="A606" s="10">
        <v>38473</v>
      </c>
      <c r="B606" s="69">
        <v>5.1000719999999999</v>
      </c>
      <c r="C606" s="69"/>
      <c r="D606" s="69">
        <v>8.6</v>
      </c>
      <c r="E606" s="69">
        <v>7</v>
      </c>
      <c r="F606" s="69">
        <v>9.5941480000000006</v>
      </c>
      <c r="G606" s="69">
        <v>8</v>
      </c>
      <c r="H606" s="69">
        <v>11.2</v>
      </c>
      <c r="I606" s="69">
        <v>5</v>
      </c>
      <c r="J606" s="69">
        <v>9.4</v>
      </c>
      <c r="K606" s="69">
        <v>8</v>
      </c>
      <c r="L606" s="69">
        <v>8.1</v>
      </c>
      <c r="M606" s="69">
        <v>8.9</v>
      </c>
      <c r="N606" s="69">
        <v>4.753558</v>
      </c>
      <c r="O606" s="69">
        <v>10</v>
      </c>
      <c r="P606" s="69">
        <v>7.2</v>
      </c>
      <c r="Q606" s="69">
        <v>4.9000000000000004</v>
      </c>
      <c r="R606" s="69">
        <v>2.9</v>
      </c>
      <c r="S606" s="69"/>
      <c r="T606" s="69">
        <v>7.6</v>
      </c>
      <c r="U606" s="69">
        <v>4.5</v>
      </c>
      <c r="V606" s="69">
        <v>3.7</v>
      </c>
      <c r="W606" s="69">
        <v>4.7</v>
      </c>
      <c r="X606" s="69">
        <v>10</v>
      </c>
      <c r="Y606" s="69">
        <v>3.6871420000000001</v>
      </c>
      <c r="Z606" s="69">
        <v>6</v>
      </c>
      <c r="AA606" s="69">
        <v>4.5999999999999996</v>
      </c>
      <c r="AB606" s="69">
        <v>5.7552289999999999</v>
      </c>
      <c r="AC606" s="69">
        <v>18.399999999999999</v>
      </c>
      <c r="AD606" s="69">
        <v>8.6</v>
      </c>
      <c r="AE606" s="69">
        <v>16.600000000000001</v>
      </c>
      <c r="AF606" s="69">
        <v>6</v>
      </c>
      <c r="AG606" s="69">
        <v>7.9</v>
      </c>
      <c r="AH606" s="69">
        <v>9.6999999999999993</v>
      </c>
      <c r="AI606" s="69">
        <v>5.0999999999999996</v>
      </c>
      <c r="AJ606" s="69">
        <v>9.1999999999999993</v>
      </c>
      <c r="AK606" s="69">
        <v>6.2165369999999998</v>
      </c>
      <c r="AL606" s="69"/>
    </row>
    <row r="607" spans="1:38" x14ac:dyDescent="0.2">
      <c r="A607" s="10">
        <v>38504</v>
      </c>
      <c r="B607" s="69">
        <v>4.9501720000000002</v>
      </c>
      <c r="C607" s="69"/>
      <c r="D607" s="69">
        <v>8.5</v>
      </c>
      <c r="E607" s="69">
        <v>6.8</v>
      </c>
      <c r="F607" s="69">
        <v>9.4134239999999991</v>
      </c>
      <c r="G607" s="69">
        <v>7.9</v>
      </c>
      <c r="H607" s="69">
        <v>11.2</v>
      </c>
      <c r="I607" s="69">
        <v>5</v>
      </c>
      <c r="J607" s="69">
        <v>9.1</v>
      </c>
      <c r="K607" s="69">
        <v>7.9</v>
      </c>
      <c r="L607" s="69">
        <v>8.3000000000000007</v>
      </c>
      <c r="M607" s="69">
        <v>8.9</v>
      </c>
      <c r="N607" s="69">
        <v>4.7017850000000001</v>
      </c>
      <c r="O607" s="69">
        <v>10</v>
      </c>
      <c r="P607" s="69">
        <v>7.1</v>
      </c>
      <c r="Q607" s="69">
        <v>4.9000000000000004</v>
      </c>
      <c r="R607" s="69">
        <v>2.9</v>
      </c>
      <c r="S607" s="69"/>
      <c r="T607" s="69">
        <v>7.9</v>
      </c>
      <c r="U607" s="69">
        <v>4.3</v>
      </c>
      <c r="V607" s="69">
        <v>3.8</v>
      </c>
      <c r="W607" s="69">
        <v>4.5999999999999996</v>
      </c>
      <c r="X607" s="69">
        <v>10.1</v>
      </c>
      <c r="Y607" s="69">
        <v>3.8505039999999999</v>
      </c>
      <c r="Z607" s="69">
        <v>5.9</v>
      </c>
      <c r="AA607" s="69">
        <v>4.5999999999999996</v>
      </c>
      <c r="AB607" s="69">
        <v>5.8142040000000001</v>
      </c>
      <c r="AC607" s="69">
        <v>18.399999999999999</v>
      </c>
      <c r="AD607" s="69">
        <v>8.8000000000000007</v>
      </c>
      <c r="AE607" s="69">
        <v>16.3</v>
      </c>
      <c r="AF607" s="69">
        <v>6</v>
      </c>
      <c r="AG607" s="69">
        <v>8.1999999999999993</v>
      </c>
      <c r="AH607" s="69">
        <v>9.6</v>
      </c>
      <c r="AI607" s="69">
        <v>5</v>
      </c>
      <c r="AJ607" s="69">
        <v>9.1999999999999993</v>
      </c>
      <c r="AK607" s="69">
        <v>6.1497450000000002</v>
      </c>
      <c r="AL607" s="69"/>
    </row>
    <row r="608" spans="1:38" x14ac:dyDescent="0.2">
      <c r="A608" s="10">
        <v>38534</v>
      </c>
      <c r="B608" s="69">
        <v>4.9719670000000002</v>
      </c>
      <c r="C608" s="69"/>
      <c r="D608" s="69">
        <v>8.5</v>
      </c>
      <c r="E608" s="69">
        <v>6.7</v>
      </c>
      <c r="F608" s="69">
        <v>9.3531230000000001</v>
      </c>
      <c r="G608" s="69">
        <v>7.8</v>
      </c>
      <c r="H608" s="69">
        <v>11.2</v>
      </c>
      <c r="I608" s="69">
        <v>5</v>
      </c>
      <c r="J608" s="69">
        <v>8.8000000000000007</v>
      </c>
      <c r="K608" s="69">
        <v>7.7</v>
      </c>
      <c r="L608" s="69">
        <v>8.4</v>
      </c>
      <c r="M608" s="69">
        <v>8.9</v>
      </c>
      <c r="N608" s="69">
        <v>4.6833220000000004</v>
      </c>
      <c r="O608" s="69">
        <v>10.1</v>
      </c>
      <c r="P608" s="69">
        <v>7.2</v>
      </c>
      <c r="Q608" s="69">
        <v>4.8</v>
      </c>
      <c r="R608" s="69">
        <v>2.9</v>
      </c>
      <c r="S608" s="69"/>
      <c r="T608" s="69">
        <v>7.6</v>
      </c>
      <c r="U608" s="69">
        <v>4.4000000000000004</v>
      </c>
      <c r="V608" s="69">
        <v>3.8</v>
      </c>
      <c r="W608" s="69">
        <v>4.5</v>
      </c>
      <c r="X608" s="69">
        <v>10.1</v>
      </c>
      <c r="Y608" s="69">
        <v>3.7434970000000001</v>
      </c>
      <c r="Z608" s="69">
        <v>5.9</v>
      </c>
      <c r="AA608" s="69">
        <v>4.7</v>
      </c>
      <c r="AB608" s="69">
        <v>5.7779759999999998</v>
      </c>
      <c r="AC608" s="69">
        <v>18.2</v>
      </c>
      <c r="AD608" s="69">
        <v>9</v>
      </c>
      <c r="AE608" s="69">
        <v>16.100000000000001</v>
      </c>
      <c r="AF608" s="69">
        <v>6.3</v>
      </c>
      <c r="AG608" s="69">
        <v>8.1</v>
      </c>
      <c r="AH608" s="69">
        <v>9.5</v>
      </c>
      <c r="AI608" s="69">
        <v>5</v>
      </c>
      <c r="AJ608" s="69">
        <v>9.1</v>
      </c>
      <c r="AK608" s="69">
        <v>6.1127039999999999</v>
      </c>
      <c r="AL608" s="69"/>
    </row>
    <row r="609" spans="1:38" x14ac:dyDescent="0.2">
      <c r="A609" s="10">
        <v>38565</v>
      </c>
      <c r="B609" s="69">
        <v>4.900029</v>
      </c>
      <c r="C609" s="69"/>
      <c r="D609" s="69">
        <v>8.5</v>
      </c>
      <c r="E609" s="69">
        <v>6.7</v>
      </c>
      <c r="F609" s="69">
        <v>9.2496150000000004</v>
      </c>
      <c r="G609" s="69">
        <v>7.8</v>
      </c>
      <c r="H609" s="69">
        <v>11.2</v>
      </c>
      <c r="I609" s="69">
        <v>4.7</v>
      </c>
      <c r="J609" s="69">
        <v>8.6</v>
      </c>
      <c r="K609" s="69">
        <v>7.6</v>
      </c>
      <c r="L609" s="69">
        <v>8.1</v>
      </c>
      <c r="M609" s="69">
        <v>8.9</v>
      </c>
      <c r="N609" s="69">
        <v>4.7321220000000004</v>
      </c>
      <c r="O609" s="69">
        <v>10</v>
      </c>
      <c r="P609" s="69">
        <v>7.2</v>
      </c>
      <c r="Q609" s="69">
        <v>4.7</v>
      </c>
      <c r="R609" s="69">
        <v>2.9</v>
      </c>
      <c r="S609" s="69"/>
      <c r="T609" s="69">
        <v>7.6</v>
      </c>
      <c r="U609" s="69">
        <v>4.3</v>
      </c>
      <c r="V609" s="69">
        <v>3.7</v>
      </c>
      <c r="W609" s="69">
        <v>4.5</v>
      </c>
      <c r="X609" s="69">
        <v>10</v>
      </c>
      <c r="Y609" s="69">
        <v>3.423651</v>
      </c>
      <c r="Z609" s="69">
        <v>5.8</v>
      </c>
      <c r="AA609" s="69">
        <v>4.5999999999999996</v>
      </c>
      <c r="AB609" s="69">
        <v>5.9051530000000003</v>
      </c>
      <c r="AC609" s="69">
        <v>18</v>
      </c>
      <c r="AD609" s="69">
        <v>9</v>
      </c>
      <c r="AE609" s="69">
        <v>16</v>
      </c>
      <c r="AF609" s="69">
        <v>6.5</v>
      </c>
      <c r="AG609" s="69">
        <v>7.8</v>
      </c>
      <c r="AH609" s="69">
        <v>9.4</v>
      </c>
      <c r="AI609" s="69">
        <v>4.9000000000000004</v>
      </c>
      <c r="AJ609" s="69">
        <v>9</v>
      </c>
      <c r="AK609" s="69">
        <v>6.0712010000000003</v>
      </c>
      <c r="AL609" s="69"/>
    </row>
    <row r="610" spans="1:38" x14ac:dyDescent="0.2">
      <c r="A610" s="10">
        <v>38596</v>
      </c>
      <c r="B610" s="69">
        <v>5.0010810000000001</v>
      </c>
      <c r="C610" s="69"/>
      <c r="D610" s="69">
        <v>8.5</v>
      </c>
      <c r="E610" s="69">
        <v>6.7</v>
      </c>
      <c r="F610" s="69">
        <v>9.1251309999999997</v>
      </c>
      <c r="G610" s="69">
        <v>7.8</v>
      </c>
      <c r="H610" s="69">
        <v>11.1</v>
      </c>
      <c r="I610" s="69">
        <v>4.5</v>
      </c>
      <c r="J610" s="69">
        <v>8.5</v>
      </c>
      <c r="K610" s="69">
        <v>7.8</v>
      </c>
      <c r="L610" s="69">
        <v>7.9</v>
      </c>
      <c r="M610" s="69">
        <v>9</v>
      </c>
      <c r="N610" s="69">
        <v>4.9318239999999998</v>
      </c>
      <c r="O610" s="69">
        <v>10.1</v>
      </c>
      <c r="P610" s="69">
        <v>7.2</v>
      </c>
      <c r="Q610" s="69">
        <v>4.5999999999999996</v>
      </c>
      <c r="R610" s="69">
        <v>3</v>
      </c>
      <c r="S610" s="69"/>
      <c r="T610" s="69">
        <v>7.8</v>
      </c>
      <c r="U610" s="69">
        <v>4.2</v>
      </c>
      <c r="V610" s="69">
        <v>4</v>
      </c>
      <c r="W610" s="69">
        <v>4.5999999999999996</v>
      </c>
      <c r="X610" s="69">
        <v>9.9</v>
      </c>
      <c r="Y610" s="69">
        <v>3.4704220000000001</v>
      </c>
      <c r="Z610" s="69">
        <v>5.8</v>
      </c>
      <c r="AA610" s="69">
        <v>4.5</v>
      </c>
      <c r="AB610" s="69">
        <v>6.0137210000000003</v>
      </c>
      <c r="AC610" s="69">
        <v>17.8</v>
      </c>
      <c r="AD610" s="69">
        <v>9.1</v>
      </c>
      <c r="AE610" s="69">
        <v>16.100000000000001</v>
      </c>
      <c r="AF610" s="69">
        <v>6.9</v>
      </c>
      <c r="AG610" s="69">
        <v>7.4</v>
      </c>
      <c r="AH610" s="69">
        <v>9.6</v>
      </c>
      <c r="AI610" s="69">
        <v>5</v>
      </c>
      <c r="AJ610" s="69">
        <v>9</v>
      </c>
      <c r="AK610" s="69">
        <v>6.1332180000000003</v>
      </c>
      <c r="AL610" s="69"/>
    </row>
    <row r="611" spans="1:38" x14ac:dyDescent="0.2">
      <c r="A611" s="10">
        <v>38626</v>
      </c>
      <c r="B611" s="69">
        <v>5.0156910000000003</v>
      </c>
      <c r="C611" s="69"/>
      <c r="D611" s="69">
        <v>8.4</v>
      </c>
      <c r="E611" s="69">
        <v>6.7</v>
      </c>
      <c r="F611" s="69">
        <v>9.017989</v>
      </c>
      <c r="G611" s="69">
        <v>7.9</v>
      </c>
      <c r="H611" s="69">
        <v>11</v>
      </c>
      <c r="I611" s="69">
        <v>4.3</v>
      </c>
      <c r="J611" s="69">
        <v>8.6</v>
      </c>
      <c r="K611" s="69">
        <v>7.6</v>
      </c>
      <c r="L611" s="69">
        <v>7.8</v>
      </c>
      <c r="M611" s="69">
        <v>9</v>
      </c>
      <c r="N611" s="69">
        <v>5.0550459999999999</v>
      </c>
      <c r="O611" s="69">
        <v>10</v>
      </c>
      <c r="P611" s="69">
        <v>7.2</v>
      </c>
      <c r="Q611" s="69">
        <v>4.5</v>
      </c>
      <c r="R611" s="69">
        <v>3.1</v>
      </c>
      <c r="S611" s="69"/>
      <c r="T611" s="69">
        <v>7.8</v>
      </c>
      <c r="U611" s="69">
        <v>4.4000000000000004</v>
      </c>
      <c r="V611" s="69">
        <v>3.9</v>
      </c>
      <c r="W611" s="69">
        <v>4.5999999999999996</v>
      </c>
      <c r="X611" s="69">
        <v>9.4</v>
      </c>
      <c r="Y611" s="69">
        <v>3.4102899999999998</v>
      </c>
      <c r="Z611" s="69">
        <v>5.8</v>
      </c>
      <c r="AA611" s="69">
        <v>4.5</v>
      </c>
      <c r="AB611" s="69">
        <v>6.0996160000000001</v>
      </c>
      <c r="AC611" s="69">
        <v>17.5</v>
      </c>
      <c r="AD611" s="69">
        <v>9.1</v>
      </c>
      <c r="AE611" s="69">
        <v>16</v>
      </c>
      <c r="AF611" s="69">
        <v>7.1</v>
      </c>
      <c r="AG611" s="69">
        <v>8</v>
      </c>
      <c r="AH611" s="69">
        <v>9.6999999999999993</v>
      </c>
      <c r="AI611" s="69">
        <v>5</v>
      </c>
      <c r="AJ611" s="69">
        <v>9</v>
      </c>
      <c r="AK611" s="69">
        <v>6.1443750000000001</v>
      </c>
      <c r="AL611" s="69"/>
    </row>
    <row r="612" spans="1:38" x14ac:dyDescent="0.2">
      <c r="A612" s="10">
        <v>38657</v>
      </c>
      <c r="B612" s="69">
        <v>4.9372069999999999</v>
      </c>
      <c r="C612" s="69"/>
      <c r="D612" s="69">
        <v>8.4</v>
      </c>
      <c r="E612" s="69">
        <v>6.4</v>
      </c>
      <c r="F612" s="69">
        <v>8.7241949999999999</v>
      </c>
      <c r="G612" s="69">
        <v>7.8</v>
      </c>
      <c r="H612" s="69">
        <v>10.8</v>
      </c>
      <c r="I612" s="69">
        <v>4.0999999999999996</v>
      </c>
      <c r="J612" s="69">
        <v>8.6999999999999993</v>
      </c>
      <c r="K612" s="69">
        <v>7.2</v>
      </c>
      <c r="L612" s="69">
        <v>8.5</v>
      </c>
      <c r="M612" s="69">
        <v>9.1</v>
      </c>
      <c r="N612" s="69">
        <v>5.1464699999999999</v>
      </c>
      <c r="O612" s="69">
        <v>9.6</v>
      </c>
      <c r="P612" s="69">
        <v>7.4</v>
      </c>
      <c r="Q612" s="69">
        <v>4.5</v>
      </c>
      <c r="R612" s="69">
        <v>3.1</v>
      </c>
      <c r="S612" s="69"/>
      <c r="T612" s="69">
        <v>7.6</v>
      </c>
      <c r="U612" s="69">
        <v>4.5</v>
      </c>
      <c r="V612" s="69">
        <v>3.6</v>
      </c>
      <c r="W612" s="69">
        <v>4.5999999999999996</v>
      </c>
      <c r="X612" s="69">
        <v>8.9</v>
      </c>
      <c r="Y612" s="69">
        <v>3.2010209999999999</v>
      </c>
      <c r="Z612" s="69">
        <v>5.7</v>
      </c>
      <c r="AA612" s="69">
        <v>4.4000000000000004</v>
      </c>
      <c r="AB612" s="69">
        <v>6.2163370000000002</v>
      </c>
      <c r="AC612" s="69">
        <v>17.100000000000001</v>
      </c>
      <c r="AD612" s="69">
        <v>9</v>
      </c>
      <c r="AE612" s="69">
        <v>15.7</v>
      </c>
      <c r="AF612" s="69">
        <v>7.2</v>
      </c>
      <c r="AG612" s="69">
        <v>7.2</v>
      </c>
      <c r="AH612" s="69">
        <v>9.6999999999999993</v>
      </c>
      <c r="AI612" s="69">
        <v>5</v>
      </c>
      <c r="AJ612" s="69">
        <v>9</v>
      </c>
      <c r="AK612" s="69">
        <v>6.16059</v>
      </c>
      <c r="AL612" s="69"/>
    </row>
    <row r="613" spans="1:38" x14ac:dyDescent="0.2">
      <c r="A613" s="10">
        <v>38687</v>
      </c>
      <c r="B613" s="69">
        <v>5.0702299999999996</v>
      </c>
      <c r="C613" s="69"/>
      <c r="D613" s="69">
        <v>8.5</v>
      </c>
      <c r="E613" s="69">
        <v>6.6</v>
      </c>
      <c r="F613" s="69">
        <v>8.4701979999999999</v>
      </c>
      <c r="G613" s="69">
        <v>7.9</v>
      </c>
      <c r="H613" s="69">
        <v>10.7</v>
      </c>
      <c r="I613" s="69">
        <v>4.0999999999999996</v>
      </c>
      <c r="J613" s="69">
        <v>8.8000000000000007</v>
      </c>
      <c r="K613" s="69">
        <v>6.8</v>
      </c>
      <c r="L613" s="69">
        <v>8.4</v>
      </c>
      <c r="M613" s="69">
        <v>9.1</v>
      </c>
      <c r="N613" s="69">
        <v>5.086849</v>
      </c>
      <c r="O613" s="69">
        <v>9.6</v>
      </c>
      <c r="P613" s="69">
        <v>7.5</v>
      </c>
      <c r="Q613" s="69">
        <v>4.5999999999999996</v>
      </c>
      <c r="R613" s="69">
        <v>3.1</v>
      </c>
      <c r="S613" s="69"/>
      <c r="T613" s="69">
        <v>7.6</v>
      </c>
      <c r="U613" s="69">
        <v>4.4000000000000004</v>
      </c>
      <c r="V613" s="69">
        <v>3.5</v>
      </c>
      <c r="W613" s="69">
        <v>4.7</v>
      </c>
      <c r="X613" s="69">
        <v>8.5</v>
      </c>
      <c r="Y613" s="69">
        <v>3.2070859999999999</v>
      </c>
      <c r="Z613" s="69">
        <v>5.7</v>
      </c>
      <c r="AA613" s="69">
        <v>4.3</v>
      </c>
      <c r="AB613" s="69">
        <v>6.2702369999999998</v>
      </c>
      <c r="AC613" s="69">
        <v>16.600000000000001</v>
      </c>
      <c r="AD613" s="69">
        <v>8.8000000000000007</v>
      </c>
      <c r="AE613" s="69">
        <v>15.4</v>
      </c>
      <c r="AF613" s="69">
        <v>7</v>
      </c>
      <c r="AG613" s="69">
        <v>7.7</v>
      </c>
      <c r="AH613" s="69">
        <v>9.6999999999999993</v>
      </c>
      <c r="AI613" s="69">
        <v>4.9000000000000004</v>
      </c>
      <c r="AJ613" s="69">
        <v>8.9</v>
      </c>
      <c r="AK613" s="69">
        <v>6.0477829999999999</v>
      </c>
      <c r="AL613" s="69"/>
    </row>
    <row r="614" spans="1:38" x14ac:dyDescent="0.2">
      <c r="A614" s="10">
        <v>38718</v>
      </c>
      <c r="B614" s="69">
        <v>5.1627429999999999</v>
      </c>
      <c r="C614" s="69"/>
      <c r="D614" s="69">
        <v>8.5</v>
      </c>
      <c r="E614" s="69">
        <v>6.6</v>
      </c>
      <c r="F614" s="69">
        <v>8.4340530000000005</v>
      </c>
      <c r="G614" s="69">
        <v>8</v>
      </c>
      <c r="H614" s="69">
        <v>10.6</v>
      </c>
      <c r="I614" s="69">
        <v>4.0999999999999996</v>
      </c>
      <c r="J614" s="69">
        <v>8.8000000000000007</v>
      </c>
      <c r="K614" s="69">
        <v>6.6</v>
      </c>
      <c r="L614" s="69">
        <v>8.3000000000000007</v>
      </c>
      <c r="M614" s="69">
        <v>9.1</v>
      </c>
      <c r="N614" s="69">
        <v>5.181305</v>
      </c>
      <c r="O614" s="69">
        <v>9.5</v>
      </c>
      <c r="P614" s="69">
        <v>7.7</v>
      </c>
      <c r="Q614" s="69">
        <v>4.7</v>
      </c>
      <c r="R614" s="69">
        <v>3.1</v>
      </c>
      <c r="S614" s="69"/>
      <c r="T614" s="69">
        <v>7.4</v>
      </c>
      <c r="U614" s="69">
        <v>4.4000000000000004</v>
      </c>
      <c r="V614" s="69">
        <v>3.4</v>
      </c>
      <c r="W614" s="69">
        <v>4.5</v>
      </c>
      <c r="X614" s="69">
        <v>8.4</v>
      </c>
      <c r="Y614" s="69">
        <v>3.32409</v>
      </c>
      <c r="Z614" s="69">
        <v>5.5</v>
      </c>
      <c r="AA614" s="69">
        <v>4</v>
      </c>
      <c r="AB614" s="69">
        <v>6.4177179999999998</v>
      </c>
      <c r="AC614" s="69">
        <v>16</v>
      </c>
      <c r="AD614" s="69">
        <v>8.6999999999999993</v>
      </c>
      <c r="AE614" s="69">
        <v>15</v>
      </c>
      <c r="AF614" s="69">
        <v>6.7</v>
      </c>
      <c r="AG614" s="69">
        <v>7.9</v>
      </c>
      <c r="AH614" s="69">
        <v>9.6</v>
      </c>
      <c r="AI614" s="69">
        <v>4.7</v>
      </c>
      <c r="AJ614" s="69">
        <v>8.8000000000000007</v>
      </c>
      <c r="AK614" s="69">
        <v>5.97471</v>
      </c>
      <c r="AL614" s="69"/>
    </row>
    <row r="615" spans="1:38" x14ac:dyDescent="0.2">
      <c r="A615" s="10">
        <v>38749</v>
      </c>
      <c r="B615" s="69">
        <v>5.1054029999999999</v>
      </c>
      <c r="C615" s="69"/>
      <c r="D615" s="69">
        <v>8.6</v>
      </c>
      <c r="E615" s="69">
        <v>6.4</v>
      </c>
      <c r="F615" s="69">
        <v>8.6012649999999997</v>
      </c>
      <c r="G615" s="69">
        <v>7.4</v>
      </c>
      <c r="H615" s="69">
        <v>10.5</v>
      </c>
      <c r="I615" s="69">
        <v>4.2</v>
      </c>
      <c r="J615" s="69">
        <v>8.6999999999999993</v>
      </c>
      <c r="K615" s="69">
        <v>6.2</v>
      </c>
      <c r="L615" s="69">
        <v>8</v>
      </c>
      <c r="M615" s="69">
        <v>9.1</v>
      </c>
      <c r="N615" s="69">
        <v>5.2340419999999996</v>
      </c>
      <c r="O615" s="69">
        <v>9.6</v>
      </c>
      <c r="P615" s="69">
        <v>7.6</v>
      </c>
      <c r="Q615" s="69">
        <v>4.7</v>
      </c>
      <c r="R615" s="69">
        <v>3.1</v>
      </c>
      <c r="S615" s="69"/>
      <c r="T615" s="69">
        <v>7.4</v>
      </c>
      <c r="U615" s="69">
        <v>4.0999999999999996</v>
      </c>
      <c r="V615" s="69">
        <v>3.6</v>
      </c>
      <c r="W615" s="69">
        <v>4.5</v>
      </c>
      <c r="X615" s="69">
        <v>8.1999999999999993</v>
      </c>
      <c r="Y615" s="69">
        <v>3.5998700000000001</v>
      </c>
      <c r="Z615" s="69">
        <v>5.5</v>
      </c>
      <c r="AA615" s="69">
        <v>3.9</v>
      </c>
      <c r="AB615" s="69">
        <v>6.746937</v>
      </c>
      <c r="AC615" s="69">
        <v>15.4</v>
      </c>
      <c r="AD615" s="69">
        <v>8.6999999999999993</v>
      </c>
      <c r="AE615" s="69">
        <v>14.6</v>
      </c>
      <c r="AF615" s="69">
        <v>6.5</v>
      </c>
      <c r="AG615" s="69">
        <v>7.1</v>
      </c>
      <c r="AH615" s="69">
        <v>9.6</v>
      </c>
      <c r="AI615" s="69">
        <v>4.8</v>
      </c>
      <c r="AJ615" s="69">
        <v>8.8000000000000007</v>
      </c>
      <c r="AK615" s="69">
        <v>5.9319829999999998</v>
      </c>
      <c r="AL615" s="69"/>
    </row>
    <row r="616" spans="1:38" x14ac:dyDescent="0.2">
      <c r="A616" s="10">
        <v>38777</v>
      </c>
      <c r="B616" s="69">
        <v>4.8675850000000001</v>
      </c>
      <c r="C616" s="69"/>
      <c r="D616" s="69">
        <v>8.6</v>
      </c>
      <c r="E616" s="69">
        <v>6.4</v>
      </c>
      <c r="F616" s="69">
        <v>8.6622559999999993</v>
      </c>
      <c r="G616" s="69">
        <v>7.7</v>
      </c>
      <c r="H616" s="69">
        <v>10.4</v>
      </c>
      <c r="I616" s="69">
        <v>4.2</v>
      </c>
      <c r="J616" s="69">
        <v>8.6999999999999993</v>
      </c>
      <c r="K616" s="69">
        <v>6.3</v>
      </c>
      <c r="L616" s="69">
        <v>7.7</v>
      </c>
      <c r="M616" s="69">
        <v>9.1</v>
      </c>
      <c r="N616" s="69">
        <v>5.3160020000000001</v>
      </c>
      <c r="O616" s="69">
        <v>9.3000000000000007</v>
      </c>
      <c r="P616" s="69">
        <v>7.5</v>
      </c>
      <c r="Q616" s="69">
        <v>4.7</v>
      </c>
      <c r="R616" s="69">
        <v>3.2</v>
      </c>
      <c r="S616" s="69"/>
      <c r="T616" s="69">
        <v>7.2</v>
      </c>
      <c r="U616" s="69">
        <v>4.0999999999999996</v>
      </c>
      <c r="V616" s="69">
        <v>3.5</v>
      </c>
      <c r="W616" s="69">
        <v>4.7</v>
      </c>
      <c r="X616" s="69">
        <v>7.8</v>
      </c>
      <c r="Y616" s="69">
        <v>3.5645020000000001</v>
      </c>
      <c r="Z616" s="69">
        <v>5.3</v>
      </c>
      <c r="AA616" s="69">
        <v>3.8</v>
      </c>
      <c r="AB616" s="69">
        <v>7.0289549999999998</v>
      </c>
      <c r="AC616" s="69">
        <v>15.1</v>
      </c>
      <c r="AD616" s="69">
        <v>8.6999999999999993</v>
      </c>
      <c r="AE616" s="69">
        <v>14.3</v>
      </c>
      <c r="AF616" s="69">
        <v>6.4</v>
      </c>
      <c r="AG616" s="69">
        <v>7.4</v>
      </c>
      <c r="AH616" s="69">
        <v>9.3000000000000007</v>
      </c>
      <c r="AI616" s="69">
        <v>4.7</v>
      </c>
      <c r="AJ616" s="69">
        <v>8.6999999999999993</v>
      </c>
      <c r="AK616" s="69">
        <v>5.8828199999999997</v>
      </c>
      <c r="AL616" s="69"/>
    </row>
    <row r="617" spans="1:38" x14ac:dyDescent="0.2">
      <c r="A617" s="10">
        <v>38808</v>
      </c>
      <c r="B617" s="69">
        <v>4.9670699999999997</v>
      </c>
      <c r="C617" s="69"/>
      <c r="D617" s="69">
        <v>8.6999999999999993</v>
      </c>
      <c r="E617" s="69">
        <v>6.3</v>
      </c>
      <c r="F617" s="69">
        <v>8.5413230000000002</v>
      </c>
      <c r="G617" s="69">
        <v>7.4</v>
      </c>
      <c r="H617" s="69">
        <v>10.3</v>
      </c>
      <c r="I617" s="69">
        <v>4.2</v>
      </c>
      <c r="J617" s="69">
        <v>8.6</v>
      </c>
      <c r="K617" s="69">
        <v>6</v>
      </c>
      <c r="L617" s="69">
        <v>7.7</v>
      </c>
      <c r="M617" s="69">
        <v>9</v>
      </c>
      <c r="N617" s="69">
        <v>5.4164630000000002</v>
      </c>
      <c r="O617" s="69">
        <v>9.1999999999999993</v>
      </c>
      <c r="P617" s="69">
        <v>7.4</v>
      </c>
      <c r="Q617" s="69">
        <v>4.7</v>
      </c>
      <c r="R617" s="69">
        <v>3.3</v>
      </c>
      <c r="S617" s="69"/>
      <c r="T617" s="69">
        <v>7.1</v>
      </c>
      <c r="U617" s="69">
        <v>4.0999999999999996</v>
      </c>
      <c r="V617" s="69">
        <v>3.5</v>
      </c>
      <c r="W617" s="69">
        <v>4.5999999999999996</v>
      </c>
      <c r="X617" s="69">
        <v>7.3</v>
      </c>
      <c r="Y617" s="69">
        <v>3.4027219999999998</v>
      </c>
      <c r="Z617" s="69">
        <v>5.2</v>
      </c>
      <c r="AA617" s="69">
        <v>3.7</v>
      </c>
      <c r="AB617" s="69">
        <v>7.3474320000000004</v>
      </c>
      <c r="AC617" s="69">
        <v>14.7</v>
      </c>
      <c r="AD617" s="69">
        <v>8.6999999999999993</v>
      </c>
      <c r="AE617" s="69">
        <v>14</v>
      </c>
      <c r="AF617" s="69">
        <v>6.3</v>
      </c>
      <c r="AG617" s="69">
        <v>7.8</v>
      </c>
      <c r="AH617" s="69">
        <v>9.3000000000000007</v>
      </c>
      <c r="AI617" s="69">
        <v>4.7</v>
      </c>
      <c r="AJ617" s="69">
        <v>8.6</v>
      </c>
      <c r="AK617" s="69">
        <v>5.8729209999999998</v>
      </c>
      <c r="AL617" s="69"/>
    </row>
    <row r="618" spans="1:38" x14ac:dyDescent="0.2">
      <c r="A618" s="10">
        <v>38838</v>
      </c>
      <c r="B618" s="69">
        <v>4.7988020000000002</v>
      </c>
      <c r="C618" s="69"/>
      <c r="D618" s="69">
        <v>8.8000000000000007</v>
      </c>
      <c r="E618" s="69">
        <v>6.1</v>
      </c>
      <c r="F618" s="69">
        <v>8.5052029999999998</v>
      </c>
      <c r="G618" s="69">
        <v>7</v>
      </c>
      <c r="H618" s="69">
        <v>10.199999999999999</v>
      </c>
      <c r="I618" s="69">
        <v>4.0999999999999996</v>
      </c>
      <c r="J618" s="69">
        <v>8.5</v>
      </c>
      <c r="K618" s="69">
        <v>6.4</v>
      </c>
      <c r="L618" s="69">
        <v>7.9</v>
      </c>
      <c r="M618" s="69">
        <v>8.9</v>
      </c>
      <c r="N618" s="69">
        <v>5.4720240000000002</v>
      </c>
      <c r="O618" s="69">
        <v>9.1999999999999993</v>
      </c>
      <c r="P618" s="69">
        <v>7.3</v>
      </c>
      <c r="Q618" s="69">
        <v>4.7</v>
      </c>
      <c r="R618" s="69">
        <v>3.3</v>
      </c>
      <c r="S618" s="69"/>
      <c r="T618" s="69">
        <v>7.1</v>
      </c>
      <c r="U618" s="69">
        <v>4.0999999999999996</v>
      </c>
      <c r="V618" s="69">
        <v>3.4</v>
      </c>
      <c r="W618" s="69">
        <v>4.5</v>
      </c>
      <c r="X618" s="69">
        <v>6.9</v>
      </c>
      <c r="Y618" s="69">
        <v>3.221006</v>
      </c>
      <c r="Z618" s="69">
        <v>5.2</v>
      </c>
      <c r="AA618" s="69">
        <v>3.7</v>
      </c>
      <c r="AB618" s="69">
        <v>7.6979819999999997</v>
      </c>
      <c r="AC618" s="69">
        <v>14.4</v>
      </c>
      <c r="AD618" s="69">
        <v>8.6999999999999993</v>
      </c>
      <c r="AE618" s="69">
        <v>13.7</v>
      </c>
      <c r="AF618" s="69">
        <v>6.2</v>
      </c>
      <c r="AG618" s="69">
        <v>7.2</v>
      </c>
      <c r="AH618" s="69">
        <v>8.8000000000000007</v>
      </c>
      <c r="AI618" s="69">
        <v>4.5999999999999996</v>
      </c>
      <c r="AJ618" s="69">
        <v>8.5</v>
      </c>
      <c r="AK618" s="69">
        <v>5.7982829999999996</v>
      </c>
      <c r="AL618" s="69"/>
    </row>
    <row r="619" spans="1:38" x14ac:dyDescent="0.2">
      <c r="A619" s="10">
        <v>38869</v>
      </c>
      <c r="B619" s="69">
        <v>4.8083960000000001</v>
      </c>
      <c r="C619" s="69"/>
      <c r="D619" s="69">
        <v>8.5</v>
      </c>
      <c r="E619" s="69">
        <v>6.1</v>
      </c>
      <c r="F619" s="69">
        <v>8.2792480000000008</v>
      </c>
      <c r="G619" s="69">
        <v>7.3</v>
      </c>
      <c r="H619" s="69">
        <v>10.1</v>
      </c>
      <c r="I619" s="69">
        <v>4</v>
      </c>
      <c r="J619" s="69">
        <v>8.4</v>
      </c>
      <c r="K619" s="69">
        <v>6.2</v>
      </c>
      <c r="L619" s="69">
        <v>7.7</v>
      </c>
      <c r="M619" s="69">
        <v>8.9</v>
      </c>
      <c r="N619" s="69">
        <v>5.5057499999999999</v>
      </c>
      <c r="O619" s="69">
        <v>9</v>
      </c>
      <c r="P619" s="69">
        <v>7.3</v>
      </c>
      <c r="Q619" s="69">
        <v>4.8</v>
      </c>
      <c r="R619" s="69">
        <v>3.4</v>
      </c>
      <c r="S619" s="69"/>
      <c r="T619" s="69">
        <v>6.8</v>
      </c>
      <c r="U619" s="69">
        <v>4.2</v>
      </c>
      <c r="V619" s="69">
        <v>3.5</v>
      </c>
      <c r="W619" s="69">
        <v>4.5</v>
      </c>
      <c r="X619" s="69">
        <v>6.6</v>
      </c>
      <c r="Y619" s="69">
        <v>3.5193940000000001</v>
      </c>
      <c r="Z619" s="69">
        <v>5</v>
      </c>
      <c r="AA619" s="69">
        <v>3.5</v>
      </c>
      <c r="AB619" s="69">
        <v>8.0008560000000006</v>
      </c>
      <c r="AC619" s="69">
        <v>14</v>
      </c>
      <c r="AD619" s="69">
        <v>8.6999999999999993</v>
      </c>
      <c r="AE619" s="69">
        <v>13.4</v>
      </c>
      <c r="AF619" s="69">
        <v>6</v>
      </c>
      <c r="AG619" s="69">
        <v>7</v>
      </c>
      <c r="AH619" s="69">
        <v>9</v>
      </c>
      <c r="AI619" s="69">
        <v>4.5999999999999996</v>
      </c>
      <c r="AJ619" s="69">
        <v>8.4</v>
      </c>
      <c r="AK619" s="69">
        <v>5.7997649999999998</v>
      </c>
      <c r="AL619" s="69"/>
    </row>
    <row r="620" spans="1:38" x14ac:dyDescent="0.2">
      <c r="A620" s="10">
        <v>38899</v>
      </c>
      <c r="B620" s="69">
        <v>4.6562910000000004</v>
      </c>
      <c r="C620" s="69"/>
      <c r="D620" s="69">
        <v>8</v>
      </c>
      <c r="E620" s="69">
        <v>6.4</v>
      </c>
      <c r="F620" s="69">
        <v>7.957992</v>
      </c>
      <c r="G620" s="69">
        <v>7.2</v>
      </c>
      <c r="H620" s="69">
        <v>10</v>
      </c>
      <c r="I620" s="69">
        <v>3.8</v>
      </c>
      <c r="J620" s="69">
        <v>8.3000000000000007</v>
      </c>
      <c r="K620" s="69">
        <v>6</v>
      </c>
      <c r="L620" s="69">
        <v>7.6</v>
      </c>
      <c r="M620" s="69">
        <v>8.9</v>
      </c>
      <c r="N620" s="69">
        <v>5.4669780000000001</v>
      </c>
      <c r="O620" s="69">
        <v>8.6</v>
      </c>
      <c r="P620" s="69">
        <v>7.4</v>
      </c>
      <c r="Q620" s="69">
        <v>4.9000000000000004</v>
      </c>
      <c r="R620" s="69">
        <v>3.3</v>
      </c>
      <c r="S620" s="69"/>
      <c r="T620" s="69">
        <v>6.6</v>
      </c>
      <c r="U620" s="69">
        <v>4.0999999999999996</v>
      </c>
      <c r="V620" s="69">
        <v>3.5</v>
      </c>
      <c r="W620" s="69">
        <v>4.5</v>
      </c>
      <c r="X620" s="69">
        <v>6.4</v>
      </c>
      <c r="Y620" s="69">
        <v>3.6127910000000001</v>
      </c>
      <c r="Z620" s="69">
        <v>4.9000000000000004</v>
      </c>
      <c r="AA620" s="69">
        <v>3.5</v>
      </c>
      <c r="AB620" s="69">
        <v>8.1936309999999999</v>
      </c>
      <c r="AC620" s="69">
        <v>13.8</v>
      </c>
      <c r="AD620" s="69">
        <v>8.8000000000000007</v>
      </c>
      <c r="AE620" s="69">
        <v>13.3</v>
      </c>
      <c r="AF620" s="69">
        <v>5.9</v>
      </c>
      <c r="AG620" s="69">
        <v>7</v>
      </c>
      <c r="AH620" s="69">
        <v>9</v>
      </c>
      <c r="AI620" s="69">
        <v>4.7</v>
      </c>
      <c r="AJ620" s="69">
        <v>8.3000000000000007</v>
      </c>
      <c r="AK620" s="69">
        <v>5.811096</v>
      </c>
      <c r="AL620" s="69"/>
    </row>
    <row r="621" spans="1:38" x14ac:dyDescent="0.2">
      <c r="A621" s="10">
        <v>38930</v>
      </c>
      <c r="B621" s="69">
        <v>4.7105269999999999</v>
      </c>
      <c r="C621" s="69"/>
      <c r="D621" s="69">
        <v>7.8</v>
      </c>
      <c r="E621" s="69">
        <v>6.4</v>
      </c>
      <c r="F621" s="69">
        <v>7.4904489999999999</v>
      </c>
      <c r="G621" s="69">
        <v>6.8</v>
      </c>
      <c r="H621" s="69">
        <v>9.9</v>
      </c>
      <c r="I621" s="69">
        <v>3.7</v>
      </c>
      <c r="J621" s="69">
        <v>8.3000000000000007</v>
      </c>
      <c r="K621" s="69">
        <v>5.8</v>
      </c>
      <c r="L621" s="69">
        <v>7.7</v>
      </c>
      <c r="M621" s="69">
        <v>8.9</v>
      </c>
      <c r="N621" s="69">
        <v>5.4843630000000001</v>
      </c>
      <c r="O621" s="69">
        <v>8.6999999999999993</v>
      </c>
      <c r="P621" s="69">
        <v>7.4</v>
      </c>
      <c r="Q621" s="69">
        <v>5.0999999999999996</v>
      </c>
      <c r="R621" s="69">
        <v>3.3</v>
      </c>
      <c r="S621" s="69"/>
      <c r="T621" s="69">
        <v>6.7</v>
      </c>
      <c r="U621" s="69">
        <v>4.0999999999999996</v>
      </c>
      <c r="V621" s="69">
        <v>3.5</v>
      </c>
      <c r="W621" s="69">
        <v>4.5</v>
      </c>
      <c r="X621" s="69">
        <v>6.3</v>
      </c>
      <c r="Y621" s="69">
        <v>3.7844139999999999</v>
      </c>
      <c r="Z621" s="69">
        <v>4.8</v>
      </c>
      <c r="AA621" s="69">
        <v>3.3</v>
      </c>
      <c r="AB621" s="69">
        <v>8.3924660000000006</v>
      </c>
      <c r="AC621" s="69">
        <v>13.5</v>
      </c>
      <c r="AD621" s="69">
        <v>8.8000000000000007</v>
      </c>
      <c r="AE621" s="69">
        <v>13.1</v>
      </c>
      <c r="AF621" s="69">
        <v>5.7</v>
      </c>
      <c r="AG621" s="69">
        <v>7</v>
      </c>
      <c r="AH621" s="69">
        <v>9</v>
      </c>
      <c r="AI621" s="69">
        <v>4.7</v>
      </c>
      <c r="AJ621" s="69">
        <v>8.3000000000000007</v>
      </c>
      <c r="AK621" s="69">
        <v>5.775779</v>
      </c>
      <c r="AL621" s="69"/>
    </row>
    <row r="622" spans="1:38" x14ac:dyDescent="0.2">
      <c r="A622" s="10">
        <v>38961</v>
      </c>
      <c r="B622" s="69">
        <v>4.6645729999999999</v>
      </c>
      <c r="C622" s="69"/>
      <c r="D622" s="69">
        <v>7.9</v>
      </c>
      <c r="E622" s="69">
        <v>6.4</v>
      </c>
      <c r="F622" s="69">
        <v>7.1639780000000002</v>
      </c>
      <c r="G622" s="69">
        <v>7</v>
      </c>
      <c r="H622" s="69">
        <v>9.8000000000000007</v>
      </c>
      <c r="I622" s="69">
        <v>3.6</v>
      </c>
      <c r="J622" s="69">
        <v>8.1999999999999993</v>
      </c>
      <c r="K622" s="69">
        <v>5.6</v>
      </c>
      <c r="L622" s="69">
        <v>7.6</v>
      </c>
      <c r="M622" s="69">
        <v>8.6999999999999993</v>
      </c>
      <c r="N622" s="69">
        <v>5.4761150000000001</v>
      </c>
      <c r="O622" s="69">
        <v>8.6</v>
      </c>
      <c r="P622" s="69">
        <v>7.4</v>
      </c>
      <c r="Q622" s="69">
        <v>4.9000000000000004</v>
      </c>
      <c r="R622" s="69">
        <v>3.2</v>
      </c>
      <c r="S622" s="69"/>
      <c r="T622" s="69">
        <v>6.7</v>
      </c>
      <c r="U622" s="69">
        <v>4.0999999999999996</v>
      </c>
      <c r="V622" s="69">
        <v>3.5</v>
      </c>
      <c r="W622" s="69">
        <v>4.7</v>
      </c>
      <c r="X622" s="69">
        <v>6.4</v>
      </c>
      <c r="Y622" s="69">
        <v>3.7021299999999999</v>
      </c>
      <c r="Z622" s="69">
        <v>4.8</v>
      </c>
      <c r="AA622" s="69">
        <v>3.1</v>
      </c>
      <c r="AB622" s="69">
        <v>8.4351979999999998</v>
      </c>
      <c r="AC622" s="69">
        <v>13.2</v>
      </c>
      <c r="AD622" s="69">
        <v>9.1</v>
      </c>
      <c r="AE622" s="69">
        <v>12.8</v>
      </c>
      <c r="AF622" s="69">
        <v>5.6</v>
      </c>
      <c r="AG622" s="69">
        <v>6.7</v>
      </c>
      <c r="AH622" s="69">
        <v>8.8000000000000007</v>
      </c>
      <c r="AI622" s="69">
        <v>4.5</v>
      </c>
      <c r="AJ622" s="69">
        <v>8.1999999999999993</v>
      </c>
      <c r="AK622" s="69">
        <v>5.6835560000000003</v>
      </c>
      <c r="AL622" s="69"/>
    </row>
    <row r="623" spans="1:38" x14ac:dyDescent="0.2">
      <c r="A623" s="10">
        <v>38991</v>
      </c>
      <c r="B623" s="69">
        <v>4.4630869999999998</v>
      </c>
      <c r="C623" s="69"/>
      <c r="D623" s="69">
        <v>7.9</v>
      </c>
      <c r="E623" s="69">
        <v>6.2</v>
      </c>
      <c r="F623" s="69">
        <v>6.8615550000000001</v>
      </c>
      <c r="G623" s="69">
        <v>6.8</v>
      </c>
      <c r="H623" s="69">
        <v>9.6999999999999993</v>
      </c>
      <c r="I623" s="69">
        <v>3.5</v>
      </c>
      <c r="J623" s="69">
        <v>8.1999999999999993</v>
      </c>
      <c r="K623" s="69">
        <v>5.8</v>
      </c>
      <c r="L623" s="69">
        <v>7.7</v>
      </c>
      <c r="M623" s="69">
        <v>8.5</v>
      </c>
      <c r="N623" s="69">
        <v>5.4199349999999997</v>
      </c>
      <c r="O623" s="69">
        <v>8.3000000000000007</v>
      </c>
      <c r="P623" s="69">
        <v>7.5</v>
      </c>
      <c r="Q623" s="69">
        <v>4.7</v>
      </c>
      <c r="R623" s="69">
        <v>3.2</v>
      </c>
      <c r="S623" s="69"/>
      <c r="T623" s="69">
        <v>6.7</v>
      </c>
      <c r="U623" s="69">
        <v>4.0999999999999996</v>
      </c>
      <c r="V623" s="69">
        <v>3.6</v>
      </c>
      <c r="W623" s="69">
        <v>4.5999999999999996</v>
      </c>
      <c r="X623" s="69">
        <v>6.5</v>
      </c>
      <c r="Y623" s="69">
        <v>3.7345519999999999</v>
      </c>
      <c r="Z623" s="69">
        <v>4.7</v>
      </c>
      <c r="AA623" s="69">
        <v>2.9</v>
      </c>
      <c r="AB623" s="69">
        <v>8.5145250000000008</v>
      </c>
      <c r="AC623" s="69">
        <v>12.9</v>
      </c>
      <c r="AD623" s="69">
        <v>9.3000000000000007</v>
      </c>
      <c r="AE623" s="69">
        <v>12.6</v>
      </c>
      <c r="AF623" s="69">
        <v>5.5</v>
      </c>
      <c r="AG623" s="69">
        <v>6.6</v>
      </c>
      <c r="AH623" s="69">
        <v>8.6999999999999993</v>
      </c>
      <c r="AI623" s="69">
        <v>4.4000000000000004</v>
      </c>
      <c r="AJ623" s="69">
        <v>8.1</v>
      </c>
      <c r="AK623" s="69">
        <v>5.598579</v>
      </c>
      <c r="AL623" s="69"/>
    </row>
    <row r="624" spans="1:38" x14ac:dyDescent="0.2">
      <c r="A624" s="10">
        <v>39022</v>
      </c>
      <c r="B624" s="69">
        <v>4.5151709999999996</v>
      </c>
      <c r="C624" s="69"/>
      <c r="D624" s="69">
        <v>8</v>
      </c>
      <c r="E624" s="69">
        <v>6.4</v>
      </c>
      <c r="F624" s="69">
        <v>6.6011939999999996</v>
      </c>
      <c r="G624" s="69">
        <v>6.6</v>
      </c>
      <c r="H624" s="69">
        <v>9.6</v>
      </c>
      <c r="I624" s="69">
        <v>3.6</v>
      </c>
      <c r="J624" s="69">
        <v>8.3000000000000007</v>
      </c>
      <c r="K624" s="69">
        <v>5.4</v>
      </c>
      <c r="L624" s="69">
        <v>7.3</v>
      </c>
      <c r="M624" s="69">
        <v>8.4</v>
      </c>
      <c r="N624" s="69">
        <v>5.5011599999999996</v>
      </c>
      <c r="O624" s="69">
        <v>9</v>
      </c>
      <c r="P624" s="69">
        <v>7.5</v>
      </c>
      <c r="Q624" s="69">
        <v>4.5999999999999996</v>
      </c>
      <c r="R624" s="69">
        <v>3</v>
      </c>
      <c r="S624" s="69"/>
      <c r="T624" s="69">
        <v>6.5</v>
      </c>
      <c r="U624" s="69">
        <v>4</v>
      </c>
      <c r="V624" s="69">
        <v>3.5</v>
      </c>
      <c r="W624" s="69">
        <v>4.5999999999999996</v>
      </c>
      <c r="X624" s="69">
        <v>6.5</v>
      </c>
      <c r="Y624" s="69">
        <v>3.8149500000000001</v>
      </c>
      <c r="Z624" s="69">
        <v>4.7</v>
      </c>
      <c r="AA624" s="69">
        <v>2.8</v>
      </c>
      <c r="AB624" s="69">
        <v>8.5699009999999998</v>
      </c>
      <c r="AC624" s="69">
        <v>12.4</v>
      </c>
      <c r="AD624" s="69">
        <v>9.3000000000000007</v>
      </c>
      <c r="AE624" s="69">
        <v>12.4</v>
      </c>
      <c r="AF624" s="69">
        <v>5.5</v>
      </c>
      <c r="AG624" s="69">
        <v>6.6</v>
      </c>
      <c r="AH624" s="69">
        <v>8.6999999999999993</v>
      </c>
      <c r="AI624" s="69">
        <v>4.5</v>
      </c>
      <c r="AJ624" s="69">
        <v>8.1</v>
      </c>
      <c r="AK624" s="69">
        <v>5.5997620000000001</v>
      </c>
      <c r="AL624" s="69"/>
    </row>
    <row r="625" spans="1:38" x14ac:dyDescent="0.2">
      <c r="A625" s="10">
        <v>39052</v>
      </c>
      <c r="B625" s="69">
        <v>4.5683949999999998</v>
      </c>
      <c r="C625" s="69"/>
      <c r="D625" s="69">
        <v>7.9</v>
      </c>
      <c r="E625" s="69">
        <v>6.2</v>
      </c>
      <c r="F625" s="69">
        <v>6.6365499999999997</v>
      </c>
      <c r="G625" s="69">
        <v>6.5</v>
      </c>
      <c r="H625" s="69">
        <v>9.4</v>
      </c>
      <c r="I625" s="69">
        <v>3.8</v>
      </c>
      <c r="J625" s="69">
        <v>8.3000000000000007</v>
      </c>
      <c r="K625" s="69">
        <v>5.0999999999999996</v>
      </c>
      <c r="L625" s="69">
        <v>7.1</v>
      </c>
      <c r="M625" s="69">
        <v>8.4</v>
      </c>
      <c r="N625" s="69">
        <v>5.510167</v>
      </c>
      <c r="O625" s="69">
        <v>9.1</v>
      </c>
      <c r="P625" s="69">
        <v>7.4</v>
      </c>
      <c r="Q625" s="69">
        <v>4.7</v>
      </c>
      <c r="R625" s="69">
        <v>2.9</v>
      </c>
      <c r="S625" s="69"/>
      <c r="T625" s="69">
        <v>6.2</v>
      </c>
      <c r="U625" s="69">
        <v>4</v>
      </c>
      <c r="V625" s="69">
        <v>3.4</v>
      </c>
      <c r="W625" s="69">
        <v>4.5999999999999996</v>
      </c>
      <c r="X625" s="69">
        <v>6.7</v>
      </c>
      <c r="Y625" s="69">
        <v>3.8923510000000001</v>
      </c>
      <c r="Z625" s="69">
        <v>4.5999999999999996</v>
      </c>
      <c r="AA625" s="69">
        <v>2.9</v>
      </c>
      <c r="AB625" s="69">
        <v>8.6499659999999992</v>
      </c>
      <c r="AC625" s="69">
        <v>11.9</v>
      </c>
      <c r="AD625" s="69">
        <v>9.1999999999999993</v>
      </c>
      <c r="AE625" s="69">
        <v>12.1</v>
      </c>
      <c r="AF625" s="69">
        <v>5.4</v>
      </c>
      <c r="AG625" s="69">
        <v>6.4</v>
      </c>
      <c r="AH625" s="69">
        <v>8.9</v>
      </c>
      <c r="AI625" s="69">
        <v>4.4000000000000004</v>
      </c>
      <c r="AJ625" s="69">
        <v>7.9</v>
      </c>
      <c r="AK625" s="69">
        <v>5.5153150000000002</v>
      </c>
      <c r="AL625" s="69"/>
    </row>
    <row r="626" spans="1:38" x14ac:dyDescent="0.2">
      <c r="A626" s="10">
        <v>39083</v>
      </c>
      <c r="B626" s="69">
        <v>4.554278</v>
      </c>
      <c r="C626" s="69"/>
      <c r="D626" s="69">
        <v>7.8</v>
      </c>
      <c r="E626" s="69">
        <v>6.3</v>
      </c>
      <c r="F626" s="69">
        <v>6.8408239999999996</v>
      </c>
      <c r="G626" s="69">
        <v>6.1</v>
      </c>
      <c r="H626" s="69">
        <v>9.1999999999999993</v>
      </c>
      <c r="I626" s="69">
        <v>4.0999999999999996</v>
      </c>
      <c r="J626" s="69">
        <v>8.3000000000000007</v>
      </c>
      <c r="K626" s="69">
        <v>5</v>
      </c>
      <c r="L626" s="69">
        <v>7.2</v>
      </c>
      <c r="M626" s="69">
        <v>8.5</v>
      </c>
      <c r="N626" s="69">
        <v>5.5296419999999999</v>
      </c>
      <c r="O626" s="69">
        <v>8.6999999999999993</v>
      </c>
      <c r="P626" s="69">
        <v>7.3</v>
      </c>
      <c r="Q626" s="69">
        <v>4.8</v>
      </c>
      <c r="R626" s="69">
        <v>2.8</v>
      </c>
      <c r="S626" s="69"/>
      <c r="T626" s="69">
        <v>6.3</v>
      </c>
      <c r="U626" s="69">
        <v>4</v>
      </c>
      <c r="V626" s="69">
        <v>3.4</v>
      </c>
      <c r="W626" s="69">
        <v>4.5</v>
      </c>
      <c r="X626" s="69">
        <v>6.7</v>
      </c>
      <c r="Y626" s="69">
        <v>3.738213</v>
      </c>
      <c r="Z626" s="69">
        <v>4.5</v>
      </c>
      <c r="AA626" s="69">
        <v>2.8</v>
      </c>
      <c r="AB626" s="69">
        <v>8.6831899999999997</v>
      </c>
      <c r="AC626" s="69">
        <v>11.3</v>
      </c>
      <c r="AD626" s="69">
        <v>9.1999999999999993</v>
      </c>
      <c r="AE626" s="69">
        <v>11.7</v>
      </c>
      <c r="AF626" s="69">
        <v>5.4</v>
      </c>
      <c r="AG626" s="69">
        <v>6.6</v>
      </c>
      <c r="AH626" s="69">
        <v>8.8000000000000007</v>
      </c>
      <c r="AI626" s="69">
        <v>4.5999999999999996</v>
      </c>
      <c r="AJ626" s="69">
        <v>7.9</v>
      </c>
      <c r="AK626" s="69">
        <v>5.6112070000000003</v>
      </c>
      <c r="AL626" s="69"/>
    </row>
    <row r="627" spans="1:38" x14ac:dyDescent="0.2">
      <c r="A627" s="10">
        <v>39114</v>
      </c>
      <c r="B627" s="69">
        <v>4.6372080000000002</v>
      </c>
      <c r="C627" s="69"/>
      <c r="D627" s="69">
        <v>7.8</v>
      </c>
      <c r="E627" s="69">
        <v>6.2</v>
      </c>
      <c r="F627" s="69">
        <v>6.8911920000000002</v>
      </c>
      <c r="G627" s="69">
        <v>5.8</v>
      </c>
      <c r="H627" s="69">
        <v>9</v>
      </c>
      <c r="I627" s="69">
        <v>3.9</v>
      </c>
      <c r="J627" s="69">
        <v>8.1999999999999993</v>
      </c>
      <c r="K627" s="69">
        <v>4.9000000000000004</v>
      </c>
      <c r="L627" s="69">
        <v>7.2</v>
      </c>
      <c r="M627" s="69">
        <v>8.4</v>
      </c>
      <c r="N627" s="69">
        <v>5.5137929999999997</v>
      </c>
      <c r="O627" s="69">
        <v>8.8000000000000007</v>
      </c>
      <c r="P627" s="69">
        <v>7.4</v>
      </c>
      <c r="Q627" s="69">
        <v>4.9000000000000004</v>
      </c>
      <c r="R627" s="69">
        <v>2.7</v>
      </c>
      <c r="S627" s="69"/>
      <c r="T627" s="69">
        <v>6.1</v>
      </c>
      <c r="U627" s="69">
        <v>4</v>
      </c>
      <c r="V627" s="69">
        <v>3.2</v>
      </c>
      <c r="W627" s="69">
        <v>4.4000000000000004</v>
      </c>
      <c r="X627" s="69">
        <v>6.8</v>
      </c>
      <c r="Y627" s="69">
        <v>3.9128599999999998</v>
      </c>
      <c r="Z627" s="69">
        <v>4.5</v>
      </c>
      <c r="AA627" s="69">
        <v>2.7</v>
      </c>
      <c r="AB627" s="69">
        <v>8.6399670000000004</v>
      </c>
      <c r="AC627" s="69">
        <v>10.7</v>
      </c>
      <c r="AD627" s="69">
        <v>9.3000000000000007</v>
      </c>
      <c r="AE627" s="69">
        <v>11.4</v>
      </c>
      <c r="AF627" s="69">
        <v>5.3</v>
      </c>
      <c r="AG627" s="69">
        <v>6.2</v>
      </c>
      <c r="AH627" s="69">
        <v>9</v>
      </c>
      <c r="AI627" s="69">
        <v>4.5</v>
      </c>
      <c r="AJ627" s="69">
        <v>7.8</v>
      </c>
      <c r="AK627" s="69">
        <v>5.5115999999999996</v>
      </c>
      <c r="AL627" s="69"/>
    </row>
    <row r="628" spans="1:38" x14ac:dyDescent="0.2">
      <c r="A628" s="10">
        <v>39142</v>
      </c>
      <c r="B628" s="69">
        <v>4.4603140000000003</v>
      </c>
      <c r="C628" s="69"/>
      <c r="D628" s="69">
        <v>7.9</v>
      </c>
      <c r="E628" s="69">
        <v>6.2</v>
      </c>
      <c r="F628" s="69">
        <v>6.8673549999999999</v>
      </c>
      <c r="G628" s="69">
        <v>5.6</v>
      </c>
      <c r="H628" s="69">
        <v>8.9</v>
      </c>
      <c r="I628" s="69">
        <v>3.7</v>
      </c>
      <c r="J628" s="69">
        <v>8.1</v>
      </c>
      <c r="K628" s="69">
        <v>5.0999999999999996</v>
      </c>
      <c r="L628" s="69">
        <v>7.1</v>
      </c>
      <c r="M628" s="69">
        <v>8.3000000000000007</v>
      </c>
      <c r="N628" s="69">
        <v>5.4723639999999998</v>
      </c>
      <c r="O628" s="69">
        <v>9.1</v>
      </c>
      <c r="P628" s="69">
        <v>7.4</v>
      </c>
      <c r="Q628" s="69">
        <v>5</v>
      </c>
      <c r="R628" s="69">
        <v>2.7</v>
      </c>
      <c r="S628" s="69"/>
      <c r="T628" s="69">
        <v>6.1</v>
      </c>
      <c r="U628" s="69">
        <v>4</v>
      </c>
      <c r="V628" s="69">
        <v>3.2</v>
      </c>
      <c r="W628" s="69">
        <v>4.3</v>
      </c>
      <c r="X628" s="69">
        <v>6.6</v>
      </c>
      <c r="Y628" s="69">
        <v>4.1269629999999999</v>
      </c>
      <c r="Z628" s="69">
        <v>4.3</v>
      </c>
      <c r="AA628" s="69">
        <v>2.6</v>
      </c>
      <c r="AB628" s="69">
        <v>8.5962750000000003</v>
      </c>
      <c r="AC628" s="69">
        <v>10.3</v>
      </c>
      <c r="AD628" s="69">
        <v>9.3000000000000007</v>
      </c>
      <c r="AE628" s="69">
        <v>11.2</v>
      </c>
      <c r="AF628" s="69">
        <v>5.0999999999999996</v>
      </c>
      <c r="AG628" s="69">
        <v>6.5</v>
      </c>
      <c r="AH628" s="69">
        <v>8.9</v>
      </c>
      <c r="AI628" s="69">
        <v>4.4000000000000004</v>
      </c>
      <c r="AJ628" s="69">
        <v>7.7</v>
      </c>
      <c r="AK628" s="69">
        <v>5.4278079999999997</v>
      </c>
      <c r="AL628" s="69"/>
    </row>
    <row r="629" spans="1:38" x14ac:dyDescent="0.2">
      <c r="A629" s="10">
        <v>39173</v>
      </c>
      <c r="B629" s="69">
        <v>4.3870550000000001</v>
      </c>
      <c r="C629" s="69"/>
      <c r="D629" s="69">
        <v>8.1999999999999993</v>
      </c>
      <c r="E629" s="69">
        <v>6.2</v>
      </c>
      <c r="F629" s="69">
        <v>6.5438239999999999</v>
      </c>
      <c r="G629" s="69">
        <v>5.6</v>
      </c>
      <c r="H629" s="69">
        <v>8.6999999999999993</v>
      </c>
      <c r="I629" s="69">
        <v>3.5</v>
      </c>
      <c r="J629" s="69">
        <v>8</v>
      </c>
      <c r="K629" s="69">
        <v>4.9000000000000004</v>
      </c>
      <c r="L629" s="69">
        <v>6.5</v>
      </c>
      <c r="M629" s="69">
        <v>8.1999999999999993</v>
      </c>
      <c r="N629" s="69">
        <v>5.3892030000000002</v>
      </c>
      <c r="O629" s="69">
        <v>8.6</v>
      </c>
      <c r="P629" s="69">
        <v>7.4</v>
      </c>
      <c r="Q629" s="69">
        <v>5</v>
      </c>
      <c r="R629" s="69">
        <v>2.7</v>
      </c>
      <c r="S629" s="69"/>
      <c r="T629" s="69">
        <v>5.9</v>
      </c>
      <c r="U629" s="69">
        <v>3.8</v>
      </c>
      <c r="V629" s="69">
        <v>3.3</v>
      </c>
      <c r="W629" s="69">
        <v>4.2</v>
      </c>
      <c r="X629" s="69">
        <v>6.2</v>
      </c>
      <c r="Y629" s="69">
        <v>3.6931959999999999</v>
      </c>
      <c r="Z629" s="69">
        <v>4.2</v>
      </c>
      <c r="AA629" s="69">
        <v>2.5</v>
      </c>
      <c r="AB629" s="69">
        <v>8.692304</v>
      </c>
      <c r="AC629" s="69">
        <v>10</v>
      </c>
      <c r="AD629" s="69">
        <v>9.4</v>
      </c>
      <c r="AE629" s="69">
        <v>11.3</v>
      </c>
      <c r="AF629" s="69">
        <v>4.9000000000000004</v>
      </c>
      <c r="AG629" s="69">
        <v>6.1</v>
      </c>
      <c r="AH629" s="69">
        <v>9.1999999999999993</v>
      </c>
      <c r="AI629" s="69">
        <v>4.5</v>
      </c>
      <c r="AJ629" s="69">
        <v>7.6</v>
      </c>
      <c r="AK629" s="69">
        <v>5.3930800000000003</v>
      </c>
      <c r="AL629" s="69"/>
    </row>
    <row r="630" spans="1:38" x14ac:dyDescent="0.2">
      <c r="A630" s="10">
        <v>39203</v>
      </c>
      <c r="B630" s="69">
        <v>4.2653160000000003</v>
      </c>
      <c r="C630" s="69"/>
      <c r="D630" s="69">
        <v>8.1</v>
      </c>
      <c r="E630" s="69">
        <v>6</v>
      </c>
      <c r="F630" s="69">
        <v>6.5175190000000001</v>
      </c>
      <c r="G630" s="69">
        <v>5.5</v>
      </c>
      <c r="H630" s="69">
        <v>8.6</v>
      </c>
      <c r="I630" s="69">
        <v>3.6</v>
      </c>
      <c r="J630" s="69">
        <v>7.9</v>
      </c>
      <c r="K630" s="69">
        <v>4.9000000000000004</v>
      </c>
      <c r="L630" s="69">
        <v>6.6</v>
      </c>
      <c r="M630" s="69">
        <v>8.1</v>
      </c>
      <c r="N630" s="69">
        <v>5.3504740000000002</v>
      </c>
      <c r="O630" s="69">
        <v>8.3000000000000007</v>
      </c>
      <c r="P630" s="69">
        <v>7.1</v>
      </c>
      <c r="Q630" s="69">
        <v>5</v>
      </c>
      <c r="R630" s="69">
        <v>2.7</v>
      </c>
      <c r="S630" s="69"/>
      <c r="T630" s="69">
        <v>6.2</v>
      </c>
      <c r="U630" s="69">
        <v>3.8</v>
      </c>
      <c r="V630" s="69">
        <v>3.3</v>
      </c>
      <c r="W630" s="69">
        <v>4.0999999999999996</v>
      </c>
      <c r="X630" s="69">
        <v>6.1</v>
      </c>
      <c r="Y630" s="69">
        <v>3.597378</v>
      </c>
      <c r="Z630" s="69">
        <v>4.2</v>
      </c>
      <c r="AA630" s="69">
        <v>2.5</v>
      </c>
      <c r="AB630" s="69">
        <v>8.6495580000000007</v>
      </c>
      <c r="AC630" s="69">
        <v>9.6999999999999993</v>
      </c>
      <c r="AD630" s="69">
        <v>9.3000000000000007</v>
      </c>
      <c r="AE630" s="69">
        <v>11.3</v>
      </c>
      <c r="AF630" s="69">
        <v>4.8</v>
      </c>
      <c r="AG630" s="69">
        <v>5.9</v>
      </c>
      <c r="AH630" s="69">
        <v>9.1999999999999993</v>
      </c>
      <c r="AI630" s="69">
        <v>4.4000000000000004</v>
      </c>
      <c r="AJ630" s="69">
        <v>7.5</v>
      </c>
      <c r="AK630" s="69">
        <v>5.3446990000000003</v>
      </c>
      <c r="AL630" s="69"/>
    </row>
    <row r="631" spans="1:38" x14ac:dyDescent="0.2">
      <c r="A631" s="10">
        <v>39234</v>
      </c>
      <c r="B631" s="69">
        <v>4.3244910000000001</v>
      </c>
      <c r="C631" s="69"/>
      <c r="D631" s="69">
        <v>7.7</v>
      </c>
      <c r="E631" s="69">
        <v>6.1</v>
      </c>
      <c r="F631" s="69">
        <v>6.597448</v>
      </c>
      <c r="G631" s="69">
        <v>5.4</v>
      </c>
      <c r="H631" s="69">
        <v>8.5</v>
      </c>
      <c r="I631" s="69">
        <v>3.7</v>
      </c>
      <c r="J631" s="69">
        <v>8</v>
      </c>
      <c r="K631" s="69">
        <v>4.7</v>
      </c>
      <c r="L631" s="69">
        <v>6.9</v>
      </c>
      <c r="M631" s="69">
        <v>8</v>
      </c>
      <c r="N631" s="69">
        <v>5.3063450000000003</v>
      </c>
      <c r="O631" s="69">
        <v>8.4</v>
      </c>
      <c r="P631" s="69">
        <v>7</v>
      </c>
      <c r="Q631" s="69">
        <v>5</v>
      </c>
      <c r="R631" s="69">
        <v>2.7</v>
      </c>
      <c r="S631" s="69"/>
      <c r="T631" s="69">
        <v>6</v>
      </c>
      <c r="U631" s="69">
        <v>3.7</v>
      </c>
      <c r="V631" s="69">
        <v>3.2</v>
      </c>
      <c r="W631" s="69">
        <v>4.0999999999999996</v>
      </c>
      <c r="X631" s="69">
        <v>6</v>
      </c>
      <c r="Y631" s="69">
        <v>3.4563449999999998</v>
      </c>
      <c r="Z631" s="69">
        <v>4.0999999999999996</v>
      </c>
      <c r="AA631" s="69">
        <v>2.5</v>
      </c>
      <c r="AB631" s="69">
        <v>8.633127</v>
      </c>
      <c r="AC631" s="69">
        <v>9.5</v>
      </c>
      <c r="AD631" s="69">
        <v>9.1999999999999993</v>
      </c>
      <c r="AE631" s="69">
        <v>11.4</v>
      </c>
      <c r="AF631" s="69">
        <v>4.8</v>
      </c>
      <c r="AG631" s="69">
        <v>6.2</v>
      </c>
      <c r="AH631" s="69">
        <v>9.1999999999999993</v>
      </c>
      <c r="AI631" s="69">
        <v>4.5999999999999996</v>
      </c>
      <c r="AJ631" s="69">
        <v>7.5</v>
      </c>
      <c r="AK631" s="69">
        <v>5.3420690000000004</v>
      </c>
      <c r="AL631" s="69"/>
    </row>
    <row r="632" spans="1:38" x14ac:dyDescent="0.2">
      <c r="A632" s="10">
        <v>39264</v>
      </c>
      <c r="B632" s="69">
        <v>4.2527109999999997</v>
      </c>
      <c r="C632" s="69"/>
      <c r="D632" s="69">
        <v>7.3</v>
      </c>
      <c r="E632" s="69">
        <v>6</v>
      </c>
      <c r="F632" s="69">
        <v>7.0995900000000001</v>
      </c>
      <c r="G632" s="69">
        <v>5.2</v>
      </c>
      <c r="H632" s="69">
        <v>8.5</v>
      </c>
      <c r="I632" s="69">
        <v>4</v>
      </c>
      <c r="J632" s="69">
        <v>8.1</v>
      </c>
      <c r="K632" s="69">
        <v>4.2</v>
      </c>
      <c r="L632" s="69">
        <v>6.8</v>
      </c>
      <c r="M632" s="69">
        <v>8</v>
      </c>
      <c r="N632" s="69">
        <v>5.3018090000000004</v>
      </c>
      <c r="O632" s="69">
        <v>8.1999999999999993</v>
      </c>
      <c r="P632" s="69">
        <v>7.2</v>
      </c>
      <c r="Q632" s="69">
        <v>4.9000000000000004</v>
      </c>
      <c r="R632" s="69">
        <v>2.7</v>
      </c>
      <c r="S632" s="69"/>
      <c r="T632" s="69">
        <v>6.4</v>
      </c>
      <c r="U632" s="69">
        <v>3.6</v>
      </c>
      <c r="V632" s="69">
        <v>3.3</v>
      </c>
      <c r="W632" s="69">
        <v>4</v>
      </c>
      <c r="X632" s="69">
        <v>6.1</v>
      </c>
      <c r="Y632" s="69">
        <v>3.6352579999999999</v>
      </c>
      <c r="Z632" s="69">
        <v>4.2</v>
      </c>
      <c r="AA632" s="69">
        <v>2.6</v>
      </c>
      <c r="AB632" s="69">
        <v>8.6754719999999992</v>
      </c>
      <c r="AC632" s="69">
        <v>9.4</v>
      </c>
      <c r="AD632" s="69">
        <v>9.1999999999999993</v>
      </c>
      <c r="AE632" s="69">
        <v>11.5</v>
      </c>
      <c r="AF632" s="69">
        <v>4.7</v>
      </c>
      <c r="AG632" s="69">
        <v>5.8</v>
      </c>
      <c r="AH632" s="69">
        <v>9.1</v>
      </c>
      <c r="AI632" s="69">
        <v>4.7</v>
      </c>
      <c r="AJ632" s="69">
        <v>7.5</v>
      </c>
      <c r="AK632" s="69">
        <v>5.3991239999999996</v>
      </c>
      <c r="AL632" s="69"/>
    </row>
    <row r="633" spans="1:38" x14ac:dyDescent="0.2">
      <c r="A633" s="10">
        <v>39295</v>
      </c>
      <c r="B633" s="69">
        <v>4.2956789999999998</v>
      </c>
      <c r="C633" s="69"/>
      <c r="D633" s="69">
        <v>7</v>
      </c>
      <c r="E633" s="69">
        <v>5.9</v>
      </c>
      <c r="F633" s="69">
        <v>7.2889910000000002</v>
      </c>
      <c r="G633" s="69">
        <v>5</v>
      </c>
      <c r="H633" s="69">
        <v>8.4</v>
      </c>
      <c r="I633" s="69">
        <v>4</v>
      </c>
      <c r="J633" s="69">
        <v>8.3000000000000007</v>
      </c>
      <c r="K633" s="69">
        <v>4.0999999999999996</v>
      </c>
      <c r="L633" s="69">
        <v>6.8</v>
      </c>
      <c r="M633" s="69">
        <v>8</v>
      </c>
      <c r="N633" s="69">
        <v>5.3102039999999997</v>
      </c>
      <c r="O633" s="69">
        <v>8</v>
      </c>
      <c r="P633" s="69">
        <v>7.2</v>
      </c>
      <c r="Q633" s="69">
        <v>4.9000000000000004</v>
      </c>
      <c r="R633" s="69">
        <v>2.7</v>
      </c>
      <c r="S633" s="69"/>
      <c r="T633" s="69">
        <v>6.2</v>
      </c>
      <c r="U633" s="69">
        <v>3.7</v>
      </c>
      <c r="V633" s="69">
        <v>3.3</v>
      </c>
      <c r="W633" s="69">
        <v>4</v>
      </c>
      <c r="X633" s="69">
        <v>5.9</v>
      </c>
      <c r="Y633" s="69">
        <v>3.654757</v>
      </c>
      <c r="Z633" s="69">
        <v>4.0999999999999996</v>
      </c>
      <c r="AA633" s="69">
        <v>2.5</v>
      </c>
      <c r="AB633" s="69">
        <v>8.5435960000000009</v>
      </c>
      <c r="AC633" s="69">
        <v>9.3000000000000007</v>
      </c>
      <c r="AD633" s="69">
        <v>9.1</v>
      </c>
      <c r="AE633" s="69">
        <v>11.5</v>
      </c>
      <c r="AF633" s="69">
        <v>4.5999999999999996</v>
      </c>
      <c r="AG633" s="69">
        <v>6</v>
      </c>
      <c r="AH633" s="69">
        <v>9.1999999999999993</v>
      </c>
      <c r="AI633" s="69">
        <v>4.5999999999999996</v>
      </c>
      <c r="AJ633" s="69">
        <v>7.5</v>
      </c>
      <c r="AK633" s="69">
        <v>5.3762970000000001</v>
      </c>
      <c r="AL633" s="69"/>
    </row>
    <row r="634" spans="1:38" x14ac:dyDescent="0.2">
      <c r="A634" s="10">
        <v>39326</v>
      </c>
      <c r="B634" s="69">
        <v>4.2119869999999997</v>
      </c>
      <c r="C634" s="69"/>
      <c r="D634" s="69">
        <v>6.9</v>
      </c>
      <c r="E634" s="69">
        <v>5.9</v>
      </c>
      <c r="F634" s="69">
        <v>7.5283150000000001</v>
      </c>
      <c r="G634" s="69">
        <v>5.0999999999999996</v>
      </c>
      <c r="H634" s="69">
        <v>8.4</v>
      </c>
      <c r="I634" s="69">
        <v>4.0999999999999996</v>
      </c>
      <c r="J634" s="69">
        <v>8.3000000000000007</v>
      </c>
      <c r="K634" s="69">
        <v>4</v>
      </c>
      <c r="L634" s="69">
        <v>7.1</v>
      </c>
      <c r="M634" s="69">
        <v>7.8</v>
      </c>
      <c r="N634" s="69">
        <v>5.2391800000000002</v>
      </c>
      <c r="O634" s="69">
        <v>8.3000000000000007</v>
      </c>
      <c r="P634" s="69">
        <v>7.3</v>
      </c>
      <c r="Q634" s="69">
        <v>4.9000000000000004</v>
      </c>
      <c r="R634" s="69">
        <v>2.7</v>
      </c>
      <c r="S634" s="69"/>
      <c r="T634" s="69">
        <v>6.2</v>
      </c>
      <c r="U634" s="69">
        <v>3.9</v>
      </c>
      <c r="V634" s="69">
        <v>3.2</v>
      </c>
      <c r="W634" s="69">
        <v>4</v>
      </c>
      <c r="X634" s="69">
        <v>5.7</v>
      </c>
      <c r="Y634" s="69">
        <v>3.6065689999999999</v>
      </c>
      <c r="Z634" s="69">
        <v>4</v>
      </c>
      <c r="AA634" s="69">
        <v>2.4</v>
      </c>
      <c r="AB634" s="69">
        <v>8.4393550000000008</v>
      </c>
      <c r="AC634" s="69">
        <v>9.1999999999999993</v>
      </c>
      <c r="AD634" s="69">
        <v>8.9</v>
      </c>
      <c r="AE634" s="69">
        <v>11.3</v>
      </c>
      <c r="AF634" s="69">
        <v>4.5</v>
      </c>
      <c r="AG634" s="69">
        <v>6.1</v>
      </c>
      <c r="AH634" s="69">
        <v>9.3000000000000007</v>
      </c>
      <c r="AI634" s="69">
        <v>4.7</v>
      </c>
      <c r="AJ634" s="69">
        <v>7.4</v>
      </c>
      <c r="AK634" s="69">
        <v>5.4091069999999997</v>
      </c>
      <c r="AL634" s="69"/>
    </row>
    <row r="635" spans="1:38" x14ac:dyDescent="0.2">
      <c r="A635" s="10">
        <v>39356</v>
      </c>
      <c r="B635" s="69">
        <v>4.3262390000000002</v>
      </c>
      <c r="C635" s="69"/>
      <c r="D635" s="69">
        <v>7</v>
      </c>
      <c r="E635" s="69">
        <v>5.9</v>
      </c>
      <c r="F635" s="69">
        <v>7.5563650000000004</v>
      </c>
      <c r="G635" s="69">
        <v>5</v>
      </c>
      <c r="H635" s="69">
        <v>8.3000000000000007</v>
      </c>
      <c r="I635" s="69">
        <v>3.7</v>
      </c>
      <c r="J635" s="69">
        <v>8.4</v>
      </c>
      <c r="K635" s="69">
        <v>4</v>
      </c>
      <c r="L635" s="69">
        <v>6.6</v>
      </c>
      <c r="M635" s="69">
        <v>7.6</v>
      </c>
      <c r="N635" s="69">
        <v>5.2393739999999998</v>
      </c>
      <c r="O635" s="69">
        <v>8.1999999999999993</v>
      </c>
      <c r="P635" s="69">
        <v>7.5</v>
      </c>
      <c r="Q635" s="69">
        <v>5.0999999999999996</v>
      </c>
      <c r="R635" s="69">
        <v>2.6</v>
      </c>
      <c r="S635" s="69"/>
      <c r="T635" s="69">
        <v>6.2</v>
      </c>
      <c r="U635" s="69">
        <v>4</v>
      </c>
      <c r="V635" s="69">
        <v>3.3</v>
      </c>
      <c r="W635" s="69">
        <v>4.0999999999999996</v>
      </c>
      <c r="X635" s="69">
        <v>5.4</v>
      </c>
      <c r="Y635" s="69">
        <v>3.7663199999999999</v>
      </c>
      <c r="Z635" s="69">
        <v>4</v>
      </c>
      <c r="AA635" s="69">
        <v>2.4</v>
      </c>
      <c r="AB635" s="69">
        <v>8.4296930000000003</v>
      </c>
      <c r="AC635" s="69">
        <v>8.9</v>
      </c>
      <c r="AD635" s="69">
        <v>9</v>
      </c>
      <c r="AE635" s="69">
        <v>10.9</v>
      </c>
      <c r="AF635" s="69">
        <v>4.5999999999999996</v>
      </c>
      <c r="AG635" s="69">
        <v>6.2</v>
      </c>
      <c r="AH635" s="69">
        <v>9.5</v>
      </c>
      <c r="AI635" s="69">
        <v>4.7</v>
      </c>
      <c r="AJ635" s="69">
        <v>7.4</v>
      </c>
      <c r="AK635" s="69">
        <v>5.4117990000000002</v>
      </c>
      <c r="AL635" s="69"/>
    </row>
    <row r="636" spans="1:38" x14ac:dyDescent="0.2">
      <c r="A636" s="10">
        <v>39387</v>
      </c>
      <c r="B636" s="69">
        <v>4.4268770000000002</v>
      </c>
      <c r="C636" s="69"/>
      <c r="D636" s="69">
        <v>7.1</v>
      </c>
      <c r="E636" s="69">
        <v>6.1</v>
      </c>
      <c r="F636" s="69">
        <v>7.8615029999999999</v>
      </c>
      <c r="G636" s="69">
        <v>4.8</v>
      </c>
      <c r="H636" s="69">
        <v>8.1999999999999993</v>
      </c>
      <c r="I636" s="69">
        <v>3.7</v>
      </c>
      <c r="J636" s="69">
        <v>8.6</v>
      </c>
      <c r="K636" s="69">
        <v>4</v>
      </c>
      <c r="L636" s="69">
        <v>6.7</v>
      </c>
      <c r="M636" s="69">
        <v>7.5</v>
      </c>
      <c r="N636" s="69">
        <v>5.1566369999999999</v>
      </c>
      <c r="O636" s="69">
        <v>7.8</v>
      </c>
      <c r="P636" s="69">
        <v>7.8</v>
      </c>
      <c r="Q636" s="69">
        <v>5.2</v>
      </c>
      <c r="R636" s="69">
        <v>2.6</v>
      </c>
      <c r="S636" s="69"/>
      <c r="T636" s="69">
        <v>6.3</v>
      </c>
      <c r="U636" s="69">
        <v>3.8</v>
      </c>
      <c r="V636" s="69">
        <v>3.3</v>
      </c>
      <c r="W636" s="69">
        <v>4.2</v>
      </c>
      <c r="X636" s="69">
        <v>5.4</v>
      </c>
      <c r="Y636" s="69">
        <v>3.65889</v>
      </c>
      <c r="Z636" s="69">
        <v>4</v>
      </c>
      <c r="AA636" s="69">
        <v>2.5</v>
      </c>
      <c r="AB636" s="69">
        <v>8.4015950000000004</v>
      </c>
      <c r="AC636" s="69">
        <v>8.6999999999999993</v>
      </c>
      <c r="AD636" s="69">
        <v>8.9</v>
      </c>
      <c r="AE636" s="69">
        <v>10.6</v>
      </c>
      <c r="AF636" s="69">
        <v>4.7</v>
      </c>
      <c r="AG636" s="69">
        <v>6</v>
      </c>
      <c r="AH636" s="69">
        <v>9.4</v>
      </c>
      <c r="AI636" s="69">
        <v>4.7</v>
      </c>
      <c r="AJ636" s="69">
        <v>7.3</v>
      </c>
      <c r="AK636" s="69">
        <v>5.3629709999999999</v>
      </c>
      <c r="AL636" s="69"/>
    </row>
    <row r="637" spans="1:38" x14ac:dyDescent="0.2">
      <c r="A637" s="10">
        <v>39417</v>
      </c>
      <c r="B637" s="69">
        <v>4.3089469999999999</v>
      </c>
      <c r="C637" s="69"/>
      <c r="D637" s="69">
        <v>7.1</v>
      </c>
      <c r="E637" s="69">
        <v>6.1</v>
      </c>
      <c r="F637" s="69">
        <v>7.7877280000000004</v>
      </c>
      <c r="G637" s="69">
        <v>4.9000000000000004</v>
      </c>
      <c r="H637" s="69">
        <v>8.1</v>
      </c>
      <c r="I637" s="69">
        <v>3.3</v>
      </c>
      <c r="J637" s="69">
        <v>8.8000000000000007</v>
      </c>
      <c r="K637" s="69">
        <v>4.0999999999999996</v>
      </c>
      <c r="L637" s="69">
        <v>6.6</v>
      </c>
      <c r="M637" s="69">
        <v>7.4</v>
      </c>
      <c r="N637" s="69">
        <v>5.1771520000000004</v>
      </c>
      <c r="O637" s="69">
        <v>8.3000000000000007</v>
      </c>
      <c r="P637" s="69">
        <v>8.1</v>
      </c>
      <c r="Q637" s="69">
        <v>5.3</v>
      </c>
      <c r="R637" s="69">
        <v>2.7</v>
      </c>
      <c r="S637" s="69"/>
      <c r="T637" s="69">
        <v>6.6</v>
      </c>
      <c r="U637" s="69">
        <v>3.7</v>
      </c>
      <c r="V637" s="69">
        <v>3.2</v>
      </c>
      <c r="W637" s="69">
        <v>4.2</v>
      </c>
      <c r="X637" s="69">
        <v>5.6</v>
      </c>
      <c r="Y637" s="69">
        <v>3.8005800000000001</v>
      </c>
      <c r="Z637" s="69">
        <v>3.9</v>
      </c>
      <c r="AA637" s="69">
        <v>2.5</v>
      </c>
      <c r="AB637" s="69">
        <v>8.4035799999999998</v>
      </c>
      <c r="AC637" s="69">
        <v>8.3000000000000007</v>
      </c>
      <c r="AD637" s="69">
        <v>8.6999999999999993</v>
      </c>
      <c r="AE637" s="69">
        <v>10.5</v>
      </c>
      <c r="AF637" s="69">
        <v>4.7</v>
      </c>
      <c r="AG637" s="69">
        <v>6</v>
      </c>
      <c r="AH637" s="69">
        <v>9.3000000000000007</v>
      </c>
      <c r="AI637" s="69">
        <v>5</v>
      </c>
      <c r="AJ637" s="69">
        <v>7.4</v>
      </c>
      <c r="AK637" s="69">
        <v>5.4637339999999996</v>
      </c>
      <c r="AL637" s="69"/>
    </row>
    <row r="638" spans="1:38" x14ac:dyDescent="0.2">
      <c r="A638" s="10">
        <v>39448</v>
      </c>
      <c r="B638" s="69">
        <v>4.2207189999999999</v>
      </c>
      <c r="C638" s="69"/>
      <c r="D638" s="69">
        <v>7.1</v>
      </c>
      <c r="E638" s="69">
        <v>5.9</v>
      </c>
      <c r="F638" s="69">
        <v>7.8189409999999997</v>
      </c>
      <c r="G638" s="69">
        <v>4.7</v>
      </c>
      <c r="H638" s="69">
        <v>7.9</v>
      </c>
      <c r="I638" s="69">
        <v>3.2</v>
      </c>
      <c r="J638" s="69">
        <v>9.1</v>
      </c>
      <c r="K638" s="69">
        <v>4.3</v>
      </c>
      <c r="L638" s="69">
        <v>6.5</v>
      </c>
      <c r="M638" s="69">
        <v>7.3</v>
      </c>
      <c r="N638" s="69">
        <v>5.1812480000000001</v>
      </c>
      <c r="O638" s="69">
        <v>7.7</v>
      </c>
      <c r="P638" s="69">
        <v>8</v>
      </c>
      <c r="Q638" s="69">
        <v>5.3</v>
      </c>
      <c r="R638" s="69">
        <v>2.7</v>
      </c>
      <c r="S638" s="69"/>
      <c r="T638" s="69">
        <v>6.6</v>
      </c>
      <c r="U638" s="69">
        <v>3.9</v>
      </c>
      <c r="V638" s="69">
        <v>3</v>
      </c>
      <c r="W638" s="69">
        <v>4.3</v>
      </c>
      <c r="X638" s="69">
        <v>6.2</v>
      </c>
      <c r="Y638" s="69">
        <v>3.7857669999999999</v>
      </c>
      <c r="Z638" s="69">
        <v>3.8</v>
      </c>
      <c r="AA638" s="69">
        <v>2.5</v>
      </c>
      <c r="AB638" s="69">
        <v>8.4139660000000003</v>
      </c>
      <c r="AC638" s="69">
        <v>7.8</v>
      </c>
      <c r="AD638" s="69">
        <v>8.6</v>
      </c>
      <c r="AE638" s="69">
        <v>10.4</v>
      </c>
      <c r="AF638" s="69">
        <v>4.8</v>
      </c>
      <c r="AG638" s="69">
        <v>6</v>
      </c>
      <c r="AH638" s="69">
        <v>9.3000000000000007</v>
      </c>
      <c r="AI638" s="69">
        <v>5</v>
      </c>
      <c r="AJ638" s="69">
        <v>7.3</v>
      </c>
      <c r="AK638" s="69">
        <v>5.4700309999999996</v>
      </c>
      <c r="AL638" s="69"/>
    </row>
    <row r="639" spans="1:38" x14ac:dyDescent="0.2">
      <c r="A639" s="10">
        <v>39479</v>
      </c>
      <c r="B639" s="69">
        <v>3.9826709999999999</v>
      </c>
      <c r="C639" s="69"/>
      <c r="D639" s="69">
        <v>6.9</v>
      </c>
      <c r="E639" s="69">
        <v>6</v>
      </c>
      <c r="F639" s="69">
        <v>7.6819259999999998</v>
      </c>
      <c r="G639" s="69">
        <v>4.5</v>
      </c>
      <c r="H639" s="69">
        <v>7.8</v>
      </c>
      <c r="I639" s="69">
        <v>3.2</v>
      </c>
      <c r="J639" s="69">
        <v>9.3000000000000007</v>
      </c>
      <c r="K639" s="69">
        <v>4.4000000000000004</v>
      </c>
      <c r="L639" s="69">
        <v>6.1</v>
      </c>
      <c r="M639" s="69">
        <v>7.2</v>
      </c>
      <c r="N639" s="69">
        <v>5.1826619999999997</v>
      </c>
      <c r="O639" s="69">
        <v>7.9</v>
      </c>
      <c r="P639" s="69">
        <v>7.9</v>
      </c>
      <c r="Q639" s="69">
        <v>5.3</v>
      </c>
      <c r="R639" s="69">
        <v>2.8</v>
      </c>
      <c r="S639" s="69"/>
      <c r="T639" s="69">
        <v>6.7</v>
      </c>
      <c r="U639" s="69">
        <v>4</v>
      </c>
      <c r="V639" s="69">
        <v>3</v>
      </c>
      <c r="W639" s="69">
        <v>4.5</v>
      </c>
      <c r="X639" s="69">
        <v>6.4</v>
      </c>
      <c r="Y639" s="69">
        <v>3.8031259999999998</v>
      </c>
      <c r="Z639" s="69">
        <v>3.6</v>
      </c>
      <c r="AA639" s="69">
        <v>2.5</v>
      </c>
      <c r="AB639" s="69">
        <v>8.4631969999999992</v>
      </c>
      <c r="AC639" s="69">
        <v>7.5</v>
      </c>
      <c r="AD639" s="69">
        <v>8.5</v>
      </c>
      <c r="AE639" s="69">
        <v>10.3</v>
      </c>
      <c r="AF639" s="69">
        <v>4.7</v>
      </c>
      <c r="AG639" s="69">
        <v>5.8</v>
      </c>
      <c r="AH639" s="69">
        <v>9.5</v>
      </c>
      <c r="AI639" s="69">
        <v>4.9000000000000004</v>
      </c>
      <c r="AJ639" s="69">
        <v>7.3</v>
      </c>
      <c r="AK639" s="69">
        <v>5.4336570000000002</v>
      </c>
      <c r="AL639" s="69"/>
    </row>
    <row r="640" spans="1:38" x14ac:dyDescent="0.2">
      <c r="A640" s="10">
        <v>39508</v>
      </c>
      <c r="B640" s="69">
        <v>4.057982</v>
      </c>
      <c r="C640" s="69"/>
      <c r="D640" s="69">
        <v>6.7</v>
      </c>
      <c r="E640" s="69">
        <v>6.2</v>
      </c>
      <c r="F640" s="69">
        <v>7.6582929999999996</v>
      </c>
      <c r="G640" s="69">
        <v>4.5</v>
      </c>
      <c r="H640" s="69">
        <v>7.7</v>
      </c>
      <c r="I640" s="69">
        <v>3.3</v>
      </c>
      <c r="J640" s="69">
        <v>9.5</v>
      </c>
      <c r="K640" s="69">
        <v>4.3</v>
      </c>
      <c r="L640" s="69">
        <v>6.4</v>
      </c>
      <c r="M640" s="69">
        <v>7.3</v>
      </c>
      <c r="N640" s="69">
        <v>5.3142630000000004</v>
      </c>
      <c r="O640" s="69">
        <v>8.5</v>
      </c>
      <c r="P640" s="69">
        <v>7.7</v>
      </c>
      <c r="Q640" s="69">
        <v>5.5</v>
      </c>
      <c r="R640" s="69">
        <v>2.8</v>
      </c>
      <c r="S640" s="69"/>
      <c r="T640" s="69">
        <v>6.4</v>
      </c>
      <c r="U640" s="69">
        <v>3.8</v>
      </c>
      <c r="V640" s="69">
        <v>3</v>
      </c>
      <c r="W640" s="69">
        <v>4.4000000000000004</v>
      </c>
      <c r="X640" s="69">
        <v>6.4</v>
      </c>
      <c r="Y640" s="69">
        <v>3.9934630000000002</v>
      </c>
      <c r="Z640" s="69">
        <v>3.6</v>
      </c>
      <c r="AA640" s="69">
        <v>2.4</v>
      </c>
      <c r="AB640" s="69">
        <v>8.3255599999999994</v>
      </c>
      <c r="AC640" s="69">
        <v>7.3</v>
      </c>
      <c r="AD640" s="69">
        <v>8.6</v>
      </c>
      <c r="AE640" s="69">
        <v>10.199999999999999</v>
      </c>
      <c r="AF640" s="69">
        <v>4.5999999999999996</v>
      </c>
      <c r="AG640" s="69">
        <v>5.8</v>
      </c>
      <c r="AH640" s="69">
        <v>9.4</v>
      </c>
      <c r="AI640" s="69">
        <v>5.0999999999999996</v>
      </c>
      <c r="AJ640" s="69">
        <v>7.3</v>
      </c>
      <c r="AK640" s="69">
        <v>5.4827089999999998</v>
      </c>
      <c r="AL640" s="69"/>
    </row>
    <row r="641" spans="1:38" x14ac:dyDescent="0.2">
      <c r="A641" s="10">
        <v>39539</v>
      </c>
      <c r="B641" s="69">
        <v>4.2666700000000004</v>
      </c>
      <c r="C641" s="69"/>
      <c r="D641" s="69">
        <v>6.5</v>
      </c>
      <c r="E641" s="69">
        <v>6.1</v>
      </c>
      <c r="F641" s="69">
        <v>7.7090240000000003</v>
      </c>
      <c r="G641" s="69">
        <v>4.3</v>
      </c>
      <c r="H641" s="69">
        <v>7.6</v>
      </c>
      <c r="I641" s="69">
        <v>3.3</v>
      </c>
      <c r="J641" s="69">
        <v>10</v>
      </c>
      <c r="K641" s="69">
        <v>4.5</v>
      </c>
      <c r="L641" s="69">
        <v>5.7</v>
      </c>
      <c r="M641" s="69">
        <v>7.3</v>
      </c>
      <c r="N641" s="69">
        <v>5.1786260000000004</v>
      </c>
      <c r="O641" s="69">
        <v>7.8</v>
      </c>
      <c r="P641" s="69">
        <v>7.8</v>
      </c>
      <c r="Q641" s="69">
        <v>5.6</v>
      </c>
      <c r="R641" s="69">
        <v>2.9</v>
      </c>
      <c r="S641" s="69"/>
      <c r="T641" s="69">
        <v>6.9</v>
      </c>
      <c r="U641" s="69">
        <v>3.9</v>
      </c>
      <c r="V641" s="69">
        <v>3.1</v>
      </c>
      <c r="W641" s="69">
        <v>4.7</v>
      </c>
      <c r="X641" s="69">
        <v>6.3</v>
      </c>
      <c r="Y641" s="69">
        <v>3.690782</v>
      </c>
      <c r="Z641" s="69">
        <v>3.7</v>
      </c>
      <c r="AA641" s="69">
        <v>2.4</v>
      </c>
      <c r="AB641" s="69">
        <v>8.1990339999999993</v>
      </c>
      <c r="AC641" s="69">
        <v>7.2</v>
      </c>
      <c r="AD641" s="69">
        <v>8.5</v>
      </c>
      <c r="AE641" s="69">
        <v>10.199999999999999</v>
      </c>
      <c r="AF641" s="69">
        <v>4.4000000000000004</v>
      </c>
      <c r="AG641" s="69">
        <v>5.6</v>
      </c>
      <c r="AH641" s="69">
        <v>9.1999999999999993</v>
      </c>
      <c r="AI641" s="69">
        <v>5</v>
      </c>
      <c r="AJ641" s="69">
        <v>7.4</v>
      </c>
      <c r="AK641" s="69">
        <v>5.458431</v>
      </c>
      <c r="AL641" s="69"/>
    </row>
    <row r="642" spans="1:38" x14ac:dyDescent="0.2">
      <c r="A642" s="10">
        <v>39569</v>
      </c>
      <c r="B642" s="69">
        <v>4.2670909999999997</v>
      </c>
      <c r="C642" s="69"/>
      <c r="D642" s="69">
        <v>6.5</v>
      </c>
      <c r="E642" s="69">
        <v>6.1</v>
      </c>
      <c r="F642" s="69">
        <v>7.974926</v>
      </c>
      <c r="G642" s="69">
        <v>4.0999999999999996</v>
      </c>
      <c r="H642" s="69">
        <v>7.5</v>
      </c>
      <c r="I642" s="69">
        <v>3.5</v>
      </c>
      <c r="J642" s="69">
        <v>10.4</v>
      </c>
      <c r="K642" s="69">
        <v>3.8</v>
      </c>
      <c r="L642" s="69">
        <v>6.4</v>
      </c>
      <c r="M642" s="69">
        <v>7.3</v>
      </c>
      <c r="N642" s="69">
        <v>5.3504880000000004</v>
      </c>
      <c r="O642" s="69">
        <v>7.3</v>
      </c>
      <c r="P642" s="69">
        <v>7.7</v>
      </c>
      <c r="Q642" s="69">
        <v>5.9</v>
      </c>
      <c r="R642" s="69">
        <v>3</v>
      </c>
      <c r="S642" s="69"/>
      <c r="T642" s="69">
        <v>6.8</v>
      </c>
      <c r="U642" s="69">
        <v>4</v>
      </c>
      <c r="V642" s="69">
        <v>3.2</v>
      </c>
      <c r="W642" s="69">
        <v>4.8</v>
      </c>
      <c r="X642" s="69">
        <v>6.4</v>
      </c>
      <c r="Y642" s="69">
        <v>3.5559780000000001</v>
      </c>
      <c r="Z642" s="69">
        <v>3.7</v>
      </c>
      <c r="AA642" s="69">
        <v>2.6</v>
      </c>
      <c r="AB642" s="69">
        <v>8.1474220000000006</v>
      </c>
      <c r="AC642" s="69">
        <v>7.2</v>
      </c>
      <c r="AD642" s="69">
        <v>8.6</v>
      </c>
      <c r="AE642" s="69">
        <v>10.199999999999999</v>
      </c>
      <c r="AF642" s="69">
        <v>4.4000000000000004</v>
      </c>
      <c r="AG642" s="69">
        <v>5.8</v>
      </c>
      <c r="AH642" s="69">
        <v>9.1999999999999993</v>
      </c>
      <c r="AI642" s="69">
        <v>5.4</v>
      </c>
      <c r="AJ642" s="69">
        <v>7.4</v>
      </c>
      <c r="AK642" s="69">
        <v>5.6586169999999996</v>
      </c>
      <c r="AL642" s="69"/>
    </row>
    <row r="643" spans="1:38" x14ac:dyDescent="0.2">
      <c r="A643" s="10">
        <v>39600</v>
      </c>
      <c r="B643" s="69">
        <v>4.2443499999999998</v>
      </c>
      <c r="C643" s="69"/>
      <c r="D643" s="69">
        <v>6.9</v>
      </c>
      <c r="E643" s="69">
        <v>6.1</v>
      </c>
      <c r="F643" s="69">
        <v>7.8725399999999999</v>
      </c>
      <c r="G643" s="69">
        <v>4.5999999999999996</v>
      </c>
      <c r="H643" s="69">
        <v>7.4</v>
      </c>
      <c r="I643" s="69">
        <v>3.7</v>
      </c>
      <c r="J643" s="69">
        <v>10.8</v>
      </c>
      <c r="K643" s="69">
        <v>4.2</v>
      </c>
      <c r="L643" s="69">
        <v>6.4</v>
      </c>
      <c r="M643" s="69">
        <v>7.3</v>
      </c>
      <c r="N643" s="69">
        <v>5.4867309999999998</v>
      </c>
      <c r="O643" s="69">
        <v>7.6</v>
      </c>
      <c r="P643" s="69">
        <v>7.5</v>
      </c>
      <c r="Q643" s="69">
        <v>6.3</v>
      </c>
      <c r="R643" s="69">
        <v>3.2</v>
      </c>
      <c r="S643" s="69"/>
      <c r="T643" s="69">
        <v>6.9</v>
      </c>
      <c r="U643" s="69">
        <v>4</v>
      </c>
      <c r="V643" s="69">
        <v>3.1</v>
      </c>
      <c r="W643" s="69">
        <v>4.9000000000000004</v>
      </c>
      <c r="X643" s="69">
        <v>6.6</v>
      </c>
      <c r="Y643" s="69">
        <v>3.7226870000000001</v>
      </c>
      <c r="Z643" s="69">
        <v>3.7</v>
      </c>
      <c r="AA643" s="69">
        <v>2.7</v>
      </c>
      <c r="AB643" s="69">
        <v>8.0637899999999991</v>
      </c>
      <c r="AC643" s="69">
        <v>7</v>
      </c>
      <c r="AD643" s="69">
        <v>8.8000000000000007</v>
      </c>
      <c r="AE643" s="69">
        <v>9.9</v>
      </c>
      <c r="AF643" s="69">
        <v>4.3</v>
      </c>
      <c r="AG643" s="69">
        <v>6.6</v>
      </c>
      <c r="AH643" s="69">
        <v>9.6</v>
      </c>
      <c r="AI643" s="69">
        <v>5.6</v>
      </c>
      <c r="AJ643" s="69">
        <v>7.5</v>
      </c>
      <c r="AK643" s="69">
        <v>5.7188489999999996</v>
      </c>
      <c r="AL643" s="69"/>
    </row>
    <row r="644" spans="1:38" x14ac:dyDescent="0.2">
      <c r="A644" s="10">
        <v>39630</v>
      </c>
      <c r="B644" s="69">
        <v>4.2497959999999999</v>
      </c>
      <c r="C644" s="69"/>
      <c r="D644" s="69">
        <v>7.5</v>
      </c>
      <c r="E644" s="69">
        <v>6.1</v>
      </c>
      <c r="F644" s="69">
        <v>7.6720930000000003</v>
      </c>
      <c r="G644" s="69">
        <v>4.3</v>
      </c>
      <c r="H644" s="69">
        <v>7.3</v>
      </c>
      <c r="I644" s="69">
        <v>3.8</v>
      </c>
      <c r="J644" s="69">
        <v>11.1</v>
      </c>
      <c r="K644" s="69">
        <v>5.2</v>
      </c>
      <c r="L644" s="69">
        <v>6.1</v>
      </c>
      <c r="M644" s="69">
        <v>7.4</v>
      </c>
      <c r="N644" s="69">
        <v>5.709657</v>
      </c>
      <c r="O644" s="69">
        <v>7.4</v>
      </c>
      <c r="P644" s="69">
        <v>7.5</v>
      </c>
      <c r="Q644" s="69">
        <v>6.9</v>
      </c>
      <c r="R644" s="69">
        <v>3.4</v>
      </c>
      <c r="S644" s="69"/>
      <c r="T644" s="69">
        <v>6.6</v>
      </c>
      <c r="U644" s="69">
        <v>3.9</v>
      </c>
      <c r="V644" s="69">
        <v>3.1</v>
      </c>
      <c r="W644" s="69">
        <v>4.9000000000000004</v>
      </c>
      <c r="X644" s="69">
        <v>7</v>
      </c>
      <c r="Y644" s="69">
        <v>3.8136009999999998</v>
      </c>
      <c r="Z644" s="69">
        <v>3.6</v>
      </c>
      <c r="AA644" s="69">
        <v>2.8</v>
      </c>
      <c r="AB644" s="69">
        <v>8.0898280000000007</v>
      </c>
      <c r="AC644" s="69">
        <v>6.9</v>
      </c>
      <c r="AD644" s="69">
        <v>8.6999999999999993</v>
      </c>
      <c r="AE644" s="69">
        <v>9.4</v>
      </c>
      <c r="AF644" s="69">
        <v>4.3</v>
      </c>
      <c r="AG644" s="69">
        <v>6.2</v>
      </c>
      <c r="AH644" s="69">
        <v>9.9</v>
      </c>
      <c r="AI644" s="69">
        <v>5.8</v>
      </c>
      <c r="AJ644" s="69">
        <v>7.5</v>
      </c>
      <c r="AK644" s="69">
        <v>5.8061730000000003</v>
      </c>
      <c r="AL644" s="69"/>
    </row>
    <row r="645" spans="1:38" x14ac:dyDescent="0.2">
      <c r="A645" s="10">
        <v>39661</v>
      </c>
      <c r="B645" s="69">
        <v>4.0109380000000003</v>
      </c>
      <c r="C645" s="69"/>
      <c r="D645" s="69">
        <v>7.6</v>
      </c>
      <c r="E645" s="69">
        <v>6.1</v>
      </c>
      <c r="F645" s="69">
        <v>7.3916740000000001</v>
      </c>
      <c r="G645" s="69">
        <v>4.0999999999999996</v>
      </c>
      <c r="H645" s="69">
        <v>7.1</v>
      </c>
      <c r="I645" s="69">
        <v>3.9</v>
      </c>
      <c r="J645" s="69">
        <v>11.5</v>
      </c>
      <c r="K645" s="69">
        <v>6.3</v>
      </c>
      <c r="L645" s="69">
        <v>6.4</v>
      </c>
      <c r="M645" s="69">
        <v>7.5</v>
      </c>
      <c r="N645" s="69">
        <v>5.855467</v>
      </c>
      <c r="O645" s="69">
        <v>7.5</v>
      </c>
      <c r="P645" s="69">
        <v>7.7</v>
      </c>
      <c r="Q645" s="69">
        <v>7.4</v>
      </c>
      <c r="R645" s="69">
        <v>3.7</v>
      </c>
      <c r="S645" s="69"/>
      <c r="T645" s="69">
        <v>6.8</v>
      </c>
      <c r="U645" s="69">
        <v>4.0999999999999996</v>
      </c>
      <c r="V645" s="69">
        <v>3.3</v>
      </c>
      <c r="W645" s="69">
        <v>5</v>
      </c>
      <c r="X645" s="69">
        <v>7.7</v>
      </c>
      <c r="Y645" s="69">
        <v>3.8831169999999999</v>
      </c>
      <c r="Z645" s="69">
        <v>3.6</v>
      </c>
      <c r="AA645" s="69">
        <v>2.8</v>
      </c>
      <c r="AB645" s="69">
        <v>8.1155670000000004</v>
      </c>
      <c r="AC645" s="69">
        <v>6.8</v>
      </c>
      <c r="AD645" s="69">
        <v>9</v>
      </c>
      <c r="AE645" s="69">
        <v>9</v>
      </c>
      <c r="AF645" s="69">
        <v>4.3</v>
      </c>
      <c r="AG645" s="69">
        <v>5.9</v>
      </c>
      <c r="AH645" s="69">
        <v>9.8000000000000007</v>
      </c>
      <c r="AI645" s="69">
        <v>6.1</v>
      </c>
      <c r="AJ645" s="69">
        <v>7.6</v>
      </c>
      <c r="AK645" s="69">
        <v>5.9726470000000003</v>
      </c>
      <c r="AL645" s="69"/>
    </row>
    <row r="646" spans="1:38" x14ac:dyDescent="0.2">
      <c r="A646" s="10">
        <v>39692</v>
      </c>
      <c r="B646" s="69">
        <v>4.2877910000000004</v>
      </c>
      <c r="C646" s="69"/>
      <c r="D646" s="69">
        <v>7.4</v>
      </c>
      <c r="E646" s="69">
        <v>6.1</v>
      </c>
      <c r="F646" s="69">
        <v>7.3922439999999998</v>
      </c>
      <c r="G646" s="69">
        <v>4.4000000000000004</v>
      </c>
      <c r="H646" s="69">
        <v>7</v>
      </c>
      <c r="I646" s="69">
        <v>3.8</v>
      </c>
      <c r="J646" s="69">
        <v>12</v>
      </c>
      <c r="K646" s="69">
        <v>6.9</v>
      </c>
      <c r="L646" s="69">
        <v>6.7</v>
      </c>
      <c r="M646" s="69">
        <v>7.5</v>
      </c>
      <c r="N646" s="69">
        <v>5.9680809999999997</v>
      </c>
      <c r="O646" s="69">
        <v>7.7</v>
      </c>
      <c r="P646" s="69">
        <v>7.6</v>
      </c>
      <c r="Q646" s="69">
        <v>7.8</v>
      </c>
      <c r="R646" s="69">
        <v>4</v>
      </c>
      <c r="S646" s="69"/>
      <c r="T646" s="69">
        <v>6.8</v>
      </c>
      <c r="U646" s="69">
        <v>4</v>
      </c>
      <c r="V646" s="69">
        <v>3.2</v>
      </c>
      <c r="W646" s="69">
        <v>5.0999999999999996</v>
      </c>
      <c r="X646" s="69">
        <v>8.5</v>
      </c>
      <c r="Y646" s="69">
        <v>3.9631449999999999</v>
      </c>
      <c r="Z646" s="69">
        <v>3.6</v>
      </c>
      <c r="AA646" s="69">
        <v>2.9</v>
      </c>
      <c r="AB646" s="69">
        <v>8.152196</v>
      </c>
      <c r="AC646" s="69">
        <v>6.7</v>
      </c>
      <c r="AD646" s="69">
        <v>8.9</v>
      </c>
      <c r="AE646" s="69">
        <v>8.8000000000000007</v>
      </c>
      <c r="AF646" s="69">
        <v>4.2</v>
      </c>
      <c r="AG646" s="69">
        <v>6.4</v>
      </c>
      <c r="AH646" s="69">
        <v>10.199999999999999</v>
      </c>
      <c r="AI646" s="69">
        <v>6.1</v>
      </c>
      <c r="AJ646" s="69">
        <v>7.7</v>
      </c>
      <c r="AK646" s="69">
        <v>5.9788969999999999</v>
      </c>
      <c r="AL646" s="69"/>
    </row>
    <row r="647" spans="1:38" x14ac:dyDescent="0.2">
      <c r="A647" s="10">
        <v>39722</v>
      </c>
      <c r="B647" s="69">
        <v>4.290184</v>
      </c>
      <c r="C647" s="69"/>
      <c r="D647" s="69">
        <v>6.9</v>
      </c>
      <c r="E647" s="69">
        <v>6.2</v>
      </c>
      <c r="F647" s="69">
        <v>7.7678409999999998</v>
      </c>
      <c r="G647" s="69">
        <v>4.0999999999999996</v>
      </c>
      <c r="H647" s="69">
        <v>7</v>
      </c>
      <c r="I647" s="69">
        <v>3.9</v>
      </c>
      <c r="J647" s="69">
        <v>12.9</v>
      </c>
      <c r="K647" s="69">
        <v>7</v>
      </c>
      <c r="L647" s="69">
        <v>6.3</v>
      </c>
      <c r="M647" s="69">
        <v>7.6</v>
      </c>
      <c r="N647" s="69">
        <v>6.1628730000000003</v>
      </c>
      <c r="O647" s="69">
        <v>7.6</v>
      </c>
      <c r="P647" s="69">
        <v>7.8</v>
      </c>
      <c r="Q647" s="69">
        <v>8.1</v>
      </c>
      <c r="R647" s="69">
        <v>4.4000000000000004</v>
      </c>
      <c r="S647" s="69"/>
      <c r="T647" s="69">
        <v>6.9</v>
      </c>
      <c r="U647" s="69">
        <v>3.8</v>
      </c>
      <c r="V647" s="69">
        <v>3.3</v>
      </c>
      <c r="W647" s="69">
        <v>5.2</v>
      </c>
      <c r="X647" s="69">
        <v>9.6999999999999993</v>
      </c>
      <c r="Y647" s="69">
        <v>3.9940099999999998</v>
      </c>
      <c r="Z647" s="69">
        <v>3.6</v>
      </c>
      <c r="AA647" s="69">
        <v>3</v>
      </c>
      <c r="AB647" s="69">
        <v>8.1139690000000009</v>
      </c>
      <c r="AC647" s="69">
        <v>6.6</v>
      </c>
      <c r="AD647" s="69">
        <v>8.9</v>
      </c>
      <c r="AE647" s="69">
        <v>8.6999999999999993</v>
      </c>
      <c r="AF647" s="69">
        <v>4.2</v>
      </c>
      <c r="AG647" s="69">
        <v>6.3</v>
      </c>
      <c r="AH647" s="69">
        <v>10.6</v>
      </c>
      <c r="AI647" s="69">
        <v>6.5</v>
      </c>
      <c r="AJ647" s="69">
        <v>7.8</v>
      </c>
      <c r="AK647" s="69">
        <v>6.1344440000000002</v>
      </c>
      <c r="AL647" s="69"/>
    </row>
    <row r="648" spans="1:38" x14ac:dyDescent="0.2">
      <c r="A648" s="10">
        <v>39753</v>
      </c>
      <c r="B648" s="69">
        <v>4.4628990000000002</v>
      </c>
      <c r="C648" s="69"/>
      <c r="D648" s="69">
        <v>6.7</v>
      </c>
      <c r="E648" s="69">
        <v>6.6</v>
      </c>
      <c r="F648" s="69">
        <v>8.1459639999999993</v>
      </c>
      <c r="G648" s="69">
        <v>4.3</v>
      </c>
      <c r="H648" s="69">
        <v>7.1</v>
      </c>
      <c r="I648" s="69">
        <v>4.2</v>
      </c>
      <c r="J648" s="69">
        <v>13.8</v>
      </c>
      <c r="K648" s="69">
        <v>7.6</v>
      </c>
      <c r="L648" s="69">
        <v>6.7</v>
      </c>
      <c r="M648" s="69">
        <v>7.8</v>
      </c>
      <c r="N648" s="69">
        <v>6.3529289999999996</v>
      </c>
      <c r="O648" s="69">
        <v>7.8</v>
      </c>
      <c r="P648" s="69">
        <v>8.1</v>
      </c>
      <c r="Q648" s="69">
        <v>8.5</v>
      </c>
      <c r="R648" s="69">
        <v>4.9000000000000004</v>
      </c>
      <c r="S648" s="69"/>
      <c r="T648" s="69">
        <v>7.1</v>
      </c>
      <c r="U648" s="69">
        <v>4</v>
      </c>
      <c r="V648" s="69">
        <v>3.4</v>
      </c>
      <c r="W648" s="69">
        <v>5.2</v>
      </c>
      <c r="X648" s="69">
        <v>10.6</v>
      </c>
      <c r="Y648" s="69">
        <v>4.6551689999999999</v>
      </c>
      <c r="Z648" s="69">
        <v>3.6</v>
      </c>
      <c r="AA648" s="69">
        <v>3.1</v>
      </c>
      <c r="AB648" s="69">
        <v>8.0866199999999999</v>
      </c>
      <c r="AC648" s="69">
        <v>6.8</v>
      </c>
      <c r="AD648" s="69">
        <v>8.9</v>
      </c>
      <c r="AE648" s="69">
        <v>8.9</v>
      </c>
      <c r="AF648" s="69">
        <v>4.3</v>
      </c>
      <c r="AG648" s="69">
        <v>7</v>
      </c>
      <c r="AH648" s="69">
        <v>11.5</v>
      </c>
      <c r="AI648" s="69">
        <v>6.8</v>
      </c>
      <c r="AJ648" s="69">
        <v>8.1</v>
      </c>
      <c r="AK648" s="69">
        <v>6.3732449999999998</v>
      </c>
      <c r="AL648" s="69"/>
    </row>
    <row r="649" spans="1:38" x14ac:dyDescent="0.2">
      <c r="A649" s="10">
        <v>39783</v>
      </c>
      <c r="B649" s="69">
        <v>4.5707589999999998</v>
      </c>
      <c r="C649" s="69"/>
      <c r="D649" s="69">
        <v>6.9</v>
      </c>
      <c r="E649" s="69">
        <v>6.9</v>
      </c>
      <c r="F649" s="69">
        <v>8.6247430000000005</v>
      </c>
      <c r="G649" s="69">
        <v>4.8</v>
      </c>
      <c r="H649" s="69">
        <v>7.2</v>
      </c>
      <c r="I649" s="69">
        <v>4.7</v>
      </c>
      <c r="J649" s="69">
        <v>14.8</v>
      </c>
      <c r="K649" s="69">
        <v>9.3000000000000007</v>
      </c>
      <c r="L649" s="69">
        <v>6.7</v>
      </c>
      <c r="M649" s="69">
        <v>8</v>
      </c>
      <c r="N649" s="69">
        <v>6.511285</v>
      </c>
      <c r="O649" s="69">
        <v>8.6</v>
      </c>
      <c r="P649" s="69">
        <v>8.4</v>
      </c>
      <c r="Q649" s="69">
        <v>9.1</v>
      </c>
      <c r="R649" s="69">
        <v>5.4</v>
      </c>
      <c r="S649" s="69"/>
      <c r="T649" s="69">
        <v>6.9</v>
      </c>
      <c r="U649" s="69">
        <v>4.4000000000000004</v>
      </c>
      <c r="V649" s="69">
        <v>3.4</v>
      </c>
      <c r="W649" s="69">
        <v>5.3</v>
      </c>
      <c r="X649" s="69">
        <v>11.3</v>
      </c>
      <c r="Y649" s="69">
        <v>4.8339569999999998</v>
      </c>
      <c r="Z649" s="69">
        <v>3.7</v>
      </c>
      <c r="AA649" s="69">
        <v>3.1</v>
      </c>
      <c r="AB649" s="69">
        <v>8.0986460000000005</v>
      </c>
      <c r="AC649" s="69">
        <v>7</v>
      </c>
      <c r="AD649" s="69">
        <v>9.1999999999999993</v>
      </c>
      <c r="AE649" s="69">
        <v>9.1</v>
      </c>
      <c r="AF649" s="69">
        <v>4.3</v>
      </c>
      <c r="AG649" s="69">
        <v>6.8</v>
      </c>
      <c r="AH649" s="69">
        <v>12</v>
      </c>
      <c r="AI649" s="69">
        <v>7.3</v>
      </c>
      <c r="AJ649" s="69">
        <v>8.3000000000000007</v>
      </c>
      <c r="AK649" s="69">
        <v>6.6910619999999996</v>
      </c>
      <c r="AL649" s="69"/>
    </row>
    <row r="650" spans="1:38" x14ac:dyDescent="0.2">
      <c r="A650" s="10">
        <v>39814</v>
      </c>
      <c r="B650" s="69">
        <v>4.907489</v>
      </c>
      <c r="C650" s="69"/>
      <c r="D650" s="69">
        <v>7.5</v>
      </c>
      <c r="E650" s="69">
        <v>7.4</v>
      </c>
      <c r="F650" s="69">
        <v>9.0791409999999999</v>
      </c>
      <c r="G650" s="69">
        <v>5.3</v>
      </c>
      <c r="H650" s="69">
        <v>7.3</v>
      </c>
      <c r="I650" s="69">
        <v>4.9000000000000004</v>
      </c>
      <c r="J650" s="69">
        <v>15.9</v>
      </c>
      <c r="K650" s="69">
        <v>10.199999999999999</v>
      </c>
      <c r="L650" s="69">
        <v>6.7</v>
      </c>
      <c r="M650" s="69">
        <v>8.3000000000000007</v>
      </c>
      <c r="N650" s="69">
        <v>6.7444839999999999</v>
      </c>
      <c r="O650" s="69">
        <v>9</v>
      </c>
      <c r="P650" s="69">
        <v>8.6999999999999993</v>
      </c>
      <c r="Q650" s="69">
        <v>10.1</v>
      </c>
      <c r="R650" s="69">
        <v>6.1</v>
      </c>
      <c r="S650" s="69"/>
      <c r="T650" s="69">
        <v>7.2</v>
      </c>
      <c r="U650" s="69">
        <v>4.3</v>
      </c>
      <c r="V650" s="69">
        <v>3.3</v>
      </c>
      <c r="W650" s="69">
        <v>5.4</v>
      </c>
      <c r="X650" s="69">
        <v>12.4</v>
      </c>
      <c r="Y650" s="69">
        <v>4.7794850000000002</v>
      </c>
      <c r="Z650" s="69">
        <v>3.7</v>
      </c>
      <c r="AA650" s="69">
        <v>3.1</v>
      </c>
      <c r="AB650" s="69">
        <v>8.0635169999999992</v>
      </c>
      <c r="AC650" s="69">
        <v>7.4</v>
      </c>
      <c r="AD650" s="69">
        <v>9.5</v>
      </c>
      <c r="AE650" s="69">
        <v>9.6</v>
      </c>
      <c r="AF650" s="69">
        <v>4.5999999999999996</v>
      </c>
      <c r="AG650" s="69">
        <v>6.8</v>
      </c>
      <c r="AH650" s="69">
        <v>12.6</v>
      </c>
      <c r="AI650" s="69">
        <v>7.8</v>
      </c>
      <c r="AJ650" s="69">
        <v>8.6999999999999993</v>
      </c>
      <c r="AK650" s="69">
        <v>6.994434</v>
      </c>
      <c r="AL650" s="69"/>
    </row>
    <row r="651" spans="1:38" x14ac:dyDescent="0.2">
      <c r="A651" s="10">
        <v>39845</v>
      </c>
      <c r="B651" s="69">
        <v>5.3090679999999999</v>
      </c>
      <c r="C651" s="69"/>
      <c r="D651" s="69">
        <v>7.8</v>
      </c>
      <c r="E651" s="69">
        <v>8</v>
      </c>
      <c r="F651" s="69">
        <v>9.3785849999999993</v>
      </c>
      <c r="G651" s="69">
        <v>5.6</v>
      </c>
      <c r="H651" s="69">
        <v>7.5</v>
      </c>
      <c r="I651" s="69">
        <v>5.0999999999999996</v>
      </c>
      <c r="J651" s="69">
        <v>16.8</v>
      </c>
      <c r="K651" s="69">
        <v>11</v>
      </c>
      <c r="L651" s="69">
        <v>7.2</v>
      </c>
      <c r="M651" s="69">
        <v>8.6</v>
      </c>
      <c r="N651" s="69">
        <v>7.0716859999999997</v>
      </c>
      <c r="O651" s="69">
        <v>9.1</v>
      </c>
      <c r="P651" s="69">
        <v>9.3000000000000007</v>
      </c>
      <c r="Q651" s="69">
        <v>10.9</v>
      </c>
      <c r="R651" s="69">
        <v>6.7</v>
      </c>
      <c r="S651" s="69"/>
      <c r="T651" s="69">
        <v>7.3</v>
      </c>
      <c r="U651" s="69">
        <v>4.5999999999999996</v>
      </c>
      <c r="V651" s="69">
        <v>3.3</v>
      </c>
      <c r="W651" s="69">
        <v>5.4</v>
      </c>
      <c r="X651" s="69">
        <v>13.7</v>
      </c>
      <c r="Y651" s="69">
        <v>5.2008219999999996</v>
      </c>
      <c r="Z651" s="69">
        <v>3.8</v>
      </c>
      <c r="AA651" s="69">
        <v>3</v>
      </c>
      <c r="AB651" s="69">
        <v>8.0879630000000002</v>
      </c>
      <c r="AC651" s="69">
        <v>7.7</v>
      </c>
      <c r="AD651" s="69">
        <v>9.6999999999999993</v>
      </c>
      <c r="AE651" s="69">
        <v>10.199999999999999</v>
      </c>
      <c r="AF651" s="69">
        <v>4.9000000000000004</v>
      </c>
      <c r="AG651" s="69">
        <v>7.7</v>
      </c>
      <c r="AH651" s="69">
        <v>13</v>
      </c>
      <c r="AI651" s="69">
        <v>8.3000000000000007</v>
      </c>
      <c r="AJ651" s="69">
        <v>9</v>
      </c>
      <c r="AK651" s="69">
        <v>7.3763969999999999</v>
      </c>
      <c r="AL651" s="69"/>
    </row>
    <row r="652" spans="1:38" x14ac:dyDescent="0.2">
      <c r="A652" s="10">
        <v>39873</v>
      </c>
      <c r="B652" s="69">
        <v>5.7126770000000002</v>
      </c>
      <c r="C652" s="69"/>
      <c r="D652" s="69">
        <v>8</v>
      </c>
      <c r="E652" s="69">
        <v>8.1999999999999993</v>
      </c>
      <c r="F652" s="69">
        <v>9.8735599999999994</v>
      </c>
      <c r="G652" s="69">
        <v>5.9</v>
      </c>
      <c r="H652" s="69">
        <v>7.6</v>
      </c>
      <c r="I652" s="69">
        <v>5.5</v>
      </c>
      <c r="J652" s="69">
        <v>17.5</v>
      </c>
      <c r="K652" s="69">
        <v>11.9</v>
      </c>
      <c r="L652" s="69">
        <v>7.6</v>
      </c>
      <c r="M652" s="69">
        <v>8.8000000000000007</v>
      </c>
      <c r="N652" s="69">
        <v>7.2744359999999997</v>
      </c>
      <c r="O652" s="69">
        <v>9.1999999999999993</v>
      </c>
      <c r="P652" s="69">
        <v>9.9</v>
      </c>
      <c r="Q652" s="69">
        <v>11.6</v>
      </c>
      <c r="R652" s="69">
        <v>7.2</v>
      </c>
      <c r="S652" s="69"/>
      <c r="T652" s="69">
        <v>7.7</v>
      </c>
      <c r="U652" s="69">
        <v>4.8</v>
      </c>
      <c r="V652" s="69">
        <v>3.5</v>
      </c>
      <c r="W652" s="69">
        <v>5.4</v>
      </c>
      <c r="X652" s="69">
        <v>14.9</v>
      </c>
      <c r="Y652" s="69">
        <v>5.0824400000000001</v>
      </c>
      <c r="Z652" s="69">
        <v>3.9</v>
      </c>
      <c r="AA652" s="69">
        <v>3.1</v>
      </c>
      <c r="AB652" s="69">
        <v>8.068778</v>
      </c>
      <c r="AC652" s="69">
        <v>7.9</v>
      </c>
      <c r="AD652" s="69">
        <v>10</v>
      </c>
      <c r="AE652" s="69">
        <v>10.7</v>
      </c>
      <c r="AF652" s="69">
        <v>5.2</v>
      </c>
      <c r="AG652" s="69">
        <v>7.8</v>
      </c>
      <c r="AH652" s="69">
        <v>13.7</v>
      </c>
      <c r="AI652" s="69">
        <v>8.6999999999999993</v>
      </c>
      <c r="AJ652" s="69">
        <v>9.3000000000000007</v>
      </c>
      <c r="AK652" s="69">
        <v>7.6665580000000002</v>
      </c>
      <c r="AL652" s="69"/>
    </row>
    <row r="653" spans="1:38" x14ac:dyDescent="0.2">
      <c r="A653" s="10">
        <v>39904</v>
      </c>
      <c r="B653" s="69">
        <v>5.5145280000000003</v>
      </c>
      <c r="C653" s="69"/>
      <c r="D653" s="69">
        <v>7.9</v>
      </c>
      <c r="E653" s="69">
        <v>8.3000000000000007</v>
      </c>
      <c r="F653" s="69">
        <v>9.9605800000000002</v>
      </c>
      <c r="G653" s="69">
        <v>6.3</v>
      </c>
      <c r="H653" s="69">
        <v>7.7</v>
      </c>
      <c r="I653" s="69">
        <v>5.9</v>
      </c>
      <c r="J653" s="69">
        <v>17.8</v>
      </c>
      <c r="K653" s="69">
        <v>12.5</v>
      </c>
      <c r="L653" s="69">
        <v>8</v>
      </c>
      <c r="M653" s="69">
        <v>9</v>
      </c>
      <c r="N653" s="69">
        <v>7.5899289999999997</v>
      </c>
      <c r="O653" s="69">
        <v>9.4</v>
      </c>
      <c r="P653" s="69">
        <v>9.4</v>
      </c>
      <c r="Q653" s="69">
        <v>12.2</v>
      </c>
      <c r="R653" s="69">
        <v>7.5</v>
      </c>
      <c r="S653" s="69"/>
      <c r="T653" s="69">
        <v>7.5</v>
      </c>
      <c r="U653" s="69">
        <v>5</v>
      </c>
      <c r="V653" s="69">
        <v>3.6</v>
      </c>
      <c r="W653" s="69">
        <v>5.3</v>
      </c>
      <c r="X653" s="69">
        <v>16</v>
      </c>
      <c r="Y653" s="69">
        <v>5.4083050000000004</v>
      </c>
      <c r="Z653" s="69">
        <v>4.0999999999999996</v>
      </c>
      <c r="AA653" s="69">
        <v>3.2</v>
      </c>
      <c r="AB653" s="69">
        <v>8.0142520000000008</v>
      </c>
      <c r="AC653" s="69">
        <v>7.9</v>
      </c>
      <c r="AD653" s="69">
        <v>10.3</v>
      </c>
      <c r="AE653" s="69">
        <v>11</v>
      </c>
      <c r="AF653" s="69">
        <v>5.5</v>
      </c>
      <c r="AG653" s="69">
        <v>7.8</v>
      </c>
      <c r="AH653" s="69">
        <v>14</v>
      </c>
      <c r="AI653" s="69">
        <v>9</v>
      </c>
      <c r="AJ653" s="69">
        <v>9.5</v>
      </c>
      <c r="AK653" s="69">
        <v>7.8425339999999997</v>
      </c>
      <c r="AL653" s="69"/>
    </row>
    <row r="654" spans="1:38" x14ac:dyDescent="0.2">
      <c r="A654" s="10">
        <v>39934</v>
      </c>
      <c r="B654" s="69">
        <v>5.8132809999999999</v>
      </c>
      <c r="C654" s="69"/>
      <c r="D654" s="69">
        <v>7.7</v>
      </c>
      <c r="E654" s="69">
        <v>8.6999999999999993</v>
      </c>
      <c r="F654" s="69">
        <v>10.24399</v>
      </c>
      <c r="G654" s="69">
        <v>6.5</v>
      </c>
      <c r="H654" s="69">
        <v>7.8</v>
      </c>
      <c r="I654" s="69">
        <v>6.5</v>
      </c>
      <c r="J654" s="69">
        <v>17.899999999999999</v>
      </c>
      <c r="K654" s="69">
        <v>12.9</v>
      </c>
      <c r="L654" s="69">
        <v>8.5</v>
      </c>
      <c r="M654" s="69">
        <v>9.1</v>
      </c>
      <c r="N654" s="69">
        <v>7.7638059999999998</v>
      </c>
      <c r="O654" s="69">
        <v>9.3000000000000007</v>
      </c>
      <c r="P654" s="69">
        <v>9.1999999999999993</v>
      </c>
      <c r="Q654" s="69">
        <v>12.7</v>
      </c>
      <c r="R654" s="69">
        <v>7.7</v>
      </c>
      <c r="S654" s="69"/>
      <c r="T654" s="69">
        <v>7.5</v>
      </c>
      <c r="U654" s="69">
        <v>5.0999999999999996</v>
      </c>
      <c r="V654" s="69">
        <v>3.9</v>
      </c>
      <c r="W654" s="69">
        <v>5.2</v>
      </c>
      <c r="X654" s="69">
        <v>17.100000000000001</v>
      </c>
      <c r="Y654" s="69">
        <v>5.6987500000000004</v>
      </c>
      <c r="Z654" s="69">
        <v>4.2</v>
      </c>
      <c r="AA654" s="69">
        <v>3.3</v>
      </c>
      <c r="AB654" s="69">
        <v>8.0998780000000004</v>
      </c>
      <c r="AC654" s="69">
        <v>7.9</v>
      </c>
      <c r="AD654" s="69">
        <v>10.5</v>
      </c>
      <c r="AE654" s="69">
        <v>11.4</v>
      </c>
      <c r="AF654" s="69">
        <v>5.8</v>
      </c>
      <c r="AG654" s="69">
        <v>8.9</v>
      </c>
      <c r="AH654" s="69">
        <v>13.8</v>
      </c>
      <c r="AI654" s="69">
        <v>9.4</v>
      </c>
      <c r="AJ654" s="69">
        <v>9.6</v>
      </c>
      <c r="AK654" s="69">
        <v>8.0959269999999997</v>
      </c>
      <c r="AL654" s="69"/>
    </row>
    <row r="655" spans="1:38" x14ac:dyDescent="0.2">
      <c r="A655" s="10">
        <v>39965</v>
      </c>
      <c r="B655" s="69">
        <v>5.8622430000000003</v>
      </c>
      <c r="C655" s="69"/>
      <c r="D655" s="69">
        <v>7.9</v>
      </c>
      <c r="E655" s="69">
        <v>8.6999999999999993</v>
      </c>
      <c r="F655" s="69">
        <v>10.17309</v>
      </c>
      <c r="G655" s="69">
        <v>6.6</v>
      </c>
      <c r="H655" s="69">
        <v>7.8</v>
      </c>
      <c r="I655" s="69">
        <v>6.3</v>
      </c>
      <c r="J655" s="69">
        <v>17.899999999999999</v>
      </c>
      <c r="K655" s="69">
        <v>13.1</v>
      </c>
      <c r="L655" s="69">
        <v>8.6999999999999993</v>
      </c>
      <c r="M655" s="69">
        <v>9.1</v>
      </c>
      <c r="N655" s="69">
        <v>7.8684609999999999</v>
      </c>
      <c r="O655" s="69">
        <v>9.1999999999999993</v>
      </c>
      <c r="P655" s="69">
        <v>9.5</v>
      </c>
      <c r="Q655" s="69">
        <v>12.9</v>
      </c>
      <c r="R655" s="69">
        <v>7.8</v>
      </c>
      <c r="S655" s="69"/>
      <c r="T655" s="69">
        <v>7.8</v>
      </c>
      <c r="U655" s="69">
        <v>5.2</v>
      </c>
      <c r="V655" s="69">
        <v>3.9</v>
      </c>
      <c r="W655" s="69">
        <v>5.3</v>
      </c>
      <c r="X655" s="69">
        <v>18.100000000000001</v>
      </c>
      <c r="Y655" s="69">
        <v>5.4081289999999997</v>
      </c>
      <c r="Z655" s="69">
        <v>4.3</v>
      </c>
      <c r="AA655" s="69">
        <v>3.3</v>
      </c>
      <c r="AB655" s="69">
        <v>8.0679639999999999</v>
      </c>
      <c r="AC655" s="69">
        <v>8</v>
      </c>
      <c r="AD655" s="69">
        <v>10.8</v>
      </c>
      <c r="AE655" s="69">
        <v>11.8</v>
      </c>
      <c r="AF655" s="69">
        <v>6.1</v>
      </c>
      <c r="AG655" s="69">
        <v>8.4</v>
      </c>
      <c r="AH655" s="69">
        <v>13.4</v>
      </c>
      <c r="AI655" s="69">
        <v>9.5</v>
      </c>
      <c r="AJ655" s="69">
        <v>9.6999999999999993</v>
      </c>
      <c r="AK655" s="69">
        <v>8.2079789999999999</v>
      </c>
      <c r="AL655" s="69"/>
    </row>
    <row r="656" spans="1:38" x14ac:dyDescent="0.2">
      <c r="A656" s="10">
        <v>39995</v>
      </c>
      <c r="B656" s="69">
        <v>5.6715900000000001</v>
      </c>
      <c r="C656" s="69"/>
      <c r="D656" s="69">
        <v>7.9</v>
      </c>
      <c r="E656" s="69">
        <v>8.6999999999999993</v>
      </c>
      <c r="F656" s="69">
        <v>10.131539999999999</v>
      </c>
      <c r="G656" s="69">
        <v>7</v>
      </c>
      <c r="H656" s="69">
        <v>7.9</v>
      </c>
      <c r="I656" s="69">
        <v>6.4</v>
      </c>
      <c r="J656" s="69">
        <v>18</v>
      </c>
      <c r="K656" s="69">
        <v>14</v>
      </c>
      <c r="L656" s="69">
        <v>8.6999999999999993</v>
      </c>
      <c r="M656" s="69">
        <v>9.1</v>
      </c>
      <c r="N656" s="69">
        <v>7.8701610000000004</v>
      </c>
      <c r="O656" s="69">
        <v>9.8000000000000007</v>
      </c>
      <c r="P656" s="69">
        <v>9.6</v>
      </c>
      <c r="Q656" s="69">
        <v>13</v>
      </c>
      <c r="R656" s="69">
        <v>7.9</v>
      </c>
      <c r="S656" s="69"/>
      <c r="T656" s="69">
        <v>8</v>
      </c>
      <c r="U656" s="69">
        <v>5.5</v>
      </c>
      <c r="V656" s="69">
        <v>3.8</v>
      </c>
      <c r="W656" s="69">
        <v>5.0999999999999996</v>
      </c>
      <c r="X656" s="69">
        <v>19</v>
      </c>
      <c r="Y656" s="69">
        <v>5.7154150000000001</v>
      </c>
      <c r="Z656" s="69">
        <v>4.5</v>
      </c>
      <c r="AA656" s="69">
        <v>3.3</v>
      </c>
      <c r="AB656" s="69">
        <v>8.0992090000000001</v>
      </c>
      <c r="AC656" s="69">
        <v>8.1999999999999993</v>
      </c>
      <c r="AD656" s="69">
        <v>11</v>
      </c>
      <c r="AE656" s="69">
        <v>12.3</v>
      </c>
      <c r="AF656" s="69">
        <v>6.4</v>
      </c>
      <c r="AG656" s="69">
        <v>8.4</v>
      </c>
      <c r="AH656" s="69">
        <v>13.1</v>
      </c>
      <c r="AI656" s="69">
        <v>9.5</v>
      </c>
      <c r="AJ656" s="69">
        <v>9.8000000000000007</v>
      </c>
      <c r="AK656" s="69">
        <v>8.2538040000000006</v>
      </c>
      <c r="AL656" s="69"/>
    </row>
    <row r="657" spans="1:38" x14ac:dyDescent="0.2">
      <c r="A657" s="10">
        <v>40026</v>
      </c>
      <c r="B657" s="69">
        <v>5.704917</v>
      </c>
      <c r="C657" s="69"/>
      <c r="D657" s="69">
        <v>8</v>
      </c>
      <c r="E657" s="69">
        <v>8.6</v>
      </c>
      <c r="F657" s="69">
        <v>9.7786460000000002</v>
      </c>
      <c r="G657" s="69">
        <v>7.5</v>
      </c>
      <c r="H657" s="69">
        <v>7.8</v>
      </c>
      <c r="I657" s="69">
        <v>6.8</v>
      </c>
      <c r="J657" s="69">
        <v>18.2</v>
      </c>
      <c r="K657" s="69">
        <v>14.4</v>
      </c>
      <c r="L657" s="69">
        <v>8.6</v>
      </c>
      <c r="M657" s="69">
        <v>9.1999999999999993</v>
      </c>
      <c r="N657" s="69">
        <v>7.8474199999999996</v>
      </c>
      <c r="O657" s="69">
        <v>9.9</v>
      </c>
      <c r="P657" s="69">
        <v>9.9</v>
      </c>
      <c r="Q657" s="69">
        <v>13.2</v>
      </c>
      <c r="R657" s="69">
        <v>7.9</v>
      </c>
      <c r="S657" s="69"/>
      <c r="T657" s="69">
        <v>8</v>
      </c>
      <c r="U657" s="69">
        <v>5.4</v>
      </c>
      <c r="V657" s="69">
        <v>3.8</v>
      </c>
      <c r="W657" s="69">
        <v>5</v>
      </c>
      <c r="X657" s="69">
        <v>19.5</v>
      </c>
      <c r="Y657" s="69">
        <v>5.8520050000000001</v>
      </c>
      <c r="Z657" s="69">
        <v>4.5999999999999996</v>
      </c>
      <c r="AA657" s="69">
        <v>3.3</v>
      </c>
      <c r="AB657" s="69">
        <v>8.1116139999999994</v>
      </c>
      <c r="AC657" s="69">
        <v>8.3000000000000007</v>
      </c>
      <c r="AD657" s="69">
        <v>11.2</v>
      </c>
      <c r="AE657" s="69">
        <v>12.7</v>
      </c>
      <c r="AF657" s="69">
        <v>6.5</v>
      </c>
      <c r="AG657" s="69">
        <v>8.8000000000000007</v>
      </c>
      <c r="AH657" s="69">
        <v>13.2</v>
      </c>
      <c r="AI657" s="69">
        <v>9.6</v>
      </c>
      <c r="AJ657" s="69">
        <v>9.9</v>
      </c>
      <c r="AK657" s="69">
        <v>8.2874859999999995</v>
      </c>
      <c r="AL657" s="69"/>
    </row>
    <row r="658" spans="1:38" x14ac:dyDescent="0.2">
      <c r="A658" s="10">
        <v>40057</v>
      </c>
      <c r="B658" s="69">
        <v>5.660139</v>
      </c>
      <c r="C658" s="69"/>
      <c r="D658" s="69">
        <v>8</v>
      </c>
      <c r="E658" s="69">
        <v>8.4</v>
      </c>
      <c r="F658" s="69">
        <v>9.5626890000000007</v>
      </c>
      <c r="G658" s="69">
        <v>7.4</v>
      </c>
      <c r="H658" s="69">
        <v>7.8</v>
      </c>
      <c r="I658" s="69">
        <v>7.3</v>
      </c>
      <c r="J658" s="69">
        <v>18.399999999999999</v>
      </c>
      <c r="K658" s="69">
        <v>14.2</v>
      </c>
      <c r="L658" s="69">
        <v>8.3000000000000007</v>
      </c>
      <c r="M658" s="69">
        <v>9.3000000000000007</v>
      </c>
      <c r="N658" s="69">
        <v>7.868379</v>
      </c>
      <c r="O658" s="69">
        <v>9.5</v>
      </c>
      <c r="P658" s="69">
        <v>10.5</v>
      </c>
      <c r="Q658" s="69">
        <v>13.7</v>
      </c>
      <c r="R658" s="69">
        <v>8</v>
      </c>
      <c r="S658" s="69"/>
      <c r="T658" s="69">
        <v>8.3000000000000007</v>
      </c>
      <c r="U658" s="69">
        <v>5.4</v>
      </c>
      <c r="V658" s="69">
        <v>3.6</v>
      </c>
      <c r="W658" s="69">
        <v>5</v>
      </c>
      <c r="X658" s="69">
        <v>19.7</v>
      </c>
      <c r="Y658" s="69">
        <v>5.9762399999999998</v>
      </c>
      <c r="Z658" s="69">
        <v>4.7</v>
      </c>
      <c r="AA658" s="69">
        <v>3.3</v>
      </c>
      <c r="AB658" s="69">
        <v>8.0813810000000004</v>
      </c>
      <c r="AC658" s="69">
        <v>8.4</v>
      </c>
      <c r="AD658" s="69">
        <v>11.3</v>
      </c>
      <c r="AE658" s="69">
        <v>13.2</v>
      </c>
      <c r="AF658" s="69">
        <v>6.5</v>
      </c>
      <c r="AG658" s="69">
        <v>8.8000000000000007</v>
      </c>
      <c r="AH658" s="69">
        <v>12.9</v>
      </c>
      <c r="AI658" s="69">
        <v>9.8000000000000007</v>
      </c>
      <c r="AJ658" s="69">
        <v>10</v>
      </c>
      <c r="AK658" s="69">
        <v>8.3682780000000001</v>
      </c>
      <c r="AL658" s="69"/>
    </row>
    <row r="659" spans="1:38" x14ac:dyDescent="0.2">
      <c r="A659" s="10">
        <v>40087</v>
      </c>
      <c r="B659" s="69">
        <v>5.623659</v>
      </c>
      <c r="C659" s="69"/>
      <c r="D659" s="69">
        <v>7.9</v>
      </c>
      <c r="E659" s="69">
        <v>8.5</v>
      </c>
      <c r="F659" s="69">
        <v>9.4390339999999995</v>
      </c>
      <c r="G659" s="69">
        <v>7.3</v>
      </c>
      <c r="H659" s="69">
        <v>7.7</v>
      </c>
      <c r="I659" s="69">
        <v>7.5</v>
      </c>
      <c r="J659" s="69">
        <v>18.600000000000001</v>
      </c>
      <c r="K659" s="69">
        <v>15.2</v>
      </c>
      <c r="L659" s="69">
        <v>8.9</v>
      </c>
      <c r="M659" s="69">
        <v>9.5</v>
      </c>
      <c r="N659" s="69">
        <v>7.7812219999999996</v>
      </c>
      <c r="O659" s="69">
        <v>10.3</v>
      </c>
      <c r="P659" s="69">
        <v>9.6</v>
      </c>
      <c r="Q659" s="69">
        <v>13.8</v>
      </c>
      <c r="R659" s="69">
        <v>8.1</v>
      </c>
      <c r="S659" s="69"/>
      <c r="T659" s="69">
        <v>8.3000000000000007</v>
      </c>
      <c r="U659" s="69">
        <v>5.2</v>
      </c>
      <c r="V659" s="69">
        <v>3.6</v>
      </c>
      <c r="W659" s="69">
        <v>5</v>
      </c>
      <c r="X659" s="69">
        <v>20</v>
      </c>
      <c r="Y659" s="69">
        <v>5.818136</v>
      </c>
      <c r="Z659" s="69">
        <v>4.7</v>
      </c>
      <c r="AA659" s="69">
        <v>3.4</v>
      </c>
      <c r="AB659" s="69">
        <v>8.094144</v>
      </c>
      <c r="AC659" s="69">
        <v>8.4</v>
      </c>
      <c r="AD659" s="69">
        <v>11.3</v>
      </c>
      <c r="AE659" s="69">
        <v>13.7</v>
      </c>
      <c r="AF659" s="69">
        <v>6.5</v>
      </c>
      <c r="AG659" s="69">
        <v>8.6999999999999993</v>
      </c>
      <c r="AH659" s="69">
        <v>12.5</v>
      </c>
      <c r="AI659" s="69">
        <v>10</v>
      </c>
      <c r="AJ659" s="69">
        <v>10.1</v>
      </c>
      <c r="AK659" s="69">
        <v>8.4355799999999999</v>
      </c>
      <c r="AL659" s="69"/>
    </row>
    <row r="660" spans="1:38" x14ac:dyDescent="0.2">
      <c r="A660" s="10">
        <v>40118</v>
      </c>
      <c r="B660" s="69">
        <v>5.5583229999999997</v>
      </c>
      <c r="C660" s="69"/>
      <c r="D660" s="69">
        <v>8</v>
      </c>
      <c r="E660" s="69">
        <v>8.5</v>
      </c>
      <c r="F660" s="69">
        <v>9.3646270000000005</v>
      </c>
      <c r="G660" s="69">
        <v>7.4</v>
      </c>
      <c r="H660" s="69">
        <v>7.6</v>
      </c>
      <c r="I660" s="69">
        <v>7.2</v>
      </c>
      <c r="J660" s="69">
        <v>18.7</v>
      </c>
      <c r="K660" s="69">
        <v>15.6</v>
      </c>
      <c r="L660" s="69">
        <v>9.1999999999999993</v>
      </c>
      <c r="M660" s="69">
        <v>9.5</v>
      </c>
      <c r="N660" s="69">
        <v>7.7726860000000002</v>
      </c>
      <c r="O660" s="69">
        <v>10.8</v>
      </c>
      <c r="P660" s="69">
        <v>10.3</v>
      </c>
      <c r="Q660" s="69">
        <v>13.9</v>
      </c>
      <c r="R660" s="69">
        <v>8.1999999999999993</v>
      </c>
      <c r="S660" s="69"/>
      <c r="T660" s="69">
        <v>8.4</v>
      </c>
      <c r="U660" s="69">
        <v>5.2</v>
      </c>
      <c r="V660" s="69">
        <v>3.7</v>
      </c>
      <c r="W660" s="69">
        <v>4.9000000000000004</v>
      </c>
      <c r="X660" s="69">
        <v>20.3</v>
      </c>
      <c r="Y660" s="69">
        <v>5.4890739999999996</v>
      </c>
      <c r="Z660" s="69">
        <v>4.9000000000000004</v>
      </c>
      <c r="AA660" s="69">
        <v>3.5</v>
      </c>
      <c r="AB660" s="69">
        <v>8.0683980000000002</v>
      </c>
      <c r="AC660" s="69">
        <v>8.6</v>
      </c>
      <c r="AD660" s="69">
        <v>11.2</v>
      </c>
      <c r="AE660" s="69">
        <v>14.1</v>
      </c>
      <c r="AF660" s="69">
        <v>6.4</v>
      </c>
      <c r="AG660" s="69">
        <v>8.6999999999999993</v>
      </c>
      <c r="AH660" s="69">
        <v>12.2</v>
      </c>
      <c r="AI660" s="69">
        <v>9.9</v>
      </c>
      <c r="AJ660" s="69">
        <v>10.1</v>
      </c>
      <c r="AK660" s="69">
        <v>8.3987180000000006</v>
      </c>
      <c r="AL660" s="69"/>
    </row>
    <row r="661" spans="1:38" x14ac:dyDescent="0.2">
      <c r="A661" s="10">
        <v>40148</v>
      </c>
      <c r="B661" s="69">
        <v>5.4915880000000001</v>
      </c>
      <c r="C661" s="69"/>
      <c r="D661" s="69">
        <v>8.3000000000000007</v>
      </c>
      <c r="E661" s="69">
        <v>8.5</v>
      </c>
      <c r="F661" s="69">
        <v>9.3075589999999995</v>
      </c>
      <c r="G661" s="69">
        <v>7.3</v>
      </c>
      <c r="H661" s="69">
        <v>7.5</v>
      </c>
      <c r="I661" s="69">
        <v>7.2</v>
      </c>
      <c r="J661" s="69">
        <v>18.899999999999999</v>
      </c>
      <c r="K661" s="69">
        <v>16.899999999999999</v>
      </c>
      <c r="L661" s="69">
        <v>8.6</v>
      </c>
      <c r="M661" s="69">
        <v>9.5</v>
      </c>
      <c r="N661" s="69">
        <v>7.7291489999999996</v>
      </c>
      <c r="O661" s="69">
        <v>10.1</v>
      </c>
      <c r="P661" s="69">
        <v>10.3</v>
      </c>
      <c r="Q661" s="69">
        <v>13.8</v>
      </c>
      <c r="R661" s="69">
        <v>8.1999999999999993</v>
      </c>
      <c r="S661" s="69"/>
      <c r="T661" s="69">
        <v>8.5</v>
      </c>
      <c r="U661" s="69">
        <v>5.2</v>
      </c>
      <c r="V661" s="69">
        <v>3.6</v>
      </c>
      <c r="W661" s="69">
        <v>4.8</v>
      </c>
      <c r="X661" s="69">
        <v>20.6</v>
      </c>
      <c r="Y661" s="69">
        <v>5.3612659999999996</v>
      </c>
      <c r="Z661" s="69">
        <v>5</v>
      </c>
      <c r="AA661" s="69">
        <v>3.6</v>
      </c>
      <c r="AB661" s="69">
        <v>8.0407150000000005</v>
      </c>
      <c r="AC661" s="69">
        <v>9</v>
      </c>
      <c r="AD661" s="69">
        <v>11.3</v>
      </c>
      <c r="AE661" s="69">
        <v>14.4</v>
      </c>
      <c r="AF661" s="69">
        <v>6.4</v>
      </c>
      <c r="AG661" s="69">
        <v>9</v>
      </c>
      <c r="AH661" s="69">
        <v>12</v>
      </c>
      <c r="AI661" s="69">
        <v>9.9</v>
      </c>
      <c r="AJ661" s="69">
        <v>10.199999999999999</v>
      </c>
      <c r="AK661" s="69">
        <v>8.3569300000000002</v>
      </c>
      <c r="AL661" s="69"/>
    </row>
    <row r="662" spans="1:38" x14ac:dyDescent="0.2">
      <c r="A662" s="10">
        <v>40179</v>
      </c>
      <c r="B662" s="69">
        <v>5.265917</v>
      </c>
      <c r="C662" s="69"/>
      <c r="D662" s="69">
        <v>8.6</v>
      </c>
      <c r="E662" s="69">
        <v>8.3000000000000007</v>
      </c>
      <c r="F662" s="69">
        <v>9.0529469999999996</v>
      </c>
      <c r="G662" s="69">
        <v>7.8</v>
      </c>
      <c r="H662" s="69">
        <v>7.4</v>
      </c>
      <c r="I662" s="69">
        <v>7.3</v>
      </c>
      <c r="J662" s="69">
        <v>19.2</v>
      </c>
      <c r="K662" s="69">
        <v>18.2</v>
      </c>
      <c r="L662" s="69">
        <v>9</v>
      </c>
      <c r="M662" s="69">
        <v>9.3000000000000007</v>
      </c>
      <c r="N662" s="69">
        <v>7.9196520000000001</v>
      </c>
      <c r="O662" s="69">
        <v>11.2</v>
      </c>
      <c r="P662" s="69">
        <v>10.7</v>
      </c>
      <c r="Q662" s="69">
        <v>13.8</v>
      </c>
      <c r="R662" s="69">
        <v>8.3000000000000007</v>
      </c>
      <c r="S662" s="69"/>
      <c r="T662" s="69">
        <v>8.6</v>
      </c>
      <c r="U662" s="69">
        <v>5</v>
      </c>
      <c r="V662" s="69">
        <v>4.7</v>
      </c>
      <c r="W662" s="69">
        <v>4.5999999999999996</v>
      </c>
      <c r="X662" s="69">
        <v>20.5</v>
      </c>
      <c r="Y662" s="69">
        <v>5.6127089999999997</v>
      </c>
      <c r="Z662" s="69">
        <v>5.0999999999999996</v>
      </c>
      <c r="AA662" s="69">
        <v>3.6</v>
      </c>
      <c r="AB662" s="69">
        <v>8.077064</v>
      </c>
      <c r="AC662" s="69">
        <v>9.9</v>
      </c>
      <c r="AD662" s="69">
        <v>11.2</v>
      </c>
      <c r="AE662" s="69">
        <v>14.9</v>
      </c>
      <c r="AF662" s="69">
        <v>6.6</v>
      </c>
      <c r="AG662" s="69">
        <v>9.1</v>
      </c>
      <c r="AH662" s="69">
        <v>12.2</v>
      </c>
      <c r="AI662" s="69">
        <v>9.8000000000000007</v>
      </c>
      <c r="AJ662" s="69">
        <v>10.199999999999999</v>
      </c>
      <c r="AK662" s="69">
        <v>8.2999460000000003</v>
      </c>
      <c r="AL662" s="69"/>
    </row>
    <row r="663" spans="1:38" x14ac:dyDescent="0.2">
      <c r="A663" s="10">
        <v>40210</v>
      </c>
      <c r="B663" s="69">
        <v>5.3084369999999996</v>
      </c>
      <c r="C663" s="69"/>
      <c r="D663" s="69">
        <v>8.6</v>
      </c>
      <c r="E663" s="69">
        <v>8.3000000000000007</v>
      </c>
      <c r="F663" s="69">
        <v>9.3637350000000001</v>
      </c>
      <c r="G663" s="69">
        <v>7.9</v>
      </c>
      <c r="H663" s="69">
        <v>7.3</v>
      </c>
      <c r="I663" s="69">
        <v>7.7</v>
      </c>
      <c r="J663" s="69">
        <v>19.3</v>
      </c>
      <c r="K663" s="69">
        <v>19.100000000000001</v>
      </c>
      <c r="L663" s="69">
        <v>8.6999999999999993</v>
      </c>
      <c r="M663" s="69">
        <v>9.3000000000000007</v>
      </c>
      <c r="N663" s="69">
        <v>8.0095860000000005</v>
      </c>
      <c r="O663" s="69">
        <v>11.6</v>
      </c>
      <c r="P663" s="69">
        <v>11.6</v>
      </c>
      <c r="Q663" s="69">
        <v>13.7</v>
      </c>
      <c r="R663" s="69">
        <v>8.4</v>
      </c>
      <c r="S663" s="69"/>
      <c r="T663" s="69">
        <v>8.6999999999999993</v>
      </c>
      <c r="U663" s="69">
        <v>5</v>
      </c>
      <c r="V663" s="69">
        <v>4</v>
      </c>
      <c r="W663" s="69">
        <v>4.7</v>
      </c>
      <c r="X663" s="69">
        <v>20.399999999999999</v>
      </c>
      <c r="Y663" s="69">
        <v>5.396001</v>
      </c>
      <c r="Z663" s="69">
        <v>5.0999999999999996</v>
      </c>
      <c r="AA663" s="69">
        <v>3.9</v>
      </c>
      <c r="AB663" s="69">
        <v>8.1320519999999998</v>
      </c>
      <c r="AC663" s="69">
        <v>9.9</v>
      </c>
      <c r="AD663" s="69">
        <v>11.5</v>
      </c>
      <c r="AE663" s="69">
        <v>15</v>
      </c>
      <c r="AF663" s="69">
        <v>6.7</v>
      </c>
      <c r="AG663" s="69">
        <v>8.9</v>
      </c>
      <c r="AH663" s="69">
        <v>12</v>
      </c>
      <c r="AI663" s="69">
        <v>9.8000000000000007</v>
      </c>
      <c r="AJ663" s="69">
        <v>10.3</v>
      </c>
      <c r="AK663" s="69">
        <v>8.3123710000000006</v>
      </c>
      <c r="AL663" s="69"/>
    </row>
    <row r="664" spans="1:38" x14ac:dyDescent="0.2">
      <c r="A664" s="10">
        <v>40238</v>
      </c>
      <c r="B664" s="69">
        <v>5.42326</v>
      </c>
      <c r="C664" s="69"/>
      <c r="D664" s="69">
        <v>8.5</v>
      </c>
      <c r="E664" s="69">
        <v>8.3000000000000007</v>
      </c>
      <c r="F664" s="69">
        <v>8.8720459999999992</v>
      </c>
      <c r="G664" s="69">
        <v>7.6</v>
      </c>
      <c r="H664" s="69">
        <v>7.3</v>
      </c>
      <c r="I664" s="69">
        <v>7.9</v>
      </c>
      <c r="J664" s="69">
        <v>19.5</v>
      </c>
      <c r="K664" s="69">
        <v>19.399999999999999</v>
      </c>
      <c r="L664" s="69">
        <v>8.3000000000000007</v>
      </c>
      <c r="M664" s="69">
        <v>9.3000000000000007</v>
      </c>
      <c r="N664" s="69">
        <v>7.952375</v>
      </c>
      <c r="O664" s="69">
        <v>11.4</v>
      </c>
      <c r="P664" s="69">
        <v>11.5</v>
      </c>
      <c r="Q664" s="69">
        <v>13.9</v>
      </c>
      <c r="R664" s="69">
        <v>8.4</v>
      </c>
      <c r="S664" s="69"/>
      <c r="T664" s="69">
        <v>8.6</v>
      </c>
      <c r="U664" s="69">
        <v>5.0999999999999996</v>
      </c>
      <c r="V664" s="69">
        <v>3.6</v>
      </c>
      <c r="W664" s="69">
        <v>4.5999999999999996</v>
      </c>
      <c r="X664" s="69">
        <v>20.5</v>
      </c>
      <c r="Y664" s="69">
        <v>5.1822030000000003</v>
      </c>
      <c r="Z664" s="69">
        <v>5.0999999999999996</v>
      </c>
      <c r="AA664" s="69">
        <v>3.8</v>
      </c>
      <c r="AB664" s="69">
        <v>8.1703440000000001</v>
      </c>
      <c r="AC664" s="69">
        <v>9.9</v>
      </c>
      <c r="AD664" s="69">
        <v>11.6</v>
      </c>
      <c r="AE664" s="69">
        <v>14.9</v>
      </c>
      <c r="AF664" s="69">
        <v>6.9</v>
      </c>
      <c r="AG664" s="69">
        <v>8.8000000000000007</v>
      </c>
      <c r="AH664" s="69">
        <v>12</v>
      </c>
      <c r="AI664" s="69">
        <v>9.9</v>
      </c>
      <c r="AJ664" s="69">
        <v>10.3</v>
      </c>
      <c r="AK664" s="69">
        <v>8.3314550000000001</v>
      </c>
      <c r="AL664" s="69"/>
    </row>
    <row r="665" spans="1:38" x14ac:dyDescent="0.2">
      <c r="A665" s="10">
        <v>40269</v>
      </c>
      <c r="B665" s="69">
        <v>5.498812</v>
      </c>
      <c r="C665" s="69"/>
      <c r="D665" s="69">
        <v>8.4</v>
      </c>
      <c r="E665" s="69">
        <v>8.1999999999999993</v>
      </c>
      <c r="F665" s="69">
        <v>8.8064719999999994</v>
      </c>
      <c r="G665" s="69">
        <v>7.4</v>
      </c>
      <c r="H665" s="69">
        <v>7.2</v>
      </c>
      <c r="I665" s="69">
        <v>7.9</v>
      </c>
      <c r="J665" s="69">
        <v>19.8</v>
      </c>
      <c r="K665" s="69">
        <v>18.899999999999999</v>
      </c>
      <c r="L665" s="69">
        <v>8.5</v>
      </c>
      <c r="M665" s="69">
        <v>9.3000000000000007</v>
      </c>
      <c r="N665" s="69">
        <v>7.9228870000000002</v>
      </c>
      <c r="O665" s="69">
        <v>12</v>
      </c>
      <c r="P665" s="69">
        <v>10.8</v>
      </c>
      <c r="Q665" s="69">
        <v>14.2</v>
      </c>
      <c r="R665" s="69">
        <v>8.4</v>
      </c>
      <c r="S665" s="69"/>
      <c r="T665" s="69">
        <v>8.6999999999999993</v>
      </c>
      <c r="U665" s="69">
        <v>5.0999999999999996</v>
      </c>
      <c r="V665" s="69">
        <v>3.6</v>
      </c>
      <c r="W665" s="69">
        <v>4.5</v>
      </c>
      <c r="X665" s="69">
        <v>20.5</v>
      </c>
      <c r="Y665" s="69">
        <v>5.5123040000000003</v>
      </c>
      <c r="Z665" s="69">
        <v>5</v>
      </c>
      <c r="AA665" s="69">
        <v>3.9</v>
      </c>
      <c r="AB665" s="69">
        <v>8.2640130000000003</v>
      </c>
      <c r="AC665" s="69">
        <v>9.6999999999999993</v>
      </c>
      <c r="AD665" s="69">
        <v>11.9</v>
      </c>
      <c r="AE665" s="69">
        <v>14.8</v>
      </c>
      <c r="AF665" s="69">
        <v>7.2</v>
      </c>
      <c r="AG665" s="69">
        <v>9.3000000000000007</v>
      </c>
      <c r="AH665" s="69">
        <v>11.5</v>
      </c>
      <c r="AI665" s="69">
        <v>9.9</v>
      </c>
      <c r="AJ665" s="69">
        <v>10.3</v>
      </c>
      <c r="AK665" s="69">
        <v>8.3415160000000004</v>
      </c>
      <c r="AL665" s="69"/>
    </row>
    <row r="666" spans="1:38" x14ac:dyDescent="0.2">
      <c r="A666" s="10">
        <v>40299</v>
      </c>
      <c r="B666" s="69">
        <v>5.2308329999999996</v>
      </c>
      <c r="C666" s="69"/>
      <c r="D666" s="69">
        <v>8.4</v>
      </c>
      <c r="E666" s="69">
        <v>8.1</v>
      </c>
      <c r="F666" s="69">
        <v>8.2831519999999994</v>
      </c>
      <c r="G666" s="69">
        <v>7.4</v>
      </c>
      <c r="H666" s="69">
        <v>7</v>
      </c>
      <c r="I666" s="69">
        <v>7.7</v>
      </c>
      <c r="J666" s="69">
        <v>20</v>
      </c>
      <c r="K666" s="69">
        <v>18</v>
      </c>
      <c r="L666" s="69">
        <v>8.3000000000000007</v>
      </c>
      <c r="M666" s="69">
        <v>9.3000000000000007</v>
      </c>
      <c r="N666" s="69">
        <v>7.8523519999999998</v>
      </c>
      <c r="O666" s="69">
        <v>12.5</v>
      </c>
      <c r="P666" s="69">
        <v>11</v>
      </c>
      <c r="Q666" s="69">
        <v>14.5</v>
      </c>
      <c r="R666" s="69">
        <v>8.4</v>
      </c>
      <c r="S666" s="69"/>
      <c r="T666" s="69">
        <v>8.6999999999999993</v>
      </c>
      <c r="U666" s="69">
        <v>5.0999999999999996</v>
      </c>
      <c r="V666" s="69">
        <v>3.2</v>
      </c>
      <c r="W666" s="69">
        <v>4.4000000000000004</v>
      </c>
      <c r="X666" s="69">
        <v>20.3</v>
      </c>
      <c r="Y666" s="69">
        <v>5.4172140000000004</v>
      </c>
      <c r="Z666" s="69">
        <v>5</v>
      </c>
      <c r="AA666" s="69">
        <v>3.9</v>
      </c>
      <c r="AB666" s="69">
        <v>8.1757220000000004</v>
      </c>
      <c r="AC666" s="69">
        <v>9.6999999999999993</v>
      </c>
      <c r="AD666" s="69">
        <v>12.1</v>
      </c>
      <c r="AE666" s="69">
        <v>14.7</v>
      </c>
      <c r="AF666" s="69">
        <v>7.4</v>
      </c>
      <c r="AG666" s="69">
        <v>8.8000000000000007</v>
      </c>
      <c r="AH666" s="69">
        <v>11.2</v>
      </c>
      <c r="AI666" s="69">
        <v>9.6</v>
      </c>
      <c r="AJ666" s="69">
        <v>10.3</v>
      </c>
      <c r="AK666" s="69">
        <v>8.1951420000000006</v>
      </c>
      <c r="AL666" s="69"/>
    </row>
    <row r="667" spans="1:38" x14ac:dyDescent="0.2">
      <c r="A667" s="10">
        <v>40330</v>
      </c>
      <c r="B667" s="69">
        <v>5.1451190000000002</v>
      </c>
      <c r="C667" s="69"/>
      <c r="D667" s="69">
        <v>8.5</v>
      </c>
      <c r="E667" s="69">
        <v>8</v>
      </c>
      <c r="F667" s="69">
        <v>8.0703150000000008</v>
      </c>
      <c r="G667" s="69">
        <v>7.1</v>
      </c>
      <c r="H667" s="69">
        <v>6.9</v>
      </c>
      <c r="I667" s="69">
        <v>7.8</v>
      </c>
      <c r="J667" s="69">
        <v>20.100000000000001</v>
      </c>
      <c r="K667" s="69">
        <v>17</v>
      </c>
      <c r="L667" s="69">
        <v>8.5</v>
      </c>
      <c r="M667" s="69">
        <v>9.1999999999999993</v>
      </c>
      <c r="N667" s="69">
        <v>7.8203230000000001</v>
      </c>
      <c r="O667" s="69">
        <v>12.4</v>
      </c>
      <c r="P667" s="69">
        <v>11</v>
      </c>
      <c r="Q667" s="69">
        <v>14.4</v>
      </c>
      <c r="R667" s="69">
        <v>8.3000000000000007</v>
      </c>
      <c r="S667" s="69"/>
      <c r="T667" s="69">
        <v>8.5</v>
      </c>
      <c r="U667" s="69">
        <v>5.2</v>
      </c>
      <c r="V667" s="69">
        <v>3.5</v>
      </c>
      <c r="W667" s="69">
        <v>4.4000000000000004</v>
      </c>
      <c r="X667" s="69">
        <v>19.8</v>
      </c>
      <c r="Y667" s="69">
        <v>5.2249610000000004</v>
      </c>
      <c r="Z667" s="69">
        <v>5</v>
      </c>
      <c r="AA667" s="69">
        <v>3.8</v>
      </c>
      <c r="AB667" s="69">
        <v>8.1190770000000008</v>
      </c>
      <c r="AC667" s="69">
        <v>9.6</v>
      </c>
      <c r="AD667" s="69">
        <v>12.4</v>
      </c>
      <c r="AE667" s="69">
        <v>14.6</v>
      </c>
      <c r="AF667" s="69">
        <v>7.4</v>
      </c>
      <c r="AG667" s="69">
        <v>8.1999999999999993</v>
      </c>
      <c r="AH667" s="69">
        <v>10.9</v>
      </c>
      <c r="AI667" s="69">
        <v>9.4</v>
      </c>
      <c r="AJ667" s="69">
        <v>10.3</v>
      </c>
      <c r="AK667" s="69">
        <v>8.0706509999999998</v>
      </c>
      <c r="AL667" s="69"/>
    </row>
    <row r="668" spans="1:38" x14ac:dyDescent="0.2">
      <c r="A668" s="10">
        <v>40360</v>
      </c>
      <c r="B668" s="69">
        <v>5.2864430000000002</v>
      </c>
      <c r="C668" s="69"/>
      <c r="D668" s="69">
        <v>8.5</v>
      </c>
      <c r="E668" s="69">
        <v>8</v>
      </c>
      <c r="F668" s="69">
        <v>7.9744669999999998</v>
      </c>
      <c r="G668" s="69">
        <v>7.3</v>
      </c>
      <c r="H668" s="69">
        <v>6.8</v>
      </c>
      <c r="I668" s="69">
        <v>7.7</v>
      </c>
      <c r="J668" s="69">
        <v>19.899999999999999</v>
      </c>
      <c r="K668" s="69">
        <v>15.7</v>
      </c>
      <c r="L668" s="69">
        <v>8.6</v>
      </c>
      <c r="M668" s="69">
        <v>9.1999999999999993</v>
      </c>
      <c r="N668" s="69">
        <v>7.782019</v>
      </c>
      <c r="O668" s="69">
        <v>12.7</v>
      </c>
      <c r="P668" s="69">
        <v>10.199999999999999</v>
      </c>
      <c r="Q668" s="69">
        <v>14.3</v>
      </c>
      <c r="R668" s="69">
        <v>8.1999999999999993</v>
      </c>
      <c r="S668" s="69"/>
      <c r="T668" s="69">
        <v>8.5</v>
      </c>
      <c r="U668" s="69">
        <v>5</v>
      </c>
      <c r="V668" s="69">
        <v>3.8</v>
      </c>
      <c r="W668" s="69">
        <v>4.4000000000000004</v>
      </c>
      <c r="X668" s="69">
        <v>19.3</v>
      </c>
      <c r="Y668" s="69">
        <v>5.3284729999999998</v>
      </c>
      <c r="Z668" s="69">
        <v>5</v>
      </c>
      <c r="AA668" s="69">
        <v>3.8</v>
      </c>
      <c r="AB668" s="69">
        <v>8.1375460000000004</v>
      </c>
      <c r="AC668" s="69">
        <v>9.5</v>
      </c>
      <c r="AD668" s="69">
        <v>12.4</v>
      </c>
      <c r="AE668" s="69">
        <v>14.5</v>
      </c>
      <c r="AF668" s="69">
        <v>7.3</v>
      </c>
      <c r="AG668" s="69">
        <v>8.6999999999999993</v>
      </c>
      <c r="AH668" s="69">
        <v>10.7</v>
      </c>
      <c r="AI668" s="69">
        <v>9.4</v>
      </c>
      <c r="AJ668" s="69">
        <v>10.199999999999999</v>
      </c>
      <c r="AK668" s="69">
        <v>8.0401749999999996</v>
      </c>
      <c r="AL668" s="69"/>
    </row>
    <row r="669" spans="1:38" x14ac:dyDescent="0.2">
      <c r="A669" s="10">
        <v>40391</v>
      </c>
      <c r="B669" s="69">
        <v>5.0212349999999999</v>
      </c>
      <c r="C669" s="69"/>
      <c r="D669" s="69">
        <v>8.4</v>
      </c>
      <c r="E669" s="69">
        <v>8.1</v>
      </c>
      <c r="F669" s="69">
        <v>7.7843349999999996</v>
      </c>
      <c r="G669" s="69">
        <v>7.2</v>
      </c>
      <c r="H669" s="69">
        <v>6.8</v>
      </c>
      <c r="I669" s="69">
        <v>7.7</v>
      </c>
      <c r="J669" s="69">
        <v>20</v>
      </c>
      <c r="K669" s="69">
        <v>15.3</v>
      </c>
      <c r="L669" s="69">
        <v>8.4</v>
      </c>
      <c r="M669" s="69">
        <v>9.3000000000000007</v>
      </c>
      <c r="N669" s="69">
        <v>7.7546460000000002</v>
      </c>
      <c r="O669" s="69">
        <v>13.1</v>
      </c>
      <c r="P669" s="69">
        <v>10.7</v>
      </c>
      <c r="Q669" s="69">
        <v>14.4</v>
      </c>
      <c r="R669" s="69">
        <v>8.1999999999999993</v>
      </c>
      <c r="S669" s="69"/>
      <c r="T669" s="69">
        <v>8.3000000000000007</v>
      </c>
      <c r="U669" s="69">
        <v>5.0999999999999996</v>
      </c>
      <c r="V669" s="69">
        <v>3.5</v>
      </c>
      <c r="W669" s="69">
        <v>4.4000000000000004</v>
      </c>
      <c r="X669" s="69">
        <v>19.100000000000001</v>
      </c>
      <c r="Y669" s="69">
        <v>5.0754669999999997</v>
      </c>
      <c r="Z669" s="69">
        <v>5</v>
      </c>
      <c r="AA669" s="69">
        <v>3.6</v>
      </c>
      <c r="AB669" s="69">
        <v>8.0771370000000005</v>
      </c>
      <c r="AC669" s="69">
        <v>9.5</v>
      </c>
      <c r="AD669" s="69">
        <v>12.4</v>
      </c>
      <c r="AE669" s="69">
        <v>14.3</v>
      </c>
      <c r="AF669" s="69">
        <v>7.4</v>
      </c>
      <c r="AG669" s="69">
        <v>8.4</v>
      </c>
      <c r="AH669" s="69">
        <v>11</v>
      </c>
      <c r="AI669" s="69">
        <v>9.5</v>
      </c>
      <c r="AJ669" s="69">
        <v>10.199999999999999</v>
      </c>
      <c r="AK669" s="69">
        <v>8.0710599999999992</v>
      </c>
      <c r="AL669" s="69"/>
    </row>
    <row r="670" spans="1:38" x14ac:dyDescent="0.2">
      <c r="A670" s="10">
        <v>40422</v>
      </c>
      <c r="B670" s="69">
        <v>5.0533080000000004</v>
      </c>
      <c r="C670" s="69"/>
      <c r="D670" s="69">
        <v>8.3000000000000007</v>
      </c>
      <c r="E670" s="69">
        <v>8.1999999999999993</v>
      </c>
      <c r="F670" s="69">
        <v>7.6890650000000003</v>
      </c>
      <c r="G670" s="69">
        <v>6.9</v>
      </c>
      <c r="H670" s="69">
        <v>6.7</v>
      </c>
      <c r="I670" s="69">
        <v>7.8</v>
      </c>
      <c r="J670" s="69">
        <v>20.100000000000001</v>
      </c>
      <c r="K670" s="69">
        <v>15</v>
      </c>
      <c r="L670" s="69">
        <v>7.8</v>
      </c>
      <c r="M670" s="69">
        <v>9.1999999999999993</v>
      </c>
      <c r="N670" s="69">
        <v>7.897151</v>
      </c>
      <c r="O670" s="69">
        <v>13.1</v>
      </c>
      <c r="P670" s="69">
        <v>10.7</v>
      </c>
      <c r="Q670" s="69">
        <v>15</v>
      </c>
      <c r="R670" s="69">
        <v>8.3000000000000007</v>
      </c>
      <c r="S670" s="69"/>
      <c r="T670" s="69">
        <v>8.4</v>
      </c>
      <c r="U670" s="69">
        <v>5.0999999999999996</v>
      </c>
      <c r="V670" s="69">
        <v>3.8</v>
      </c>
      <c r="W670" s="69">
        <v>4.5</v>
      </c>
      <c r="X670" s="69">
        <v>18.899999999999999</v>
      </c>
      <c r="Y670" s="69">
        <v>5.2944319999999996</v>
      </c>
      <c r="Z670" s="69">
        <v>5</v>
      </c>
      <c r="AA670" s="69">
        <v>3.7</v>
      </c>
      <c r="AB670" s="69">
        <v>8.0337949999999996</v>
      </c>
      <c r="AC670" s="69">
        <v>9.5</v>
      </c>
      <c r="AD670" s="69">
        <v>12.3</v>
      </c>
      <c r="AE670" s="69">
        <v>14.3</v>
      </c>
      <c r="AF670" s="69">
        <v>7.4</v>
      </c>
      <c r="AG670" s="69">
        <v>8.4</v>
      </c>
      <c r="AH670" s="69">
        <v>10.9</v>
      </c>
      <c r="AI670" s="69">
        <v>9.5</v>
      </c>
      <c r="AJ670" s="69">
        <v>10.199999999999999</v>
      </c>
      <c r="AK670" s="69">
        <v>8.0640040000000006</v>
      </c>
      <c r="AL670" s="69"/>
    </row>
    <row r="671" spans="1:38" x14ac:dyDescent="0.2">
      <c r="A671" s="10">
        <v>40452</v>
      </c>
      <c r="B671" s="69">
        <v>5.2860569999999996</v>
      </c>
      <c r="C671" s="69"/>
      <c r="D671" s="69">
        <v>8.1</v>
      </c>
      <c r="E671" s="69">
        <v>8</v>
      </c>
      <c r="F671" s="69">
        <v>7.4789760000000003</v>
      </c>
      <c r="G671" s="69">
        <v>7.1</v>
      </c>
      <c r="H671" s="69">
        <v>6.7</v>
      </c>
      <c r="I671" s="69">
        <v>7.8</v>
      </c>
      <c r="J671" s="69">
        <v>20.100000000000001</v>
      </c>
      <c r="K671" s="69">
        <v>14.5</v>
      </c>
      <c r="L671" s="69">
        <v>8</v>
      </c>
      <c r="M671" s="69">
        <v>9.1999999999999993</v>
      </c>
      <c r="N671" s="69">
        <v>7.8710969999999998</v>
      </c>
      <c r="O671" s="69">
        <v>13.9</v>
      </c>
      <c r="P671" s="69">
        <v>10.1</v>
      </c>
      <c r="Q671" s="69">
        <v>15.5</v>
      </c>
      <c r="R671" s="69">
        <v>8.4</v>
      </c>
      <c r="S671" s="69"/>
      <c r="T671" s="69">
        <v>8.6</v>
      </c>
      <c r="U671" s="69">
        <v>5.0999999999999996</v>
      </c>
      <c r="V671" s="69">
        <v>3.7</v>
      </c>
      <c r="W671" s="69">
        <v>4.5999999999999996</v>
      </c>
      <c r="X671" s="69">
        <v>18.600000000000001</v>
      </c>
      <c r="Y671" s="69">
        <v>5.5469419999999996</v>
      </c>
      <c r="Z671" s="69">
        <v>4.9000000000000004</v>
      </c>
      <c r="AA671" s="69">
        <v>3.6</v>
      </c>
      <c r="AB671" s="69">
        <v>7.9458840000000004</v>
      </c>
      <c r="AC671" s="69">
        <v>9.6</v>
      </c>
      <c r="AD671" s="69">
        <v>12.1</v>
      </c>
      <c r="AE671" s="69">
        <v>14</v>
      </c>
      <c r="AF671" s="69">
        <v>7.7</v>
      </c>
      <c r="AG671" s="69">
        <v>8.3000000000000007</v>
      </c>
      <c r="AH671" s="69">
        <v>10.7</v>
      </c>
      <c r="AI671" s="69">
        <v>9.4</v>
      </c>
      <c r="AJ671" s="69">
        <v>10.199999999999999</v>
      </c>
      <c r="AK671" s="69">
        <v>8.0500500000000006</v>
      </c>
      <c r="AL671" s="69"/>
    </row>
    <row r="672" spans="1:38" x14ac:dyDescent="0.2">
      <c r="A672" s="10">
        <v>40483</v>
      </c>
      <c r="B672" s="69">
        <v>5.1079929999999996</v>
      </c>
      <c r="C672" s="69"/>
      <c r="D672" s="69">
        <v>7.8</v>
      </c>
      <c r="E672" s="69">
        <v>7.7</v>
      </c>
      <c r="F672" s="69">
        <v>7.7995599999999996</v>
      </c>
      <c r="G672" s="69">
        <v>7</v>
      </c>
      <c r="H672" s="69">
        <v>6.6</v>
      </c>
      <c r="I672" s="69">
        <v>7.8</v>
      </c>
      <c r="J672" s="69">
        <v>20.2</v>
      </c>
      <c r="K672" s="69">
        <v>13.6</v>
      </c>
      <c r="L672" s="69">
        <v>7.9</v>
      </c>
      <c r="M672" s="69">
        <v>9.1999999999999993</v>
      </c>
      <c r="N672" s="69">
        <v>7.8632689999999998</v>
      </c>
      <c r="O672" s="69">
        <v>14.3</v>
      </c>
      <c r="P672" s="69">
        <v>10.5</v>
      </c>
      <c r="Q672" s="69">
        <v>15.7</v>
      </c>
      <c r="R672" s="69">
        <v>8.4</v>
      </c>
      <c r="S672" s="69"/>
      <c r="T672" s="69">
        <v>8.4</v>
      </c>
      <c r="U672" s="69">
        <v>5</v>
      </c>
      <c r="V672" s="69">
        <v>3.3</v>
      </c>
      <c r="W672" s="69">
        <v>4.8</v>
      </c>
      <c r="X672" s="69">
        <v>18.2</v>
      </c>
      <c r="Y672" s="69">
        <v>5.485087</v>
      </c>
      <c r="Z672" s="69">
        <v>4.9000000000000004</v>
      </c>
      <c r="AA672" s="69">
        <v>3.7</v>
      </c>
      <c r="AB672" s="69">
        <v>7.9640269999999997</v>
      </c>
      <c r="AC672" s="69">
        <v>9.5</v>
      </c>
      <c r="AD672" s="69">
        <v>12.2</v>
      </c>
      <c r="AE672" s="69">
        <v>13.9</v>
      </c>
      <c r="AF672" s="69">
        <v>7.8</v>
      </c>
      <c r="AG672" s="69">
        <v>8</v>
      </c>
      <c r="AH672" s="69">
        <v>10.199999999999999</v>
      </c>
      <c r="AI672" s="69">
        <v>9.8000000000000007</v>
      </c>
      <c r="AJ672" s="69">
        <v>10.199999999999999</v>
      </c>
      <c r="AK672" s="69">
        <v>8.1491380000000007</v>
      </c>
      <c r="AL672" s="69"/>
    </row>
    <row r="673" spans="1:38" x14ac:dyDescent="0.2">
      <c r="A673" s="10">
        <v>40513</v>
      </c>
      <c r="B673" s="69">
        <v>4.8769910000000003</v>
      </c>
      <c r="C673" s="69"/>
      <c r="D673" s="69">
        <v>7.6</v>
      </c>
      <c r="E673" s="69">
        <v>7.7</v>
      </c>
      <c r="F673" s="69">
        <v>7.9406559999999997</v>
      </c>
      <c r="G673" s="69">
        <v>6.8</v>
      </c>
      <c r="H673" s="69">
        <v>6.5</v>
      </c>
      <c r="I673" s="69">
        <v>7.9</v>
      </c>
      <c r="J673" s="69">
        <v>20.3</v>
      </c>
      <c r="K673" s="69">
        <v>14.2</v>
      </c>
      <c r="L673" s="69">
        <v>8.3000000000000007</v>
      </c>
      <c r="M673" s="69">
        <v>9.1999999999999993</v>
      </c>
      <c r="N673" s="69">
        <v>7.9086109999999996</v>
      </c>
      <c r="O673" s="69">
        <v>14.6</v>
      </c>
      <c r="P673" s="69">
        <v>10.8</v>
      </c>
      <c r="Q673" s="69">
        <v>15.6</v>
      </c>
      <c r="R673" s="69">
        <v>8.4</v>
      </c>
      <c r="S673" s="69"/>
      <c r="T673" s="69">
        <v>8.1999999999999993</v>
      </c>
      <c r="U673" s="69">
        <v>4.9000000000000004</v>
      </c>
      <c r="V673" s="69">
        <v>3.6</v>
      </c>
      <c r="W673" s="69">
        <v>4.8</v>
      </c>
      <c r="X673" s="69">
        <v>17.7</v>
      </c>
      <c r="Y673" s="69">
        <v>5.4982689999999996</v>
      </c>
      <c r="Z673" s="69">
        <v>5</v>
      </c>
      <c r="AA673" s="69">
        <v>3.5</v>
      </c>
      <c r="AB673" s="69">
        <v>7.9300639999999998</v>
      </c>
      <c r="AC673" s="69">
        <v>9.5</v>
      </c>
      <c r="AD673" s="69">
        <v>12.2</v>
      </c>
      <c r="AE673" s="69">
        <v>13.9</v>
      </c>
      <c r="AF673" s="69">
        <v>8</v>
      </c>
      <c r="AG673" s="69">
        <v>8</v>
      </c>
      <c r="AH673" s="69">
        <v>10.1</v>
      </c>
      <c r="AI673" s="69">
        <v>9.3000000000000007</v>
      </c>
      <c r="AJ673" s="69">
        <v>10.199999999999999</v>
      </c>
      <c r="AK673" s="69">
        <v>7.9085890000000001</v>
      </c>
      <c r="AL673" s="69"/>
    </row>
    <row r="674" spans="1:38" x14ac:dyDescent="0.2">
      <c r="A674" s="10">
        <v>40544</v>
      </c>
      <c r="B674" s="69">
        <v>5.0030640000000002</v>
      </c>
      <c r="C674" s="69"/>
      <c r="D674" s="69">
        <v>7.3</v>
      </c>
      <c r="E674" s="69">
        <v>7.8</v>
      </c>
      <c r="F674" s="69">
        <v>7.846031</v>
      </c>
      <c r="G674" s="69">
        <v>7</v>
      </c>
      <c r="H674" s="69">
        <v>6.4</v>
      </c>
      <c r="I674" s="69">
        <v>7.9</v>
      </c>
      <c r="J674" s="69">
        <v>20.399999999999999</v>
      </c>
      <c r="K674" s="69">
        <v>14.6</v>
      </c>
      <c r="L674" s="69">
        <v>8.1999999999999993</v>
      </c>
      <c r="M674" s="69">
        <v>9.1</v>
      </c>
      <c r="N674" s="69">
        <v>7.8026600000000004</v>
      </c>
      <c r="O674" s="69">
        <v>14.9</v>
      </c>
      <c r="P674" s="69">
        <v>11</v>
      </c>
      <c r="Q674" s="69">
        <v>15.4</v>
      </c>
      <c r="R674" s="69">
        <v>8.4</v>
      </c>
      <c r="S674" s="69"/>
      <c r="T674" s="69">
        <v>8.1999999999999993</v>
      </c>
      <c r="U674" s="69">
        <v>4.8</v>
      </c>
      <c r="V674" s="69">
        <v>3.6</v>
      </c>
      <c r="W674" s="69">
        <v>4.7</v>
      </c>
      <c r="X674" s="69">
        <v>17.100000000000001</v>
      </c>
      <c r="Y674" s="69">
        <v>5.217403</v>
      </c>
      <c r="Z674" s="69">
        <v>4.9000000000000004</v>
      </c>
      <c r="AA674" s="69">
        <v>3.4</v>
      </c>
      <c r="AB674" s="69">
        <v>7.8572059999999997</v>
      </c>
      <c r="AC674" s="69">
        <v>9.4</v>
      </c>
      <c r="AD674" s="69">
        <v>12.2</v>
      </c>
      <c r="AE674" s="69">
        <v>13.8</v>
      </c>
      <c r="AF674" s="69">
        <v>8</v>
      </c>
      <c r="AG674" s="69">
        <v>8</v>
      </c>
      <c r="AH674" s="69">
        <v>9.9</v>
      </c>
      <c r="AI674" s="69">
        <v>9.1</v>
      </c>
      <c r="AJ674" s="69">
        <v>10.1</v>
      </c>
      <c r="AK674" s="69">
        <v>7.7933940000000002</v>
      </c>
      <c r="AL674" s="69"/>
    </row>
    <row r="675" spans="1:38" x14ac:dyDescent="0.2">
      <c r="A675" s="10">
        <v>40575</v>
      </c>
      <c r="B675" s="69">
        <v>4.9867689999999998</v>
      </c>
      <c r="C675" s="69"/>
      <c r="D675" s="69">
        <v>7.1</v>
      </c>
      <c r="E675" s="69">
        <v>7.7</v>
      </c>
      <c r="F675" s="69">
        <v>7.6226200000000004</v>
      </c>
      <c r="G675" s="69">
        <v>7.1</v>
      </c>
      <c r="H675" s="69">
        <v>6.2</v>
      </c>
      <c r="I675" s="69">
        <v>7.9</v>
      </c>
      <c r="J675" s="69">
        <v>20.5</v>
      </c>
      <c r="K675" s="69">
        <v>14</v>
      </c>
      <c r="L675" s="69">
        <v>8.1999999999999993</v>
      </c>
      <c r="M675" s="69">
        <v>9.1</v>
      </c>
      <c r="N675" s="69">
        <v>7.778467</v>
      </c>
      <c r="O675" s="69">
        <v>15.6</v>
      </c>
      <c r="P675" s="69">
        <v>11.6</v>
      </c>
      <c r="Q675" s="69">
        <v>15.1</v>
      </c>
      <c r="R675" s="69">
        <v>8.3000000000000007</v>
      </c>
      <c r="S675" s="69"/>
      <c r="T675" s="69">
        <v>8.1</v>
      </c>
      <c r="U675" s="69">
        <v>4.7</v>
      </c>
      <c r="V675" s="69">
        <v>3.7</v>
      </c>
      <c r="W675" s="69">
        <v>4.7</v>
      </c>
      <c r="X675" s="69">
        <v>16.899999999999999</v>
      </c>
      <c r="Y675" s="69">
        <v>5.3569000000000004</v>
      </c>
      <c r="Z675" s="69">
        <v>4.9000000000000004</v>
      </c>
      <c r="AA675" s="69">
        <v>3.2</v>
      </c>
      <c r="AB675" s="69">
        <v>7.7747710000000003</v>
      </c>
      <c r="AC675" s="69">
        <v>9.3000000000000007</v>
      </c>
      <c r="AD675" s="69">
        <v>12.6</v>
      </c>
      <c r="AE675" s="69">
        <v>13.8</v>
      </c>
      <c r="AF675" s="69">
        <v>8.1</v>
      </c>
      <c r="AG675" s="69">
        <v>7.8</v>
      </c>
      <c r="AH675" s="69">
        <v>9.6</v>
      </c>
      <c r="AI675" s="69">
        <v>9</v>
      </c>
      <c r="AJ675" s="69">
        <v>10.1</v>
      </c>
      <c r="AK675" s="69">
        <v>7.6816079999999998</v>
      </c>
      <c r="AL675" s="69"/>
    </row>
    <row r="676" spans="1:38" x14ac:dyDescent="0.2">
      <c r="A676" s="10">
        <v>40603</v>
      </c>
      <c r="B676" s="69">
        <v>4.9254749999999996</v>
      </c>
      <c r="C676" s="69"/>
      <c r="D676" s="69">
        <v>6.9</v>
      </c>
      <c r="E676" s="69">
        <v>7.7</v>
      </c>
      <c r="F676" s="69">
        <v>7.2297640000000003</v>
      </c>
      <c r="G676" s="69">
        <v>6.8</v>
      </c>
      <c r="H676" s="69">
        <v>6.1</v>
      </c>
      <c r="I676" s="69">
        <v>7.7</v>
      </c>
      <c r="J676" s="69">
        <v>20.6</v>
      </c>
      <c r="K676" s="69">
        <v>13.9</v>
      </c>
      <c r="L676" s="69">
        <v>8.5</v>
      </c>
      <c r="M676" s="69">
        <v>9.1</v>
      </c>
      <c r="N676" s="69">
        <v>7.7169840000000001</v>
      </c>
      <c r="O676" s="69">
        <v>16.100000000000001</v>
      </c>
      <c r="P676" s="69">
        <v>11.1</v>
      </c>
      <c r="Q676" s="69">
        <v>14.9</v>
      </c>
      <c r="R676" s="69">
        <v>8.1999999999999993</v>
      </c>
      <c r="S676" s="69"/>
      <c r="T676" s="69">
        <v>8.1</v>
      </c>
      <c r="U676" s="69">
        <v>4.7</v>
      </c>
      <c r="V676" s="69">
        <v>3.8</v>
      </c>
      <c r="W676" s="69">
        <v>4.7</v>
      </c>
      <c r="X676" s="69">
        <v>16.899999999999999</v>
      </c>
      <c r="Y676" s="69">
        <v>4.99064</v>
      </c>
      <c r="Z676" s="69">
        <v>4.8</v>
      </c>
      <c r="AA676" s="69">
        <v>3.3</v>
      </c>
      <c r="AB676" s="69">
        <v>7.6873500000000003</v>
      </c>
      <c r="AC676" s="69">
        <v>9.4</v>
      </c>
      <c r="AD676" s="69">
        <v>12.9</v>
      </c>
      <c r="AE676" s="69">
        <v>13.7</v>
      </c>
      <c r="AF676" s="69">
        <v>8.1</v>
      </c>
      <c r="AG676" s="69">
        <v>7.9</v>
      </c>
      <c r="AH676" s="69">
        <v>9.5</v>
      </c>
      <c r="AI676" s="69">
        <v>9</v>
      </c>
      <c r="AJ676" s="69">
        <v>10.1</v>
      </c>
      <c r="AK676" s="69">
        <v>7.6441039999999996</v>
      </c>
      <c r="AL676" s="69"/>
    </row>
    <row r="677" spans="1:38" x14ac:dyDescent="0.2">
      <c r="A677" s="10">
        <v>40634</v>
      </c>
      <c r="B677" s="69">
        <v>4.9583469999999998</v>
      </c>
      <c r="C677" s="69"/>
      <c r="D677" s="69">
        <v>6.8</v>
      </c>
      <c r="E677" s="69">
        <v>7.7</v>
      </c>
      <c r="F677" s="69">
        <v>7.0590830000000002</v>
      </c>
      <c r="G677" s="69">
        <v>7</v>
      </c>
      <c r="H677" s="69">
        <v>6</v>
      </c>
      <c r="I677" s="69">
        <v>7.5</v>
      </c>
      <c r="J677" s="69">
        <v>20.6</v>
      </c>
      <c r="K677" s="69">
        <v>13</v>
      </c>
      <c r="L677" s="69">
        <v>7.7</v>
      </c>
      <c r="M677" s="69">
        <v>9.1</v>
      </c>
      <c r="N677" s="69">
        <v>7.8219589999999997</v>
      </c>
      <c r="O677" s="69">
        <v>16.100000000000001</v>
      </c>
      <c r="P677" s="69">
        <v>10.5</v>
      </c>
      <c r="Q677" s="69">
        <v>15</v>
      </c>
      <c r="R677" s="69">
        <v>8.1</v>
      </c>
      <c r="S677" s="69"/>
      <c r="T677" s="69">
        <v>8</v>
      </c>
      <c r="U677" s="69">
        <v>4.7</v>
      </c>
      <c r="V677" s="69">
        <v>3.5</v>
      </c>
      <c r="W677" s="69">
        <v>4.7</v>
      </c>
      <c r="X677" s="69">
        <v>17.2</v>
      </c>
      <c r="Y677" s="69">
        <v>5.2261740000000003</v>
      </c>
      <c r="Z677" s="69">
        <v>4.7</v>
      </c>
      <c r="AA677" s="69">
        <v>3.4</v>
      </c>
      <c r="AB677" s="69">
        <v>7.6648909999999999</v>
      </c>
      <c r="AC677" s="69">
        <v>9.6</v>
      </c>
      <c r="AD677" s="69">
        <v>12.9</v>
      </c>
      <c r="AE677" s="69">
        <v>13.7</v>
      </c>
      <c r="AF677" s="69">
        <v>8</v>
      </c>
      <c r="AG677" s="69">
        <v>7.7</v>
      </c>
      <c r="AH677" s="69">
        <v>9.5</v>
      </c>
      <c r="AI677" s="69">
        <v>9.1</v>
      </c>
      <c r="AJ677" s="69">
        <v>10</v>
      </c>
      <c r="AK677" s="69">
        <v>7.6878089999999997</v>
      </c>
      <c r="AL677" s="69"/>
    </row>
    <row r="678" spans="1:38" x14ac:dyDescent="0.2">
      <c r="A678" s="10">
        <v>40664</v>
      </c>
      <c r="B678" s="69">
        <v>5.0150769999999998</v>
      </c>
      <c r="C678" s="69"/>
      <c r="D678" s="69">
        <v>6.9</v>
      </c>
      <c r="E678" s="69">
        <v>7.6</v>
      </c>
      <c r="F678" s="69">
        <v>6.915387</v>
      </c>
      <c r="G678" s="69">
        <v>6.8</v>
      </c>
      <c r="H678" s="69">
        <v>5.9</v>
      </c>
      <c r="I678" s="69">
        <v>7.5</v>
      </c>
      <c r="J678" s="69">
        <v>20.7</v>
      </c>
      <c r="K678" s="69">
        <v>12.9</v>
      </c>
      <c r="L678" s="69">
        <v>8</v>
      </c>
      <c r="M678" s="69">
        <v>9.1</v>
      </c>
      <c r="N678" s="69">
        <v>7.9400329999999997</v>
      </c>
      <c r="O678" s="69">
        <v>17.600000000000001</v>
      </c>
      <c r="P678" s="69">
        <v>10.9</v>
      </c>
      <c r="Q678" s="69">
        <v>15</v>
      </c>
      <c r="R678" s="69">
        <v>7.9</v>
      </c>
      <c r="S678" s="69"/>
      <c r="T678" s="69">
        <v>8.3000000000000007</v>
      </c>
      <c r="U678" s="69">
        <v>4.5999999999999996</v>
      </c>
      <c r="V678" s="69">
        <v>3.3</v>
      </c>
      <c r="W678" s="69">
        <v>4.8</v>
      </c>
      <c r="X678" s="69">
        <v>17.100000000000001</v>
      </c>
      <c r="Y678" s="69">
        <v>5.4241089999999996</v>
      </c>
      <c r="Z678" s="69">
        <v>4.8</v>
      </c>
      <c r="AA678" s="69">
        <v>3.4</v>
      </c>
      <c r="AB678" s="69">
        <v>7.6615180000000001</v>
      </c>
      <c r="AC678" s="69">
        <v>9.6</v>
      </c>
      <c r="AD678" s="69">
        <v>13.2</v>
      </c>
      <c r="AE678" s="69">
        <v>13.6</v>
      </c>
      <c r="AF678" s="69">
        <v>8</v>
      </c>
      <c r="AG678" s="69">
        <v>7.8</v>
      </c>
      <c r="AH678" s="69">
        <v>9.6</v>
      </c>
      <c r="AI678" s="69">
        <v>9</v>
      </c>
      <c r="AJ678" s="69">
        <v>10.1</v>
      </c>
      <c r="AK678" s="69">
        <v>7.6674990000000003</v>
      </c>
      <c r="AL678" s="69"/>
    </row>
    <row r="679" spans="1:38" x14ac:dyDescent="0.2">
      <c r="A679" s="10">
        <v>40695</v>
      </c>
      <c r="B679" s="69">
        <v>4.9170600000000002</v>
      </c>
      <c r="C679" s="69"/>
      <c r="D679" s="69">
        <v>7</v>
      </c>
      <c r="E679" s="69">
        <v>7.6</v>
      </c>
      <c r="F679" s="69">
        <v>7.1792949999999998</v>
      </c>
      <c r="G679" s="69">
        <v>6.8</v>
      </c>
      <c r="H679" s="69">
        <v>5.8</v>
      </c>
      <c r="I679" s="69">
        <v>7.6</v>
      </c>
      <c r="J679" s="69">
        <v>21</v>
      </c>
      <c r="K679" s="69">
        <v>12.7</v>
      </c>
      <c r="L679" s="69">
        <v>8.1999999999999993</v>
      </c>
      <c r="M679" s="69">
        <v>9.1999999999999993</v>
      </c>
      <c r="N679" s="69">
        <v>8.0128760000000003</v>
      </c>
      <c r="O679" s="69">
        <v>17</v>
      </c>
      <c r="P679" s="69">
        <v>10.6</v>
      </c>
      <c r="Q679" s="69">
        <v>15.2</v>
      </c>
      <c r="R679" s="69">
        <v>7.7</v>
      </c>
      <c r="S679" s="69"/>
      <c r="T679" s="69">
        <v>8.3000000000000007</v>
      </c>
      <c r="U679" s="69">
        <v>4.7</v>
      </c>
      <c r="V679" s="69">
        <v>3.3</v>
      </c>
      <c r="W679" s="69">
        <v>4.8</v>
      </c>
      <c r="X679" s="69">
        <v>16.600000000000001</v>
      </c>
      <c r="Y679" s="69">
        <v>5.5514609999999998</v>
      </c>
      <c r="Z679" s="69">
        <v>4.7</v>
      </c>
      <c r="AA679" s="69">
        <v>3.4</v>
      </c>
      <c r="AB679" s="69">
        <v>7.6666080000000001</v>
      </c>
      <c r="AC679" s="69">
        <v>9.6</v>
      </c>
      <c r="AD679" s="69">
        <v>13.2</v>
      </c>
      <c r="AE679" s="69">
        <v>13.5</v>
      </c>
      <c r="AF679" s="69">
        <v>8</v>
      </c>
      <c r="AG679" s="69">
        <v>7.9</v>
      </c>
      <c r="AH679" s="69">
        <v>9.5</v>
      </c>
      <c r="AI679" s="69">
        <v>9.1</v>
      </c>
      <c r="AJ679" s="69">
        <v>10.1</v>
      </c>
      <c r="AK679" s="69">
        <v>7.7136570000000004</v>
      </c>
      <c r="AL679" s="69"/>
    </row>
    <row r="680" spans="1:38" x14ac:dyDescent="0.2">
      <c r="A680" s="10">
        <v>40725</v>
      </c>
      <c r="B680" s="69">
        <v>5.0895400000000004</v>
      </c>
      <c r="C680" s="69"/>
      <c r="D680" s="69">
        <v>7.4</v>
      </c>
      <c r="E680" s="69">
        <v>7.3</v>
      </c>
      <c r="F680" s="69">
        <v>7.1298789999999999</v>
      </c>
      <c r="G680" s="69">
        <v>6.6</v>
      </c>
      <c r="H680" s="69">
        <v>5.8</v>
      </c>
      <c r="I680" s="69">
        <v>7.7</v>
      </c>
      <c r="J680" s="69">
        <v>21.4</v>
      </c>
      <c r="K680" s="69">
        <v>11.6</v>
      </c>
      <c r="L680" s="69">
        <v>8.1</v>
      </c>
      <c r="M680" s="69">
        <v>9.1999999999999993</v>
      </c>
      <c r="N680" s="69">
        <v>8.1814459999999993</v>
      </c>
      <c r="O680" s="69">
        <v>17.600000000000001</v>
      </c>
      <c r="P680" s="69">
        <v>10.3</v>
      </c>
      <c r="Q680" s="69">
        <v>15.5</v>
      </c>
      <c r="R680" s="69">
        <v>7.5</v>
      </c>
      <c r="S680" s="69"/>
      <c r="T680" s="69">
        <v>8.4</v>
      </c>
      <c r="U680" s="69">
        <v>4.7</v>
      </c>
      <c r="V680" s="69">
        <v>3.3</v>
      </c>
      <c r="W680" s="69">
        <v>4.9000000000000004</v>
      </c>
      <c r="X680" s="69">
        <v>15.8</v>
      </c>
      <c r="Y680" s="69">
        <v>5.2486319999999997</v>
      </c>
      <c r="Z680" s="69">
        <v>4.9000000000000004</v>
      </c>
      <c r="AA680" s="69">
        <v>3.4</v>
      </c>
      <c r="AB680" s="69">
        <v>7.4896279999999997</v>
      </c>
      <c r="AC680" s="69">
        <v>9.6999999999999993</v>
      </c>
      <c r="AD680" s="69">
        <v>13.3</v>
      </c>
      <c r="AE680" s="69">
        <v>13.5</v>
      </c>
      <c r="AF680" s="69">
        <v>8.1</v>
      </c>
      <c r="AG680" s="69">
        <v>7.7</v>
      </c>
      <c r="AH680" s="69">
        <v>9.1999999999999993</v>
      </c>
      <c r="AI680" s="69">
        <v>9</v>
      </c>
      <c r="AJ680" s="69">
        <v>10.199999999999999</v>
      </c>
      <c r="AK680" s="69">
        <v>7.6719229999999996</v>
      </c>
      <c r="AL680" s="69"/>
    </row>
    <row r="681" spans="1:38" x14ac:dyDescent="0.2">
      <c r="A681" s="10">
        <v>40756</v>
      </c>
      <c r="B681" s="69">
        <v>5.2557410000000004</v>
      </c>
      <c r="C681" s="69"/>
      <c r="D681" s="69">
        <v>7.6</v>
      </c>
      <c r="E681" s="69">
        <v>7.3</v>
      </c>
      <c r="F681" s="69">
        <v>7.3280459999999996</v>
      </c>
      <c r="G681" s="69">
        <v>6.4</v>
      </c>
      <c r="H681" s="69">
        <v>5.7</v>
      </c>
      <c r="I681" s="69">
        <v>7.7</v>
      </c>
      <c r="J681" s="69">
        <v>21.7</v>
      </c>
      <c r="K681" s="69">
        <v>10.8</v>
      </c>
      <c r="L681" s="69">
        <v>7.8</v>
      </c>
      <c r="M681" s="69">
        <v>9.1999999999999993</v>
      </c>
      <c r="N681" s="69">
        <v>8.3329140000000006</v>
      </c>
      <c r="O681" s="69">
        <v>19.100000000000001</v>
      </c>
      <c r="P681" s="69">
        <v>10.3</v>
      </c>
      <c r="Q681" s="69">
        <v>15.6</v>
      </c>
      <c r="R681" s="69">
        <v>7.4</v>
      </c>
      <c r="S681" s="69"/>
      <c r="T681" s="69">
        <v>8.6</v>
      </c>
      <c r="U681" s="69">
        <v>4.5</v>
      </c>
      <c r="V681" s="69">
        <v>3.2</v>
      </c>
      <c r="W681" s="69">
        <v>5.0999999999999996</v>
      </c>
      <c r="X681" s="69">
        <v>15.4</v>
      </c>
      <c r="Y681" s="69">
        <v>5.3974419999999999</v>
      </c>
      <c r="Z681" s="69">
        <v>4.9000000000000004</v>
      </c>
      <c r="AA681" s="69">
        <v>3.4</v>
      </c>
      <c r="AB681" s="69">
        <v>7.4916210000000003</v>
      </c>
      <c r="AC681" s="69">
        <v>9.6999999999999993</v>
      </c>
      <c r="AD681" s="69">
        <v>13.6</v>
      </c>
      <c r="AE681" s="69">
        <v>13.5</v>
      </c>
      <c r="AF681" s="69">
        <v>8.1</v>
      </c>
      <c r="AG681" s="69">
        <v>7.7</v>
      </c>
      <c r="AH681" s="69">
        <v>8.8000000000000007</v>
      </c>
      <c r="AI681" s="69">
        <v>9</v>
      </c>
      <c r="AJ681" s="69">
        <v>10.3</v>
      </c>
      <c r="AK681" s="69">
        <v>7.6469449999999997</v>
      </c>
      <c r="AL681" s="69"/>
    </row>
    <row r="682" spans="1:38" x14ac:dyDescent="0.2">
      <c r="A682" s="10">
        <v>40787</v>
      </c>
      <c r="B682" s="69">
        <v>5.2213599999999998</v>
      </c>
      <c r="C682" s="69"/>
      <c r="D682" s="69">
        <v>7.5</v>
      </c>
      <c r="E682" s="69">
        <v>7.4</v>
      </c>
      <c r="F682" s="69">
        <v>7.325151</v>
      </c>
      <c r="G682" s="69">
        <v>6.7</v>
      </c>
      <c r="H682" s="69">
        <v>5.7</v>
      </c>
      <c r="I682" s="69">
        <v>7.8</v>
      </c>
      <c r="J682" s="69">
        <v>22.1</v>
      </c>
      <c r="K682" s="69">
        <v>10.9</v>
      </c>
      <c r="L682" s="69">
        <v>7.6</v>
      </c>
      <c r="M682" s="69">
        <v>9.1999999999999993</v>
      </c>
      <c r="N682" s="69">
        <v>8.3717079999999999</v>
      </c>
      <c r="O682" s="69">
        <v>18.600000000000001</v>
      </c>
      <c r="P682" s="69">
        <v>10.5</v>
      </c>
      <c r="Q682" s="69">
        <v>15.6</v>
      </c>
      <c r="R682" s="69">
        <v>7.3</v>
      </c>
      <c r="S682" s="69"/>
      <c r="T682" s="69">
        <v>9</v>
      </c>
      <c r="U682" s="69">
        <v>4.2</v>
      </c>
      <c r="V682" s="69">
        <v>3.3</v>
      </c>
      <c r="W682" s="69">
        <v>5</v>
      </c>
      <c r="X682" s="69">
        <v>15.3</v>
      </c>
      <c r="Y682" s="69">
        <v>5.2998329999999996</v>
      </c>
      <c r="Z682" s="69">
        <v>5.0999999999999996</v>
      </c>
      <c r="AA682" s="69">
        <v>3.5</v>
      </c>
      <c r="AB682" s="69">
        <v>7.4301830000000004</v>
      </c>
      <c r="AC682" s="69">
        <v>9.8000000000000007</v>
      </c>
      <c r="AD682" s="69">
        <v>14.1</v>
      </c>
      <c r="AE682" s="69">
        <v>13.6</v>
      </c>
      <c r="AF682" s="69">
        <v>8.4</v>
      </c>
      <c r="AG682" s="69">
        <v>7.5</v>
      </c>
      <c r="AH682" s="69">
        <v>8.4</v>
      </c>
      <c r="AI682" s="69">
        <v>9</v>
      </c>
      <c r="AJ682" s="69">
        <v>10.4</v>
      </c>
      <c r="AK682" s="69">
        <v>7.6711939999999998</v>
      </c>
      <c r="AL682" s="69"/>
    </row>
    <row r="683" spans="1:38" x14ac:dyDescent="0.2">
      <c r="A683" s="10">
        <v>40817</v>
      </c>
      <c r="B683" s="69">
        <v>5.1900839999999997</v>
      </c>
      <c r="C683" s="69"/>
      <c r="D683" s="69">
        <v>7.2</v>
      </c>
      <c r="E683" s="69">
        <v>7.4</v>
      </c>
      <c r="F683" s="69">
        <v>7.5802949999999996</v>
      </c>
      <c r="G683" s="69">
        <v>6.5</v>
      </c>
      <c r="H683" s="69">
        <v>5.6</v>
      </c>
      <c r="I683" s="69">
        <v>7.9</v>
      </c>
      <c r="J683" s="69">
        <v>22.4</v>
      </c>
      <c r="K683" s="69">
        <v>11.5</v>
      </c>
      <c r="L683" s="69">
        <v>7.8</v>
      </c>
      <c r="M683" s="69">
        <v>9.3000000000000007</v>
      </c>
      <c r="N683" s="69">
        <v>8.4674060000000004</v>
      </c>
      <c r="O683" s="69">
        <v>20.3</v>
      </c>
      <c r="P683" s="69">
        <v>10.7</v>
      </c>
      <c r="Q683" s="69">
        <v>15.6</v>
      </c>
      <c r="R683" s="69">
        <v>7.3</v>
      </c>
      <c r="S683" s="69"/>
      <c r="T683" s="69">
        <v>8.9</v>
      </c>
      <c r="U683" s="69">
        <v>4.4000000000000004</v>
      </c>
      <c r="V683" s="69">
        <v>3.2</v>
      </c>
      <c r="W683" s="69">
        <v>4.8</v>
      </c>
      <c r="X683" s="69">
        <v>15.4</v>
      </c>
      <c r="Y683" s="69">
        <v>4.8942269999999999</v>
      </c>
      <c r="Z683" s="69">
        <v>5.2</v>
      </c>
      <c r="AA683" s="69">
        <v>3.5</v>
      </c>
      <c r="AB683" s="69">
        <v>7.4653840000000002</v>
      </c>
      <c r="AC683" s="69">
        <v>9.9</v>
      </c>
      <c r="AD683" s="69">
        <v>14.2</v>
      </c>
      <c r="AE683" s="69">
        <v>13.7</v>
      </c>
      <c r="AF683" s="69">
        <v>8.6999999999999993</v>
      </c>
      <c r="AG683" s="69">
        <v>7.8</v>
      </c>
      <c r="AH683" s="69">
        <v>8.5</v>
      </c>
      <c r="AI683" s="69">
        <v>8.8000000000000007</v>
      </c>
      <c r="AJ683" s="69">
        <v>10.5</v>
      </c>
      <c r="AK683" s="69">
        <v>7.6089580000000003</v>
      </c>
      <c r="AL683" s="69"/>
    </row>
    <row r="684" spans="1:38" x14ac:dyDescent="0.2">
      <c r="A684" s="10">
        <v>40848</v>
      </c>
      <c r="B684" s="69">
        <v>5.2288220000000001</v>
      </c>
      <c r="C684" s="69"/>
      <c r="D684" s="69">
        <v>7</v>
      </c>
      <c r="E684" s="69">
        <v>7.6</v>
      </c>
      <c r="F684" s="69">
        <v>7.3479739999999998</v>
      </c>
      <c r="G684" s="69">
        <v>6.5</v>
      </c>
      <c r="H684" s="69">
        <v>5.6</v>
      </c>
      <c r="I684" s="69">
        <v>8</v>
      </c>
      <c r="J684" s="69">
        <v>22.6</v>
      </c>
      <c r="K684" s="69">
        <v>11.4</v>
      </c>
      <c r="L684" s="69">
        <v>7.5</v>
      </c>
      <c r="M684" s="69">
        <v>9.4</v>
      </c>
      <c r="N684" s="69">
        <v>8.3940730000000006</v>
      </c>
      <c r="O684" s="69">
        <v>20.7</v>
      </c>
      <c r="P684" s="69">
        <v>9.9</v>
      </c>
      <c r="Q684" s="69">
        <v>15.8</v>
      </c>
      <c r="R684" s="69">
        <v>7.1</v>
      </c>
      <c r="S684" s="69"/>
      <c r="T684" s="69">
        <v>9.5</v>
      </c>
      <c r="U684" s="69">
        <v>4.5</v>
      </c>
      <c r="V684" s="69">
        <v>3.3</v>
      </c>
      <c r="W684" s="69">
        <v>4.8</v>
      </c>
      <c r="X684" s="69">
        <v>15.4</v>
      </c>
      <c r="Y684" s="69">
        <v>5.1539820000000001</v>
      </c>
      <c r="Z684" s="69">
        <v>5.4</v>
      </c>
      <c r="AA684" s="69">
        <v>3.5</v>
      </c>
      <c r="AB684" s="69">
        <v>7.3843949999999996</v>
      </c>
      <c r="AC684" s="69">
        <v>9.9</v>
      </c>
      <c r="AD684" s="69">
        <v>14.6</v>
      </c>
      <c r="AE684" s="69">
        <v>13.8</v>
      </c>
      <c r="AF684" s="69">
        <v>8.9</v>
      </c>
      <c r="AG684" s="69">
        <v>7.7</v>
      </c>
      <c r="AH684" s="69">
        <v>8.4</v>
      </c>
      <c r="AI684" s="69">
        <v>8.6</v>
      </c>
      <c r="AJ684" s="69">
        <v>10.7</v>
      </c>
      <c r="AK684" s="69">
        <v>7.5818370000000002</v>
      </c>
      <c r="AL684" s="69"/>
    </row>
    <row r="685" spans="1:38" x14ac:dyDescent="0.2">
      <c r="A685" s="10">
        <v>40878</v>
      </c>
      <c r="B685" s="69">
        <v>5.196809</v>
      </c>
      <c r="C685" s="69"/>
      <c r="D685" s="69">
        <v>7</v>
      </c>
      <c r="E685" s="69">
        <v>7.5</v>
      </c>
      <c r="F685" s="69">
        <v>7.2873229999999998</v>
      </c>
      <c r="G685" s="69">
        <v>6.5</v>
      </c>
      <c r="H685" s="69">
        <v>5.5</v>
      </c>
      <c r="I685" s="69">
        <v>7.9</v>
      </c>
      <c r="J685" s="69">
        <v>22.9</v>
      </c>
      <c r="K685" s="69">
        <v>10.9</v>
      </c>
      <c r="L685" s="69">
        <v>7.9</v>
      </c>
      <c r="M685" s="69">
        <v>9.4</v>
      </c>
      <c r="N685" s="69">
        <v>8.3522320000000008</v>
      </c>
      <c r="O685" s="69">
        <v>21</v>
      </c>
      <c r="P685" s="69">
        <v>10.5</v>
      </c>
      <c r="Q685" s="69">
        <v>16.100000000000001</v>
      </c>
      <c r="R685" s="69">
        <v>7.1</v>
      </c>
      <c r="S685" s="69"/>
      <c r="T685" s="69">
        <v>9.6999999999999993</v>
      </c>
      <c r="U685" s="69">
        <v>4.5</v>
      </c>
      <c r="V685" s="69">
        <v>3.2</v>
      </c>
      <c r="W685" s="69">
        <v>4.9000000000000004</v>
      </c>
      <c r="X685" s="69">
        <v>15.3</v>
      </c>
      <c r="Y685" s="69">
        <v>5.0522309999999999</v>
      </c>
      <c r="Z685" s="69">
        <v>5.4</v>
      </c>
      <c r="AA685" s="69">
        <v>3.5</v>
      </c>
      <c r="AB685" s="69">
        <v>7.3262140000000002</v>
      </c>
      <c r="AC685" s="69">
        <v>9.9</v>
      </c>
      <c r="AD685" s="69">
        <v>14.9</v>
      </c>
      <c r="AE685" s="69">
        <v>13.9</v>
      </c>
      <c r="AF685" s="69">
        <v>8.6</v>
      </c>
      <c r="AG685" s="69">
        <v>7.8</v>
      </c>
      <c r="AH685" s="69">
        <v>8.5</v>
      </c>
      <c r="AI685" s="69">
        <v>8.5</v>
      </c>
      <c r="AJ685" s="69">
        <v>10.8</v>
      </c>
      <c r="AK685" s="69">
        <v>7.5298670000000003</v>
      </c>
      <c r="AL685" s="69"/>
    </row>
    <row r="686" spans="1:38" x14ac:dyDescent="0.2">
      <c r="A686" s="10">
        <v>40909</v>
      </c>
      <c r="B686" s="69">
        <v>5.0459630000000004</v>
      </c>
      <c r="C686" s="69"/>
      <c r="D686" s="69">
        <v>7.1</v>
      </c>
      <c r="E686" s="69">
        <v>7.7</v>
      </c>
      <c r="F686" s="69">
        <v>6.8605229999999997</v>
      </c>
      <c r="G686" s="69">
        <v>6.6</v>
      </c>
      <c r="H686" s="69">
        <v>5.5</v>
      </c>
      <c r="I686" s="69">
        <v>7.8</v>
      </c>
      <c r="J686" s="69">
        <v>23.2</v>
      </c>
      <c r="K686" s="69">
        <v>11</v>
      </c>
      <c r="L686" s="69">
        <v>7.8</v>
      </c>
      <c r="M686" s="69">
        <v>9.5</v>
      </c>
      <c r="N686" s="69">
        <v>8.2886030000000002</v>
      </c>
      <c r="O686" s="69">
        <v>21.3</v>
      </c>
      <c r="P686" s="69">
        <v>11.9</v>
      </c>
      <c r="Q686" s="69">
        <v>15.6</v>
      </c>
      <c r="R686" s="69">
        <v>7.1</v>
      </c>
      <c r="S686" s="69">
        <v>7.0142470000000001</v>
      </c>
      <c r="T686" s="69">
        <v>9.6999999999999993</v>
      </c>
      <c r="U686" s="69">
        <v>4.5</v>
      </c>
      <c r="V686" s="69">
        <v>3.3</v>
      </c>
      <c r="W686" s="69">
        <v>4.9000000000000004</v>
      </c>
      <c r="X686" s="69">
        <v>15.5</v>
      </c>
      <c r="Y686" s="69">
        <v>4.7425499999999996</v>
      </c>
      <c r="Z686" s="69">
        <v>5.5</v>
      </c>
      <c r="AA686" s="69">
        <v>3.5</v>
      </c>
      <c r="AB686" s="69">
        <v>7.2706350000000004</v>
      </c>
      <c r="AC686" s="69">
        <v>9.9</v>
      </c>
      <c r="AD686" s="69">
        <v>14.8</v>
      </c>
      <c r="AE686" s="69">
        <v>13.9</v>
      </c>
      <c r="AF686" s="69">
        <v>8.1999999999999993</v>
      </c>
      <c r="AG686" s="69">
        <v>7.9</v>
      </c>
      <c r="AH686" s="69">
        <v>8.4</v>
      </c>
      <c r="AI686" s="69">
        <v>8.3000000000000007</v>
      </c>
      <c r="AJ686" s="69">
        <v>10.8</v>
      </c>
      <c r="AK686" s="69">
        <v>7.4602380000000004</v>
      </c>
      <c r="AL686" s="69"/>
    </row>
    <row r="687" spans="1:38" x14ac:dyDescent="0.2">
      <c r="A687" s="10">
        <v>40940</v>
      </c>
      <c r="B687" s="69">
        <v>5.2144170000000001</v>
      </c>
      <c r="C687" s="69"/>
      <c r="D687" s="69">
        <v>7.2</v>
      </c>
      <c r="E687" s="69">
        <v>7.5</v>
      </c>
      <c r="F687" s="69">
        <v>6.8318839999999996</v>
      </c>
      <c r="G687" s="69">
        <v>7.1</v>
      </c>
      <c r="H687" s="69">
        <v>5.4</v>
      </c>
      <c r="I687" s="69">
        <v>7.8</v>
      </c>
      <c r="J687" s="69">
        <v>23.6</v>
      </c>
      <c r="K687" s="69">
        <v>11.1</v>
      </c>
      <c r="L687" s="69">
        <v>7.3</v>
      </c>
      <c r="M687" s="69">
        <v>9.5</v>
      </c>
      <c r="N687" s="69">
        <v>8.2103610000000007</v>
      </c>
      <c r="O687" s="69">
        <v>22.2</v>
      </c>
      <c r="P687" s="69">
        <v>11.4</v>
      </c>
      <c r="Q687" s="69">
        <v>16.100000000000001</v>
      </c>
      <c r="R687" s="69">
        <v>7.1</v>
      </c>
      <c r="S687" s="69">
        <v>6.9596479999999996</v>
      </c>
      <c r="T687" s="69">
        <v>10.1</v>
      </c>
      <c r="U687" s="69">
        <v>4.5</v>
      </c>
      <c r="V687" s="69">
        <v>3.4</v>
      </c>
      <c r="W687" s="69">
        <v>5</v>
      </c>
      <c r="X687" s="69">
        <v>15.7</v>
      </c>
      <c r="Y687" s="69">
        <v>5.2967880000000003</v>
      </c>
      <c r="Z687" s="69">
        <v>5.5</v>
      </c>
      <c r="AA687" s="69">
        <v>3.2</v>
      </c>
      <c r="AB687" s="69">
        <v>7.2675919999999996</v>
      </c>
      <c r="AC687" s="69">
        <v>9.9</v>
      </c>
      <c r="AD687" s="69">
        <v>15.2</v>
      </c>
      <c r="AE687" s="69">
        <v>13.9</v>
      </c>
      <c r="AF687" s="69">
        <v>8.1</v>
      </c>
      <c r="AG687" s="69">
        <v>7.8</v>
      </c>
      <c r="AH687" s="69">
        <v>8.6</v>
      </c>
      <c r="AI687" s="69">
        <v>8.3000000000000007</v>
      </c>
      <c r="AJ687" s="69">
        <v>11</v>
      </c>
      <c r="AK687" s="69">
        <v>7.4484110000000001</v>
      </c>
      <c r="AL687" s="69"/>
    </row>
    <row r="688" spans="1:38" x14ac:dyDescent="0.2">
      <c r="A688" s="10">
        <v>40969</v>
      </c>
      <c r="B688" s="69">
        <v>5.1801219999999999</v>
      </c>
      <c r="C688" s="69"/>
      <c r="D688" s="69">
        <v>7.2</v>
      </c>
      <c r="E688" s="69">
        <v>7.3</v>
      </c>
      <c r="F688" s="69">
        <v>6.7714509999999999</v>
      </c>
      <c r="G688" s="69">
        <v>7</v>
      </c>
      <c r="H688" s="69">
        <v>5.4</v>
      </c>
      <c r="I688" s="69">
        <v>7.9</v>
      </c>
      <c r="J688" s="69">
        <v>23.8</v>
      </c>
      <c r="K688" s="69">
        <v>11</v>
      </c>
      <c r="L688" s="69">
        <v>7.8</v>
      </c>
      <c r="M688" s="69">
        <v>9.5</v>
      </c>
      <c r="N688" s="69">
        <v>8.1736660000000008</v>
      </c>
      <c r="O688" s="69">
        <v>22.7</v>
      </c>
      <c r="P688" s="69">
        <v>10.9</v>
      </c>
      <c r="Q688" s="69">
        <v>16.100000000000001</v>
      </c>
      <c r="R688" s="69">
        <v>7.1</v>
      </c>
      <c r="S688" s="69">
        <v>7.3935560000000002</v>
      </c>
      <c r="T688" s="69">
        <v>10.6</v>
      </c>
      <c r="U688" s="69">
        <v>4.5</v>
      </c>
      <c r="V688" s="69">
        <v>3.3</v>
      </c>
      <c r="W688" s="69">
        <v>5.0999999999999996</v>
      </c>
      <c r="X688" s="69">
        <v>16.100000000000001</v>
      </c>
      <c r="Y688" s="69">
        <v>5.035469</v>
      </c>
      <c r="Z688" s="69">
        <v>5.5</v>
      </c>
      <c r="AA688" s="69">
        <v>3.1</v>
      </c>
      <c r="AB688" s="69">
        <v>7.1291909999999996</v>
      </c>
      <c r="AC688" s="69">
        <v>9.9</v>
      </c>
      <c r="AD688" s="69">
        <v>15.6</v>
      </c>
      <c r="AE688" s="69">
        <v>13.8</v>
      </c>
      <c r="AF688" s="69">
        <v>8</v>
      </c>
      <c r="AG688" s="69">
        <v>7.5</v>
      </c>
      <c r="AH688" s="69">
        <v>8.6</v>
      </c>
      <c r="AI688" s="69">
        <v>8.1999999999999993</v>
      </c>
      <c r="AJ688" s="69">
        <v>11.1</v>
      </c>
      <c r="AK688" s="69">
        <v>7.448512</v>
      </c>
      <c r="AL688" s="69"/>
    </row>
    <row r="689" spans="1:38" x14ac:dyDescent="0.2">
      <c r="A689" s="10">
        <v>41000</v>
      </c>
      <c r="B689" s="69">
        <v>4.9918060000000004</v>
      </c>
      <c r="C689" s="69"/>
      <c r="D689" s="69">
        <v>7.2</v>
      </c>
      <c r="E689" s="69">
        <v>7.3</v>
      </c>
      <c r="F689" s="69">
        <v>6.7088159999999997</v>
      </c>
      <c r="G689" s="69">
        <v>6.8</v>
      </c>
      <c r="H689" s="69">
        <v>5.4</v>
      </c>
      <c r="I689" s="69">
        <v>8.1</v>
      </c>
      <c r="J689" s="69">
        <v>24.2</v>
      </c>
      <c r="K689" s="69">
        <v>10</v>
      </c>
      <c r="L689" s="69">
        <v>7.7</v>
      </c>
      <c r="M689" s="69">
        <v>9.6</v>
      </c>
      <c r="N689" s="69">
        <v>8.0803100000000008</v>
      </c>
      <c r="O689" s="69">
        <v>23.5</v>
      </c>
      <c r="P689" s="69">
        <v>11.4</v>
      </c>
      <c r="Q689" s="69">
        <v>15.7</v>
      </c>
      <c r="R689" s="69">
        <v>7</v>
      </c>
      <c r="S689" s="69">
        <v>6.9134820000000001</v>
      </c>
      <c r="T689" s="69">
        <v>10.7</v>
      </c>
      <c r="U689" s="69">
        <v>4.5</v>
      </c>
      <c r="V689" s="69">
        <v>3.3</v>
      </c>
      <c r="W689" s="69">
        <v>5</v>
      </c>
      <c r="X689" s="69">
        <v>16.5</v>
      </c>
      <c r="Y689" s="69">
        <v>4.9337900000000001</v>
      </c>
      <c r="Z689" s="69">
        <v>5.7</v>
      </c>
      <c r="AA689" s="69">
        <v>3.1</v>
      </c>
      <c r="AB689" s="69">
        <v>7.1170679999999997</v>
      </c>
      <c r="AC689" s="69">
        <v>10</v>
      </c>
      <c r="AD689" s="69">
        <v>16.100000000000001</v>
      </c>
      <c r="AE689" s="69">
        <v>14</v>
      </c>
      <c r="AF689" s="69">
        <v>8.1999999999999993</v>
      </c>
      <c r="AG689" s="69">
        <v>7.5</v>
      </c>
      <c r="AH689" s="69">
        <v>8.5</v>
      </c>
      <c r="AI689" s="69">
        <v>8.1999999999999993</v>
      </c>
      <c r="AJ689" s="69">
        <v>11.3</v>
      </c>
      <c r="AK689" s="69">
        <v>7.4360759999999999</v>
      </c>
      <c r="AL689" s="69"/>
    </row>
    <row r="690" spans="1:38" x14ac:dyDescent="0.2">
      <c r="A690" s="10">
        <v>41030</v>
      </c>
      <c r="B690" s="69">
        <v>5.2028939999999997</v>
      </c>
      <c r="C690" s="69"/>
      <c r="D690" s="69">
        <v>7.3</v>
      </c>
      <c r="E690" s="69">
        <v>7.4</v>
      </c>
      <c r="F690" s="69">
        <v>6.5115220000000003</v>
      </c>
      <c r="G690" s="69">
        <v>6.9</v>
      </c>
      <c r="H690" s="69">
        <v>5.4</v>
      </c>
      <c r="I690" s="69">
        <v>8.1999999999999993</v>
      </c>
      <c r="J690" s="69">
        <v>24.7</v>
      </c>
      <c r="K690" s="69">
        <v>9.9</v>
      </c>
      <c r="L690" s="69">
        <v>7.7</v>
      </c>
      <c r="M690" s="69">
        <v>9.6999999999999993</v>
      </c>
      <c r="N690" s="69">
        <v>7.9916429999999998</v>
      </c>
      <c r="O690" s="69">
        <v>24.1</v>
      </c>
      <c r="P690" s="69">
        <v>10.9</v>
      </c>
      <c r="Q690" s="69">
        <v>15.5</v>
      </c>
      <c r="R690" s="69">
        <v>6.9</v>
      </c>
      <c r="S690" s="69">
        <v>6.9956139999999998</v>
      </c>
      <c r="T690" s="69">
        <v>10.7</v>
      </c>
      <c r="U690" s="69">
        <v>4.4000000000000004</v>
      </c>
      <c r="V690" s="69">
        <v>3.2</v>
      </c>
      <c r="W690" s="69">
        <v>5.0999999999999996</v>
      </c>
      <c r="X690" s="69">
        <v>16.399999999999999</v>
      </c>
      <c r="Y690" s="69">
        <v>4.9792709999999998</v>
      </c>
      <c r="Z690" s="69">
        <v>5.7</v>
      </c>
      <c r="AA690" s="69">
        <v>3.2</v>
      </c>
      <c r="AB690" s="69">
        <v>7.0554800000000002</v>
      </c>
      <c r="AC690" s="69">
        <v>10.1</v>
      </c>
      <c r="AD690" s="69">
        <v>16.3</v>
      </c>
      <c r="AE690" s="69">
        <v>13.9</v>
      </c>
      <c r="AF690" s="69">
        <v>8.5</v>
      </c>
      <c r="AG690" s="69">
        <v>8.1999999999999993</v>
      </c>
      <c r="AH690" s="69">
        <v>8.3000000000000007</v>
      </c>
      <c r="AI690" s="69">
        <v>8.1999999999999993</v>
      </c>
      <c r="AJ690" s="69">
        <v>11.4</v>
      </c>
      <c r="AK690" s="69">
        <v>7.4272340000000003</v>
      </c>
      <c r="AL690" s="69"/>
    </row>
    <row r="691" spans="1:38" x14ac:dyDescent="0.2">
      <c r="A691" s="10">
        <v>41061</v>
      </c>
      <c r="B691" s="69">
        <v>5.1633829999999996</v>
      </c>
      <c r="C691" s="69"/>
      <c r="D691" s="69">
        <v>7.3</v>
      </c>
      <c r="E691" s="69">
        <v>7.2</v>
      </c>
      <c r="F691" s="69">
        <v>6.3510580000000001</v>
      </c>
      <c r="G691" s="69">
        <v>6.8</v>
      </c>
      <c r="H691" s="69">
        <v>5.4</v>
      </c>
      <c r="I691" s="69">
        <v>8</v>
      </c>
      <c r="J691" s="69">
        <v>24.9</v>
      </c>
      <c r="K691" s="69">
        <v>9.9</v>
      </c>
      <c r="L691" s="69">
        <v>7.8</v>
      </c>
      <c r="M691" s="69">
        <v>9.6999999999999993</v>
      </c>
      <c r="N691" s="69">
        <v>8.0384189999999993</v>
      </c>
      <c r="O691" s="69">
        <v>25.2</v>
      </c>
      <c r="P691" s="69">
        <v>10.1</v>
      </c>
      <c r="Q691" s="69">
        <v>15.4</v>
      </c>
      <c r="R691" s="69">
        <v>6.8</v>
      </c>
      <c r="S691" s="69">
        <v>6.63978</v>
      </c>
      <c r="T691" s="69">
        <v>10.9</v>
      </c>
      <c r="U691" s="69">
        <v>4.3</v>
      </c>
      <c r="V691" s="69">
        <v>3.2</v>
      </c>
      <c r="W691" s="69">
        <v>5.0999999999999996</v>
      </c>
      <c r="X691" s="69">
        <v>15.6</v>
      </c>
      <c r="Y691" s="69">
        <v>4.8997710000000003</v>
      </c>
      <c r="Z691" s="69">
        <v>5.7</v>
      </c>
      <c r="AA691" s="69">
        <v>3.2</v>
      </c>
      <c r="AB691" s="69">
        <v>6.9954989999999997</v>
      </c>
      <c r="AC691" s="69">
        <v>10.199999999999999</v>
      </c>
      <c r="AD691" s="69">
        <v>16.5</v>
      </c>
      <c r="AE691" s="69">
        <v>13.8</v>
      </c>
      <c r="AF691" s="69">
        <v>8.8000000000000007</v>
      </c>
      <c r="AG691" s="69">
        <v>7.9</v>
      </c>
      <c r="AH691" s="69">
        <v>8</v>
      </c>
      <c r="AI691" s="69">
        <v>8.1999999999999993</v>
      </c>
      <c r="AJ691" s="69">
        <v>11.5</v>
      </c>
      <c r="AK691" s="69">
        <v>7.4265860000000004</v>
      </c>
      <c r="AL691" s="69"/>
    </row>
    <row r="692" spans="1:38" x14ac:dyDescent="0.2">
      <c r="A692" s="10">
        <v>41091</v>
      </c>
      <c r="B692" s="69">
        <v>5.1770060000000004</v>
      </c>
      <c r="C692" s="69"/>
      <c r="D692" s="69">
        <v>7.3</v>
      </c>
      <c r="E692" s="69">
        <v>7.3</v>
      </c>
      <c r="F692" s="69">
        <v>6.2355320000000001</v>
      </c>
      <c r="G692" s="69">
        <v>6.9</v>
      </c>
      <c r="H692" s="69">
        <v>5.4</v>
      </c>
      <c r="I692" s="69">
        <v>7.8</v>
      </c>
      <c r="J692" s="69">
        <v>25.1</v>
      </c>
      <c r="K692" s="69">
        <v>9.6999999999999993</v>
      </c>
      <c r="L692" s="69">
        <v>8</v>
      </c>
      <c r="M692" s="69">
        <v>9.6999999999999993</v>
      </c>
      <c r="N692" s="69">
        <v>7.8896249999999997</v>
      </c>
      <c r="O692" s="69">
        <v>25.2</v>
      </c>
      <c r="P692" s="69">
        <v>10.6</v>
      </c>
      <c r="Q692" s="69">
        <v>15.6</v>
      </c>
      <c r="R692" s="69">
        <v>6.7</v>
      </c>
      <c r="S692" s="69">
        <v>6.5560710000000002</v>
      </c>
      <c r="T692" s="69">
        <v>11.1</v>
      </c>
      <c r="U692" s="69">
        <v>4.3</v>
      </c>
      <c r="V692" s="69">
        <v>3.1</v>
      </c>
      <c r="W692" s="69">
        <v>5</v>
      </c>
      <c r="X692" s="69">
        <v>14.3</v>
      </c>
      <c r="Y692" s="69">
        <v>4.7002940000000004</v>
      </c>
      <c r="Z692" s="69">
        <v>5.9</v>
      </c>
      <c r="AA692" s="69">
        <v>3.2</v>
      </c>
      <c r="AB692" s="69">
        <v>7.0068849999999996</v>
      </c>
      <c r="AC692" s="69">
        <v>10.199999999999999</v>
      </c>
      <c r="AD692" s="69">
        <v>16.7</v>
      </c>
      <c r="AE692" s="69">
        <v>13.9</v>
      </c>
      <c r="AF692" s="69">
        <v>9.4</v>
      </c>
      <c r="AG692" s="69">
        <v>8</v>
      </c>
      <c r="AH692" s="69">
        <v>8.1</v>
      </c>
      <c r="AI692" s="69">
        <v>8.1999999999999993</v>
      </c>
      <c r="AJ692" s="69">
        <v>11.5</v>
      </c>
      <c r="AK692" s="69">
        <v>7.4253749999999998</v>
      </c>
      <c r="AL692" s="69"/>
    </row>
    <row r="693" spans="1:38" x14ac:dyDescent="0.2">
      <c r="A693" s="10">
        <v>41122</v>
      </c>
      <c r="B693" s="69">
        <v>5.1431139999999997</v>
      </c>
      <c r="C693" s="69"/>
      <c r="D693" s="69">
        <v>7.5</v>
      </c>
      <c r="E693" s="69">
        <v>7.3</v>
      </c>
      <c r="F693" s="69">
        <v>6.3452669999999998</v>
      </c>
      <c r="G693" s="69">
        <v>7.2</v>
      </c>
      <c r="H693" s="69">
        <v>5.3</v>
      </c>
      <c r="I693" s="69">
        <v>7.8</v>
      </c>
      <c r="J693" s="69">
        <v>25.3</v>
      </c>
      <c r="K693" s="69">
        <v>9.5</v>
      </c>
      <c r="L693" s="69">
        <v>8.1</v>
      </c>
      <c r="M693" s="69">
        <v>9.8000000000000007</v>
      </c>
      <c r="N693" s="69">
        <v>7.859896</v>
      </c>
      <c r="O693" s="69">
        <v>25.5</v>
      </c>
      <c r="P693" s="69">
        <v>10</v>
      </c>
      <c r="Q693" s="69">
        <v>15.6</v>
      </c>
      <c r="R693" s="69">
        <v>6.5</v>
      </c>
      <c r="S693" s="69">
        <v>6.6783029999999997</v>
      </c>
      <c r="T693" s="69">
        <v>11</v>
      </c>
      <c r="U693" s="69">
        <v>4.2</v>
      </c>
      <c r="V693" s="69">
        <v>3.1</v>
      </c>
      <c r="W693" s="69">
        <v>5</v>
      </c>
      <c r="X693" s="69">
        <v>13.8</v>
      </c>
      <c r="Y693" s="69">
        <v>4.997566</v>
      </c>
      <c r="Z693" s="69">
        <v>5.8</v>
      </c>
      <c r="AA693" s="69">
        <v>3.2</v>
      </c>
      <c r="AB693" s="69">
        <v>7.0175799999999997</v>
      </c>
      <c r="AC693" s="69">
        <v>10.3</v>
      </c>
      <c r="AD693" s="69">
        <v>17.3</v>
      </c>
      <c r="AE693" s="69">
        <v>14</v>
      </c>
      <c r="AF693" s="69">
        <v>9.6</v>
      </c>
      <c r="AG693" s="69">
        <v>8.1999999999999993</v>
      </c>
      <c r="AH693" s="69">
        <v>8.1999999999999993</v>
      </c>
      <c r="AI693" s="69">
        <v>8.1</v>
      </c>
      <c r="AJ693" s="69">
        <v>11.6</v>
      </c>
      <c r="AK693" s="69">
        <v>7.3360539999999999</v>
      </c>
      <c r="AL693" s="69"/>
    </row>
    <row r="694" spans="1:38" x14ac:dyDescent="0.2">
      <c r="A694" s="10">
        <v>41153</v>
      </c>
      <c r="B694" s="69">
        <v>5.4884919999999999</v>
      </c>
      <c r="C694" s="69"/>
      <c r="D694" s="69">
        <v>7.7</v>
      </c>
      <c r="E694" s="69">
        <v>7.3</v>
      </c>
      <c r="F694" s="69">
        <v>6.6047209999999996</v>
      </c>
      <c r="G694" s="69">
        <v>6.8</v>
      </c>
      <c r="H694" s="69">
        <v>5.3</v>
      </c>
      <c r="I694" s="69">
        <v>7.8</v>
      </c>
      <c r="J694" s="69">
        <v>25.5</v>
      </c>
      <c r="K694" s="69">
        <v>8.9</v>
      </c>
      <c r="L694" s="69">
        <v>8.1</v>
      </c>
      <c r="M694" s="69">
        <v>9.9</v>
      </c>
      <c r="N694" s="69">
        <v>7.8517000000000001</v>
      </c>
      <c r="O694" s="69">
        <v>26.1</v>
      </c>
      <c r="P694" s="69">
        <v>9.8000000000000007</v>
      </c>
      <c r="Q694" s="69">
        <v>15.4</v>
      </c>
      <c r="R694" s="69">
        <v>6.4</v>
      </c>
      <c r="S694" s="69">
        <v>6.8688419999999999</v>
      </c>
      <c r="T694" s="69">
        <v>11.2</v>
      </c>
      <c r="U694" s="69">
        <v>4.2</v>
      </c>
      <c r="V694" s="69">
        <v>3.2</v>
      </c>
      <c r="W694" s="69">
        <v>5.0999999999999996</v>
      </c>
      <c r="X694" s="69">
        <v>13.8</v>
      </c>
      <c r="Y694" s="69">
        <v>4.6661700000000002</v>
      </c>
      <c r="Z694" s="69">
        <v>6</v>
      </c>
      <c r="AA694" s="69">
        <v>3.3</v>
      </c>
      <c r="AB694" s="69">
        <v>6.9095060000000004</v>
      </c>
      <c r="AC694" s="69">
        <v>10.3</v>
      </c>
      <c r="AD694" s="69">
        <v>17.3</v>
      </c>
      <c r="AE694" s="69">
        <v>13.9</v>
      </c>
      <c r="AF694" s="69">
        <v>9.6</v>
      </c>
      <c r="AG694" s="69">
        <v>8.1</v>
      </c>
      <c r="AH694" s="69">
        <v>8.4</v>
      </c>
      <c r="AI694" s="69">
        <v>7.8</v>
      </c>
      <c r="AJ694" s="69">
        <v>11.7</v>
      </c>
      <c r="AK694" s="69">
        <v>7.2593540000000001</v>
      </c>
      <c r="AL694" s="69"/>
    </row>
    <row r="695" spans="1:38" x14ac:dyDescent="0.2">
      <c r="A695" s="10">
        <v>41183</v>
      </c>
      <c r="B695" s="69">
        <v>5.4150229999999997</v>
      </c>
      <c r="C695" s="69"/>
      <c r="D695" s="69">
        <v>8.1</v>
      </c>
      <c r="E695" s="69">
        <v>7.5</v>
      </c>
      <c r="F695" s="69">
        <v>6.5795719999999998</v>
      </c>
      <c r="G695" s="69">
        <v>7.2</v>
      </c>
      <c r="H695" s="69">
        <v>5.3</v>
      </c>
      <c r="I695" s="69">
        <v>7.6</v>
      </c>
      <c r="J695" s="69">
        <v>25.6</v>
      </c>
      <c r="K695" s="69">
        <v>9</v>
      </c>
      <c r="L695" s="69">
        <v>7.8</v>
      </c>
      <c r="M695" s="69">
        <v>10</v>
      </c>
      <c r="N695" s="69">
        <v>7.8197219999999996</v>
      </c>
      <c r="O695" s="69">
        <v>26.1</v>
      </c>
      <c r="P695" s="69">
        <v>10.6</v>
      </c>
      <c r="Q695" s="69">
        <v>15.2</v>
      </c>
      <c r="R695" s="69">
        <v>6.2</v>
      </c>
      <c r="S695" s="69">
        <v>6.8602359999999996</v>
      </c>
      <c r="T695" s="69">
        <v>11.7</v>
      </c>
      <c r="U695" s="69">
        <v>4.0999999999999996</v>
      </c>
      <c r="V695" s="69">
        <v>3.1</v>
      </c>
      <c r="W695" s="69">
        <v>5.2</v>
      </c>
      <c r="X695" s="69">
        <v>14.5</v>
      </c>
      <c r="Y695" s="69">
        <v>4.9279700000000002</v>
      </c>
      <c r="Z695" s="69">
        <v>6.1</v>
      </c>
      <c r="AA695" s="69">
        <v>3.4</v>
      </c>
      <c r="AB695" s="69">
        <v>6.8153579999999998</v>
      </c>
      <c r="AC695" s="69">
        <v>10.199999999999999</v>
      </c>
      <c r="AD695" s="69">
        <v>17.600000000000001</v>
      </c>
      <c r="AE695" s="69">
        <v>14.1</v>
      </c>
      <c r="AF695" s="69">
        <v>9.5</v>
      </c>
      <c r="AG695" s="69">
        <v>8</v>
      </c>
      <c r="AH695" s="69">
        <v>8.4</v>
      </c>
      <c r="AI695" s="69">
        <v>7.8</v>
      </c>
      <c r="AJ695" s="69">
        <v>11.8</v>
      </c>
      <c r="AK695" s="69">
        <v>7.2910399999999997</v>
      </c>
      <c r="AL695" s="69"/>
    </row>
    <row r="696" spans="1:38" x14ac:dyDescent="0.2">
      <c r="A696" s="10">
        <v>41214</v>
      </c>
      <c r="B696" s="69">
        <v>5.254003</v>
      </c>
      <c r="C696" s="69"/>
      <c r="D696" s="69">
        <v>8.3000000000000007</v>
      </c>
      <c r="E696" s="69">
        <v>7.4</v>
      </c>
      <c r="F696" s="69">
        <v>6.7020289999999996</v>
      </c>
      <c r="G696" s="69">
        <v>7.5</v>
      </c>
      <c r="H696" s="69">
        <v>5.3</v>
      </c>
      <c r="I696" s="69">
        <v>7.4</v>
      </c>
      <c r="J696" s="69">
        <v>25.9</v>
      </c>
      <c r="K696" s="69">
        <v>9.1</v>
      </c>
      <c r="L696" s="69">
        <v>8.1</v>
      </c>
      <c r="M696" s="69">
        <v>10.1</v>
      </c>
      <c r="N696" s="69">
        <v>7.8135779999999997</v>
      </c>
      <c r="O696" s="69">
        <v>26.4</v>
      </c>
      <c r="P696" s="69">
        <v>10.4</v>
      </c>
      <c r="Q696" s="69">
        <v>15</v>
      </c>
      <c r="R696" s="69">
        <v>6.1</v>
      </c>
      <c r="S696" s="69">
        <v>6.865723</v>
      </c>
      <c r="T696" s="69">
        <v>11.6</v>
      </c>
      <c r="U696" s="69">
        <v>4.0999999999999996</v>
      </c>
      <c r="V696" s="69">
        <v>3.2</v>
      </c>
      <c r="W696" s="69">
        <v>5.3</v>
      </c>
      <c r="X696" s="69">
        <v>14.4</v>
      </c>
      <c r="Y696" s="69">
        <v>5.2834770000000004</v>
      </c>
      <c r="Z696" s="69">
        <v>6.2</v>
      </c>
      <c r="AA696" s="69">
        <v>3.6</v>
      </c>
      <c r="AB696" s="69">
        <v>6.7807339999999998</v>
      </c>
      <c r="AC696" s="69">
        <v>10.3</v>
      </c>
      <c r="AD696" s="69">
        <v>17.7</v>
      </c>
      <c r="AE696" s="69">
        <v>14.2</v>
      </c>
      <c r="AF696" s="69">
        <v>9.5</v>
      </c>
      <c r="AG696" s="69">
        <v>8.4</v>
      </c>
      <c r="AH696" s="69">
        <v>8.6</v>
      </c>
      <c r="AI696" s="69">
        <v>7.7</v>
      </c>
      <c r="AJ696" s="69">
        <v>11.9</v>
      </c>
      <c r="AK696" s="69">
        <v>7.2538390000000001</v>
      </c>
      <c r="AL696" s="69"/>
    </row>
    <row r="697" spans="1:38" x14ac:dyDescent="0.2">
      <c r="A697" s="10">
        <v>41244</v>
      </c>
      <c r="B697" s="69">
        <v>5.4333830000000001</v>
      </c>
      <c r="C697" s="69"/>
      <c r="D697" s="69">
        <v>8.4</v>
      </c>
      <c r="E697" s="69">
        <v>7.3</v>
      </c>
      <c r="F697" s="69">
        <v>6.4832280000000004</v>
      </c>
      <c r="G697" s="69">
        <v>7</v>
      </c>
      <c r="H697" s="69">
        <v>5.3</v>
      </c>
      <c r="I697" s="69">
        <v>7.5</v>
      </c>
      <c r="J697" s="69">
        <v>26</v>
      </c>
      <c r="K697" s="69">
        <v>9.5</v>
      </c>
      <c r="L697" s="69">
        <v>7.7</v>
      </c>
      <c r="M697" s="69">
        <v>10.199999999999999</v>
      </c>
      <c r="N697" s="69">
        <v>7.8222120000000004</v>
      </c>
      <c r="O697" s="69">
        <v>26.2</v>
      </c>
      <c r="P697" s="69">
        <v>9.9</v>
      </c>
      <c r="Q697" s="69">
        <v>14.8</v>
      </c>
      <c r="R697" s="69">
        <v>6.1</v>
      </c>
      <c r="S697" s="69">
        <v>6.7729160000000004</v>
      </c>
      <c r="T697" s="69">
        <v>11.7</v>
      </c>
      <c r="U697" s="69">
        <v>4.3</v>
      </c>
      <c r="V697" s="69">
        <v>3.1</v>
      </c>
      <c r="W697" s="69">
        <v>5.4</v>
      </c>
      <c r="X697" s="69">
        <v>13.9</v>
      </c>
      <c r="Y697" s="69">
        <v>4.9837629999999997</v>
      </c>
      <c r="Z697" s="69">
        <v>6.4</v>
      </c>
      <c r="AA697" s="69">
        <v>3.5</v>
      </c>
      <c r="AB697" s="69">
        <v>6.7326490000000003</v>
      </c>
      <c r="AC697" s="69">
        <v>10.3</v>
      </c>
      <c r="AD697" s="69">
        <v>18</v>
      </c>
      <c r="AE697" s="69">
        <v>14.3</v>
      </c>
      <c r="AF697" s="69">
        <v>9.8000000000000007</v>
      </c>
      <c r="AG697" s="69">
        <v>8.1</v>
      </c>
      <c r="AH697" s="69">
        <v>8.8000000000000007</v>
      </c>
      <c r="AI697" s="69">
        <v>7.9</v>
      </c>
      <c r="AJ697" s="69">
        <v>11.9</v>
      </c>
      <c r="AK697" s="69">
        <v>7.3631719999999996</v>
      </c>
      <c r="AL697" s="69"/>
    </row>
    <row r="698" spans="1:38" x14ac:dyDescent="0.2">
      <c r="A698" s="10">
        <v>41275</v>
      </c>
      <c r="B698" s="69">
        <v>5.3859830000000004</v>
      </c>
      <c r="C698" s="69"/>
      <c r="D698" s="69">
        <v>8.4</v>
      </c>
      <c r="E698" s="69">
        <v>7.1</v>
      </c>
      <c r="F698" s="69">
        <v>6.6499600000000001</v>
      </c>
      <c r="G698" s="69">
        <v>6.9</v>
      </c>
      <c r="H698" s="69">
        <v>5.4</v>
      </c>
      <c r="I698" s="69">
        <v>7.6</v>
      </c>
      <c r="J698" s="69">
        <v>26.2</v>
      </c>
      <c r="K698" s="69">
        <v>9.9</v>
      </c>
      <c r="L698" s="69">
        <v>8.6999999999999993</v>
      </c>
      <c r="M698" s="69">
        <v>10.3</v>
      </c>
      <c r="N698" s="69">
        <v>7.9757980000000002</v>
      </c>
      <c r="O698" s="69">
        <v>26.6</v>
      </c>
      <c r="P698" s="69">
        <v>11.7</v>
      </c>
      <c r="Q698" s="69">
        <v>14.7</v>
      </c>
      <c r="R698" s="69">
        <v>6.1</v>
      </c>
      <c r="S698" s="69">
        <v>6.7622840000000002</v>
      </c>
      <c r="T698" s="69">
        <v>12.1</v>
      </c>
      <c r="U698" s="69">
        <v>4.2</v>
      </c>
      <c r="V698" s="69">
        <v>3.2</v>
      </c>
      <c r="W698" s="69">
        <v>5.5</v>
      </c>
      <c r="X698" s="69">
        <v>13</v>
      </c>
      <c r="Y698" s="69">
        <v>5.217041</v>
      </c>
      <c r="Z698" s="69">
        <v>6.6</v>
      </c>
      <c r="AA698" s="69">
        <v>3.7</v>
      </c>
      <c r="AB698" s="69">
        <v>6.7207169999999996</v>
      </c>
      <c r="AC698" s="69">
        <v>10.5</v>
      </c>
      <c r="AD698" s="69">
        <v>18</v>
      </c>
      <c r="AE698" s="69">
        <v>14.4</v>
      </c>
      <c r="AF698" s="69">
        <v>10.3</v>
      </c>
      <c r="AG698" s="69">
        <v>7.9</v>
      </c>
      <c r="AH698" s="69">
        <v>8.8000000000000007</v>
      </c>
      <c r="AI698" s="69">
        <v>8</v>
      </c>
      <c r="AJ698" s="69">
        <v>12.1</v>
      </c>
      <c r="AK698" s="69">
        <v>7.4504210000000004</v>
      </c>
      <c r="AL698" s="69"/>
    </row>
    <row r="699" spans="1:38" x14ac:dyDescent="0.2">
      <c r="A699" s="10">
        <v>41306</v>
      </c>
      <c r="B699" s="69">
        <v>5.4271450000000003</v>
      </c>
      <c r="C699" s="69"/>
      <c r="D699" s="69">
        <v>8.4</v>
      </c>
      <c r="E699" s="69">
        <v>7.1</v>
      </c>
      <c r="F699" s="69">
        <v>6.4565530000000004</v>
      </c>
      <c r="G699" s="69">
        <v>7.4</v>
      </c>
      <c r="H699" s="69">
        <v>5.4</v>
      </c>
      <c r="I699" s="69">
        <v>7.6</v>
      </c>
      <c r="J699" s="69">
        <v>26.3</v>
      </c>
      <c r="K699" s="69">
        <v>9.6999999999999993</v>
      </c>
      <c r="L699" s="69">
        <v>8.3000000000000007</v>
      </c>
      <c r="M699" s="69">
        <v>10.3</v>
      </c>
      <c r="N699" s="69">
        <v>7.844703</v>
      </c>
      <c r="O699" s="69">
        <v>26.6</v>
      </c>
      <c r="P699" s="69">
        <v>11.4</v>
      </c>
      <c r="Q699" s="69">
        <v>14.6</v>
      </c>
      <c r="R699" s="69">
        <v>6.1</v>
      </c>
      <c r="S699" s="69">
        <v>6.7974750000000004</v>
      </c>
      <c r="T699" s="69">
        <v>12</v>
      </c>
      <c r="U699" s="69">
        <v>4.3</v>
      </c>
      <c r="V699" s="69">
        <v>3.2</v>
      </c>
      <c r="W699" s="69">
        <v>5.6</v>
      </c>
      <c r="X699" s="69">
        <v>12.6</v>
      </c>
      <c r="Y699" s="69">
        <v>4.8694870000000003</v>
      </c>
      <c r="Z699" s="69">
        <v>6.8</v>
      </c>
      <c r="AA699" s="69">
        <v>3.7</v>
      </c>
      <c r="AB699" s="69">
        <v>6.6357059999999999</v>
      </c>
      <c r="AC699" s="69">
        <v>10.6</v>
      </c>
      <c r="AD699" s="69">
        <v>17.8</v>
      </c>
      <c r="AE699" s="69">
        <v>14.4</v>
      </c>
      <c r="AF699" s="69">
        <v>10.6</v>
      </c>
      <c r="AG699" s="69">
        <v>8</v>
      </c>
      <c r="AH699" s="69">
        <v>8.8000000000000007</v>
      </c>
      <c r="AI699" s="69">
        <v>7.7</v>
      </c>
      <c r="AJ699" s="69">
        <v>12.1</v>
      </c>
      <c r="AK699" s="69">
        <v>7.3105890000000002</v>
      </c>
      <c r="AL699" s="69"/>
    </row>
    <row r="700" spans="1:38" x14ac:dyDescent="0.2">
      <c r="A700" s="10">
        <v>41334</v>
      </c>
      <c r="B700" s="69">
        <v>5.6340510000000004</v>
      </c>
      <c r="C700" s="69"/>
      <c r="D700" s="69">
        <v>8.4</v>
      </c>
      <c r="E700" s="69">
        <v>7.3</v>
      </c>
      <c r="F700" s="69">
        <v>6.553642</v>
      </c>
      <c r="G700" s="69">
        <v>7.3</v>
      </c>
      <c r="H700" s="69">
        <v>5.4</v>
      </c>
      <c r="I700" s="69">
        <v>7.6</v>
      </c>
      <c r="J700" s="69">
        <v>26.2</v>
      </c>
      <c r="K700" s="69">
        <v>9.1</v>
      </c>
      <c r="L700" s="69">
        <v>8.1999999999999993</v>
      </c>
      <c r="M700" s="69">
        <v>10.4</v>
      </c>
      <c r="N700" s="69">
        <v>7.7920309999999997</v>
      </c>
      <c r="O700" s="69">
        <v>27.1</v>
      </c>
      <c r="P700" s="69">
        <v>10.199999999999999</v>
      </c>
      <c r="Q700" s="69">
        <v>14.4</v>
      </c>
      <c r="R700" s="69">
        <v>6.1</v>
      </c>
      <c r="S700" s="69">
        <v>6.6543739999999998</v>
      </c>
      <c r="T700" s="69">
        <v>12</v>
      </c>
      <c r="U700" s="69">
        <v>4.0999999999999996</v>
      </c>
      <c r="V700" s="69">
        <v>3</v>
      </c>
      <c r="W700" s="69">
        <v>5.7</v>
      </c>
      <c r="X700" s="69">
        <v>12.1</v>
      </c>
      <c r="Y700" s="69">
        <v>4.9153060000000002</v>
      </c>
      <c r="Z700" s="69">
        <v>6.9</v>
      </c>
      <c r="AA700" s="69">
        <v>3.8</v>
      </c>
      <c r="AB700" s="69">
        <v>6.6608130000000001</v>
      </c>
      <c r="AC700" s="69">
        <v>10.7</v>
      </c>
      <c r="AD700" s="69">
        <v>17.8</v>
      </c>
      <c r="AE700" s="69">
        <v>14.3</v>
      </c>
      <c r="AF700" s="69">
        <v>10.8</v>
      </c>
      <c r="AG700" s="69">
        <v>8.3000000000000007</v>
      </c>
      <c r="AH700" s="69">
        <v>9</v>
      </c>
      <c r="AI700" s="69">
        <v>7.5</v>
      </c>
      <c r="AJ700" s="69">
        <v>12.1</v>
      </c>
      <c r="AK700" s="69">
        <v>7.2321819999999999</v>
      </c>
      <c r="AL700" s="69"/>
    </row>
    <row r="701" spans="1:38" x14ac:dyDescent="0.2">
      <c r="A701" s="10">
        <v>41365</v>
      </c>
      <c r="B701" s="69">
        <v>5.5833690000000002</v>
      </c>
      <c r="C701" s="69"/>
      <c r="D701" s="69">
        <v>8.4</v>
      </c>
      <c r="E701" s="69">
        <v>7.2</v>
      </c>
      <c r="F701" s="69">
        <v>6.3199269999999999</v>
      </c>
      <c r="G701" s="69">
        <v>7</v>
      </c>
      <c r="H701" s="69">
        <v>5.3</v>
      </c>
      <c r="I701" s="69">
        <v>7.5</v>
      </c>
      <c r="J701" s="69">
        <v>26.3</v>
      </c>
      <c r="K701" s="69">
        <v>8.1</v>
      </c>
      <c r="L701" s="69">
        <v>8.3000000000000007</v>
      </c>
      <c r="M701" s="69">
        <v>10.4</v>
      </c>
      <c r="N701" s="69">
        <v>7.7580520000000002</v>
      </c>
      <c r="O701" s="69">
        <v>27.6</v>
      </c>
      <c r="P701" s="69">
        <v>9.8000000000000007</v>
      </c>
      <c r="Q701" s="69">
        <v>14.5</v>
      </c>
      <c r="R701" s="69">
        <v>6.1</v>
      </c>
      <c r="S701" s="69">
        <v>6.7991140000000003</v>
      </c>
      <c r="T701" s="69">
        <v>12.3</v>
      </c>
      <c r="U701" s="69">
        <v>4.0999999999999996</v>
      </c>
      <c r="V701" s="69">
        <v>3</v>
      </c>
      <c r="W701" s="69">
        <v>5.7</v>
      </c>
      <c r="X701" s="69">
        <v>11.6</v>
      </c>
      <c r="Y701" s="69">
        <v>5.1227039999999997</v>
      </c>
      <c r="Z701" s="69">
        <v>7</v>
      </c>
      <c r="AA701" s="69">
        <v>3.8</v>
      </c>
      <c r="AB701" s="69">
        <v>6.576613</v>
      </c>
      <c r="AC701" s="69">
        <v>10.7</v>
      </c>
      <c r="AD701" s="69">
        <v>17.7</v>
      </c>
      <c r="AE701" s="69">
        <v>14.4</v>
      </c>
      <c r="AF701" s="69">
        <v>10.9</v>
      </c>
      <c r="AG701" s="69">
        <v>8.1999999999999993</v>
      </c>
      <c r="AH701" s="69">
        <v>9.1</v>
      </c>
      <c r="AI701" s="69">
        <v>7.6</v>
      </c>
      <c r="AJ701" s="69">
        <v>12.1</v>
      </c>
      <c r="AK701" s="69">
        <v>7.241663</v>
      </c>
      <c r="AL701" s="69"/>
    </row>
    <row r="702" spans="1:38" x14ac:dyDescent="0.2">
      <c r="A702" s="10">
        <v>41395</v>
      </c>
      <c r="B702" s="69">
        <v>5.612959</v>
      </c>
      <c r="C702" s="69"/>
      <c r="D702" s="69">
        <v>8.4</v>
      </c>
      <c r="E702" s="69">
        <v>7</v>
      </c>
      <c r="F702" s="69">
        <v>6.0079940000000001</v>
      </c>
      <c r="G702" s="69">
        <v>7.2</v>
      </c>
      <c r="H702" s="69">
        <v>5.3</v>
      </c>
      <c r="I702" s="69">
        <v>7.5</v>
      </c>
      <c r="J702" s="69">
        <v>26.2</v>
      </c>
      <c r="K702" s="69">
        <v>7.9</v>
      </c>
      <c r="L702" s="69">
        <v>8.4</v>
      </c>
      <c r="M702" s="69">
        <v>10.4</v>
      </c>
      <c r="N702" s="69">
        <v>7.7482360000000003</v>
      </c>
      <c r="O702" s="69">
        <v>27.9</v>
      </c>
      <c r="P702" s="69">
        <v>10.6</v>
      </c>
      <c r="Q702" s="69">
        <v>14.5</v>
      </c>
      <c r="R702" s="69">
        <v>6.1</v>
      </c>
      <c r="S702" s="69">
        <v>6.6362909999999999</v>
      </c>
      <c r="T702" s="69">
        <v>12.4</v>
      </c>
      <c r="U702" s="69">
        <v>4.0999999999999996</v>
      </c>
      <c r="V702" s="69">
        <v>3.1</v>
      </c>
      <c r="W702" s="69">
        <v>5.8</v>
      </c>
      <c r="X702" s="69">
        <v>11.3</v>
      </c>
      <c r="Y702" s="69">
        <v>5.0547089999999999</v>
      </c>
      <c r="Z702" s="69">
        <v>7.1</v>
      </c>
      <c r="AA702" s="69">
        <v>3.7</v>
      </c>
      <c r="AB702" s="69">
        <v>6.5666719999999996</v>
      </c>
      <c r="AC702" s="69">
        <v>10.6</v>
      </c>
      <c r="AD702" s="69">
        <v>17.899999999999999</v>
      </c>
      <c r="AE702" s="69">
        <v>14.4</v>
      </c>
      <c r="AF702" s="69">
        <v>10.7</v>
      </c>
      <c r="AG702" s="69">
        <v>7.9</v>
      </c>
      <c r="AH702" s="69">
        <v>9</v>
      </c>
      <c r="AI702" s="69">
        <v>7.5</v>
      </c>
      <c r="AJ702" s="69">
        <v>12.1</v>
      </c>
      <c r="AK702" s="69">
        <v>7.2070699999999999</v>
      </c>
      <c r="AL702" s="69"/>
    </row>
    <row r="703" spans="1:38" x14ac:dyDescent="0.2">
      <c r="A703" s="10">
        <v>41426</v>
      </c>
      <c r="B703" s="69">
        <v>5.6958840000000004</v>
      </c>
      <c r="C703" s="69"/>
      <c r="D703" s="69">
        <v>8.4</v>
      </c>
      <c r="E703" s="69">
        <v>7.2</v>
      </c>
      <c r="F703" s="69">
        <v>5.5880789999999996</v>
      </c>
      <c r="G703" s="69">
        <v>6.7</v>
      </c>
      <c r="H703" s="69">
        <v>5.2</v>
      </c>
      <c r="I703" s="69">
        <v>7.2</v>
      </c>
      <c r="J703" s="69">
        <v>26.2</v>
      </c>
      <c r="K703" s="69">
        <v>7.7</v>
      </c>
      <c r="L703" s="69">
        <v>7.5</v>
      </c>
      <c r="M703" s="69">
        <v>10.4</v>
      </c>
      <c r="N703" s="69">
        <v>7.6711130000000001</v>
      </c>
      <c r="O703" s="69">
        <v>27.9</v>
      </c>
      <c r="P703" s="69">
        <v>9.5</v>
      </c>
      <c r="Q703" s="69">
        <v>14.1</v>
      </c>
      <c r="R703" s="69">
        <v>6.1</v>
      </c>
      <c r="S703" s="69">
        <v>6.2104410000000003</v>
      </c>
      <c r="T703" s="69">
        <v>12.4</v>
      </c>
      <c r="U703" s="69">
        <v>3.9</v>
      </c>
      <c r="V703" s="69">
        <v>3.1</v>
      </c>
      <c r="W703" s="69">
        <v>5.9</v>
      </c>
      <c r="X703" s="69">
        <v>11.2</v>
      </c>
      <c r="Y703" s="69">
        <v>5.062106</v>
      </c>
      <c r="Z703" s="69">
        <v>7.3</v>
      </c>
      <c r="AA703" s="69">
        <v>3.6</v>
      </c>
      <c r="AB703" s="69">
        <v>6.5699860000000001</v>
      </c>
      <c r="AC703" s="69">
        <v>10.5</v>
      </c>
      <c r="AD703" s="69">
        <v>17.7</v>
      </c>
      <c r="AE703" s="69">
        <v>14.4</v>
      </c>
      <c r="AF703" s="69">
        <v>10.3</v>
      </c>
      <c r="AG703" s="69">
        <v>8</v>
      </c>
      <c r="AH703" s="69">
        <v>8.9</v>
      </c>
      <c r="AI703" s="69">
        <v>7.5</v>
      </c>
      <c r="AJ703" s="69">
        <v>12.1</v>
      </c>
      <c r="AK703" s="69">
        <v>7.1807730000000003</v>
      </c>
      <c r="AL703" s="69"/>
    </row>
    <row r="704" spans="1:38" x14ac:dyDescent="0.2">
      <c r="A704" s="10">
        <v>41456</v>
      </c>
      <c r="B704" s="69">
        <v>5.6276739999999998</v>
      </c>
      <c r="C704" s="69"/>
      <c r="D704" s="69">
        <v>8.4</v>
      </c>
      <c r="E704" s="69">
        <v>7.1</v>
      </c>
      <c r="F704" s="69">
        <v>5.5735960000000002</v>
      </c>
      <c r="G704" s="69">
        <v>6.6</v>
      </c>
      <c r="H704" s="69">
        <v>5.2</v>
      </c>
      <c r="I704" s="69">
        <v>7.4</v>
      </c>
      <c r="J704" s="69">
        <v>26.3</v>
      </c>
      <c r="K704" s="69">
        <v>7.6</v>
      </c>
      <c r="L704" s="69">
        <v>7.9</v>
      </c>
      <c r="M704" s="69">
        <v>10.3</v>
      </c>
      <c r="N704" s="69">
        <v>7.6975850000000001</v>
      </c>
      <c r="O704" s="69">
        <v>28.2</v>
      </c>
      <c r="P704" s="69">
        <v>9.6</v>
      </c>
      <c r="Q704" s="69">
        <v>13.6</v>
      </c>
      <c r="R704" s="69">
        <v>6</v>
      </c>
      <c r="S704" s="69">
        <v>6.1503500000000004</v>
      </c>
      <c r="T704" s="69">
        <v>12.2</v>
      </c>
      <c r="U704" s="69">
        <v>3.8</v>
      </c>
      <c r="V704" s="69">
        <v>3.2</v>
      </c>
      <c r="W704" s="69">
        <v>5.9</v>
      </c>
      <c r="X704" s="69">
        <v>11.8</v>
      </c>
      <c r="Y704" s="69">
        <v>4.8090539999999997</v>
      </c>
      <c r="Z704" s="69">
        <v>7.5</v>
      </c>
      <c r="AA704" s="69">
        <v>3.7</v>
      </c>
      <c r="AB704" s="69">
        <v>6.5256360000000004</v>
      </c>
      <c r="AC704" s="69">
        <v>10.4</v>
      </c>
      <c r="AD704" s="69">
        <v>17.7</v>
      </c>
      <c r="AE704" s="69">
        <v>14.2</v>
      </c>
      <c r="AF704" s="69">
        <v>9.9</v>
      </c>
      <c r="AG704" s="69">
        <v>7.9</v>
      </c>
      <c r="AH704" s="69">
        <v>9.1</v>
      </c>
      <c r="AI704" s="69">
        <v>7.3</v>
      </c>
      <c r="AJ704" s="69">
        <v>12.1</v>
      </c>
      <c r="AK704" s="69">
        <v>7.0382350000000002</v>
      </c>
      <c r="AL704" s="69"/>
    </row>
    <row r="705" spans="1:38" x14ac:dyDescent="0.2">
      <c r="A705" s="10">
        <v>41487</v>
      </c>
      <c r="B705" s="69">
        <v>5.8209249999999999</v>
      </c>
      <c r="C705" s="69"/>
      <c r="D705" s="69">
        <v>8.5</v>
      </c>
      <c r="E705" s="69">
        <v>7.1</v>
      </c>
      <c r="F705" s="69">
        <v>5.6489200000000004</v>
      </c>
      <c r="G705" s="69">
        <v>7.1</v>
      </c>
      <c r="H705" s="69">
        <v>5.2</v>
      </c>
      <c r="I705" s="69">
        <v>7.4</v>
      </c>
      <c r="J705" s="69">
        <v>26.2</v>
      </c>
      <c r="K705" s="69">
        <v>7.9</v>
      </c>
      <c r="L705" s="69">
        <v>8.1999999999999993</v>
      </c>
      <c r="M705" s="69">
        <v>10.199999999999999</v>
      </c>
      <c r="N705" s="69">
        <v>7.6181970000000003</v>
      </c>
      <c r="O705" s="69">
        <v>27.5</v>
      </c>
      <c r="P705" s="69">
        <v>10</v>
      </c>
      <c r="Q705" s="69">
        <v>13.3</v>
      </c>
      <c r="R705" s="69">
        <v>5.9</v>
      </c>
      <c r="S705" s="69">
        <v>5.7056639999999996</v>
      </c>
      <c r="T705" s="69">
        <v>12.5</v>
      </c>
      <c r="U705" s="69">
        <v>4.0999999999999996</v>
      </c>
      <c r="V705" s="69">
        <v>3.2</v>
      </c>
      <c r="W705" s="69">
        <v>5.9</v>
      </c>
      <c r="X705" s="69">
        <v>12</v>
      </c>
      <c r="Y705" s="69">
        <v>4.8331470000000003</v>
      </c>
      <c r="Z705" s="69">
        <v>7.5</v>
      </c>
      <c r="AA705" s="69">
        <v>3.8</v>
      </c>
      <c r="AB705" s="69">
        <v>6.447235</v>
      </c>
      <c r="AC705" s="69">
        <v>10.199999999999999</v>
      </c>
      <c r="AD705" s="69">
        <v>16.899999999999999</v>
      </c>
      <c r="AE705" s="69">
        <v>14.2</v>
      </c>
      <c r="AF705" s="69">
        <v>9.8000000000000007</v>
      </c>
      <c r="AG705" s="69">
        <v>8</v>
      </c>
      <c r="AH705" s="69">
        <v>9.1999999999999993</v>
      </c>
      <c r="AI705" s="69">
        <v>7.2</v>
      </c>
      <c r="AJ705" s="69">
        <v>12.1</v>
      </c>
      <c r="AK705" s="69">
        <v>7.0713699999999999</v>
      </c>
      <c r="AL705" s="69"/>
    </row>
    <row r="706" spans="1:38" x14ac:dyDescent="0.2">
      <c r="A706" s="10">
        <v>41518</v>
      </c>
      <c r="B706" s="69">
        <v>5.7052639999999997</v>
      </c>
      <c r="C706" s="69"/>
      <c r="D706" s="69">
        <v>8.5</v>
      </c>
      <c r="E706" s="69">
        <v>7.1</v>
      </c>
      <c r="F706" s="69">
        <v>5.8746900000000002</v>
      </c>
      <c r="G706" s="69">
        <v>7</v>
      </c>
      <c r="H706" s="69">
        <v>5.2</v>
      </c>
      <c r="I706" s="69">
        <v>7.1</v>
      </c>
      <c r="J706" s="69">
        <v>26.1</v>
      </c>
      <c r="K706" s="69">
        <v>8.1</v>
      </c>
      <c r="L706" s="69">
        <v>8.3000000000000007</v>
      </c>
      <c r="M706" s="69">
        <v>10.3</v>
      </c>
      <c r="N706" s="69">
        <v>7.3688190000000002</v>
      </c>
      <c r="O706" s="69">
        <v>27.9</v>
      </c>
      <c r="P706" s="69">
        <v>9</v>
      </c>
      <c r="Q706" s="69">
        <v>13.1</v>
      </c>
      <c r="R706" s="69">
        <v>5.9</v>
      </c>
      <c r="S706" s="69">
        <v>5.9240199999999996</v>
      </c>
      <c r="T706" s="69">
        <v>12.6</v>
      </c>
      <c r="U706" s="69">
        <v>3.9</v>
      </c>
      <c r="V706" s="69">
        <v>3</v>
      </c>
      <c r="W706" s="69">
        <v>6</v>
      </c>
      <c r="X706" s="69">
        <v>12</v>
      </c>
      <c r="Y706" s="69">
        <v>4.942844</v>
      </c>
      <c r="Z706" s="69">
        <v>7.6</v>
      </c>
      <c r="AA706" s="69">
        <v>3.8</v>
      </c>
      <c r="AB706" s="69">
        <v>6.4695369999999999</v>
      </c>
      <c r="AC706" s="69">
        <v>10.1</v>
      </c>
      <c r="AD706" s="69">
        <v>16.600000000000001</v>
      </c>
      <c r="AE706" s="69">
        <v>14.2</v>
      </c>
      <c r="AF706" s="69">
        <v>9.6999999999999993</v>
      </c>
      <c r="AG706" s="69">
        <v>8.1</v>
      </c>
      <c r="AH706" s="69">
        <v>9.3000000000000007</v>
      </c>
      <c r="AI706" s="69">
        <v>7.2</v>
      </c>
      <c r="AJ706" s="69">
        <v>12.1</v>
      </c>
      <c r="AK706" s="69">
        <v>7.0308289999999998</v>
      </c>
      <c r="AL706" s="69"/>
    </row>
    <row r="707" spans="1:38" x14ac:dyDescent="0.2">
      <c r="A707" s="10">
        <v>41548</v>
      </c>
      <c r="B707" s="69">
        <v>5.8300879999999999</v>
      </c>
      <c r="C707" s="69"/>
      <c r="D707" s="69">
        <v>8.5</v>
      </c>
      <c r="E707" s="69">
        <v>7.1</v>
      </c>
      <c r="F707" s="69">
        <v>6.0680430000000003</v>
      </c>
      <c r="G707" s="69">
        <v>6.6</v>
      </c>
      <c r="H707" s="69">
        <v>5.0999999999999996</v>
      </c>
      <c r="I707" s="69">
        <v>7.2</v>
      </c>
      <c r="J707" s="69">
        <v>26</v>
      </c>
      <c r="K707" s="69">
        <v>8.6</v>
      </c>
      <c r="L707" s="69">
        <v>8.1999999999999993</v>
      </c>
      <c r="M707" s="69">
        <v>10.199999999999999</v>
      </c>
      <c r="N707" s="69">
        <v>7.1696140000000002</v>
      </c>
      <c r="O707" s="69">
        <v>27.9</v>
      </c>
      <c r="P707" s="69">
        <v>9.1999999999999993</v>
      </c>
      <c r="Q707" s="69">
        <v>13</v>
      </c>
      <c r="R707" s="69">
        <v>5.8</v>
      </c>
      <c r="S707" s="69">
        <v>5.7352270000000001</v>
      </c>
      <c r="T707" s="69">
        <v>12.6</v>
      </c>
      <c r="U707" s="69">
        <v>4</v>
      </c>
      <c r="V707" s="69">
        <v>3.1</v>
      </c>
      <c r="W707" s="69">
        <v>6</v>
      </c>
      <c r="X707" s="69">
        <v>11.6</v>
      </c>
      <c r="Y707" s="69">
        <v>4.9041689999999996</v>
      </c>
      <c r="Z707" s="69">
        <v>7.6</v>
      </c>
      <c r="AA707" s="69">
        <v>3.7</v>
      </c>
      <c r="AB707" s="69">
        <v>6.4221909999999998</v>
      </c>
      <c r="AC707" s="69">
        <v>9.9</v>
      </c>
      <c r="AD707" s="69">
        <v>16.3</v>
      </c>
      <c r="AE707" s="69">
        <v>14.1</v>
      </c>
      <c r="AF707" s="69">
        <v>9.6</v>
      </c>
      <c r="AG707" s="69">
        <v>7.8</v>
      </c>
      <c r="AH707" s="69">
        <v>9.1</v>
      </c>
      <c r="AI707" s="69">
        <v>7.2</v>
      </c>
      <c r="AJ707" s="69">
        <v>12</v>
      </c>
      <c r="AK707" s="69">
        <v>6.985239</v>
      </c>
      <c r="AL707" s="69"/>
    </row>
    <row r="708" spans="1:38" x14ac:dyDescent="0.2">
      <c r="A708" s="10">
        <v>41579</v>
      </c>
      <c r="B708" s="69">
        <v>5.7944870000000002</v>
      </c>
      <c r="C708" s="69"/>
      <c r="D708" s="69">
        <v>8.5</v>
      </c>
      <c r="E708" s="69">
        <v>7</v>
      </c>
      <c r="F708" s="69">
        <v>6.2184400000000002</v>
      </c>
      <c r="G708" s="69">
        <v>6.9</v>
      </c>
      <c r="H708" s="69">
        <v>5.0999999999999996</v>
      </c>
      <c r="I708" s="69">
        <v>7.1</v>
      </c>
      <c r="J708" s="69">
        <v>25.8</v>
      </c>
      <c r="K708" s="69">
        <v>8.8000000000000007</v>
      </c>
      <c r="L708" s="69">
        <v>8.8000000000000007</v>
      </c>
      <c r="M708" s="69">
        <v>10.199999999999999</v>
      </c>
      <c r="N708" s="69">
        <v>7.2206000000000001</v>
      </c>
      <c r="O708" s="69">
        <v>27.5</v>
      </c>
      <c r="P708" s="69">
        <v>8.6</v>
      </c>
      <c r="Q708" s="69">
        <v>12.8</v>
      </c>
      <c r="R708" s="69">
        <v>5.7</v>
      </c>
      <c r="S708" s="69">
        <v>5.6818900000000001</v>
      </c>
      <c r="T708" s="69">
        <v>12.5</v>
      </c>
      <c r="U708" s="69">
        <v>3.9</v>
      </c>
      <c r="V708" s="69">
        <v>3.1</v>
      </c>
      <c r="W708" s="69">
        <v>6</v>
      </c>
      <c r="X708" s="69">
        <v>11.5</v>
      </c>
      <c r="Y708" s="69">
        <v>4.6356409999999997</v>
      </c>
      <c r="Z708" s="69">
        <v>7.6</v>
      </c>
      <c r="AA708" s="69">
        <v>3.8</v>
      </c>
      <c r="AB708" s="69">
        <v>6.4275229999999999</v>
      </c>
      <c r="AC708" s="69">
        <v>9.9</v>
      </c>
      <c r="AD708" s="69">
        <v>16</v>
      </c>
      <c r="AE708" s="69">
        <v>14.1</v>
      </c>
      <c r="AF708" s="69">
        <v>9.6999999999999993</v>
      </c>
      <c r="AG708" s="69">
        <v>8.1</v>
      </c>
      <c r="AH708" s="69">
        <v>9.1999999999999993</v>
      </c>
      <c r="AI708" s="69">
        <v>6.9</v>
      </c>
      <c r="AJ708" s="69">
        <v>12</v>
      </c>
      <c r="AK708" s="69">
        <v>6.8502239999999999</v>
      </c>
      <c r="AL708" s="69"/>
    </row>
    <row r="709" spans="1:38" x14ac:dyDescent="0.2">
      <c r="A709" s="10">
        <v>41609</v>
      </c>
      <c r="B709" s="69">
        <v>5.9019890000000004</v>
      </c>
      <c r="C709" s="69"/>
      <c r="D709" s="69">
        <v>8.6</v>
      </c>
      <c r="E709" s="69">
        <v>7.3</v>
      </c>
      <c r="F709" s="69">
        <v>6.5888429999999998</v>
      </c>
      <c r="G709" s="69">
        <v>6.8</v>
      </c>
      <c r="H709" s="69">
        <v>5.0999999999999996</v>
      </c>
      <c r="I709" s="69">
        <v>7.4</v>
      </c>
      <c r="J709" s="69">
        <v>25.5</v>
      </c>
      <c r="K709" s="69">
        <v>8.6</v>
      </c>
      <c r="L709" s="69">
        <v>8.6</v>
      </c>
      <c r="M709" s="69">
        <v>10.199999999999999</v>
      </c>
      <c r="N709" s="69">
        <v>7.1617709999999999</v>
      </c>
      <c r="O709" s="69">
        <v>27.4</v>
      </c>
      <c r="P709" s="69">
        <v>8.6999999999999993</v>
      </c>
      <c r="Q709" s="69">
        <v>12.8</v>
      </c>
      <c r="R709" s="69">
        <v>5.7</v>
      </c>
      <c r="S709" s="69">
        <v>5.8743379999999998</v>
      </c>
      <c r="T709" s="69">
        <v>12.6</v>
      </c>
      <c r="U709" s="69">
        <v>3.7</v>
      </c>
      <c r="V709" s="69">
        <v>3.2</v>
      </c>
      <c r="W709" s="69">
        <v>6</v>
      </c>
      <c r="X709" s="69">
        <v>11.5</v>
      </c>
      <c r="Y709" s="69">
        <v>4.785101</v>
      </c>
      <c r="Z709" s="69">
        <v>7.7</v>
      </c>
      <c r="AA709" s="69">
        <v>4</v>
      </c>
      <c r="AB709" s="69">
        <v>6.4244620000000001</v>
      </c>
      <c r="AC709" s="69">
        <v>9.9</v>
      </c>
      <c r="AD709" s="69">
        <v>15.6</v>
      </c>
      <c r="AE709" s="69">
        <v>14</v>
      </c>
      <c r="AF709" s="69">
        <v>9.9</v>
      </c>
      <c r="AG709" s="69">
        <v>8</v>
      </c>
      <c r="AH709" s="69">
        <v>9.1</v>
      </c>
      <c r="AI709" s="69">
        <v>6.7</v>
      </c>
      <c r="AJ709" s="69">
        <v>11.9</v>
      </c>
      <c r="AK709" s="69">
        <v>6.7272259999999999</v>
      </c>
      <c r="AL709" s="69"/>
    </row>
    <row r="710" spans="1:38" x14ac:dyDescent="0.2">
      <c r="A710" s="10">
        <v>41640</v>
      </c>
      <c r="B710" s="69">
        <v>5.9342639999999998</v>
      </c>
      <c r="C710" s="69"/>
      <c r="D710" s="69">
        <v>8.6999999999999993</v>
      </c>
      <c r="E710" s="69">
        <v>7.1</v>
      </c>
      <c r="F710" s="69">
        <v>6.4612660000000002</v>
      </c>
      <c r="G710" s="69">
        <v>6.5</v>
      </c>
      <c r="H710" s="69">
        <v>5.0999999999999996</v>
      </c>
      <c r="I710" s="69">
        <v>7.1</v>
      </c>
      <c r="J710" s="69">
        <v>25.5</v>
      </c>
      <c r="K710" s="69">
        <v>8.8000000000000007</v>
      </c>
      <c r="L710" s="69">
        <v>8.4</v>
      </c>
      <c r="M710" s="69">
        <v>10.199999999999999</v>
      </c>
      <c r="N710" s="69">
        <v>6.8894700000000002</v>
      </c>
      <c r="O710" s="69">
        <v>26.9</v>
      </c>
      <c r="P710" s="69">
        <v>8.1999999999999993</v>
      </c>
      <c r="Q710" s="69">
        <v>12.9</v>
      </c>
      <c r="R710" s="69">
        <v>5.7</v>
      </c>
      <c r="S710" s="69">
        <v>5.7413559999999997</v>
      </c>
      <c r="T710" s="69">
        <v>13</v>
      </c>
      <c r="U710" s="69">
        <v>3.7</v>
      </c>
      <c r="V710" s="69">
        <v>3.3</v>
      </c>
      <c r="W710" s="69">
        <v>6</v>
      </c>
      <c r="X710" s="69">
        <v>11.4</v>
      </c>
      <c r="Y710" s="69">
        <v>4.8978630000000001</v>
      </c>
      <c r="Z710" s="69">
        <v>7.8</v>
      </c>
      <c r="AA710" s="69">
        <v>3.7</v>
      </c>
      <c r="AB710" s="69">
        <v>6.3793749999999996</v>
      </c>
      <c r="AC710" s="69">
        <v>10</v>
      </c>
      <c r="AD710" s="69">
        <v>15.3</v>
      </c>
      <c r="AE710" s="69">
        <v>13.9</v>
      </c>
      <c r="AF710" s="69">
        <v>10.199999999999999</v>
      </c>
      <c r="AG710" s="69">
        <v>8.1</v>
      </c>
      <c r="AH710" s="69">
        <v>9.3000000000000007</v>
      </c>
      <c r="AI710" s="69">
        <v>6.6</v>
      </c>
      <c r="AJ710" s="69">
        <v>11.9</v>
      </c>
      <c r="AK710" s="69">
        <v>6.66289</v>
      </c>
      <c r="AL710" s="69"/>
    </row>
    <row r="711" spans="1:38" x14ac:dyDescent="0.2">
      <c r="A711" s="10">
        <v>41671</v>
      </c>
      <c r="B711" s="69">
        <v>5.8940450000000002</v>
      </c>
      <c r="C711" s="69"/>
      <c r="D711" s="69">
        <v>8.6999999999999993</v>
      </c>
      <c r="E711" s="69">
        <v>7.1</v>
      </c>
      <c r="F711" s="69">
        <v>6.537426</v>
      </c>
      <c r="G711" s="69">
        <v>6.5</v>
      </c>
      <c r="H711" s="69">
        <v>5.0999999999999996</v>
      </c>
      <c r="I711" s="69">
        <v>7.1</v>
      </c>
      <c r="J711" s="69">
        <v>25.2</v>
      </c>
      <c r="K711" s="69">
        <v>8.3000000000000007</v>
      </c>
      <c r="L711" s="69">
        <v>8.6</v>
      </c>
      <c r="M711" s="69">
        <v>10.199999999999999</v>
      </c>
      <c r="N711" s="69">
        <v>6.7545250000000001</v>
      </c>
      <c r="O711" s="69">
        <v>27.1</v>
      </c>
      <c r="P711" s="69">
        <v>7.4</v>
      </c>
      <c r="Q711" s="69">
        <v>12.9</v>
      </c>
      <c r="R711" s="69">
        <v>5.7</v>
      </c>
      <c r="S711" s="69">
        <v>5.8908110000000002</v>
      </c>
      <c r="T711" s="69">
        <v>13</v>
      </c>
      <c r="U711" s="69">
        <v>3.6</v>
      </c>
      <c r="V711" s="69">
        <v>3.6</v>
      </c>
      <c r="W711" s="69">
        <v>5.9</v>
      </c>
      <c r="X711" s="69">
        <v>11.5</v>
      </c>
      <c r="Y711" s="69">
        <v>4.7074569999999998</v>
      </c>
      <c r="Z711" s="69">
        <v>7.9</v>
      </c>
      <c r="AA711" s="69">
        <v>3.5</v>
      </c>
      <c r="AB711" s="69">
        <v>6.3120810000000001</v>
      </c>
      <c r="AC711" s="69">
        <v>10</v>
      </c>
      <c r="AD711" s="69">
        <v>15.2</v>
      </c>
      <c r="AE711" s="69">
        <v>13.8</v>
      </c>
      <c r="AF711" s="69">
        <v>10.3</v>
      </c>
      <c r="AG711" s="69">
        <v>8</v>
      </c>
      <c r="AH711" s="69">
        <v>9.1999999999999993</v>
      </c>
      <c r="AI711" s="69">
        <v>6.7</v>
      </c>
      <c r="AJ711" s="69">
        <v>11.9</v>
      </c>
      <c r="AK711" s="69">
        <v>6.6765999999999996</v>
      </c>
      <c r="AL711" s="69"/>
    </row>
    <row r="712" spans="1:38" x14ac:dyDescent="0.2">
      <c r="A712" s="10">
        <v>41699</v>
      </c>
      <c r="B712" s="69">
        <v>5.8669200000000004</v>
      </c>
      <c r="C712" s="69"/>
      <c r="D712" s="69">
        <v>8.6</v>
      </c>
      <c r="E712" s="69">
        <v>7</v>
      </c>
      <c r="F712" s="69">
        <v>6.1918629999999997</v>
      </c>
      <c r="G712" s="69">
        <v>6.6</v>
      </c>
      <c r="H712" s="69">
        <v>5.0999999999999996</v>
      </c>
      <c r="I712" s="69">
        <v>6.8</v>
      </c>
      <c r="J712" s="69">
        <v>25.1</v>
      </c>
      <c r="K712" s="69">
        <v>8</v>
      </c>
      <c r="L712" s="69">
        <v>8.9</v>
      </c>
      <c r="M712" s="69">
        <v>10.199999999999999</v>
      </c>
      <c r="N712" s="69">
        <v>6.5880409999999996</v>
      </c>
      <c r="O712" s="69">
        <v>26.8</v>
      </c>
      <c r="P712" s="69">
        <v>8.1</v>
      </c>
      <c r="Q712" s="69">
        <v>12.7</v>
      </c>
      <c r="R712" s="69">
        <v>5.7</v>
      </c>
      <c r="S712" s="69">
        <v>5.7980970000000003</v>
      </c>
      <c r="T712" s="69">
        <v>12.7</v>
      </c>
      <c r="U712" s="69">
        <v>3.7</v>
      </c>
      <c r="V712" s="69">
        <v>3.4</v>
      </c>
      <c r="W712" s="69">
        <v>6</v>
      </c>
      <c r="X712" s="69">
        <v>11.3</v>
      </c>
      <c r="Y712" s="69">
        <v>5.2211590000000001</v>
      </c>
      <c r="Z712" s="69">
        <v>7.8</v>
      </c>
      <c r="AA712" s="69">
        <v>3.4</v>
      </c>
      <c r="AB712" s="69">
        <v>6.3077259999999997</v>
      </c>
      <c r="AC712" s="69">
        <v>9.8000000000000007</v>
      </c>
      <c r="AD712" s="69">
        <v>15.1</v>
      </c>
      <c r="AE712" s="69">
        <v>13.7</v>
      </c>
      <c r="AF712" s="69">
        <v>10.199999999999999</v>
      </c>
      <c r="AG712" s="69">
        <v>8.1</v>
      </c>
      <c r="AH712" s="69">
        <v>9.3000000000000007</v>
      </c>
      <c r="AI712" s="69">
        <v>6.7</v>
      </c>
      <c r="AJ712" s="69">
        <v>11.8</v>
      </c>
      <c r="AK712" s="69">
        <v>6.6501279999999996</v>
      </c>
      <c r="AL712" s="69"/>
    </row>
    <row r="713" spans="1:38" x14ac:dyDescent="0.2">
      <c r="A713" s="10">
        <v>41730</v>
      </c>
      <c r="B713" s="69">
        <v>5.7984039999999997</v>
      </c>
      <c r="C713" s="69"/>
      <c r="D713" s="69">
        <v>8.5</v>
      </c>
      <c r="E713" s="69">
        <v>7.1</v>
      </c>
      <c r="F713" s="69">
        <v>6.1231780000000002</v>
      </c>
      <c r="G713" s="69">
        <v>6.3</v>
      </c>
      <c r="H713" s="69">
        <v>5</v>
      </c>
      <c r="I713" s="69">
        <v>6.7</v>
      </c>
      <c r="J713" s="69">
        <v>24.8</v>
      </c>
      <c r="K713" s="69">
        <v>7.6</v>
      </c>
      <c r="L713" s="69">
        <v>8.5</v>
      </c>
      <c r="M713" s="69">
        <v>10.199999999999999</v>
      </c>
      <c r="N713" s="69">
        <v>6.4282940000000002</v>
      </c>
      <c r="O713" s="69">
        <v>27.2</v>
      </c>
      <c r="P713" s="69">
        <v>7.8</v>
      </c>
      <c r="Q713" s="69">
        <v>12.4</v>
      </c>
      <c r="R713" s="69">
        <v>5.6</v>
      </c>
      <c r="S713" s="69">
        <v>5.8320299999999996</v>
      </c>
      <c r="T713" s="69">
        <v>12.8</v>
      </c>
      <c r="U713" s="69">
        <v>3.6</v>
      </c>
      <c r="V713" s="69">
        <v>3.6</v>
      </c>
      <c r="W713" s="69">
        <v>5.9</v>
      </c>
      <c r="X713" s="69">
        <v>11</v>
      </c>
      <c r="Y713" s="69">
        <v>4.9237070000000003</v>
      </c>
      <c r="Z713" s="69">
        <v>7.7</v>
      </c>
      <c r="AA713" s="69">
        <v>3.4</v>
      </c>
      <c r="AB713" s="69">
        <v>6.234782</v>
      </c>
      <c r="AC713" s="69">
        <v>9.6</v>
      </c>
      <c r="AD713" s="69">
        <v>15.1</v>
      </c>
      <c r="AE713" s="69">
        <v>13.6</v>
      </c>
      <c r="AF713" s="69">
        <v>9.6999999999999993</v>
      </c>
      <c r="AG713" s="69">
        <v>8.1</v>
      </c>
      <c r="AH713" s="69">
        <v>9.4</v>
      </c>
      <c r="AI713" s="69">
        <v>6.2</v>
      </c>
      <c r="AJ713" s="69">
        <v>11.8</v>
      </c>
      <c r="AK713" s="69">
        <v>6.451511</v>
      </c>
      <c r="AL713" s="69"/>
    </row>
    <row r="714" spans="1:38" x14ac:dyDescent="0.2">
      <c r="A714" s="10">
        <v>41760</v>
      </c>
      <c r="B714" s="69">
        <v>5.9325270000000003</v>
      </c>
      <c r="C714" s="69"/>
      <c r="D714" s="69">
        <v>8.5</v>
      </c>
      <c r="E714" s="69">
        <v>7.1</v>
      </c>
      <c r="F714" s="69">
        <v>6.2506789999999999</v>
      </c>
      <c r="G714" s="69">
        <v>6.2</v>
      </c>
      <c r="H714" s="69">
        <v>5</v>
      </c>
      <c r="I714" s="69">
        <v>6.8</v>
      </c>
      <c r="J714" s="69">
        <v>24.6</v>
      </c>
      <c r="K714" s="69">
        <v>6.9</v>
      </c>
      <c r="L714" s="69">
        <v>8.5</v>
      </c>
      <c r="M714" s="69">
        <v>10.199999999999999</v>
      </c>
      <c r="N714" s="69">
        <v>6.2892530000000004</v>
      </c>
      <c r="O714" s="69">
        <v>27.3</v>
      </c>
      <c r="P714" s="69">
        <v>7.8</v>
      </c>
      <c r="Q714" s="69">
        <v>12.2</v>
      </c>
      <c r="R714" s="69">
        <v>5.6</v>
      </c>
      <c r="S714" s="69">
        <v>6.0063570000000004</v>
      </c>
      <c r="T714" s="69">
        <v>12.7</v>
      </c>
      <c r="U714" s="69">
        <v>3.6</v>
      </c>
      <c r="V714" s="69">
        <v>3.5</v>
      </c>
      <c r="W714" s="69">
        <v>6</v>
      </c>
      <c r="X714" s="69">
        <v>10.6</v>
      </c>
      <c r="Y714" s="69">
        <v>5.030246</v>
      </c>
      <c r="Z714" s="69">
        <v>7.6</v>
      </c>
      <c r="AA714" s="69">
        <v>3.3</v>
      </c>
      <c r="AB714" s="69">
        <v>6.1780099999999996</v>
      </c>
      <c r="AC714" s="69">
        <v>9.3000000000000007</v>
      </c>
      <c r="AD714" s="69">
        <v>15</v>
      </c>
      <c r="AE714" s="69">
        <v>13.5</v>
      </c>
      <c r="AF714" s="69">
        <v>9.6</v>
      </c>
      <c r="AG714" s="69">
        <v>7.6</v>
      </c>
      <c r="AH714" s="69">
        <v>9.6</v>
      </c>
      <c r="AI714" s="69">
        <v>6.3</v>
      </c>
      <c r="AJ714" s="69">
        <v>11.7</v>
      </c>
      <c r="AK714" s="69">
        <v>6.4604429999999997</v>
      </c>
      <c r="AL714" s="69"/>
    </row>
    <row r="715" spans="1:38" x14ac:dyDescent="0.2">
      <c r="A715" s="10">
        <v>41791</v>
      </c>
      <c r="B715" s="69">
        <v>6.0477930000000004</v>
      </c>
      <c r="C715" s="69"/>
      <c r="D715" s="69">
        <v>8.5</v>
      </c>
      <c r="E715" s="69">
        <v>7.1</v>
      </c>
      <c r="F715" s="69">
        <v>6.2534109999999998</v>
      </c>
      <c r="G715" s="69">
        <v>6.1</v>
      </c>
      <c r="H715" s="69">
        <v>5</v>
      </c>
      <c r="I715" s="69">
        <v>6.8</v>
      </c>
      <c r="J715" s="69">
        <v>24.4</v>
      </c>
      <c r="K715" s="69">
        <v>6.8</v>
      </c>
      <c r="L715" s="69">
        <v>9</v>
      </c>
      <c r="M715" s="69">
        <v>10.199999999999999</v>
      </c>
      <c r="N715" s="69">
        <v>6.1431300000000002</v>
      </c>
      <c r="O715" s="69">
        <v>26.7</v>
      </c>
      <c r="P715" s="69">
        <v>8.3000000000000007</v>
      </c>
      <c r="Q715" s="69">
        <v>12</v>
      </c>
      <c r="R715" s="69">
        <v>5.5</v>
      </c>
      <c r="S715" s="69">
        <v>6.0170300000000001</v>
      </c>
      <c r="T715" s="69">
        <v>12.3</v>
      </c>
      <c r="U715" s="69">
        <v>3.7</v>
      </c>
      <c r="V715" s="69">
        <v>3.5</v>
      </c>
      <c r="W715" s="69">
        <v>6</v>
      </c>
      <c r="X715" s="69">
        <v>10.4</v>
      </c>
      <c r="Y715" s="69">
        <v>4.8548520000000002</v>
      </c>
      <c r="Z715" s="69">
        <v>7.4</v>
      </c>
      <c r="AA715" s="69">
        <v>3.5</v>
      </c>
      <c r="AB715" s="69">
        <v>6.0955329999999996</v>
      </c>
      <c r="AC715" s="69">
        <v>9</v>
      </c>
      <c r="AD715" s="69">
        <v>15.1</v>
      </c>
      <c r="AE715" s="69">
        <v>13.3</v>
      </c>
      <c r="AF715" s="69">
        <v>9.5</v>
      </c>
      <c r="AG715" s="69">
        <v>8.1</v>
      </c>
      <c r="AH715" s="69">
        <v>9.9</v>
      </c>
      <c r="AI715" s="69">
        <v>6.1</v>
      </c>
      <c r="AJ715" s="69">
        <v>11.6</v>
      </c>
      <c r="AK715" s="69">
        <v>6.3364060000000002</v>
      </c>
      <c r="AL715" s="69"/>
    </row>
    <row r="716" spans="1:38" x14ac:dyDescent="0.2">
      <c r="A716" s="10">
        <v>41821</v>
      </c>
      <c r="B716" s="69">
        <v>6.1727059999999998</v>
      </c>
      <c r="C716" s="69"/>
      <c r="D716" s="69">
        <v>8.5</v>
      </c>
      <c r="E716" s="69">
        <v>7.1</v>
      </c>
      <c r="F716" s="69">
        <v>6.5012600000000003</v>
      </c>
      <c r="G716" s="69">
        <v>5.8</v>
      </c>
      <c r="H716" s="69">
        <v>5</v>
      </c>
      <c r="I716" s="69">
        <v>6.9</v>
      </c>
      <c r="J716" s="69">
        <v>24.4</v>
      </c>
      <c r="K716" s="69">
        <v>7.1</v>
      </c>
      <c r="L716" s="69">
        <v>8.3000000000000007</v>
      </c>
      <c r="M716" s="69">
        <v>10.199999999999999</v>
      </c>
      <c r="N716" s="69">
        <v>6.0187249999999999</v>
      </c>
      <c r="O716" s="69">
        <v>26.5</v>
      </c>
      <c r="P716" s="69">
        <v>7.5</v>
      </c>
      <c r="Q716" s="69">
        <v>11.9</v>
      </c>
      <c r="R716" s="69">
        <v>5.4</v>
      </c>
      <c r="S716" s="69">
        <v>6.074389</v>
      </c>
      <c r="T716" s="69">
        <v>12.9</v>
      </c>
      <c r="U716" s="69">
        <v>3.7</v>
      </c>
      <c r="V716" s="69">
        <v>3.5</v>
      </c>
      <c r="W716" s="69">
        <v>6</v>
      </c>
      <c r="X716" s="69">
        <v>10.7</v>
      </c>
      <c r="Y716" s="69">
        <v>5.1454740000000001</v>
      </c>
      <c r="Z716" s="69">
        <v>7.3</v>
      </c>
      <c r="AA716" s="69">
        <v>3.6</v>
      </c>
      <c r="AB716" s="69">
        <v>6.0210340000000002</v>
      </c>
      <c r="AC716" s="69">
        <v>8.6999999999999993</v>
      </c>
      <c r="AD716" s="69">
        <v>14.9</v>
      </c>
      <c r="AE716" s="69">
        <v>13.2</v>
      </c>
      <c r="AF716" s="69">
        <v>9.5</v>
      </c>
      <c r="AG716" s="69">
        <v>7.8</v>
      </c>
      <c r="AH716" s="69">
        <v>10.199999999999999</v>
      </c>
      <c r="AI716" s="69">
        <v>6.2</v>
      </c>
      <c r="AJ716" s="69">
        <v>11.6</v>
      </c>
      <c r="AK716" s="69">
        <v>6.4112689999999999</v>
      </c>
      <c r="AL716" s="69"/>
    </row>
    <row r="717" spans="1:38" x14ac:dyDescent="0.2">
      <c r="A717" s="10">
        <v>41852</v>
      </c>
      <c r="B717" s="69">
        <v>6.0831299999999997</v>
      </c>
      <c r="C717" s="69"/>
      <c r="D717" s="69">
        <v>8.5</v>
      </c>
      <c r="E717" s="69">
        <v>7</v>
      </c>
      <c r="F717" s="69">
        <v>6.5239820000000002</v>
      </c>
      <c r="G717" s="69">
        <v>6.2</v>
      </c>
      <c r="H717" s="69">
        <v>5</v>
      </c>
      <c r="I717" s="69">
        <v>6.9</v>
      </c>
      <c r="J717" s="69">
        <v>24.2</v>
      </c>
      <c r="K717" s="69">
        <v>7.5</v>
      </c>
      <c r="L717" s="69">
        <v>8.5</v>
      </c>
      <c r="M717" s="69">
        <v>10.3</v>
      </c>
      <c r="N717" s="69">
        <v>5.9805840000000003</v>
      </c>
      <c r="O717" s="69">
        <v>26.4</v>
      </c>
      <c r="P717" s="69">
        <v>6.6</v>
      </c>
      <c r="Q717" s="69">
        <v>11.7</v>
      </c>
      <c r="R717" s="69">
        <v>5.4</v>
      </c>
      <c r="S717" s="69">
        <v>6.1946399999999997</v>
      </c>
      <c r="T717" s="69">
        <v>12.6</v>
      </c>
      <c r="U717" s="69">
        <v>3.5</v>
      </c>
      <c r="V717" s="69">
        <v>3.5</v>
      </c>
      <c r="W717" s="69">
        <v>6</v>
      </c>
      <c r="X717" s="69">
        <v>10.8</v>
      </c>
      <c r="Y717" s="69">
        <v>4.8467849999999997</v>
      </c>
      <c r="Z717" s="69">
        <v>7.2</v>
      </c>
      <c r="AA717" s="69">
        <v>3.8</v>
      </c>
      <c r="AB717" s="69">
        <v>6.0185209999999998</v>
      </c>
      <c r="AC717" s="69">
        <v>8.5</v>
      </c>
      <c r="AD717" s="69">
        <v>14.2</v>
      </c>
      <c r="AE717" s="69">
        <v>13</v>
      </c>
      <c r="AF717" s="69">
        <v>9.6</v>
      </c>
      <c r="AG717" s="69">
        <v>8</v>
      </c>
      <c r="AH717" s="69">
        <v>10.199999999999999</v>
      </c>
      <c r="AI717" s="69">
        <v>6.1</v>
      </c>
      <c r="AJ717" s="69">
        <v>11.5</v>
      </c>
      <c r="AK717" s="69">
        <v>6.3315979999999996</v>
      </c>
      <c r="AL717" s="69"/>
    </row>
    <row r="718" spans="1:38" x14ac:dyDescent="0.2">
      <c r="A718" s="10">
        <v>41883</v>
      </c>
      <c r="B718" s="69">
        <v>6.2264369999999998</v>
      </c>
      <c r="C718" s="69"/>
      <c r="D718" s="69">
        <v>8.6</v>
      </c>
      <c r="E718" s="69">
        <v>6.9</v>
      </c>
      <c r="F718" s="69">
        <v>6.4873180000000001</v>
      </c>
      <c r="G718" s="69">
        <v>5.8</v>
      </c>
      <c r="H718" s="69">
        <v>5</v>
      </c>
      <c r="I718" s="69">
        <v>6.9</v>
      </c>
      <c r="J718" s="69">
        <v>24</v>
      </c>
      <c r="K718" s="69">
        <v>7.3</v>
      </c>
      <c r="L718" s="69">
        <v>9.1</v>
      </c>
      <c r="M718" s="69">
        <v>10.4</v>
      </c>
      <c r="N718" s="69">
        <v>5.9552250000000004</v>
      </c>
      <c r="O718" s="69">
        <v>26.1</v>
      </c>
      <c r="P718" s="69">
        <v>7.5</v>
      </c>
      <c r="Q718" s="69">
        <v>11.5</v>
      </c>
      <c r="R718" s="69">
        <v>5.3</v>
      </c>
      <c r="S718" s="69">
        <v>5.9171990000000001</v>
      </c>
      <c r="T718" s="69">
        <v>12.9</v>
      </c>
      <c r="U718" s="69">
        <v>3.5</v>
      </c>
      <c r="V718" s="69">
        <v>3.5</v>
      </c>
      <c r="W718" s="69">
        <v>6.1</v>
      </c>
      <c r="X718" s="69">
        <v>10.8</v>
      </c>
      <c r="Y718" s="69">
        <v>4.7673350000000001</v>
      </c>
      <c r="Z718" s="69">
        <v>7.1</v>
      </c>
      <c r="AA718" s="69">
        <v>3.8</v>
      </c>
      <c r="AB718" s="69">
        <v>5.8855940000000002</v>
      </c>
      <c r="AC718" s="69">
        <v>8.3000000000000007</v>
      </c>
      <c r="AD718" s="69">
        <v>14</v>
      </c>
      <c r="AE718" s="69">
        <v>12.7</v>
      </c>
      <c r="AF718" s="69">
        <v>9.6999999999999993</v>
      </c>
      <c r="AG718" s="69">
        <v>7.8</v>
      </c>
      <c r="AH718" s="69">
        <v>10.5</v>
      </c>
      <c r="AI718" s="69">
        <v>5.9</v>
      </c>
      <c r="AJ718" s="69">
        <v>11.5</v>
      </c>
      <c r="AK718" s="69">
        <v>6.276726</v>
      </c>
      <c r="AL718" s="69"/>
    </row>
    <row r="719" spans="1:38" x14ac:dyDescent="0.2">
      <c r="A719" s="10">
        <v>41913</v>
      </c>
      <c r="B719" s="69">
        <v>6.3687750000000003</v>
      </c>
      <c r="C719" s="69"/>
      <c r="D719" s="69">
        <v>8.5</v>
      </c>
      <c r="E719" s="69">
        <v>6.7</v>
      </c>
      <c r="F719" s="69">
        <v>6.4428619999999999</v>
      </c>
      <c r="G719" s="69">
        <v>5.6</v>
      </c>
      <c r="H719" s="69">
        <v>5</v>
      </c>
      <c r="I719" s="69">
        <v>6.9</v>
      </c>
      <c r="J719" s="69">
        <v>23.9</v>
      </c>
      <c r="K719" s="69">
        <v>6.8</v>
      </c>
      <c r="L719" s="69">
        <v>9.1</v>
      </c>
      <c r="M719" s="69">
        <v>10.4</v>
      </c>
      <c r="N719" s="69">
        <v>5.870946</v>
      </c>
      <c r="O719" s="69">
        <v>26.1</v>
      </c>
      <c r="P719" s="69">
        <v>6.6</v>
      </c>
      <c r="Q719" s="69">
        <v>11.1</v>
      </c>
      <c r="R719" s="69">
        <v>5.0999999999999996</v>
      </c>
      <c r="S719" s="69">
        <v>5.6969320000000003</v>
      </c>
      <c r="T719" s="69">
        <v>13</v>
      </c>
      <c r="U719" s="69">
        <v>3.6</v>
      </c>
      <c r="V719" s="69">
        <v>3.6</v>
      </c>
      <c r="W719" s="69">
        <v>6.1</v>
      </c>
      <c r="X719" s="69">
        <v>10.7</v>
      </c>
      <c r="Y719" s="69">
        <v>4.6521049999999997</v>
      </c>
      <c r="Z719" s="69">
        <v>7.1</v>
      </c>
      <c r="AA719" s="69">
        <v>3.9</v>
      </c>
      <c r="AB719" s="69">
        <v>5.8526829999999999</v>
      </c>
      <c r="AC719" s="69">
        <v>8.3000000000000007</v>
      </c>
      <c r="AD719" s="69">
        <v>14.1</v>
      </c>
      <c r="AE719" s="69">
        <v>12.6</v>
      </c>
      <c r="AF719" s="69">
        <v>9.6999999999999993</v>
      </c>
      <c r="AG719" s="69">
        <v>8</v>
      </c>
      <c r="AH719" s="69">
        <v>10.5</v>
      </c>
      <c r="AI719" s="69">
        <v>5.7</v>
      </c>
      <c r="AJ719" s="69">
        <v>11.6</v>
      </c>
      <c r="AK719" s="69">
        <v>6.1995849999999999</v>
      </c>
      <c r="AL719" s="69"/>
    </row>
    <row r="720" spans="1:38" x14ac:dyDescent="0.2">
      <c r="A720" s="10">
        <v>41944</v>
      </c>
      <c r="B720" s="69">
        <v>6.2958109999999996</v>
      </c>
      <c r="C720" s="69"/>
      <c r="D720" s="69">
        <v>8.5</v>
      </c>
      <c r="E720" s="69">
        <v>6.7</v>
      </c>
      <c r="F720" s="69">
        <v>6.6811759999999998</v>
      </c>
      <c r="G720" s="69">
        <v>6.1</v>
      </c>
      <c r="H720" s="69">
        <v>4.9000000000000004</v>
      </c>
      <c r="I720" s="69">
        <v>6.8</v>
      </c>
      <c r="J720" s="69">
        <v>23.8</v>
      </c>
      <c r="K720" s="69">
        <v>6.4</v>
      </c>
      <c r="L720" s="69">
        <v>9.1999999999999993</v>
      </c>
      <c r="M720" s="69">
        <v>10.5</v>
      </c>
      <c r="N720" s="69">
        <v>5.6987509999999997</v>
      </c>
      <c r="O720" s="69">
        <v>25.7</v>
      </c>
      <c r="P720" s="69">
        <v>6.8</v>
      </c>
      <c r="Q720" s="69">
        <v>10.8</v>
      </c>
      <c r="R720" s="69">
        <v>5</v>
      </c>
      <c r="S720" s="69">
        <v>5.730664</v>
      </c>
      <c r="T720" s="69">
        <v>13.3</v>
      </c>
      <c r="U720" s="69">
        <v>3.4</v>
      </c>
      <c r="V720" s="69">
        <v>3.5</v>
      </c>
      <c r="W720" s="69">
        <v>6.2</v>
      </c>
      <c r="X720" s="69">
        <v>10.5</v>
      </c>
      <c r="Y720" s="69">
        <v>4.6902559999999998</v>
      </c>
      <c r="Z720" s="69">
        <v>7.1</v>
      </c>
      <c r="AA720" s="69">
        <v>3.8</v>
      </c>
      <c r="AB720" s="69">
        <v>5.8635000000000002</v>
      </c>
      <c r="AC720" s="69">
        <v>8.3000000000000007</v>
      </c>
      <c r="AD720" s="69">
        <v>13.9</v>
      </c>
      <c r="AE720" s="69">
        <v>12.5</v>
      </c>
      <c r="AF720" s="69">
        <v>9.6999999999999993</v>
      </c>
      <c r="AG720" s="69">
        <v>7.9</v>
      </c>
      <c r="AH720" s="69">
        <v>10.6</v>
      </c>
      <c r="AI720" s="69">
        <v>5.8</v>
      </c>
      <c r="AJ720" s="69">
        <v>11.6</v>
      </c>
      <c r="AK720" s="69">
        <v>6.199325</v>
      </c>
      <c r="AL720" s="69"/>
    </row>
    <row r="721" spans="1:38" x14ac:dyDescent="0.2">
      <c r="A721" s="10">
        <v>41974</v>
      </c>
      <c r="B721" s="69">
        <v>6.1072509999999998</v>
      </c>
      <c r="C721" s="69"/>
      <c r="D721" s="69">
        <v>8.5</v>
      </c>
      <c r="E721" s="69">
        <v>6.7</v>
      </c>
      <c r="F721" s="69">
        <v>6.58962</v>
      </c>
      <c r="G721" s="69">
        <v>5.8</v>
      </c>
      <c r="H721" s="69">
        <v>4.9000000000000004</v>
      </c>
      <c r="I721" s="69">
        <v>6.5</v>
      </c>
      <c r="J721" s="69">
        <v>23.6</v>
      </c>
      <c r="K721" s="69">
        <v>6.5</v>
      </c>
      <c r="L721" s="69">
        <v>9.3000000000000007</v>
      </c>
      <c r="M721" s="69">
        <v>10.4</v>
      </c>
      <c r="N721" s="69">
        <v>5.6547390000000002</v>
      </c>
      <c r="O721" s="69">
        <v>25.9</v>
      </c>
      <c r="P721" s="69">
        <v>7.4</v>
      </c>
      <c r="Q721" s="69">
        <v>10.7</v>
      </c>
      <c r="R721" s="69">
        <v>4.9000000000000004</v>
      </c>
      <c r="S721" s="69">
        <v>5.6541889999999997</v>
      </c>
      <c r="T721" s="69">
        <v>12.5</v>
      </c>
      <c r="U721" s="69">
        <v>3.4</v>
      </c>
      <c r="V721" s="69">
        <v>3.7</v>
      </c>
      <c r="W721" s="69">
        <v>6.2</v>
      </c>
      <c r="X721" s="69">
        <v>10.1</v>
      </c>
      <c r="Y721" s="69">
        <v>4.2101309999999996</v>
      </c>
      <c r="Z721" s="69">
        <v>7.2</v>
      </c>
      <c r="AA721" s="69">
        <v>3.9</v>
      </c>
      <c r="AB721" s="69">
        <v>5.8161639999999997</v>
      </c>
      <c r="AC721" s="69">
        <v>8.1999999999999993</v>
      </c>
      <c r="AD721" s="69">
        <v>13.9</v>
      </c>
      <c r="AE721" s="69">
        <v>12.4</v>
      </c>
      <c r="AF721" s="69">
        <v>9.6</v>
      </c>
      <c r="AG721" s="69">
        <v>7.5</v>
      </c>
      <c r="AH721" s="69">
        <v>10.4</v>
      </c>
      <c r="AI721" s="69">
        <v>5.6</v>
      </c>
      <c r="AJ721" s="69">
        <v>11.4</v>
      </c>
      <c r="AK721" s="69">
        <v>6.0272759999999996</v>
      </c>
      <c r="AL721" s="69"/>
    </row>
    <row r="722" spans="1:38" x14ac:dyDescent="0.2">
      <c r="A722" s="10">
        <v>42005</v>
      </c>
      <c r="B722" s="69">
        <v>6.3368659999999997</v>
      </c>
      <c r="C722" s="69"/>
      <c r="D722" s="69">
        <v>8.6</v>
      </c>
      <c r="E722" s="69">
        <v>6.7</v>
      </c>
      <c r="F722" s="69">
        <v>6.4918849999999999</v>
      </c>
      <c r="G722" s="69">
        <v>5.8</v>
      </c>
      <c r="H722" s="69">
        <v>4.8</v>
      </c>
      <c r="I722" s="69">
        <v>6.5</v>
      </c>
      <c r="J722" s="69">
        <v>23.4</v>
      </c>
      <c r="K722" s="69">
        <v>6.6</v>
      </c>
      <c r="L722" s="69">
        <v>8.6999999999999993</v>
      </c>
      <c r="M722" s="69">
        <v>10.4</v>
      </c>
      <c r="N722" s="69">
        <v>5.5827869999999997</v>
      </c>
      <c r="O722" s="69">
        <v>25.4</v>
      </c>
      <c r="P722" s="69">
        <v>7.3</v>
      </c>
      <c r="Q722" s="69">
        <v>10.8</v>
      </c>
      <c r="R722" s="69">
        <v>4.9000000000000004</v>
      </c>
      <c r="S722" s="69">
        <v>5.6229500000000003</v>
      </c>
      <c r="T722" s="69">
        <v>12.4</v>
      </c>
      <c r="U722" s="69">
        <v>3.6</v>
      </c>
      <c r="V722" s="69">
        <v>3.6</v>
      </c>
      <c r="W722" s="69">
        <v>6.3</v>
      </c>
      <c r="X722" s="69">
        <v>9.6999999999999993</v>
      </c>
      <c r="Y722" s="69">
        <v>4.3520989999999999</v>
      </c>
      <c r="Z722" s="69">
        <v>7.2</v>
      </c>
      <c r="AA722" s="69">
        <v>4.0999999999999996</v>
      </c>
      <c r="AB722" s="69">
        <v>5.7465640000000002</v>
      </c>
      <c r="AC722" s="69">
        <v>8.1999999999999993</v>
      </c>
      <c r="AD722" s="69">
        <v>14</v>
      </c>
      <c r="AE722" s="69">
        <v>12.4</v>
      </c>
      <c r="AF722" s="69">
        <v>9.4</v>
      </c>
      <c r="AG722" s="69">
        <v>7.8</v>
      </c>
      <c r="AH722" s="69">
        <v>10.3</v>
      </c>
      <c r="AI722" s="69">
        <v>5.7</v>
      </c>
      <c r="AJ722" s="69">
        <v>11.3</v>
      </c>
      <c r="AK722" s="69">
        <v>6.0623360000000002</v>
      </c>
      <c r="AL722" s="69"/>
    </row>
    <row r="723" spans="1:38" x14ac:dyDescent="0.2">
      <c r="A723" s="10">
        <v>42036</v>
      </c>
      <c r="B723" s="69">
        <v>6.1215020000000004</v>
      </c>
      <c r="C723" s="69"/>
      <c r="D723" s="69">
        <v>8.6999999999999993</v>
      </c>
      <c r="E723" s="69">
        <v>6.8</v>
      </c>
      <c r="F723" s="69">
        <v>6.2568029999999997</v>
      </c>
      <c r="G723" s="69">
        <v>5.9</v>
      </c>
      <c r="H723" s="69">
        <v>4.8</v>
      </c>
      <c r="I723" s="69">
        <v>6.4</v>
      </c>
      <c r="J723" s="69">
        <v>23.1</v>
      </c>
      <c r="K723" s="69">
        <v>6.4</v>
      </c>
      <c r="L723" s="69">
        <v>9.6999999999999993</v>
      </c>
      <c r="M723" s="69">
        <v>10.4</v>
      </c>
      <c r="N723" s="69">
        <v>5.5363090000000001</v>
      </c>
      <c r="O723" s="69">
        <v>25.4</v>
      </c>
      <c r="P723" s="69">
        <v>7.7</v>
      </c>
      <c r="Q723" s="69">
        <v>10.7</v>
      </c>
      <c r="R723" s="69">
        <v>4.9000000000000004</v>
      </c>
      <c r="S723" s="69">
        <v>5.3060390000000002</v>
      </c>
      <c r="T723" s="69">
        <v>12.5</v>
      </c>
      <c r="U723" s="69">
        <v>3.5</v>
      </c>
      <c r="V723" s="69">
        <v>3.6</v>
      </c>
      <c r="W723" s="69">
        <v>6.4</v>
      </c>
      <c r="X723" s="69">
        <v>9.8000000000000007</v>
      </c>
      <c r="Y723" s="69">
        <v>4.3847680000000002</v>
      </c>
      <c r="Z723" s="69">
        <v>7.1</v>
      </c>
      <c r="AA723" s="69">
        <v>4.3</v>
      </c>
      <c r="AB723" s="69">
        <v>5.727195</v>
      </c>
      <c r="AC723" s="69">
        <v>8.1</v>
      </c>
      <c r="AD723" s="69">
        <v>13.7</v>
      </c>
      <c r="AE723" s="69">
        <v>12.2</v>
      </c>
      <c r="AF723" s="69">
        <v>9.3000000000000007</v>
      </c>
      <c r="AG723" s="69">
        <v>7.9</v>
      </c>
      <c r="AH723" s="69">
        <v>10.3</v>
      </c>
      <c r="AI723" s="69">
        <v>5.5</v>
      </c>
      <c r="AJ723" s="69">
        <v>11.2</v>
      </c>
      <c r="AK723" s="69">
        <v>5.9879980000000002</v>
      </c>
      <c r="AL723" s="69"/>
    </row>
    <row r="724" spans="1:38" x14ac:dyDescent="0.2">
      <c r="A724" s="10">
        <v>42064</v>
      </c>
      <c r="B724" s="69">
        <v>6.0910310000000001</v>
      </c>
      <c r="C724" s="69"/>
      <c r="D724" s="69">
        <v>8.8000000000000007</v>
      </c>
      <c r="E724" s="69">
        <v>6.9</v>
      </c>
      <c r="F724" s="69">
        <v>6.3957560000000004</v>
      </c>
      <c r="G724" s="69">
        <v>5.7</v>
      </c>
      <c r="H724" s="69">
        <v>4.7</v>
      </c>
      <c r="I724" s="69">
        <v>6.6</v>
      </c>
      <c r="J724" s="69">
        <v>22.9</v>
      </c>
      <c r="K724" s="69">
        <v>6.7</v>
      </c>
      <c r="L724" s="69">
        <v>9.3000000000000007</v>
      </c>
      <c r="M724" s="69">
        <v>10.4</v>
      </c>
      <c r="N724" s="69">
        <v>5.5039170000000004</v>
      </c>
      <c r="O724" s="69">
        <v>26.2</v>
      </c>
      <c r="P724" s="69">
        <v>7.4</v>
      </c>
      <c r="Q724" s="69">
        <v>10.6</v>
      </c>
      <c r="R724" s="69">
        <v>4.8</v>
      </c>
      <c r="S724" s="69">
        <v>5.4340970000000004</v>
      </c>
      <c r="T724" s="69">
        <v>12.6</v>
      </c>
      <c r="U724" s="69">
        <v>3.4</v>
      </c>
      <c r="V724" s="69">
        <v>3.5</v>
      </c>
      <c r="W724" s="69">
        <v>6.4</v>
      </c>
      <c r="X724" s="69">
        <v>10</v>
      </c>
      <c r="Y724" s="69">
        <v>4.226</v>
      </c>
      <c r="Z724" s="69">
        <v>7</v>
      </c>
      <c r="AA724" s="69">
        <v>4.4000000000000004</v>
      </c>
      <c r="AB724" s="69">
        <v>5.6601509999999999</v>
      </c>
      <c r="AC724" s="69">
        <v>7.9</v>
      </c>
      <c r="AD724" s="69">
        <v>13.4</v>
      </c>
      <c r="AE724" s="69">
        <v>12</v>
      </c>
      <c r="AF724" s="69">
        <v>9.3000000000000007</v>
      </c>
      <c r="AG724" s="69">
        <v>7.5</v>
      </c>
      <c r="AH724" s="69">
        <v>10.3</v>
      </c>
      <c r="AI724" s="69">
        <v>5.4</v>
      </c>
      <c r="AJ724" s="69">
        <v>11.2</v>
      </c>
      <c r="AK724" s="69">
        <v>5.9494090000000002</v>
      </c>
      <c r="AL724" s="69"/>
    </row>
    <row r="725" spans="1:38" x14ac:dyDescent="0.2">
      <c r="A725" s="10">
        <v>42095</v>
      </c>
      <c r="B725" s="69">
        <v>6.1058669999999999</v>
      </c>
      <c r="C725" s="69"/>
      <c r="D725" s="69">
        <v>8.6999999999999993</v>
      </c>
      <c r="E725" s="69">
        <v>6.9</v>
      </c>
      <c r="F725" s="69">
        <v>6.5232700000000001</v>
      </c>
      <c r="G725" s="69">
        <v>5.3</v>
      </c>
      <c r="H725" s="69">
        <v>4.7</v>
      </c>
      <c r="I725" s="69">
        <v>6.5</v>
      </c>
      <c r="J725" s="69">
        <v>22.7</v>
      </c>
      <c r="K725" s="69">
        <v>6.9</v>
      </c>
      <c r="L725" s="69">
        <v>9.5</v>
      </c>
      <c r="M725" s="69">
        <v>10.5</v>
      </c>
      <c r="N725" s="69">
        <v>5.6174460000000002</v>
      </c>
      <c r="O725" s="69">
        <v>25</v>
      </c>
      <c r="P725" s="69">
        <v>6.8</v>
      </c>
      <c r="Q725" s="69">
        <v>10.4</v>
      </c>
      <c r="R725" s="69">
        <v>4.7</v>
      </c>
      <c r="S725" s="69">
        <v>4.8747829999999999</v>
      </c>
      <c r="T725" s="69">
        <v>12.2</v>
      </c>
      <c r="U725" s="69">
        <v>3.4</v>
      </c>
      <c r="V725" s="69">
        <v>3.6</v>
      </c>
      <c r="W725" s="69">
        <v>6.4</v>
      </c>
      <c r="X725" s="69">
        <v>9.6</v>
      </c>
      <c r="Y725" s="69">
        <v>4.3980040000000002</v>
      </c>
      <c r="Z725" s="69">
        <v>7</v>
      </c>
      <c r="AA725" s="69">
        <v>4.3</v>
      </c>
      <c r="AB725" s="69">
        <v>5.5856269999999997</v>
      </c>
      <c r="AC725" s="69">
        <v>7.7</v>
      </c>
      <c r="AD725" s="69">
        <v>13.1</v>
      </c>
      <c r="AE725" s="69">
        <v>11.7</v>
      </c>
      <c r="AF725" s="69">
        <v>9.5</v>
      </c>
      <c r="AG725" s="69">
        <v>7.8</v>
      </c>
      <c r="AH725" s="69">
        <v>10.199999999999999</v>
      </c>
      <c r="AI725" s="69">
        <v>5.4</v>
      </c>
      <c r="AJ725" s="69">
        <v>11.1</v>
      </c>
      <c r="AK725" s="69">
        <v>5.9381139999999997</v>
      </c>
      <c r="AL725" s="69"/>
    </row>
    <row r="726" spans="1:38" x14ac:dyDescent="0.2">
      <c r="A726" s="10">
        <v>42125</v>
      </c>
      <c r="B726" s="69">
        <v>5.9358019999999998</v>
      </c>
      <c r="C726" s="69"/>
      <c r="D726" s="69">
        <v>8.6</v>
      </c>
      <c r="E726" s="69">
        <v>6.9</v>
      </c>
      <c r="F726" s="69">
        <v>6.4073820000000001</v>
      </c>
      <c r="G726" s="69">
        <v>4.9000000000000004</v>
      </c>
      <c r="H726" s="69">
        <v>4.7</v>
      </c>
      <c r="I726" s="69">
        <v>6.4</v>
      </c>
      <c r="J726" s="69">
        <v>22.5</v>
      </c>
      <c r="K726" s="69">
        <v>6.4</v>
      </c>
      <c r="L726" s="69">
        <v>9.5</v>
      </c>
      <c r="M726" s="69">
        <v>10.5</v>
      </c>
      <c r="N726" s="69">
        <v>5.6087600000000002</v>
      </c>
      <c r="O726" s="69">
        <v>25</v>
      </c>
      <c r="P726" s="69">
        <v>6.8</v>
      </c>
      <c r="Q726" s="69">
        <v>10.1</v>
      </c>
      <c r="R726" s="69">
        <v>4.5999999999999996</v>
      </c>
      <c r="S726" s="69">
        <v>5.0769890000000002</v>
      </c>
      <c r="T726" s="69">
        <v>12.3</v>
      </c>
      <c r="U726" s="69">
        <v>3.3</v>
      </c>
      <c r="V726" s="69">
        <v>3.7</v>
      </c>
      <c r="W726" s="69">
        <v>6.6</v>
      </c>
      <c r="X726" s="69">
        <v>9.6999999999999993</v>
      </c>
      <c r="Y726" s="69">
        <v>4.5111400000000001</v>
      </c>
      <c r="Z726" s="69">
        <v>6.9</v>
      </c>
      <c r="AA726" s="69">
        <v>4.5</v>
      </c>
      <c r="AB726" s="69">
        <v>5.560765</v>
      </c>
      <c r="AC726" s="69">
        <v>7.6</v>
      </c>
      <c r="AD726" s="69">
        <v>12.8</v>
      </c>
      <c r="AE726" s="69">
        <v>11.6</v>
      </c>
      <c r="AF726" s="69">
        <v>9.5</v>
      </c>
      <c r="AG726" s="69">
        <v>7.6</v>
      </c>
      <c r="AH726" s="69">
        <v>10.3</v>
      </c>
      <c r="AI726" s="69">
        <v>5.6</v>
      </c>
      <c r="AJ726" s="69">
        <v>11.1</v>
      </c>
      <c r="AK726" s="69">
        <v>6.0031140000000001</v>
      </c>
      <c r="AL726" s="69"/>
    </row>
    <row r="727" spans="1:38" x14ac:dyDescent="0.2">
      <c r="A727" s="10">
        <v>42156</v>
      </c>
      <c r="B727" s="69">
        <v>6.0072570000000001</v>
      </c>
      <c r="C727" s="69"/>
      <c r="D727" s="69">
        <v>8.4</v>
      </c>
      <c r="E727" s="69">
        <v>6.9</v>
      </c>
      <c r="F727" s="69">
        <v>6.3497279999999998</v>
      </c>
      <c r="G727" s="69">
        <v>5</v>
      </c>
      <c r="H727" s="69">
        <v>4.7</v>
      </c>
      <c r="I727" s="69">
        <v>6.3</v>
      </c>
      <c r="J727" s="69">
        <v>22.3</v>
      </c>
      <c r="K727" s="69">
        <v>5.8</v>
      </c>
      <c r="L727" s="69">
        <v>9.6999999999999993</v>
      </c>
      <c r="M727" s="69">
        <v>10.5</v>
      </c>
      <c r="N727" s="69">
        <v>5.5188030000000001</v>
      </c>
      <c r="O727" s="69">
        <v>25.2</v>
      </c>
      <c r="P727" s="69">
        <v>6.8</v>
      </c>
      <c r="Q727" s="69">
        <v>9.9</v>
      </c>
      <c r="R727" s="69">
        <v>4.5</v>
      </c>
      <c r="S727" s="69">
        <v>5.3497450000000004</v>
      </c>
      <c r="T727" s="69">
        <v>12.4</v>
      </c>
      <c r="U727" s="69">
        <v>3.4</v>
      </c>
      <c r="V727" s="69">
        <v>3.8</v>
      </c>
      <c r="W727" s="69">
        <v>6.5</v>
      </c>
      <c r="X727" s="69">
        <v>9.9</v>
      </c>
      <c r="Y727" s="69">
        <v>4.4119000000000002</v>
      </c>
      <c r="Z727" s="69">
        <v>6.9</v>
      </c>
      <c r="AA727" s="69">
        <v>4.7</v>
      </c>
      <c r="AB727" s="69">
        <v>5.5130489999999996</v>
      </c>
      <c r="AC727" s="69">
        <v>7.4</v>
      </c>
      <c r="AD727" s="69">
        <v>12.8</v>
      </c>
      <c r="AE727" s="69">
        <v>11.5</v>
      </c>
      <c r="AF727" s="69">
        <v>9.4</v>
      </c>
      <c r="AG727" s="69">
        <v>7.5</v>
      </c>
      <c r="AH727" s="69">
        <v>10.4</v>
      </c>
      <c r="AI727" s="69">
        <v>5.3</v>
      </c>
      <c r="AJ727" s="69">
        <v>11</v>
      </c>
      <c r="AK727" s="69">
        <v>5.8603569999999996</v>
      </c>
      <c r="AL727" s="69"/>
    </row>
    <row r="728" spans="1:38" x14ac:dyDescent="0.2">
      <c r="A728" s="10">
        <v>42186</v>
      </c>
      <c r="B728" s="69">
        <v>6.2719279999999999</v>
      </c>
      <c r="C728" s="69"/>
      <c r="D728" s="69">
        <v>8</v>
      </c>
      <c r="E728" s="69">
        <v>6.9</v>
      </c>
      <c r="F728" s="69">
        <v>6.2558910000000001</v>
      </c>
      <c r="G728" s="69">
        <v>4.9000000000000004</v>
      </c>
      <c r="H728" s="69">
        <v>4.5999999999999996</v>
      </c>
      <c r="I728" s="69">
        <v>6.3</v>
      </c>
      <c r="J728" s="69">
        <v>21.9</v>
      </c>
      <c r="K728" s="69">
        <v>5.2</v>
      </c>
      <c r="L728" s="69">
        <v>9.6</v>
      </c>
      <c r="M728" s="69">
        <v>10.4</v>
      </c>
      <c r="N728" s="69">
        <v>5.3921169999999998</v>
      </c>
      <c r="O728" s="69">
        <v>25</v>
      </c>
      <c r="P728" s="69">
        <v>6.4</v>
      </c>
      <c r="Q728" s="69">
        <v>9.6</v>
      </c>
      <c r="R728" s="69">
        <v>4.4000000000000004</v>
      </c>
      <c r="S728" s="69">
        <v>5.4278009999999997</v>
      </c>
      <c r="T728" s="69">
        <v>11.8</v>
      </c>
      <c r="U728" s="69">
        <v>3.3</v>
      </c>
      <c r="V728" s="69">
        <v>3.7</v>
      </c>
      <c r="W728" s="69">
        <v>6.5</v>
      </c>
      <c r="X728" s="69">
        <v>10</v>
      </c>
      <c r="Y728" s="69">
        <v>4.4360910000000002</v>
      </c>
      <c r="Z728" s="69">
        <v>6.8</v>
      </c>
      <c r="AA728" s="69">
        <v>4.5999999999999996</v>
      </c>
      <c r="AB728" s="69">
        <v>5.5468130000000002</v>
      </c>
      <c r="AC728" s="69">
        <v>7.4</v>
      </c>
      <c r="AD728" s="69">
        <v>12.8</v>
      </c>
      <c r="AE728" s="69">
        <v>11.4</v>
      </c>
      <c r="AF728" s="69">
        <v>9.1</v>
      </c>
      <c r="AG728" s="69">
        <v>7.1</v>
      </c>
      <c r="AH728" s="69">
        <v>10.199999999999999</v>
      </c>
      <c r="AI728" s="69">
        <v>5.2</v>
      </c>
      <c r="AJ728" s="69">
        <v>10.8</v>
      </c>
      <c r="AK728" s="69">
        <v>5.7633049999999999</v>
      </c>
      <c r="AL728" s="69"/>
    </row>
    <row r="729" spans="1:38" x14ac:dyDescent="0.2">
      <c r="A729" s="10">
        <v>42217</v>
      </c>
      <c r="B729" s="69">
        <v>6.0800549999999998</v>
      </c>
      <c r="C729" s="69"/>
      <c r="D729" s="69">
        <v>7.9</v>
      </c>
      <c r="E729" s="69">
        <v>7</v>
      </c>
      <c r="F729" s="69">
        <v>6.3266590000000003</v>
      </c>
      <c r="G729" s="69">
        <v>4.7</v>
      </c>
      <c r="H729" s="69">
        <v>4.5999999999999996</v>
      </c>
      <c r="I729" s="69">
        <v>6.2</v>
      </c>
      <c r="J729" s="69">
        <v>21.7</v>
      </c>
      <c r="K729" s="69">
        <v>5.3</v>
      </c>
      <c r="L729" s="69">
        <v>9.5</v>
      </c>
      <c r="M729" s="69">
        <v>10.3</v>
      </c>
      <c r="N729" s="69">
        <v>5.3193219999999997</v>
      </c>
      <c r="O729" s="69">
        <v>24.7</v>
      </c>
      <c r="P729" s="69">
        <v>6.3</v>
      </c>
      <c r="Q729" s="69">
        <v>9.5</v>
      </c>
      <c r="R729" s="69">
        <v>4.3</v>
      </c>
      <c r="S729" s="69">
        <v>5.0753969999999997</v>
      </c>
      <c r="T729" s="69">
        <v>11.7</v>
      </c>
      <c r="U729" s="69">
        <v>3.4</v>
      </c>
      <c r="V729" s="69">
        <v>3.6</v>
      </c>
      <c r="W729" s="69">
        <v>6.5</v>
      </c>
      <c r="X729" s="69">
        <v>9.9</v>
      </c>
      <c r="Y729" s="69">
        <v>4.389831</v>
      </c>
      <c r="Z729" s="69">
        <v>6.8</v>
      </c>
      <c r="AA729" s="69">
        <v>4.5999999999999996</v>
      </c>
      <c r="AB729" s="69">
        <v>5.4349970000000001</v>
      </c>
      <c r="AC729" s="69">
        <v>7.3</v>
      </c>
      <c r="AD729" s="69">
        <v>12.8</v>
      </c>
      <c r="AE729" s="69">
        <v>11.3</v>
      </c>
      <c r="AF729" s="69">
        <v>8.8000000000000007</v>
      </c>
      <c r="AG729" s="69">
        <v>6.9</v>
      </c>
      <c r="AH729" s="69">
        <v>10.199999999999999</v>
      </c>
      <c r="AI729" s="69">
        <v>5.0999999999999996</v>
      </c>
      <c r="AJ729" s="69">
        <v>10.7</v>
      </c>
      <c r="AK729" s="69">
        <v>5.7079950000000004</v>
      </c>
      <c r="AL729" s="69"/>
    </row>
    <row r="730" spans="1:38" x14ac:dyDescent="0.2">
      <c r="A730" s="10">
        <v>42248</v>
      </c>
      <c r="B730" s="69">
        <v>6.1630409999999998</v>
      </c>
      <c r="C730" s="69"/>
      <c r="D730" s="69">
        <v>8.1</v>
      </c>
      <c r="E730" s="69">
        <v>7.1</v>
      </c>
      <c r="F730" s="69">
        <v>6.382034</v>
      </c>
      <c r="G730" s="69">
        <v>4.8</v>
      </c>
      <c r="H730" s="69">
        <v>4.5</v>
      </c>
      <c r="I730" s="69">
        <v>6.1</v>
      </c>
      <c r="J730" s="69">
        <v>21.4</v>
      </c>
      <c r="K730" s="69">
        <v>5.6</v>
      </c>
      <c r="L730" s="69">
        <v>9.1999999999999993</v>
      </c>
      <c r="M730" s="69">
        <v>10.3</v>
      </c>
      <c r="N730" s="69">
        <v>5.1742730000000003</v>
      </c>
      <c r="O730" s="69">
        <v>24.8</v>
      </c>
      <c r="P730" s="69">
        <v>6</v>
      </c>
      <c r="Q730" s="69">
        <v>9.6</v>
      </c>
      <c r="R730" s="69">
        <v>4.2</v>
      </c>
      <c r="S730" s="69">
        <v>5.0728920000000004</v>
      </c>
      <c r="T730" s="69">
        <v>11.6</v>
      </c>
      <c r="U730" s="69">
        <v>3.4</v>
      </c>
      <c r="V730" s="69">
        <v>3.5</v>
      </c>
      <c r="W730" s="69">
        <v>6.5</v>
      </c>
      <c r="X730" s="69">
        <v>9.9</v>
      </c>
      <c r="Y730" s="69">
        <v>4.1901869999999999</v>
      </c>
      <c r="Z730" s="69">
        <v>6.8</v>
      </c>
      <c r="AA730" s="69">
        <v>4.5</v>
      </c>
      <c r="AB730" s="69">
        <v>5.4865349999999999</v>
      </c>
      <c r="AC730" s="69">
        <v>7.2</v>
      </c>
      <c r="AD730" s="69">
        <v>12.9</v>
      </c>
      <c r="AE730" s="69">
        <v>11.2</v>
      </c>
      <c r="AF730" s="69">
        <v>8.6</v>
      </c>
      <c r="AG730" s="69">
        <v>7.3</v>
      </c>
      <c r="AH730" s="69">
        <v>10.3</v>
      </c>
      <c r="AI730" s="69">
        <v>5</v>
      </c>
      <c r="AJ730" s="69">
        <v>10.7</v>
      </c>
      <c r="AK730" s="69">
        <v>5.6655170000000004</v>
      </c>
      <c r="AL730" s="69"/>
    </row>
    <row r="731" spans="1:38" x14ac:dyDescent="0.2">
      <c r="A731" s="10">
        <v>42278</v>
      </c>
      <c r="B731" s="69">
        <v>5.9237060000000001</v>
      </c>
      <c r="C731" s="69"/>
      <c r="D731" s="69">
        <v>8.5</v>
      </c>
      <c r="E731" s="69">
        <v>6.9</v>
      </c>
      <c r="F731" s="69">
        <v>6.4123380000000001</v>
      </c>
      <c r="G731" s="69">
        <v>4.5</v>
      </c>
      <c r="H731" s="69">
        <v>4.5</v>
      </c>
      <c r="I731" s="69">
        <v>6.1</v>
      </c>
      <c r="J731" s="69">
        <v>21.2</v>
      </c>
      <c r="K731" s="69">
        <v>6.1</v>
      </c>
      <c r="L731" s="69">
        <v>9.6</v>
      </c>
      <c r="M731" s="69">
        <v>10.3</v>
      </c>
      <c r="N731" s="69">
        <v>5.0813969999999999</v>
      </c>
      <c r="O731" s="69">
        <v>24.6</v>
      </c>
      <c r="P731" s="69">
        <v>6.2</v>
      </c>
      <c r="Q731" s="69">
        <v>9.6</v>
      </c>
      <c r="R731" s="69">
        <v>4.0999999999999996</v>
      </c>
      <c r="S731" s="69">
        <v>5.3130709999999999</v>
      </c>
      <c r="T731" s="69">
        <v>11.8</v>
      </c>
      <c r="U731" s="69">
        <v>3.2</v>
      </c>
      <c r="V731" s="69">
        <v>3.5</v>
      </c>
      <c r="W731" s="69">
        <v>6.5</v>
      </c>
      <c r="X731" s="69">
        <v>10</v>
      </c>
      <c r="Y731" s="69">
        <v>4.4593769999999999</v>
      </c>
      <c r="Z731" s="69">
        <v>6.9</v>
      </c>
      <c r="AA731" s="69">
        <v>4.5999999999999996</v>
      </c>
      <c r="AB731" s="69">
        <v>5.4205370000000004</v>
      </c>
      <c r="AC731" s="69">
        <v>7.1</v>
      </c>
      <c r="AD731" s="69">
        <v>12.8</v>
      </c>
      <c r="AE731" s="69">
        <v>11</v>
      </c>
      <c r="AF731" s="69">
        <v>8.6</v>
      </c>
      <c r="AG731" s="69">
        <v>7.2</v>
      </c>
      <c r="AH731" s="69">
        <v>10.5</v>
      </c>
      <c r="AI731" s="69">
        <v>5</v>
      </c>
      <c r="AJ731" s="69">
        <v>10.6</v>
      </c>
      <c r="AK731" s="69">
        <v>5.622852</v>
      </c>
      <c r="AL731" s="69"/>
    </row>
    <row r="732" spans="1:38" x14ac:dyDescent="0.2">
      <c r="A732" s="10">
        <v>42309</v>
      </c>
      <c r="B732" s="69">
        <v>5.8508740000000001</v>
      </c>
      <c r="C732" s="69"/>
      <c r="D732" s="69">
        <v>8.8000000000000007</v>
      </c>
      <c r="E732" s="69">
        <v>7.1</v>
      </c>
      <c r="F732" s="69">
        <v>6.332522</v>
      </c>
      <c r="G732" s="69">
        <v>4.5</v>
      </c>
      <c r="H732" s="69">
        <v>4.5</v>
      </c>
      <c r="I732" s="69">
        <v>6.1</v>
      </c>
      <c r="J732" s="69">
        <v>20.9</v>
      </c>
      <c r="K732" s="69">
        <v>6.5</v>
      </c>
      <c r="L732" s="69">
        <v>9.1999999999999993</v>
      </c>
      <c r="M732" s="69">
        <v>10.199999999999999</v>
      </c>
      <c r="N732" s="69">
        <v>5.0788419999999999</v>
      </c>
      <c r="O732" s="69">
        <v>24.4</v>
      </c>
      <c r="P732" s="69">
        <v>6</v>
      </c>
      <c r="Q732" s="69">
        <v>9.6</v>
      </c>
      <c r="R732" s="69">
        <v>3.9</v>
      </c>
      <c r="S732" s="69">
        <v>5.1894309999999999</v>
      </c>
      <c r="T732" s="69">
        <v>11.5</v>
      </c>
      <c r="U732" s="69">
        <v>3.3</v>
      </c>
      <c r="V732" s="69">
        <v>3.6</v>
      </c>
      <c r="W732" s="69">
        <v>6.5</v>
      </c>
      <c r="X732" s="69">
        <v>10</v>
      </c>
      <c r="Y732" s="69">
        <v>4.0957650000000001</v>
      </c>
      <c r="Z732" s="69">
        <v>6.7</v>
      </c>
      <c r="AA732" s="69">
        <v>4.8</v>
      </c>
      <c r="AB732" s="69">
        <v>5.4415100000000001</v>
      </c>
      <c r="AC732" s="69">
        <v>7</v>
      </c>
      <c r="AD732" s="69">
        <v>12.6</v>
      </c>
      <c r="AE732" s="69">
        <v>10.8</v>
      </c>
      <c r="AF732" s="69">
        <v>8.5</v>
      </c>
      <c r="AG732" s="69">
        <v>6.9</v>
      </c>
      <c r="AH732" s="69">
        <v>10.4</v>
      </c>
      <c r="AI732" s="69">
        <v>5.0999999999999996</v>
      </c>
      <c r="AJ732" s="69">
        <v>10.5</v>
      </c>
      <c r="AK732" s="69">
        <v>5.6368340000000003</v>
      </c>
      <c r="AL732" s="69"/>
    </row>
    <row r="733" spans="1:38" x14ac:dyDescent="0.2">
      <c r="A733" s="10">
        <v>42339</v>
      </c>
      <c r="B733" s="69">
        <v>5.7458539999999996</v>
      </c>
      <c r="C733" s="69"/>
      <c r="D733" s="69">
        <v>8.6999999999999993</v>
      </c>
      <c r="E733" s="69">
        <v>7.2</v>
      </c>
      <c r="F733" s="69">
        <v>6.2757069999999997</v>
      </c>
      <c r="G733" s="69">
        <v>4.5999999999999996</v>
      </c>
      <c r="H733" s="69">
        <v>4.5</v>
      </c>
      <c r="I733" s="69">
        <v>6.1</v>
      </c>
      <c r="J733" s="69">
        <v>20.8</v>
      </c>
      <c r="K733" s="69">
        <v>6.5</v>
      </c>
      <c r="L733" s="69">
        <v>9.6</v>
      </c>
      <c r="M733" s="69">
        <v>10.199999999999999</v>
      </c>
      <c r="N733" s="69">
        <v>5.0692279999999998</v>
      </c>
      <c r="O733" s="69">
        <v>24</v>
      </c>
      <c r="P733" s="69">
        <v>5.9</v>
      </c>
      <c r="Q733" s="69">
        <v>9.1</v>
      </c>
      <c r="R733" s="69">
        <v>3.7</v>
      </c>
      <c r="S733" s="69">
        <v>5.2209989999999999</v>
      </c>
      <c r="T733" s="69">
        <v>11.7</v>
      </c>
      <c r="U733" s="69">
        <v>3.3</v>
      </c>
      <c r="V733" s="69">
        <v>3.5</v>
      </c>
      <c r="W733" s="69">
        <v>6.5</v>
      </c>
      <c r="X733" s="69">
        <v>10</v>
      </c>
      <c r="Y733" s="69">
        <v>4.3847740000000002</v>
      </c>
      <c r="Z733" s="69">
        <v>6.6</v>
      </c>
      <c r="AA733" s="69">
        <v>4.8</v>
      </c>
      <c r="AB733" s="69">
        <v>5.4216430000000004</v>
      </c>
      <c r="AC733" s="69">
        <v>6.9</v>
      </c>
      <c r="AD733" s="69">
        <v>12.4</v>
      </c>
      <c r="AE733" s="69">
        <v>10.7</v>
      </c>
      <c r="AF733" s="69">
        <v>8.5</v>
      </c>
      <c r="AG733" s="69">
        <v>7.2</v>
      </c>
      <c r="AH733" s="69">
        <v>10.199999999999999</v>
      </c>
      <c r="AI733" s="69">
        <v>5</v>
      </c>
      <c r="AJ733" s="69">
        <v>10.5</v>
      </c>
      <c r="AK733" s="69">
        <v>5.619637</v>
      </c>
      <c r="AL733" s="69"/>
    </row>
    <row r="734" spans="1:38" x14ac:dyDescent="0.2">
      <c r="A734" s="10">
        <v>42370</v>
      </c>
      <c r="B734" s="69">
        <v>6.0209060000000001</v>
      </c>
      <c r="C734" s="69"/>
      <c r="D734" s="69">
        <v>8.4</v>
      </c>
      <c r="E734" s="69">
        <v>7.2</v>
      </c>
      <c r="F734" s="69">
        <v>6.3145680000000004</v>
      </c>
      <c r="G734" s="69">
        <v>4.3</v>
      </c>
      <c r="H734" s="69">
        <v>4.4000000000000004</v>
      </c>
      <c r="I734" s="69">
        <v>6</v>
      </c>
      <c r="J734" s="69">
        <v>20.5</v>
      </c>
      <c r="K734" s="69">
        <v>6.5</v>
      </c>
      <c r="L734" s="69">
        <v>9.1999999999999993</v>
      </c>
      <c r="M734" s="69">
        <v>10.199999999999999</v>
      </c>
      <c r="N734" s="69">
        <v>5.1131789999999997</v>
      </c>
      <c r="O734" s="69">
        <v>24.3</v>
      </c>
      <c r="P734" s="69">
        <v>6</v>
      </c>
      <c r="Q734" s="69">
        <v>9.1</v>
      </c>
      <c r="R734" s="69">
        <v>3.6</v>
      </c>
      <c r="S734" s="69">
        <v>5.1242999999999999</v>
      </c>
      <c r="T734" s="69">
        <v>11.6</v>
      </c>
      <c r="U734" s="69">
        <v>3.2</v>
      </c>
      <c r="V734" s="69">
        <v>3.6</v>
      </c>
      <c r="W734" s="69">
        <v>6.4</v>
      </c>
      <c r="X734" s="69">
        <v>10</v>
      </c>
      <c r="Y734" s="69">
        <v>4.0974180000000002</v>
      </c>
      <c r="Z734" s="69">
        <v>6.5</v>
      </c>
      <c r="AA734" s="69">
        <v>5.0999999999999996</v>
      </c>
      <c r="AB734" s="69">
        <v>5.4423490000000001</v>
      </c>
      <c r="AC734" s="69">
        <v>6.7</v>
      </c>
      <c r="AD734" s="69">
        <v>12.2</v>
      </c>
      <c r="AE734" s="69">
        <v>10.5</v>
      </c>
      <c r="AF734" s="69">
        <v>8.4</v>
      </c>
      <c r="AG734" s="69">
        <v>7</v>
      </c>
      <c r="AH734" s="69">
        <v>10.1</v>
      </c>
      <c r="AI734" s="69">
        <v>4.8</v>
      </c>
      <c r="AJ734" s="69">
        <v>10.4</v>
      </c>
      <c r="AK734" s="69">
        <v>5.5218160000000003</v>
      </c>
      <c r="AL734" s="69"/>
    </row>
    <row r="735" spans="1:38" x14ac:dyDescent="0.2">
      <c r="A735" s="10">
        <v>42401</v>
      </c>
      <c r="B735" s="69">
        <v>5.6743790000000001</v>
      </c>
      <c r="C735" s="69"/>
      <c r="D735" s="69">
        <v>8.1999999999999993</v>
      </c>
      <c r="E735" s="69">
        <v>7.3</v>
      </c>
      <c r="F735" s="69">
        <v>6.5231199999999996</v>
      </c>
      <c r="G735" s="69">
        <v>4.3</v>
      </c>
      <c r="H735" s="69">
        <v>4.4000000000000004</v>
      </c>
      <c r="I735" s="69">
        <v>6</v>
      </c>
      <c r="J735" s="69">
        <v>20.399999999999999</v>
      </c>
      <c r="K735" s="69">
        <v>6.3</v>
      </c>
      <c r="L735" s="69">
        <v>9.1</v>
      </c>
      <c r="M735" s="69">
        <v>10.3</v>
      </c>
      <c r="N735" s="69">
        <v>5.0710350000000002</v>
      </c>
      <c r="O735" s="69">
        <v>23.6</v>
      </c>
      <c r="P735" s="69">
        <v>5.6</v>
      </c>
      <c r="Q735" s="69">
        <v>9</v>
      </c>
      <c r="R735" s="69">
        <v>3.6</v>
      </c>
      <c r="S735" s="69">
        <v>5.3617679999999996</v>
      </c>
      <c r="T735" s="69">
        <v>11.7</v>
      </c>
      <c r="U735" s="69">
        <v>3.3</v>
      </c>
      <c r="V735" s="69">
        <v>3.9</v>
      </c>
      <c r="W735" s="69">
        <v>6.4</v>
      </c>
      <c r="X735" s="69">
        <v>9.9</v>
      </c>
      <c r="Y735" s="69">
        <v>4.1999930000000001</v>
      </c>
      <c r="Z735" s="69">
        <v>6.5</v>
      </c>
      <c r="AA735" s="69">
        <v>5</v>
      </c>
      <c r="AB735" s="69">
        <v>5.4558840000000002</v>
      </c>
      <c r="AC735" s="69">
        <v>6.6</v>
      </c>
      <c r="AD735" s="69">
        <v>12.3</v>
      </c>
      <c r="AE735" s="69">
        <v>10.3</v>
      </c>
      <c r="AF735" s="69">
        <v>8.4</v>
      </c>
      <c r="AG735" s="69">
        <v>7.1</v>
      </c>
      <c r="AH735" s="69">
        <v>10</v>
      </c>
      <c r="AI735" s="69">
        <v>4.9000000000000004</v>
      </c>
      <c r="AJ735" s="69">
        <v>10.4</v>
      </c>
      <c r="AK735" s="69">
        <v>5.5658799999999999</v>
      </c>
      <c r="AL735" s="69"/>
    </row>
    <row r="736" spans="1:38" x14ac:dyDescent="0.2">
      <c r="A736" s="10">
        <v>42430</v>
      </c>
      <c r="B736" s="69">
        <v>5.6422040000000004</v>
      </c>
      <c r="C736" s="69"/>
      <c r="D736" s="69">
        <v>8.1999999999999993</v>
      </c>
      <c r="E736" s="69">
        <v>7.1</v>
      </c>
      <c r="F736" s="69">
        <v>6.663678</v>
      </c>
      <c r="G736" s="69">
        <v>4.0999999999999996</v>
      </c>
      <c r="H736" s="69">
        <v>4.3</v>
      </c>
      <c r="I736" s="69">
        <v>6</v>
      </c>
      <c r="J736" s="69">
        <v>20.2</v>
      </c>
      <c r="K736" s="69">
        <v>6.7</v>
      </c>
      <c r="L736" s="69">
        <v>9.1999999999999993</v>
      </c>
      <c r="M736" s="69">
        <v>10.199999999999999</v>
      </c>
      <c r="N736" s="69">
        <v>5.0070499999999996</v>
      </c>
      <c r="O736" s="69">
        <v>23.9</v>
      </c>
      <c r="P736" s="69">
        <v>5.6</v>
      </c>
      <c r="Q736" s="69">
        <v>8.9</v>
      </c>
      <c r="R736" s="69">
        <v>3.6</v>
      </c>
      <c r="S736" s="69">
        <v>5.2995089999999996</v>
      </c>
      <c r="T736" s="69">
        <v>11.6</v>
      </c>
      <c r="U736" s="69">
        <v>3.2</v>
      </c>
      <c r="V736" s="69">
        <v>3.7</v>
      </c>
      <c r="W736" s="69">
        <v>6.4</v>
      </c>
      <c r="X736" s="69">
        <v>9.6999999999999993</v>
      </c>
      <c r="Y736" s="69">
        <v>4.083628</v>
      </c>
      <c r="Z736" s="69">
        <v>6.4</v>
      </c>
      <c r="AA736" s="69">
        <v>5</v>
      </c>
      <c r="AB736" s="69">
        <v>5.5366689999999998</v>
      </c>
      <c r="AC736" s="69">
        <v>6.5</v>
      </c>
      <c r="AD736" s="69">
        <v>12.1</v>
      </c>
      <c r="AE736" s="69">
        <v>10.199999999999999</v>
      </c>
      <c r="AF736" s="69">
        <v>8.3000000000000007</v>
      </c>
      <c r="AG736" s="69">
        <v>7.3</v>
      </c>
      <c r="AH736" s="69">
        <v>9.8000000000000007</v>
      </c>
      <c r="AI736" s="69">
        <v>5</v>
      </c>
      <c r="AJ736" s="69">
        <v>10.3</v>
      </c>
      <c r="AK736" s="69">
        <v>5.5716260000000002</v>
      </c>
      <c r="AL736" s="69"/>
    </row>
    <row r="737" spans="1:38" x14ac:dyDescent="0.2">
      <c r="A737" s="10">
        <v>42461</v>
      </c>
      <c r="B737" s="69">
        <v>5.6389469999999999</v>
      </c>
      <c r="C737" s="69"/>
      <c r="D737" s="69">
        <v>8.1999999999999993</v>
      </c>
      <c r="E737" s="69">
        <v>7.2</v>
      </c>
      <c r="F737" s="69">
        <v>6.8070630000000003</v>
      </c>
      <c r="G737" s="69">
        <v>3.9</v>
      </c>
      <c r="H737" s="69">
        <v>4.3</v>
      </c>
      <c r="I737" s="69">
        <v>6.1</v>
      </c>
      <c r="J737" s="69">
        <v>20.3</v>
      </c>
      <c r="K737" s="69">
        <v>6.4</v>
      </c>
      <c r="L737" s="69">
        <v>9.1</v>
      </c>
      <c r="M737" s="69">
        <v>10.1</v>
      </c>
      <c r="N737" s="69">
        <v>4.9389659999999997</v>
      </c>
      <c r="O737" s="69">
        <v>23.4</v>
      </c>
      <c r="P737" s="69">
        <v>5.6</v>
      </c>
      <c r="Q737" s="69">
        <v>9</v>
      </c>
      <c r="R737" s="69">
        <v>3.5</v>
      </c>
      <c r="S737" s="69">
        <v>5.0543750000000003</v>
      </c>
      <c r="T737" s="69">
        <v>11.8</v>
      </c>
      <c r="U737" s="69">
        <v>3.2</v>
      </c>
      <c r="V737" s="69">
        <v>3.6</v>
      </c>
      <c r="W737" s="69">
        <v>6.3</v>
      </c>
      <c r="X737" s="69">
        <v>9.5</v>
      </c>
      <c r="Y737" s="69">
        <v>3.8919609999999998</v>
      </c>
      <c r="Z737" s="69">
        <v>6.4</v>
      </c>
      <c r="AA737" s="69">
        <v>4.8</v>
      </c>
      <c r="AB737" s="69">
        <v>5.569814</v>
      </c>
      <c r="AC737" s="69">
        <v>6.4</v>
      </c>
      <c r="AD737" s="69">
        <v>11.9</v>
      </c>
      <c r="AE737" s="69">
        <v>10</v>
      </c>
      <c r="AF737" s="69">
        <v>8.1999999999999993</v>
      </c>
      <c r="AG737" s="69">
        <v>6.7</v>
      </c>
      <c r="AH737" s="69">
        <v>9.9</v>
      </c>
      <c r="AI737" s="69">
        <v>5.0999999999999996</v>
      </c>
      <c r="AJ737" s="69">
        <v>10.199999999999999</v>
      </c>
      <c r="AK737" s="69">
        <v>5.6032349999999997</v>
      </c>
      <c r="AL737" s="69"/>
    </row>
    <row r="738" spans="1:38" x14ac:dyDescent="0.2">
      <c r="A738" s="10">
        <v>42491</v>
      </c>
      <c r="B738" s="69">
        <v>5.7261829999999998</v>
      </c>
      <c r="C738" s="69"/>
      <c r="D738" s="69">
        <v>8.1</v>
      </c>
      <c r="E738" s="69">
        <v>7</v>
      </c>
      <c r="F738" s="69">
        <v>6.7358529999999996</v>
      </c>
      <c r="G738" s="69">
        <v>4</v>
      </c>
      <c r="H738" s="69">
        <v>4.2</v>
      </c>
      <c r="I738" s="69">
        <v>6.1</v>
      </c>
      <c r="J738" s="69">
        <v>20.100000000000001</v>
      </c>
      <c r="K738" s="69">
        <v>6.4</v>
      </c>
      <c r="L738" s="69">
        <v>8.6</v>
      </c>
      <c r="M738" s="69">
        <v>10</v>
      </c>
      <c r="N738" s="69">
        <v>4.9213630000000004</v>
      </c>
      <c r="O738" s="69">
        <v>23.6</v>
      </c>
      <c r="P738" s="69">
        <v>5</v>
      </c>
      <c r="Q738" s="69">
        <v>8.9</v>
      </c>
      <c r="R738" s="69">
        <v>3.4</v>
      </c>
      <c r="S738" s="69">
        <v>4.8370559999999996</v>
      </c>
      <c r="T738" s="69">
        <v>11.6</v>
      </c>
      <c r="U738" s="69">
        <v>3.2</v>
      </c>
      <c r="V738" s="69">
        <v>3.6</v>
      </c>
      <c r="W738" s="69">
        <v>6.3</v>
      </c>
      <c r="X738" s="69">
        <v>9.5</v>
      </c>
      <c r="Y738" s="69">
        <v>4.0975270000000004</v>
      </c>
      <c r="Z738" s="69">
        <v>6.3</v>
      </c>
      <c r="AA738" s="69">
        <v>4.8</v>
      </c>
      <c r="AB738" s="69">
        <v>5.4739620000000002</v>
      </c>
      <c r="AC738" s="69">
        <v>6.3</v>
      </c>
      <c r="AD738" s="69">
        <v>11.6</v>
      </c>
      <c r="AE738" s="69">
        <v>9.9</v>
      </c>
      <c r="AF738" s="69">
        <v>8</v>
      </c>
      <c r="AG738" s="69">
        <v>7.2</v>
      </c>
      <c r="AH738" s="69">
        <v>10.3</v>
      </c>
      <c r="AI738" s="69">
        <v>4.8</v>
      </c>
      <c r="AJ738" s="69">
        <v>10.199999999999999</v>
      </c>
      <c r="AK738" s="69">
        <v>5.4484589999999997</v>
      </c>
      <c r="AL738" s="69"/>
    </row>
    <row r="739" spans="1:38" x14ac:dyDescent="0.2">
      <c r="A739" s="10">
        <v>42522</v>
      </c>
      <c r="B739" s="69">
        <v>5.6941699999999997</v>
      </c>
      <c r="C739" s="69"/>
      <c r="D739" s="69">
        <v>8.1</v>
      </c>
      <c r="E739" s="69">
        <v>6.9</v>
      </c>
      <c r="F739" s="69">
        <v>6.8734440000000001</v>
      </c>
      <c r="G739" s="69">
        <v>4.2</v>
      </c>
      <c r="H739" s="69">
        <v>4.2</v>
      </c>
      <c r="I739" s="69">
        <v>6</v>
      </c>
      <c r="J739" s="69">
        <v>19.899999999999999</v>
      </c>
      <c r="K739" s="69">
        <v>6.7</v>
      </c>
      <c r="L739" s="69">
        <v>9.1</v>
      </c>
      <c r="M739" s="69">
        <v>10</v>
      </c>
      <c r="N739" s="69">
        <v>4.8936799999999998</v>
      </c>
      <c r="O739" s="69">
        <v>23.7</v>
      </c>
      <c r="P739" s="69">
        <v>4.5999999999999996</v>
      </c>
      <c r="Q739" s="69">
        <v>8.6999999999999993</v>
      </c>
      <c r="R739" s="69">
        <v>3.3</v>
      </c>
      <c r="S739" s="69">
        <v>4.5399799999999999</v>
      </c>
      <c r="T739" s="69">
        <v>11.7</v>
      </c>
      <c r="U739" s="69">
        <v>3.1</v>
      </c>
      <c r="V739" s="69">
        <v>3.6</v>
      </c>
      <c r="W739" s="69">
        <v>6.3</v>
      </c>
      <c r="X739" s="69">
        <v>9.6</v>
      </c>
      <c r="Y739" s="69">
        <v>3.9352130000000001</v>
      </c>
      <c r="Z739" s="69">
        <v>6.1</v>
      </c>
      <c r="AA739" s="69">
        <v>4.8</v>
      </c>
      <c r="AB739" s="69">
        <v>5.488861</v>
      </c>
      <c r="AC739" s="69">
        <v>6.3</v>
      </c>
      <c r="AD739" s="69">
        <v>11.5</v>
      </c>
      <c r="AE739" s="69">
        <v>9.6999999999999993</v>
      </c>
      <c r="AF739" s="69">
        <v>7.8</v>
      </c>
      <c r="AG739" s="69">
        <v>6.7</v>
      </c>
      <c r="AH739" s="69">
        <v>11</v>
      </c>
      <c r="AI739" s="69">
        <v>4.9000000000000004</v>
      </c>
      <c r="AJ739" s="69">
        <v>10.1</v>
      </c>
      <c r="AK739" s="69">
        <v>5.4535640000000001</v>
      </c>
      <c r="AL739" s="69"/>
    </row>
    <row r="740" spans="1:38" x14ac:dyDescent="0.2">
      <c r="A740" s="10">
        <v>42552</v>
      </c>
      <c r="B740" s="69">
        <v>5.6913289999999996</v>
      </c>
      <c r="C740" s="69"/>
      <c r="D740" s="69">
        <v>7.9</v>
      </c>
      <c r="E740" s="69">
        <v>7</v>
      </c>
      <c r="F740" s="69">
        <v>6.7465419999999998</v>
      </c>
      <c r="G740" s="69">
        <v>4.0999999999999996</v>
      </c>
      <c r="H740" s="69">
        <v>4.2</v>
      </c>
      <c r="I740" s="69">
        <v>6</v>
      </c>
      <c r="J740" s="69">
        <v>19.600000000000001</v>
      </c>
      <c r="K740" s="69">
        <v>6.7</v>
      </c>
      <c r="L740" s="69">
        <v>9.1999999999999993</v>
      </c>
      <c r="M740" s="69">
        <v>9.8000000000000007</v>
      </c>
      <c r="N740" s="69">
        <v>4.9831630000000002</v>
      </c>
      <c r="O740" s="69">
        <v>23.4</v>
      </c>
      <c r="P740" s="69">
        <v>5.0999999999999996</v>
      </c>
      <c r="Q740" s="69">
        <v>8.5</v>
      </c>
      <c r="R740" s="69">
        <v>3.3</v>
      </c>
      <c r="S740" s="69">
        <v>4.7249109999999996</v>
      </c>
      <c r="T740" s="69">
        <v>11.7</v>
      </c>
      <c r="U740" s="69">
        <v>3</v>
      </c>
      <c r="V740" s="69">
        <v>3.6</v>
      </c>
      <c r="W740" s="69">
        <v>6.2</v>
      </c>
      <c r="X740" s="69">
        <v>9.8000000000000007</v>
      </c>
      <c r="Y740" s="69">
        <v>3.779369</v>
      </c>
      <c r="Z740" s="69">
        <v>6</v>
      </c>
      <c r="AA740" s="69">
        <v>4.8</v>
      </c>
      <c r="AB740" s="69">
        <v>5.44278</v>
      </c>
      <c r="AC740" s="69">
        <v>6.2</v>
      </c>
      <c r="AD740" s="69">
        <v>11.3</v>
      </c>
      <c r="AE740" s="69">
        <v>9.6</v>
      </c>
      <c r="AF740" s="69">
        <v>7.5</v>
      </c>
      <c r="AG740" s="69">
        <v>6.8</v>
      </c>
      <c r="AH740" s="69">
        <v>11.1</v>
      </c>
      <c r="AI740" s="69">
        <v>4.8</v>
      </c>
      <c r="AJ740" s="69">
        <v>10</v>
      </c>
      <c r="AK740" s="69">
        <v>5.405151</v>
      </c>
      <c r="AL740" s="69"/>
    </row>
    <row r="741" spans="1:38" x14ac:dyDescent="0.2">
      <c r="A741" s="10">
        <v>42583</v>
      </c>
      <c r="B741" s="69">
        <v>5.6008490000000002</v>
      </c>
      <c r="C741" s="69"/>
      <c r="D741" s="69">
        <v>7.8</v>
      </c>
      <c r="E741" s="69">
        <v>7</v>
      </c>
      <c r="F741" s="69">
        <v>6.8067070000000003</v>
      </c>
      <c r="G741" s="69">
        <v>3.8</v>
      </c>
      <c r="H741" s="69">
        <v>4.0999999999999996</v>
      </c>
      <c r="I741" s="69">
        <v>6</v>
      </c>
      <c r="J741" s="69">
        <v>19.3</v>
      </c>
      <c r="K741" s="69">
        <v>7.5</v>
      </c>
      <c r="L741" s="69">
        <v>8.4</v>
      </c>
      <c r="M741" s="69">
        <v>9.9</v>
      </c>
      <c r="N741" s="69">
        <v>4.838883</v>
      </c>
      <c r="O741" s="69">
        <v>23.4</v>
      </c>
      <c r="P741" s="69">
        <v>4.5999999999999996</v>
      </c>
      <c r="Q741" s="69">
        <v>8.3000000000000007</v>
      </c>
      <c r="R741" s="69">
        <v>3.4</v>
      </c>
      <c r="S741" s="69">
        <v>4.6780710000000001</v>
      </c>
      <c r="T741" s="69">
        <v>11.6</v>
      </c>
      <c r="U741" s="69">
        <v>3.1</v>
      </c>
      <c r="V741" s="69">
        <v>3.8</v>
      </c>
      <c r="W741" s="69">
        <v>6.3</v>
      </c>
      <c r="X741" s="69">
        <v>9.8000000000000007</v>
      </c>
      <c r="Y741" s="69">
        <v>3.752672</v>
      </c>
      <c r="Z741" s="69">
        <v>5.8</v>
      </c>
      <c r="AA741" s="69">
        <v>4.8</v>
      </c>
      <c r="AB741" s="69">
        <v>5.4083079999999999</v>
      </c>
      <c r="AC741" s="69">
        <v>6.1</v>
      </c>
      <c r="AD741" s="69">
        <v>11.3</v>
      </c>
      <c r="AE741" s="69">
        <v>9.5</v>
      </c>
      <c r="AF741" s="69">
        <v>7.5</v>
      </c>
      <c r="AG741" s="69">
        <v>7.1</v>
      </c>
      <c r="AH741" s="69">
        <v>11.4</v>
      </c>
      <c r="AI741" s="69">
        <v>4.9000000000000004</v>
      </c>
      <c r="AJ741" s="69">
        <v>9.9</v>
      </c>
      <c r="AK741" s="69">
        <v>5.4303030000000003</v>
      </c>
      <c r="AL741" s="69"/>
    </row>
    <row r="742" spans="1:38" x14ac:dyDescent="0.2">
      <c r="A742" s="10">
        <v>42614</v>
      </c>
      <c r="B742" s="69">
        <v>5.6459140000000003</v>
      </c>
      <c r="C742" s="69"/>
      <c r="D742" s="69">
        <v>7.5</v>
      </c>
      <c r="E742" s="69">
        <v>7</v>
      </c>
      <c r="F742" s="69">
        <v>6.6289730000000002</v>
      </c>
      <c r="G742" s="69">
        <v>3.9</v>
      </c>
      <c r="H742" s="69">
        <v>4</v>
      </c>
      <c r="I742" s="69">
        <v>6.1</v>
      </c>
      <c r="J742" s="69">
        <v>19.100000000000001</v>
      </c>
      <c r="K742" s="69">
        <v>7</v>
      </c>
      <c r="L742" s="69">
        <v>8.5</v>
      </c>
      <c r="M742" s="69">
        <v>9.9</v>
      </c>
      <c r="N742" s="69">
        <v>4.828989</v>
      </c>
      <c r="O742" s="69">
        <v>23.3</v>
      </c>
      <c r="P742" s="69">
        <v>4.5</v>
      </c>
      <c r="Q742" s="69">
        <v>7.9</v>
      </c>
      <c r="R742" s="69">
        <v>3.4</v>
      </c>
      <c r="S742" s="69">
        <v>4.8388520000000002</v>
      </c>
      <c r="T742" s="69">
        <v>11.9</v>
      </c>
      <c r="U742" s="69">
        <v>3</v>
      </c>
      <c r="V742" s="69">
        <v>3.9</v>
      </c>
      <c r="W742" s="69">
        <v>6.4</v>
      </c>
      <c r="X742" s="69">
        <v>9.6999999999999993</v>
      </c>
      <c r="Y742" s="69">
        <v>3.8516210000000002</v>
      </c>
      <c r="Z742" s="69">
        <v>5.7</v>
      </c>
      <c r="AA742" s="69">
        <v>4.7</v>
      </c>
      <c r="AB742" s="69">
        <v>5.3350070000000001</v>
      </c>
      <c r="AC742" s="69">
        <v>6</v>
      </c>
      <c r="AD742" s="69">
        <v>11.3</v>
      </c>
      <c r="AE742" s="69">
        <v>9.4</v>
      </c>
      <c r="AF742" s="69">
        <v>7.7</v>
      </c>
      <c r="AG742" s="69">
        <v>6.7</v>
      </c>
      <c r="AH742" s="69">
        <v>11.4</v>
      </c>
      <c r="AI742" s="69">
        <v>5</v>
      </c>
      <c r="AJ742" s="69">
        <v>9.9</v>
      </c>
      <c r="AK742" s="69">
        <v>5.4653200000000002</v>
      </c>
      <c r="AL742" s="69"/>
    </row>
    <row r="743" spans="1:38" x14ac:dyDescent="0.2">
      <c r="A743" s="10">
        <v>42644</v>
      </c>
      <c r="B743" s="69">
        <v>5.5870179999999996</v>
      </c>
      <c r="C743" s="69"/>
      <c r="D743" s="69">
        <v>7.2</v>
      </c>
      <c r="E743" s="69">
        <v>7</v>
      </c>
      <c r="F743" s="69">
        <v>6.6560769999999998</v>
      </c>
      <c r="G743" s="69">
        <v>3.7</v>
      </c>
      <c r="H743" s="69">
        <v>4</v>
      </c>
      <c r="I743" s="69">
        <v>6.1</v>
      </c>
      <c r="J743" s="69">
        <v>18.8</v>
      </c>
      <c r="K743" s="69">
        <v>7.2</v>
      </c>
      <c r="L743" s="69">
        <v>8.9</v>
      </c>
      <c r="M743" s="69">
        <v>10.1</v>
      </c>
      <c r="N743" s="69">
        <v>4.7941200000000004</v>
      </c>
      <c r="O743" s="69">
        <v>23.1</v>
      </c>
      <c r="P743" s="69">
        <v>4.5999999999999996</v>
      </c>
      <c r="Q743" s="69">
        <v>7.6</v>
      </c>
      <c r="R743" s="69">
        <v>3.3</v>
      </c>
      <c r="S743" s="69">
        <v>4.6791479999999996</v>
      </c>
      <c r="T743" s="69">
        <v>11.7</v>
      </c>
      <c r="U743" s="69">
        <v>3</v>
      </c>
      <c r="V743" s="69">
        <v>3.8</v>
      </c>
      <c r="W743" s="69">
        <v>6.3</v>
      </c>
      <c r="X743" s="69">
        <v>9.5</v>
      </c>
      <c r="Y743" s="69">
        <v>3.5886049999999998</v>
      </c>
      <c r="Z743" s="69">
        <v>5.6</v>
      </c>
      <c r="AA743" s="69">
        <v>4.5999999999999996</v>
      </c>
      <c r="AB743" s="69">
        <v>5.388255</v>
      </c>
      <c r="AC743" s="69">
        <v>5.8</v>
      </c>
      <c r="AD743" s="69">
        <v>10.9</v>
      </c>
      <c r="AE743" s="69">
        <v>9.1999999999999993</v>
      </c>
      <c r="AF743" s="69">
        <v>8.1</v>
      </c>
      <c r="AG743" s="69">
        <v>6.9</v>
      </c>
      <c r="AH743" s="69">
        <v>11.8</v>
      </c>
      <c r="AI743" s="69">
        <v>4.9000000000000004</v>
      </c>
      <c r="AJ743" s="69">
        <v>9.8000000000000007</v>
      </c>
      <c r="AK743" s="69">
        <v>5.4186139999999998</v>
      </c>
      <c r="AL743" s="69"/>
    </row>
    <row r="744" spans="1:38" x14ac:dyDescent="0.2">
      <c r="A744" s="10">
        <v>42675</v>
      </c>
      <c r="B744" s="69">
        <v>5.7571260000000004</v>
      </c>
      <c r="C744" s="69"/>
      <c r="D744" s="69">
        <v>7.2</v>
      </c>
      <c r="E744" s="69">
        <v>6.9</v>
      </c>
      <c r="F744" s="69">
        <v>6.6846459999999999</v>
      </c>
      <c r="G744" s="69">
        <v>3.6</v>
      </c>
      <c r="H744" s="69">
        <v>3.9</v>
      </c>
      <c r="I744" s="69">
        <v>5.9</v>
      </c>
      <c r="J744" s="69">
        <v>18.8</v>
      </c>
      <c r="K744" s="69">
        <v>6.6</v>
      </c>
      <c r="L744" s="69">
        <v>9.3000000000000007</v>
      </c>
      <c r="M744" s="69">
        <v>10.1</v>
      </c>
      <c r="N744" s="69">
        <v>4.7421059999999997</v>
      </c>
      <c r="O744" s="69">
        <v>23.2</v>
      </c>
      <c r="P744" s="69">
        <v>3.9</v>
      </c>
      <c r="Q744" s="69">
        <v>7.4</v>
      </c>
      <c r="R744" s="69">
        <v>3.3</v>
      </c>
      <c r="S744" s="69">
        <v>4.5220989999999999</v>
      </c>
      <c r="T744" s="69">
        <v>12</v>
      </c>
      <c r="U744" s="69">
        <v>3</v>
      </c>
      <c r="V744" s="69">
        <v>3.7</v>
      </c>
      <c r="W744" s="69">
        <v>6.3</v>
      </c>
      <c r="X744" s="69">
        <v>9.4</v>
      </c>
      <c r="Y744" s="69">
        <v>3.62765</v>
      </c>
      <c r="Z744" s="69">
        <v>5.6</v>
      </c>
      <c r="AA744" s="69">
        <v>4.5</v>
      </c>
      <c r="AB744" s="69">
        <v>5.3737760000000003</v>
      </c>
      <c r="AC744" s="69">
        <v>5.6</v>
      </c>
      <c r="AD744" s="69">
        <v>10.7</v>
      </c>
      <c r="AE744" s="69">
        <v>9</v>
      </c>
      <c r="AF744" s="69">
        <v>8.3000000000000007</v>
      </c>
      <c r="AG744" s="69">
        <v>6.8</v>
      </c>
      <c r="AH744" s="69">
        <v>11.9</v>
      </c>
      <c r="AI744" s="69">
        <v>4.7</v>
      </c>
      <c r="AJ744" s="69">
        <v>9.8000000000000007</v>
      </c>
      <c r="AK744" s="69">
        <v>5.3631399999999996</v>
      </c>
      <c r="AL744" s="69"/>
    </row>
    <row r="745" spans="1:38" x14ac:dyDescent="0.2">
      <c r="A745" s="10">
        <v>42705</v>
      </c>
      <c r="B745" s="69">
        <v>5.8337490000000001</v>
      </c>
      <c r="C745" s="69"/>
      <c r="D745" s="69">
        <v>7.3</v>
      </c>
      <c r="E745" s="69">
        <v>7</v>
      </c>
      <c r="F745" s="69">
        <v>6.7542929999999997</v>
      </c>
      <c r="G745" s="69">
        <v>3.6</v>
      </c>
      <c r="H745" s="69">
        <v>3.9</v>
      </c>
      <c r="I745" s="69">
        <v>5.9</v>
      </c>
      <c r="J745" s="69">
        <v>18.5</v>
      </c>
      <c r="K745" s="69">
        <v>6.3</v>
      </c>
      <c r="L745" s="69">
        <v>8.5</v>
      </c>
      <c r="M745" s="69">
        <v>9.9</v>
      </c>
      <c r="N745" s="69">
        <v>4.7071170000000002</v>
      </c>
      <c r="O745" s="69">
        <v>23.6</v>
      </c>
      <c r="P745" s="69">
        <v>4.4000000000000004</v>
      </c>
      <c r="Q745" s="69">
        <v>7.4</v>
      </c>
      <c r="R745" s="69">
        <v>3.3</v>
      </c>
      <c r="S745" s="69">
        <v>4.258813</v>
      </c>
      <c r="T745" s="69">
        <v>11.8</v>
      </c>
      <c r="U745" s="69">
        <v>3</v>
      </c>
      <c r="V745" s="69">
        <v>3.5</v>
      </c>
      <c r="W745" s="69">
        <v>6.3</v>
      </c>
      <c r="X745" s="69">
        <v>9.4</v>
      </c>
      <c r="Y745" s="69">
        <v>3.7179950000000002</v>
      </c>
      <c r="Z745" s="69">
        <v>5.4</v>
      </c>
      <c r="AA745" s="69">
        <v>4.2</v>
      </c>
      <c r="AB745" s="69">
        <v>5.3250570000000002</v>
      </c>
      <c r="AC745" s="69">
        <v>5.4</v>
      </c>
      <c r="AD745" s="69">
        <v>10.3</v>
      </c>
      <c r="AE745" s="69">
        <v>8.9</v>
      </c>
      <c r="AF745" s="69">
        <v>8.1999999999999993</v>
      </c>
      <c r="AG745" s="69">
        <v>6.9</v>
      </c>
      <c r="AH745" s="69">
        <v>12</v>
      </c>
      <c r="AI745" s="69">
        <v>4.7</v>
      </c>
      <c r="AJ745" s="69">
        <v>9.6999999999999993</v>
      </c>
      <c r="AK745" s="69">
        <v>5.329612</v>
      </c>
      <c r="AL745" s="69"/>
    </row>
    <row r="746" spans="1:38" x14ac:dyDescent="0.2">
      <c r="A746" s="10">
        <v>42736</v>
      </c>
      <c r="B746" s="69">
        <v>5.6797800000000001</v>
      </c>
      <c r="C746" s="69"/>
      <c r="D746" s="69">
        <v>7.6</v>
      </c>
      <c r="E746" s="69">
        <v>6.8</v>
      </c>
      <c r="F746" s="69">
        <v>7.0636900000000002</v>
      </c>
      <c r="G746" s="69">
        <v>3.5</v>
      </c>
      <c r="H746" s="69">
        <v>3.9</v>
      </c>
      <c r="I746" s="69">
        <v>6.1</v>
      </c>
      <c r="J746" s="69">
        <v>18.3</v>
      </c>
      <c r="K746" s="69">
        <v>5.9</v>
      </c>
      <c r="L746" s="69">
        <v>9</v>
      </c>
      <c r="M746" s="69">
        <v>9.6999999999999993</v>
      </c>
      <c r="N746" s="69">
        <v>4.6404860000000001</v>
      </c>
      <c r="O746" s="69">
        <v>22.7</v>
      </c>
      <c r="P746" s="69">
        <v>4.0999999999999996</v>
      </c>
      <c r="Q746" s="69">
        <v>7.5</v>
      </c>
      <c r="R746" s="69">
        <v>3.3</v>
      </c>
      <c r="S746" s="69">
        <v>4.5335770000000002</v>
      </c>
      <c r="T746" s="69">
        <v>11.7</v>
      </c>
      <c r="U746" s="69">
        <v>3</v>
      </c>
      <c r="V746" s="69">
        <v>3.6</v>
      </c>
      <c r="W746" s="69">
        <v>6</v>
      </c>
      <c r="X746" s="69">
        <v>9.3000000000000007</v>
      </c>
      <c r="Y746" s="69">
        <v>3.4613900000000002</v>
      </c>
      <c r="Z746" s="69">
        <v>5.3</v>
      </c>
      <c r="AA746" s="69">
        <v>4.0999999999999996</v>
      </c>
      <c r="AB746" s="69">
        <v>5.3398130000000004</v>
      </c>
      <c r="AC746" s="69">
        <v>5.2</v>
      </c>
      <c r="AD746" s="69">
        <v>10.199999999999999</v>
      </c>
      <c r="AE746" s="69">
        <v>8.6999999999999993</v>
      </c>
      <c r="AF746" s="69">
        <v>7.8</v>
      </c>
      <c r="AG746" s="69">
        <v>6.8</v>
      </c>
      <c r="AH746" s="69">
        <v>11.8</v>
      </c>
      <c r="AI746" s="69">
        <v>4.7</v>
      </c>
      <c r="AJ746" s="69">
        <v>9.6</v>
      </c>
      <c r="AK746" s="69">
        <v>5.2690250000000001</v>
      </c>
      <c r="AL746" s="69"/>
    </row>
    <row r="747" spans="1:38" x14ac:dyDescent="0.2">
      <c r="A747" s="10">
        <v>42767</v>
      </c>
      <c r="B747" s="69">
        <v>5.8392179999999998</v>
      </c>
      <c r="C747" s="69"/>
      <c r="D747" s="69">
        <v>7.8</v>
      </c>
      <c r="E747" s="69">
        <v>6.6</v>
      </c>
      <c r="F747" s="69">
        <v>7.0615110000000003</v>
      </c>
      <c r="G747" s="69">
        <v>3.3</v>
      </c>
      <c r="H747" s="69">
        <v>3.9</v>
      </c>
      <c r="I747" s="69">
        <v>6.2</v>
      </c>
      <c r="J747" s="69">
        <v>18.2</v>
      </c>
      <c r="K747" s="69">
        <v>5.4</v>
      </c>
      <c r="L747" s="69">
        <v>9</v>
      </c>
      <c r="M747" s="69">
        <v>9.6</v>
      </c>
      <c r="N747" s="69">
        <v>4.5632999999999999</v>
      </c>
      <c r="O747" s="69">
        <v>22.4</v>
      </c>
      <c r="P747" s="69">
        <v>4.2</v>
      </c>
      <c r="Q747" s="69">
        <v>7.4</v>
      </c>
      <c r="R747" s="69">
        <v>3.2</v>
      </c>
      <c r="S747" s="69">
        <v>4.3476039999999996</v>
      </c>
      <c r="T747" s="69">
        <v>11.5</v>
      </c>
      <c r="U747" s="69">
        <v>2.9</v>
      </c>
      <c r="V747" s="69">
        <v>3.9</v>
      </c>
      <c r="W747" s="69">
        <v>5.9</v>
      </c>
      <c r="X747" s="69">
        <v>9</v>
      </c>
      <c r="Y747" s="69">
        <v>3.426132</v>
      </c>
      <c r="Z747" s="69">
        <v>5.3</v>
      </c>
      <c r="AA747" s="69">
        <v>4.3</v>
      </c>
      <c r="AB747" s="69">
        <v>5.3190410000000004</v>
      </c>
      <c r="AC747" s="69">
        <v>5.0999999999999996</v>
      </c>
      <c r="AD747" s="69">
        <v>10</v>
      </c>
      <c r="AE747" s="69">
        <v>8.6</v>
      </c>
      <c r="AF747" s="69">
        <v>7.4</v>
      </c>
      <c r="AG747" s="69">
        <v>6.9</v>
      </c>
      <c r="AH747" s="69">
        <v>11.7</v>
      </c>
      <c r="AI747" s="69">
        <v>4.5999999999999996</v>
      </c>
      <c r="AJ747" s="69">
        <v>9.4</v>
      </c>
      <c r="AK747" s="69">
        <v>5.1904589999999997</v>
      </c>
      <c r="AL747" s="69"/>
    </row>
    <row r="748" spans="1:38" x14ac:dyDescent="0.2">
      <c r="A748" s="10">
        <v>42795</v>
      </c>
      <c r="B748" s="69">
        <v>5.8415889999999999</v>
      </c>
      <c r="C748" s="69"/>
      <c r="D748" s="69">
        <v>7.7</v>
      </c>
      <c r="E748" s="69">
        <v>6.7</v>
      </c>
      <c r="F748" s="69">
        <v>7.1326010000000002</v>
      </c>
      <c r="G748" s="69">
        <v>3.3</v>
      </c>
      <c r="H748" s="69">
        <v>3.9</v>
      </c>
      <c r="I748" s="69">
        <v>6</v>
      </c>
      <c r="J748" s="69">
        <v>18</v>
      </c>
      <c r="K748" s="69">
        <v>5.5</v>
      </c>
      <c r="L748" s="69">
        <v>8.8000000000000007</v>
      </c>
      <c r="M748" s="69">
        <v>9.5</v>
      </c>
      <c r="N748" s="69">
        <v>4.5402870000000002</v>
      </c>
      <c r="O748" s="69">
        <v>22.3</v>
      </c>
      <c r="P748" s="69">
        <v>4.5999999999999996</v>
      </c>
      <c r="Q748" s="69">
        <v>7.2</v>
      </c>
      <c r="R748" s="69">
        <v>3.2</v>
      </c>
      <c r="S748" s="69">
        <v>4.4607210000000004</v>
      </c>
      <c r="T748" s="69">
        <v>11.7</v>
      </c>
      <c r="U748" s="69">
        <v>2.8</v>
      </c>
      <c r="V748" s="69">
        <v>3.6</v>
      </c>
      <c r="W748" s="69">
        <v>5.7</v>
      </c>
      <c r="X748" s="69">
        <v>8.8000000000000007</v>
      </c>
      <c r="Y748" s="69">
        <v>3.4813610000000001</v>
      </c>
      <c r="Z748" s="69">
        <v>5.0999999999999996</v>
      </c>
      <c r="AA748" s="69">
        <v>4.5</v>
      </c>
      <c r="AB748" s="69">
        <v>5.2455670000000003</v>
      </c>
      <c r="AC748" s="69">
        <v>5</v>
      </c>
      <c r="AD748" s="69">
        <v>9.9</v>
      </c>
      <c r="AE748" s="69">
        <v>8.6</v>
      </c>
      <c r="AF748" s="69">
        <v>7</v>
      </c>
      <c r="AG748" s="69">
        <v>6.4</v>
      </c>
      <c r="AH748" s="69">
        <v>11.5</v>
      </c>
      <c r="AI748" s="69">
        <v>4.4000000000000004</v>
      </c>
      <c r="AJ748" s="69">
        <v>9.4</v>
      </c>
      <c r="AK748" s="69">
        <v>5.1045639999999999</v>
      </c>
      <c r="AL748" s="69"/>
    </row>
    <row r="749" spans="1:38" x14ac:dyDescent="0.2">
      <c r="A749" s="10">
        <v>42826</v>
      </c>
      <c r="B749" s="69">
        <v>5.6112109999999999</v>
      </c>
      <c r="C749" s="69"/>
      <c r="D749" s="69">
        <v>7.4</v>
      </c>
      <c r="E749" s="69">
        <v>6.5</v>
      </c>
      <c r="F749" s="69">
        <v>7.0836740000000002</v>
      </c>
      <c r="G749" s="69">
        <v>3.3</v>
      </c>
      <c r="H749" s="69">
        <v>3.8</v>
      </c>
      <c r="I749" s="69">
        <v>5.8</v>
      </c>
      <c r="J749" s="69">
        <v>17.600000000000001</v>
      </c>
      <c r="K749" s="69">
        <v>6.2</v>
      </c>
      <c r="L749" s="69">
        <v>9.4</v>
      </c>
      <c r="M749" s="69">
        <v>9.5</v>
      </c>
      <c r="N749" s="69">
        <v>4.4453719999999999</v>
      </c>
      <c r="O749" s="69">
        <v>21.4</v>
      </c>
      <c r="P749" s="69">
        <v>4.4000000000000004</v>
      </c>
      <c r="Q749" s="69">
        <v>6.9</v>
      </c>
      <c r="R749" s="69">
        <v>3.2</v>
      </c>
      <c r="S749" s="69">
        <v>4.4352159999999996</v>
      </c>
      <c r="T749" s="69">
        <v>11.2</v>
      </c>
      <c r="U749" s="69">
        <v>2.8</v>
      </c>
      <c r="V749" s="69">
        <v>3.8</v>
      </c>
      <c r="W749" s="69">
        <v>5.6</v>
      </c>
      <c r="X749" s="69">
        <v>8.8000000000000007</v>
      </c>
      <c r="Y749" s="69">
        <v>3.5367649999999999</v>
      </c>
      <c r="Z749" s="69">
        <v>5.0999999999999996</v>
      </c>
      <c r="AA749" s="69">
        <v>4.5</v>
      </c>
      <c r="AB749" s="69">
        <v>5.3113060000000001</v>
      </c>
      <c r="AC749" s="69">
        <v>5.0999999999999996</v>
      </c>
      <c r="AD749" s="69">
        <v>9.6999999999999993</v>
      </c>
      <c r="AE749" s="69">
        <v>8.5</v>
      </c>
      <c r="AF749" s="69">
        <v>6.7</v>
      </c>
      <c r="AG749" s="69">
        <v>6.8</v>
      </c>
      <c r="AH749" s="69">
        <v>11.2</v>
      </c>
      <c r="AI749" s="69">
        <v>4.5</v>
      </c>
      <c r="AJ749" s="69">
        <v>9.1999999999999993</v>
      </c>
      <c r="AK749" s="69">
        <v>5.055021</v>
      </c>
      <c r="AL749" s="69"/>
    </row>
    <row r="750" spans="1:38" x14ac:dyDescent="0.2">
      <c r="A750" s="10">
        <v>42856</v>
      </c>
      <c r="B750" s="69">
        <v>5.553464</v>
      </c>
      <c r="C750" s="69"/>
      <c r="D750" s="69">
        <v>7.2</v>
      </c>
      <c r="E750" s="69">
        <v>6.6</v>
      </c>
      <c r="F750" s="69">
        <v>7.0195470000000002</v>
      </c>
      <c r="G750" s="69">
        <v>2.9</v>
      </c>
      <c r="H750" s="69">
        <v>3.8</v>
      </c>
      <c r="I750" s="69">
        <v>5.9</v>
      </c>
      <c r="J750" s="69">
        <v>17.399999999999999</v>
      </c>
      <c r="K750" s="69">
        <v>6.9</v>
      </c>
      <c r="L750" s="69">
        <v>8.9</v>
      </c>
      <c r="M750" s="69">
        <v>9.5</v>
      </c>
      <c r="N750" s="69">
        <v>4.4254020000000001</v>
      </c>
      <c r="O750" s="69">
        <v>21.9</v>
      </c>
      <c r="P750" s="69">
        <v>4.0999999999999996</v>
      </c>
      <c r="Q750" s="69">
        <v>6.6</v>
      </c>
      <c r="R750" s="69">
        <v>3.2</v>
      </c>
      <c r="S750" s="69">
        <v>4.5038169999999997</v>
      </c>
      <c r="T750" s="69">
        <v>11.5</v>
      </c>
      <c r="U750" s="69">
        <v>3</v>
      </c>
      <c r="V750" s="69">
        <v>3.4</v>
      </c>
      <c r="W750" s="69">
        <v>5.5</v>
      </c>
      <c r="X750" s="69">
        <v>8.9</v>
      </c>
      <c r="Y750" s="69">
        <v>3.6188470000000001</v>
      </c>
      <c r="Z750" s="69">
        <v>5.0999999999999996</v>
      </c>
      <c r="AA750" s="69">
        <v>4.5</v>
      </c>
      <c r="AB750" s="69">
        <v>5.2433370000000004</v>
      </c>
      <c r="AC750" s="69">
        <v>5.0999999999999996</v>
      </c>
      <c r="AD750" s="69">
        <v>9.5</v>
      </c>
      <c r="AE750" s="69">
        <v>8.4</v>
      </c>
      <c r="AF750" s="69">
        <v>6.6</v>
      </c>
      <c r="AG750" s="69">
        <v>6.7</v>
      </c>
      <c r="AH750" s="69">
        <v>11.1</v>
      </c>
      <c r="AI750" s="69">
        <v>4.4000000000000004</v>
      </c>
      <c r="AJ750" s="69">
        <v>9.1999999999999993</v>
      </c>
      <c r="AK750" s="69">
        <v>5.0842770000000002</v>
      </c>
      <c r="AL750" s="69"/>
    </row>
    <row r="751" spans="1:38" x14ac:dyDescent="0.2">
      <c r="A751" s="10">
        <v>42887</v>
      </c>
      <c r="B751" s="69">
        <v>5.5982960000000004</v>
      </c>
      <c r="C751" s="69"/>
      <c r="D751" s="69">
        <v>7.1</v>
      </c>
      <c r="E751" s="69">
        <v>6.5</v>
      </c>
      <c r="F751" s="69">
        <v>6.8133480000000004</v>
      </c>
      <c r="G751" s="69">
        <v>2.9</v>
      </c>
      <c r="H751" s="69">
        <v>3.8</v>
      </c>
      <c r="I751" s="69">
        <v>5.9</v>
      </c>
      <c r="J751" s="69">
        <v>17.100000000000001</v>
      </c>
      <c r="K751" s="69">
        <v>6.4</v>
      </c>
      <c r="L751" s="69">
        <v>8.8000000000000007</v>
      </c>
      <c r="M751" s="69">
        <v>9.5</v>
      </c>
      <c r="N751" s="69">
        <v>4.3376950000000001</v>
      </c>
      <c r="O751" s="69">
        <v>21.6</v>
      </c>
      <c r="P751" s="69">
        <v>4.2</v>
      </c>
      <c r="Q751" s="69">
        <v>6.6</v>
      </c>
      <c r="R751" s="69">
        <v>3.2</v>
      </c>
      <c r="S751" s="69">
        <v>4.2811209999999997</v>
      </c>
      <c r="T751" s="69">
        <v>11.2</v>
      </c>
      <c r="U751" s="69">
        <v>2.8</v>
      </c>
      <c r="V751" s="69">
        <v>3.7</v>
      </c>
      <c r="W751" s="69">
        <v>5.5</v>
      </c>
      <c r="X751" s="69">
        <v>8.9</v>
      </c>
      <c r="Y751" s="69">
        <v>3.2606700000000002</v>
      </c>
      <c r="Z751" s="69">
        <v>4.9000000000000004</v>
      </c>
      <c r="AA751" s="69">
        <v>4.3</v>
      </c>
      <c r="AB751" s="69">
        <v>5.5269680000000001</v>
      </c>
      <c r="AC751" s="69">
        <v>5</v>
      </c>
      <c r="AD751" s="69">
        <v>9.4</v>
      </c>
      <c r="AE751" s="69">
        <v>8</v>
      </c>
      <c r="AF751" s="69">
        <v>6.6</v>
      </c>
      <c r="AG751" s="69">
        <v>6.6</v>
      </c>
      <c r="AH751" s="69">
        <v>10.9</v>
      </c>
      <c r="AI751" s="69">
        <v>4.3</v>
      </c>
      <c r="AJ751" s="69">
        <v>9.1</v>
      </c>
      <c r="AK751" s="69">
        <v>4.9679380000000002</v>
      </c>
      <c r="AL751" s="69"/>
    </row>
    <row r="752" spans="1:38" x14ac:dyDescent="0.2">
      <c r="A752" s="10">
        <v>42917</v>
      </c>
      <c r="B752" s="69">
        <v>5.5851220000000001</v>
      </c>
      <c r="C752" s="69"/>
      <c r="D752" s="69">
        <v>7.2</v>
      </c>
      <c r="E752" s="69">
        <v>6.3</v>
      </c>
      <c r="F752" s="69">
        <v>6.5818310000000002</v>
      </c>
      <c r="G752" s="69">
        <v>2.8</v>
      </c>
      <c r="H752" s="69">
        <v>3.7</v>
      </c>
      <c r="I752" s="69">
        <v>5.9</v>
      </c>
      <c r="J752" s="69">
        <v>16.899999999999999</v>
      </c>
      <c r="K752" s="69">
        <v>5.8</v>
      </c>
      <c r="L752" s="69">
        <v>8.4</v>
      </c>
      <c r="M752" s="69">
        <v>9.6</v>
      </c>
      <c r="N752" s="69">
        <v>4.3280399999999997</v>
      </c>
      <c r="O752" s="69">
        <v>20.9</v>
      </c>
      <c r="P752" s="69">
        <v>4.0999999999999996</v>
      </c>
      <c r="Q752" s="69">
        <v>6.6</v>
      </c>
      <c r="R752" s="69">
        <v>3.2</v>
      </c>
      <c r="S752" s="69">
        <v>3.879486</v>
      </c>
      <c r="T752" s="69">
        <v>11.4</v>
      </c>
      <c r="U752" s="69">
        <v>2.8</v>
      </c>
      <c r="V752" s="69">
        <v>3.5</v>
      </c>
      <c r="W752" s="69">
        <v>5.6</v>
      </c>
      <c r="X752" s="69">
        <v>8.8000000000000007</v>
      </c>
      <c r="Y752" s="69">
        <v>3.2257220000000002</v>
      </c>
      <c r="Z752" s="69">
        <v>4.8</v>
      </c>
      <c r="AA752" s="69">
        <v>4.2</v>
      </c>
      <c r="AB752" s="69">
        <v>8.7934070000000002</v>
      </c>
      <c r="AC752" s="69">
        <v>4.9000000000000004</v>
      </c>
      <c r="AD752" s="69">
        <v>9.1999999999999993</v>
      </c>
      <c r="AE752" s="69">
        <v>8</v>
      </c>
      <c r="AF752" s="69">
        <v>6.5</v>
      </c>
      <c r="AG752" s="69">
        <v>6.9</v>
      </c>
      <c r="AH752" s="69">
        <v>11</v>
      </c>
      <c r="AI752" s="69">
        <v>4.3</v>
      </c>
      <c r="AJ752" s="69">
        <v>9.1</v>
      </c>
      <c r="AK752" s="69">
        <v>4.9563110000000004</v>
      </c>
      <c r="AL752" s="69"/>
    </row>
    <row r="753" spans="1:38" x14ac:dyDescent="0.2">
      <c r="A753" s="10">
        <v>42948</v>
      </c>
      <c r="B753" s="69">
        <v>5.5061140000000002</v>
      </c>
      <c r="C753" s="69"/>
      <c r="D753" s="69">
        <v>7.2</v>
      </c>
      <c r="E753" s="69">
        <v>6.2</v>
      </c>
      <c r="F753" s="69">
        <v>6.7707879999999996</v>
      </c>
      <c r="G753" s="69">
        <v>2.7</v>
      </c>
      <c r="H753" s="69">
        <v>3.7</v>
      </c>
      <c r="I753" s="69">
        <v>5.9</v>
      </c>
      <c r="J753" s="69">
        <v>16.8</v>
      </c>
      <c r="K753" s="69">
        <v>5.2</v>
      </c>
      <c r="L753" s="69">
        <v>8.6</v>
      </c>
      <c r="M753" s="69">
        <v>9.6</v>
      </c>
      <c r="N753" s="69">
        <v>4.2668150000000002</v>
      </c>
      <c r="O753" s="69">
        <v>20.9</v>
      </c>
      <c r="P753" s="69">
        <v>3.9</v>
      </c>
      <c r="Q753" s="69">
        <v>6.6</v>
      </c>
      <c r="R753" s="69">
        <v>3.3</v>
      </c>
      <c r="S753" s="69">
        <v>4.1170920000000004</v>
      </c>
      <c r="T753" s="69">
        <v>11.4</v>
      </c>
      <c r="U753" s="69">
        <v>2.8</v>
      </c>
      <c r="V753" s="69">
        <v>3.8</v>
      </c>
      <c r="W753" s="69">
        <v>5.5</v>
      </c>
      <c r="X753" s="69">
        <v>8.6999999999999993</v>
      </c>
      <c r="Y753" s="69">
        <v>3.2980079999999998</v>
      </c>
      <c r="Z753" s="69">
        <v>4.7</v>
      </c>
      <c r="AA753" s="69">
        <v>4.0999999999999996</v>
      </c>
      <c r="AB753" s="69">
        <v>8.6380049999999997</v>
      </c>
      <c r="AC753" s="69">
        <v>4.8</v>
      </c>
      <c r="AD753" s="69">
        <v>9</v>
      </c>
      <c r="AE753" s="69">
        <v>7.9</v>
      </c>
      <c r="AF753" s="69">
        <v>6.5</v>
      </c>
      <c r="AG753" s="69">
        <v>6.4</v>
      </c>
      <c r="AH753" s="69">
        <v>10.6</v>
      </c>
      <c r="AI753" s="69">
        <v>4.4000000000000004</v>
      </c>
      <c r="AJ753" s="69">
        <v>9</v>
      </c>
      <c r="AK753" s="69">
        <v>4.9916410000000004</v>
      </c>
      <c r="AL753" s="69"/>
    </row>
    <row r="754" spans="1:38" x14ac:dyDescent="0.2">
      <c r="A754" s="10">
        <v>42979</v>
      </c>
      <c r="B754" s="69">
        <v>5.447813</v>
      </c>
      <c r="C754" s="69"/>
      <c r="D754" s="69">
        <v>6.9</v>
      </c>
      <c r="E754" s="69">
        <v>6.2</v>
      </c>
      <c r="F754" s="69">
        <v>6.9373399999999998</v>
      </c>
      <c r="G754" s="69">
        <v>2.7</v>
      </c>
      <c r="H754" s="69">
        <v>3.7</v>
      </c>
      <c r="I754" s="69">
        <v>5.7</v>
      </c>
      <c r="J754" s="69">
        <v>16.7</v>
      </c>
      <c r="K754" s="69">
        <v>5.7</v>
      </c>
      <c r="L754" s="69">
        <v>8.9</v>
      </c>
      <c r="M754" s="69">
        <v>9.4</v>
      </c>
      <c r="N754" s="69">
        <v>4.2433370000000004</v>
      </c>
      <c r="O754" s="69">
        <v>21</v>
      </c>
      <c r="P754" s="69">
        <v>3.7</v>
      </c>
      <c r="Q754" s="69">
        <v>6.6</v>
      </c>
      <c r="R754" s="69">
        <v>3.3</v>
      </c>
      <c r="S754" s="69">
        <v>3.993719</v>
      </c>
      <c r="T754" s="69">
        <v>11.2</v>
      </c>
      <c r="U754" s="69">
        <v>2.8</v>
      </c>
      <c r="V754" s="69">
        <v>3.7</v>
      </c>
      <c r="W754" s="69">
        <v>5.5</v>
      </c>
      <c r="X754" s="69">
        <v>8.5</v>
      </c>
      <c r="Y754" s="69">
        <v>3.3380519999999998</v>
      </c>
      <c r="Z754" s="69">
        <v>4.7</v>
      </c>
      <c r="AA754" s="69">
        <v>4</v>
      </c>
      <c r="AB754" s="69">
        <v>8.2969740000000005</v>
      </c>
      <c r="AC754" s="69">
        <v>4.8</v>
      </c>
      <c r="AD754" s="69">
        <v>8.8000000000000007</v>
      </c>
      <c r="AE754" s="69">
        <v>7.8</v>
      </c>
      <c r="AF754" s="69">
        <v>6.3</v>
      </c>
      <c r="AG754" s="69">
        <v>6.8</v>
      </c>
      <c r="AH754" s="69">
        <v>10.6</v>
      </c>
      <c r="AI754" s="69">
        <v>4.2</v>
      </c>
      <c r="AJ754" s="69">
        <v>8.9</v>
      </c>
      <c r="AK754" s="69">
        <v>4.8991889999999998</v>
      </c>
      <c r="AL754" s="69"/>
    </row>
    <row r="755" spans="1:38" x14ac:dyDescent="0.2">
      <c r="A755" s="10">
        <v>43009</v>
      </c>
      <c r="B755" s="69">
        <v>5.3683699999999996</v>
      </c>
      <c r="C755" s="69"/>
      <c r="D755" s="69">
        <v>6.7</v>
      </c>
      <c r="E755" s="69">
        <v>6.3</v>
      </c>
      <c r="F755" s="69">
        <v>6.9656479999999998</v>
      </c>
      <c r="G755" s="69">
        <v>2.6</v>
      </c>
      <c r="H755" s="69">
        <v>3.7</v>
      </c>
      <c r="I755" s="69">
        <v>5.6</v>
      </c>
      <c r="J755" s="69">
        <v>16.7</v>
      </c>
      <c r="K755" s="69">
        <v>5.3</v>
      </c>
      <c r="L755" s="69">
        <v>8</v>
      </c>
      <c r="M755" s="69">
        <v>9.1999999999999993</v>
      </c>
      <c r="N755" s="69">
        <v>4.2718559999999997</v>
      </c>
      <c r="O755" s="69">
        <v>21</v>
      </c>
      <c r="P755" s="69">
        <v>3.8</v>
      </c>
      <c r="Q755" s="69">
        <v>6.4</v>
      </c>
      <c r="R755" s="69">
        <v>3.3</v>
      </c>
      <c r="S755" s="69">
        <v>4.1347690000000004</v>
      </c>
      <c r="T755" s="69">
        <v>11.1</v>
      </c>
      <c r="U755" s="69">
        <v>2.7</v>
      </c>
      <c r="V755" s="69">
        <v>3.7</v>
      </c>
      <c r="W755" s="69">
        <v>5.4</v>
      </c>
      <c r="X755" s="69">
        <v>8.4</v>
      </c>
      <c r="Y755" s="69">
        <v>3.440833</v>
      </c>
      <c r="Z755" s="69">
        <v>4.5</v>
      </c>
      <c r="AA755" s="69">
        <v>3.9</v>
      </c>
      <c r="AB755" s="69">
        <v>8.0877949999999998</v>
      </c>
      <c r="AC755" s="69">
        <v>4.5999999999999996</v>
      </c>
      <c r="AD755" s="69">
        <v>8.6</v>
      </c>
      <c r="AE755" s="69">
        <v>7.7</v>
      </c>
      <c r="AF755" s="69">
        <v>6.1</v>
      </c>
      <c r="AG755" s="69">
        <v>6.8</v>
      </c>
      <c r="AH755" s="69">
        <v>10.4</v>
      </c>
      <c r="AI755" s="69">
        <v>4.0999999999999996</v>
      </c>
      <c r="AJ755" s="69">
        <v>8.8000000000000007</v>
      </c>
      <c r="AK755" s="69">
        <v>4.8290129999999998</v>
      </c>
      <c r="AL755" s="69"/>
    </row>
    <row r="756" spans="1:38" x14ac:dyDescent="0.2">
      <c r="A756" s="10">
        <v>43040</v>
      </c>
      <c r="B756" s="69">
        <v>5.4138299999999999</v>
      </c>
      <c r="C756" s="69"/>
      <c r="D756" s="69">
        <v>6.4</v>
      </c>
      <c r="E756" s="69">
        <v>6</v>
      </c>
      <c r="F756" s="69">
        <v>7.010688</v>
      </c>
      <c r="G756" s="69">
        <v>2.4</v>
      </c>
      <c r="H756" s="69">
        <v>3.6</v>
      </c>
      <c r="I756" s="69">
        <v>5.4</v>
      </c>
      <c r="J756" s="69">
        <v>16.600000000000001</v>
      </c>
      <c r="K756" s="69">
        <v>5.4</v>
      </c>
      <c r="L756" s="69">
        <v>8.1999999999999993</v>
      </c>
      <c r="M756" s="69">
        <v>9</v>
      </c>
      <c r="N756" s="69">
        <v>4.3522169999999996</v>
      </c>
      <c r="O756" s="69">
        <v>21</v>
      </c>
      <c r="P756" s="69">
        <v>3.6</v>
      </c>
      <c r="Q756" s="69">
        <v>6.3</v>
      </c>
      <c r="R756" s="69">
        <v>3.3</v>
      </c>
      <c r="S756" s="69">
        <v>4.0494729999999999</v>
      </c>
      <c r="T756" s="69">
        <v>11</v>
      </c>
      <c r="U756" s="69">
        <v>2.7</v>
      </c>
      <c r="V756" s="69">
        <v>3.7</v>
      </c>
      <c r="W756" s="69">
        <v>5.4</v>
      </c>
      <c r="X756" s="69">
        <v>8.3000000000000007</v>
      </c>
      <c r="Y756" s="69">
        <v>3.5033910000000001</v>
      </c>
      <c r="Z756" s="69">
        <v>4.4000000000000004</v>
      </c>
      <c r="AA756" s="69">
        <v>4</v>
      </c>
      <c r="AB756" s="69">
        <v>7.5594390000000002</v>
      </c>
      <c r="AC756" s="69">
        <v>4.5</v>
      </c>
      <c r="AD756" s="69">
        <v>8.1999999999999993</v>
      </c>
      <c r="AE756" s="69">
        <v>7.6</v>
      </c>
      <c r="AF756" s="69">
        <v>5.9</v>
      </c>
      <c r="AG756" s="69">
        <v>6.4</v>
      </c>
      <c r="AH756" s="69">
        <v>10.199999999999999</v>
      </c>
      <c r="AI756" s="69">
        <v>4.2</v>
      </c>
      <c r="AJ756" s="69">
        <v>8.6999999999999993</v>
      </c>
      <c r="AK756" s="69">
        <v>4.8198189999999999</v>
      </c>
      <c r="AL756" s="69"/>
    </row>
    <row r="757" spans="1:38" x14ac:dyDescent="0.2">
      <c r="A757" s="10">
        <v>43070</v>
      </c>
      <c r="B757" s="69">
        <v>5.609648</v>
      </c>
      <c r="C757" s="69"/>
      <c r="D757" s="69">
        <v>6.2</v>
      </c>
      <c r="E757" s="69">
        <v>5.9</v>
      </c>
      <c r="F757" s="69">
        <v>7.223312</v>
      </c>
      <c r="G757" s="69">
        <v>2.2999999999999998</v>
      </c>
      <c r="H757" s="69">
        <v>3.6</v>
      </c>
      <c r="I757" s="69">
        <v>5.4</v>
      </c>
      <c r="J757" s="69">
        <v>16.5</v>
      </c>
      <c r="K757" s="69">
        <v>5.6</v>
      </c>
      <c r="L757" s="69">
        <v>8.8000000000000007</v>
      </c>
      <c r="M757" s="69">
        <v>9</v>
      </c>
      <c r="N757" s="69">
        <v>4.3060479999999997</v>
      </c>
      <c r="O757" s="69">
        <v>21</v>
      </c>
      <c r="P757" s="69">
        <v>3.6</v>
      </c>
      <c r="Q757" s="69">
        <v>6.2</v>
      </c>
      <c r="R757" s="69">
        <v>3.3</v>
      </c>
      <c r="S757" s="69">
        <v>4.0612089999999998</v>
      </c>
      <c r="T757" s="69">
        <v>10.9</v>
      </c>
      <c r="U757" s="69">
        <v>2.7</v>
      </c>
      <c r="V757" s="69">
        <v>3.7</v>
      </c>
      <c r="W757" s="69">
        <v>5.6</v>
      </c>
      <c r="X757" s="69">
        <v>8.1</v>
      </c>
      <c r="Y757" s="69">
        <v>3.434097</v>
      </c>
      <c r="Z757" s="69">
        <v>4.4000000000000004</v>
      </c>
      <c r="AA757" s="69">
        <v>4</v>
      </c>
      <c r="AB757" s="69">
        <v>7.3404860000000003</v>
      </c>
      <c r="AC757" s="69">
        <v>4.3</v>
      </c>
      <c r="AD757" s="69">
        <v>8</v>
      </c>
      <c r="AE757" s="69">
        <v>7.5</v>
      </c>
      <c r="AF757" s="69">
        <v>5.8</v>
      </c>
      <c r="AG757" s="69">
        <v>6.6</v>
      </c>
      <c r="AH757" s="69">
        <v>9.9</v>
      </c>
      <c r="AI757" s="69">
        <v>4.0999999999999996</v>
      </c>
      <c r="AJ757" s="69">
        <v>8.6999999999999993</v>
      </c>
      <c r="AK757" s="69">
        <v>4.7709080000000004</v>
      </c>
      <c r="AL757" s="69"/>
    </row>
    <row r="758" spans="1:38" x14ac:dyDescent="0.2">
      <c r="A758" s="10">
        <v>43101</v>
      </c>
      <c r="B758" s="69">
        <v>5.5010849999999998</v>
      </c>
      <c r="C758" s="69"/>
      <c r="D758" s="69">
        <v>6.1</v>
      </c>
      <c r="E758" s="69">
        <v>6</v>
      </c>
      <c r="F758" s="69">
        <v>7.2913899999999998</v>
      </c>
      <c r="G758" s="69">
        <v>2.6</v>
      </c>
      <c r="H758" s="69">
        <v>3.6</v>
      </c>
      <c r="I758" s="69">
        <v>5.2</v>
      </c>
      <c r="J758" s="69">
        <v>16.399999999999999</v>
      </c>
      <c r="K758" s="69">
        <v>7.1</v>
      </c>
      <c r="L758" s="69">
        <v>8.5</v>
      </c>
      <c r="M758" s="69">
        <v>9.1999999999999993</v>
      </c>
      <c r="N758" s="69">
        <v>4.2130970000000003</v>
      </c>
      <c r="O758" s="69">
        <v>20.3</v>
      </c>
      <c r="P758" s="69">
        <v>3.7</v>
      </c>
      <c r="Q758" s="69">
        <v>6.1</v>
      </c>
      <c r="R758" s="69">
        <v>3.3</v>
      </c>
      <c r="S758" s="69">
        <v>3.6498840000000001</v>
      </c>
      <c r="T758" s="69">
        <v>11.1</v>
      </c>
      <c r="U758" s="69">
        <v>2.4</v>
      </c>
      <c r="V758" s="69">
        <v>3.6</v>
      </c>
      <c r="W758" s="69">
        <v>5.4</v>
      </c>
      <c r="X758" s="69">
        <v>8</v>
      </c>
      <c r="Y758" s="69">
        <v>3.2660209999999998</v>
      </c>
      <c r="Z758" s="69">
        <v>4.2</v>
      </c>
      <c r="AA758" s="69">
        <v>4</v>
      </c>
      <c r="AB758" s="69">
        <v>7.0494940000000001</v>
      </c>
      <c r="AC758" s="69">
        <v>4.0999999999999996</v>
      </c>
      <c r="AD758" s="69">
        <v>8</v>
      </c>
      <c r="AE758" s="69">
        <v>7.3</v>
      </c>
      <c r="AF758" s="69">
        <v>5.6</v>
      </c>
      <c r="AG758" s="69">
        <v>6.6</v>
      </c>
      <c r="AH758" s="69">
        <v>9.9</v>
      </c>
      <c r="AI758" s="69">
        <v>4</v>
      </c>
      <c r="AJ758" s="69">
        <v>8.6</v>
      </c>
      <c r="AK758" s="69">
        <v>4.6922819999999996</v>
      </c>
      <c r="AL758" s="69"/>
    </row>
    <row r="759" spans="1:38" x14ac:dyDescent="0.2">
      <c r="A759" s="10">
        <v>43132</v>
      </c>
      <c r="B759" s="69">
        <v>5.5593389999999996</v>
      </c>
      <c r="C759" s="69"/>
      <c r="D759" s="69">
        <v>6.1</v>
      </c>
      <c r="E759" s="69">
        <v>5.9</v>
      </c>
      <c r="F759" s="69">
        <v>7.3791070000000003</v>
      </c>
      <c r="G759" s="69">
        <v>2.2999999999999998</v>
      </c>
      <c r="H759" s="69">
        <v>3.5</v>
      </c>
      <c r="I759" s="69">
        <v>5.3</v>
      </c>
      <c r="J759" s="69">
        <v>16.2</v>
      </c>
      <c r="K759" s="69">
        <v>7.1</v>
      </c>
      <c r="L759" s="69">
        <v>8.4</v>
      </c>
      <c r="M759" s="69">
        <v>9.1999999999999993</v>
      </c>
      <c r="N759" s="69">
        <v>4.198035</v>
      </c>
      <c r="O759" s="69">
        <v>20.5</v>
      </c>
      <c r="P759" s="69">
        <v>3.8</v>
      </c>
      <c r="Q759" s="69">
        <v>6</v>
      </c>
      <c r="R759" s="69">
        <v>3.2</v>
      </c>
      <c r="S759" s="69">
        <v>3.8807770000000001</v>
      </c>
      <c r="T759" s="69">
        <v>10.8</v>
      </c>
      <c r="U759" s="69">
        <v>2.5</v>
      </c>
      <c r="V759" s="69">
        <v>3.7</v>
      </c>
      <c r="W759" s="69">
        <v>5.5</v>
      </c>
      <c r="X759" s="69">
        <v>7.8</v>
      </c>
      <c r="Y759" s="69">
        <v>3.2528359999999998</v>
      </c>
      <c r="Z759" s="69">
        <v>4.0999999999999996</v>
      </c>
      <c r="AA759" s="69">
        <v>3.9</v>
      </c>
      <c r="AB759" s="69">
        <v>6.8788600000000004</v>
      </c>
      <c r="AC759" s="69">
        <v>3.9</v>
      </c>
      <c r="AD759" s="69">
        <v>7.7</v>
      </c>
      <c r="AE759" s="69">
        <v>7.1</v>
      </c>
      <c r="AF759" s="69">
        <v>5.6</v>
      </c>
      <c r="AG759" s="69">
        <v>5.7</v>
      </c>
      <c r="AH759" s="69">
        <v>9.8000000000000007</v>
      </c>
      <c r="AI759" s="69">
        <v>4.0999999999999996</v>
      </c>
      <c r="AJ759" s="69">
        <v>8.5</v>
      </c>
      <c r="AK759" s="69">
        <v>4.6944999999999997</v>
      </c>
      <c r="AL759" s="69"/>
    </row>
    <row r="760" spans="1:38" x14ac:dyDescent="0.2">
      <c r="A760" s="10">
        <v>43160</v>
      </c>
      <c r="B760" s="69">
        <v>5.5051050000000004</v>
      </c>
      <c r="C760" s="69"/>
      <c r="D760" s="69">
        <v>6.1</v>
      </c>
      <c r="E760" s="69">
        <v>5.9</v>
      </c>
      <c r="F760" s="69">
        <v>7.0531319999999997</v>
      </c>
      <c r="G760" s="69">
        <v>2.1</v>
      </c>
      <c r="H760" s="69">
        <v>3.5</v>
      </c>
      <c r="I760" s="69">
        <v>5.0999999999999996</v>
      </c>
      <c r="J760" s="69">
        <v>15.9</v>
      </c>
      <c r="K760" s="69">
        <v>6.1</v>
      </c>
      <c r="L760" s="69">
        <v>8.3000000000000007</v>
      </c>
      <c r="M760" s="69">
        <v>9.1999999999999993</v>
      </c>
      <c r="N760" s="69">
        <v>4.1889440000000002</v>
      </c>
      <c r="O760" s="69">
        <v>20.2</v>
      </c>
      <c r="P760" s="69">
        <v>3.5</v>
      </c>
      <c r="Q760" s="69">
        <v>5.9</v>
      </c>
      <c r="R760" s="69">
        <v>3.2</v>
      </c>
      <c r="S760" s="69">
        <v>3.815957</v>
      </c>
      <c r="T760" s="69">
        <v>11</v>
      </c>
      <c r="U760" s="69">
        <v>2.5</v>
      </c>
      <c r="V760" s="69">
        <v>4</v>
      </c>
      <c r="W760" s="69">
        <v>5.6</v>
      </c>
      <c r="X760" s="69">
        <v>7.7</v>
      </c>
      <c r="Y760" s="69">
        <v>3.21156</v>
      </c>
      <c r="Z760" s="69">
        <v>3.9</v>
      </c>
      <c r="AA760" s="69">
        <v>3.9</v>
      </c>
      <c r="AB760" s="69">
        <v>6.816249</v>
      </c>
      <c r="AC760" s="69">
        <v>3.8</v>
      </c>
      <c r="AD760" s="69">
        <v>7.6</v>
      </c>
      <c r="AE760" s="69">
        <v>7</v>
      </c>
      <c r="AF760" s="69">
        <v>5.5</v>
      </c>
      <c r="AG760" s="69">
        <v>6.1</v>
      </c>
      <c r="AH760" s="69">
        <v>9.9</v>
      </c>
      <c r="AI760" s="69">
        <v>4</v>
      </c>
      <c r="AJ760" s="69">
        <v>8.5</v>
      </c>
      <c r="AK760" s="69">
        <v>4.6711239999999998</v>
      </c>
      <c r="AL760" s="69"/>
    </row>
    <row r="761" spans="1:38" x14ac:dyDescent="0.2">
      <c r="A761" s="10">
        <v>43191</v>
      </c>
      <c r="B761" s="69">
        <v>5.5342669999999998</v>
      </c>
      <c r="C761" s="69"/>
      <c r="D761" s="69">
        <v>6.3</v>
      </c>
      <c r="E761" s="69">
        <v>5.9</v>
      </c>
      <c r="F761" s="69">
        <v>7.1507870000000002</v>
      </c>
      <c r="G761" s="69">
        <v>2.2999999999999998</v>
      </c>
      <c r="H761" s="69">
        <v>3.4</v>
      </c>
      <c r="I761" s="69">
        <v>5.4</v>
      </c>
      <c r="J761" s="69">
        <v>15.7</v>
      </c>
      <c r="K761" s="69">
        <v>5.4</v>
      </c>
      <c r="L761" s="69">
        <v>7.6</v>
      </c>
      <c r="M761" s="69">
        <v>9.1</v>
      </c>
      <c r="N761" s="69">
        <v>4.1653599999999997</v>
      </c>
      <c r="O761" s="69">
        <v>19.899999999999999</v>
      </c>
      <c r="P761" s="69">
        <v>3.7</v>
      </c>
      <c r="Q761" s="69">
        <v>6</v>
      </c>
      <c r="R761" s="69">
        <v>3.2</v>
      </c>
      <c r="S761" s="69">
        <v>3.9623400000000002</v>
      </c>
      <c r="T761" s="69">
        <v>11.1</v>
      </c>
      <c r="U761" s="69">
        <v>2.5</v>
      </c>
      <c r="V761" s="69">
        <v>3.8</v>
      </c>
      <c r="W761" s="69">
        <v>5.5</v>
      </c>
      <c r="X761" s="69">
        <v>7.7</v>
      </c>
      <c r="Y761" s="69">
        <v>3.472232</v>
      </c>
      <c r="Z761" s="69">
        <v>3.9</v>
      </c>
      <c r="AA761" s="69">
        <v>3.8</v>
      </c>
      <c r="AB761" s="69">
        <v>6.7662319999999996</v>
      </c>
      <c r="AC761" s="69">
        <v>3.7</v>
      </c>
      <c r="AD761" s="69">
        <v>7.3</v>
      </c>
      <c r="AE761" s="69">
        <v>6.8</v>
      </c>
      <c r="AF761" s="69">
        <v>5.4</v>
      </c>
      <c r="AG761" s="69">
        <v>6.4</v>
      </c>
      <c r="AH761" s="69">
        <v>10.3</v>
      </c>
      <c r="AI761" s="69">
        <v>4</v>
      </c>
      <c r="AJ761" s="69">
        <v>8.4</v>
      </c>
      <c r="AK761" s="69">
        <v>4.6720079999999999</v>
      </c>
      <c r="AL761" s="69"/>
    </row>
    <row r="762" spans="1:38" x14ac:dyDescent="0.2">
      <c r="A762" s="10">
        <v>43221</v>
      </c>
      <c r="B762" s="69">
        <v>5.4064420000000002</v>
      </c>
      <c r="C762" s="69"/>
      <c r="D762" s="69">
        <v>6.3</v>
      </c>
      <c r="E762" s="69">
        <v>6</v>
      </c>
      <c r="F762" s="69">
        <v>7.2295069999999999</v>
      </c>
      <c r="G762" s="69">
        <v>2.2999999999999998</v>
      </c>
      <c r="H762" s="69">
        <v>3.4</v>
      </c>
      <c r="I762" s="69">
        <v>5.2</v>
      </c>
      <c r="J762" s="69">
        <v>15.4</v>
      </c>
      <c r="K762" s="69">
        <v>5.2</v>
      </c>
      <c r="L762" s="69">
        <v>7.4</v>
      </c>
      <c r="M762" s="69">
        <v>9.1</v>
      </c>
      <c r="N762" s="69">
        <v>4.036543</v>
      </c>
      <c r="O762" s="69">
        <v>19.399999999999999</v>
      </c>
      <c r="P762" s="69">
        <v>3.7</v>
      </c>
      <c r="Q762" s="69">
        <v>5.9</v>
      </c>
      <c r="R762" s="69">
        <v>3.2</v>
      </c>
      <c r="S762" s="69">
        <v>3.9844729999999999</v>
      </c>
      <c r="T762" s="69">
        <v>10.6</v>
      </c>
      <c r="U762" s="69">
        <v>2.2000000000000002</v>
      </c>
      <c r="V762" s="69">
        <v>3.8</v>
      </c>
      <c r="W762" s="69">
        <v>5.6</v>
      </c>
      <c r="X762" s="69">
        <v>7.7</v>
      </c>
      <c r="Y762" s="69">
        <v>3.3089339999999998</v>
      </c>
      <c r="Z762" s="69">
        <v>3.9</v>
      </c>
      <c r="AA762" s="69">
        <v>3.9</v>
      </c>
      <c r="AB762" s="69">
        <v>6.6254879999999998</v>
      </c>
      <c r="AC762" s="69">
        <v>3.7</v>
      </c>
      <c r="AD762" s="69">
        <v>7.3</v>
      </c>
      <c r="AE762" s="69">
        <v>6.7</v>
      </c>
      <c r="AF762" s="69">
        <v>5.3</v>
      </c>
      <c r="AG762" s="69">
        <v>5.9</v>
      </c>
      <c r="AH762" s="69">
        <v>10.6</v>
      </c>
      <c r="AI762" s="69">
        <v>3.8</v>
      </c>
      <c r="AJ762" s="69">
        <v>8.3000000000000007</v>
      </c>
      <c r="AK762" s="69">
        <v>4.5008889999999999</v>
      </c>
      <c r="AL762" s="69"/>
    </row>
    <row r="763" spans="1:38" x14ac:dyDescent="0.2">
      <c r="A763" s="10">
        <v>43252</v>
      </c>
      <c r="B763" s="69">
        <v>5.3185799999999999</v>
      </c>
      <c r="C763" s="69"/>
      <c r="D763" s="69">
        <v>6.1</v>
      </c>
      <c r="E763" s="69">
        <v>6.1</v>
      </c>
      <c r="F763" s="69">
        <v>7.4191729999999998</v>
      </c>
      <c r="G763" s="69">
        <v>2.2000000000000002</v>
      </c>
      <c r="H763" s="69">
        <v>3.4</v>
      </c>
      <c r="I763" s="69">
        <v>5.0999999999999996</v>
      </c>
      <c r="J763" s="69">
        <v>15.2</v>
      </c>
      <c r="K763" s="69">
        <v>5.2</v>
      </c>
      <c r="L763" s="69">
        <v>7</v>
      </c>
      <c r="M763" s="69">
        <v>9</v>
      </c>
      <c r="N763" s="69">
        <v>4.0211969999999999</v>
      </c>
      <c r="O763" s="69">
        <v>19.3</v>
      </c>
      <c r="P763" s="69">
        <v>3.3</v>
      </c>
      <c r="Q763" s="69">
        <v>5.8</v>
      </c>
      <c r="R763" s="69">
        <v>3.2</v>
      </c>
      <c r="S763" s="69">
        <v>3.9362249999999999</v>
      </c>
      <c r="T763" s="69">
        <v>10.9</v>
      </c>
      <c r="U763" s="69">
        <v>2.4</v>
      </c>
      <c r="V763" s="69">
        <v>3.6</v>
      </c>
      <c r="W763" s="69">
        <v>5.6</v>
      </c>
      <c r="X763" s="69">
        <v>7.6</v>
      </c>
      <c r="Y763" s="69">
        <v>3.3409710000000001</v>
      </c>
      <c r="Z763" s="69">
        <v>3.9</v>
      </c>
      <c r="AA763" s="69">
        <v>3.9</v>
      </c>
      <c r="AB763" s="69">
        <v>6.4617950000000004</v>
      </c>
      <c r="AC763" s="69">
        <v>3.8</v>
      </c>
      <c r="AD763" s="69">
        <v>7</v>
      </c>
      <c r="AE763" s="69">
        <v>6.6</v>
      </c>
      <c r="AF763" s="69">
        <v>5.3</v>
      </c>
      <c r="AG763" s="69">
        <v>6.5</v>
      </c>
      <c r="AH763" s="69">
        <v>10.9</v>
      </c>
      <c r="AI763" s="69">
        <v>4</v>
      </c>
      <c r="AJ763" s="69">
        <v>8.1999999999999993</v>
      </c>
      <c r="AK763" s="69">
        <v>4.6055960000000002</v>
      </c>
      <c r="AL763" s="69"/>
    </row>
    <row r="764" spans="1:38" x14ac:dyDescent="0.2">
      <c r="A764" s="10">
        <v>43282</v>
      </c>
      <c r="B764" s="69">
        <v>5.2758149999999997</v>
      </c>
      <c r="C764" s="69"/>
      <c r="D764" s="69">
        <v>5.9</v>
      </c>
      <c r="E764" s="69">
        <v>5.8</v>
      </c>
      <c r="F764" s="69">
        <v>7.3666309999999999</v>
      </c>
      <c r="G764" s="69">
        <v>2.2999999999999998</v>
      </c>
      <c r="H764" s="69">
        <v>3.4</v>
      </c>
      <c r="I764" s="69">
        <v>5</v>
      </c>
      <c r="J764" s="69">
        <v>15</v>
      </c>
      <c r="K764" s="69">
        <v>5.3</v>
      </c>
      <c r="L764" s="69">
        <v>7.2</v>
      </c>
      <c r="M764" s="69">
        <v>9</v>
      </c>
      <c r="N764" s="69">
        <v>4.0346690000000001</v>
      </c>
      <c r="O764" s="69">
        <v>19.100000000000001</v>
      </c>
      <c r="P764" s="69">
        <v>3.7</v>
      </c>
      <c r="Q764" s="69">
        <v>5.6</v>
      </c>
      <c r="R764" s="69">
        <v>3.1</v>
      </c>
      <c r="S764" s="69">
        <v>4.1131080000000004</v>
      </c>
      <c r="T764" s="69">
        <v>10.5</v>
      </c>
      <c r="U764" s="69">
        <v>2.5</v>
      </c>
      <c r="V764" s="69">
        <v>3.8</v>
      </c>
      <c r="W764" s="69">
        <v>5.6</v>
      </c>
      <c r="X764" s="69">
        <v>7.3</v>
      </c>
      <c r="Y764" s="69">
        <v>3.2854380000000001</v>
      </c>
      <c r="Z764" s="69">
        <v>3.8</v>
      </c>
      <c r="AA764" s="69">
        <v>4</v>
      </c>
      <c r="AB764" s="69"/>
      <c r="AC764" s="69">
        <v>3.9</v>
      </c>
      <c r="AD764" s="69">
        <v>7</v>
      </c>
      <c r="AE764" s="69">
        <v>6.5</v>
      </c>
      <c r="AF764" s="69">
        <v>5.2</v>
      </c>
      <c r="AG764" s="69">
        <v>6.3</v>
      </c>
      <c r="AH764" s="69">
        <v>11.1</v>
      </c>
      <c r="AI764" s="69">
        <v>3.8</v>
      </c>
      <c r="AJ764" s="69">
        <v>8.1</v>
      </c>
      <c r="AK764" s="69">
        <v>4.4988849999999996</v>
      </c>
      <c r="AL764" s="69"/>
    </row>
    <row r="765" spans="1:38" x14ac:dyDescent="0.2">
      <c r="A765" s="10">
        <v>43313</v>
      </c>
      <c r="B765" s="69">
        <v>5.2571349999999999</v>
      </c>
      <c r="C765" s="69"/>
      <c r="D765" s="69">
        <v>5.7</v>
      </c>
      <c r="E765" s="69">
        <v>6</v>
      </c>
      <c r="F765" s="69">
        <v>7.2451739999999996</v>
      </c>
      <c r="G765" s="69">
        <v>2.4</v>
      </c>
      <c r="H765" s="69">
        <v>3.4</v>
      </c>
      <c r="I765" s="69">
        <v>4.8</v>
      </c>
      <c r="J765" s="69">
        <v>14.9</v>
      </c>
      <c r="K765" s="69">
        <v>5.3</v>
      </c>
      <c r="L765" s="69">
        <v>7.4</v>
      </c>
      <c r="M765" s="69">
        <v>9</v>
      </c>
      <c r="N765" s="69">
        <v>4.0733689999999996</v>
      </c>
      <c r="O765" s="69">
        <v>19</v>
      </c>
      <c r="P765" s="69">
        <v>3.8</v>
      </c>
      <c r="Q765" s="69">
        <v>5.6</v>
      </c>
      <c r="R765" s="69">
        <v>3.1</v>
      </c>
      <c r="S765" s="69">
        <v>3.9656690000000001</v>
      </c>
      <c r="T765" s="69">
        <v>10.199999999999999</v>
      </c>
      <c r="U765" s="69">
        <v>2.5</v>
      </c>
      <c r="V765" s="69">
        <v>4.3</v>
      </c>
      <c r="W765" s="69">
        <v>5.7</v>
      </c>
      <c r="X765" s="69">
        <v>7.1</v>
      </c>
      <c r="Y765" s="69">
        <v>3.2504230000000001</v>
      </c>
      <c r="Z765" s="69">
        <v>3.9</v>
      </c>
      <c r="AA765" s="69">
        <v>4</v>
      </c>
      <c r="AB765" s="69"/>
      <c r="AC765" s="69">
        <v>3.9</v>
      </c>
      <c r="AD765" s="69">
        <v>7.1</v>
      </c>
      <c r="AE765" s="69">
        <v>6.3</v>
      </c>
      <c r="AF765" s="69">
        <v>5.0999999999999996</v>
      </c>
      <c r="AG765" s="69">
        <v>6.3</v>
      </c>
      <c r="AH765" s="69">
        <v>11.2</v>
      </c>
      <c r="AI765" s="69">
        <v>3.8</v>
      </c>
      <c r="AJ765" s="69">
        <v>8</v>
      </c>
      <c r="AK765" s="69">
        <v>4.4964310000000003</v>
      </c>
      <c r="AL765" s="69"/>
    </row>
    <row r="766" spans="1:38" x14ac:dyDescent="0.2">
      <c r="A766" s="10">
        <v>43344</v>
      </c>
      <c r="B766" s="69">
        <v>5.01553</v>
      </c>
      <c r="C766" s="69"/>
      <c r="D766" s="69">
        <v>5.6</v>
      </c>
      <c r="E766" s="69">
        <v>5.9</v>
      </c>
      <c r="F766" s="69">
        <v>7.3655020000000002</v>
      </c>
      <c r="G766" s="69">
        <v>2.2000000000000002</v>
      </c>
      <c r="H766" s="69">
        <v>3.4</v>
      </c>
      <c r="I766" s="69">
        <v>4.9000000000000004</v>
      </c>
      <c r="J766" s="69">
        <v>14.8</v>
      </c>
      <c r="K766" s="69">
        <v>5.5</v>
      </c>
      <c r="L766" s="69">
        <v>7.3</v>
      </c>
      <c r="M766" s="69">
        <v>9</v>
      </c>
      <c r="N766" s="69">
        <v>4.0553179999999998</v>
      </c>
      <c r="O766" s="69">
        <v>18.8</v>
      </c>
      <c r="P766" s="69">
        <v>3.5</v>
      </c>
      <c r="Q766" s="69">
        <v>5.6</v>
      </c>
      <c r="R766" s="69">
        <v>3.1</v>
      </c>
      <c r="S766" s="69">
        <v>4.2098269999999998</v>
      </c>
      <c r="T766" s="69">
        <v>10.4</v>
      </c>
      <c r="U766" s="69">
        <v>2.2999999999999998</v>
      </c>
      <c r="V766" s="69">
        <v>4.0999999999999996</v>
      </c>
      <c r="W766" s="69">
        <v>5.6</v>
      </c>
      <c r="X766" s="69">
        <v>7</v>
      </c>
      <c r="Y766" s="69">
        <v>3.3217560000000002</v>
      </c>
      <c r="Z766" s="69">
        <v>3.7</v>
      </c>
      <c r="AA766" s="69">
        <v>3.9</v>
      </c>
      <c r="AB766" s="69"/>
      <c r="AC766" s="69">
        <v>3.9</v>
      </c>
      <c r="AD766" s="69">
        <v>6.7</v>
      </c>
      <c r="AE766" s="69">
        <v>6.2</v>
      </c>
      <c r="AF766" s="69">
        <v>4.9000000000000004</v>
      </c>
      <c r="AG766" s="69">
        <v>6.5</v>
      </c>
      <c r="AH766" s="69">
        <v>11.5</v>
      </c>
      <c r="AI766" s="69">
        <v>3.7</v>
      </c>
      <c r="AJ766" s="69">
        <v>8</v>
      </c>
      <c r="AK766" s="69">
        <v>4.440817</v>
      </c>
      <c r="AL766" s="69"/>
    </row>
    <row r="767" spans="1:38" x14ac:dyDescent="0.2">
      <c r="A767" s="10">
        <v>43374</v>
      </c>
      <c r="B767" s="69">
        <v>5.0026869999999999</v>
      </c>
      <c r="C767" s="69"/>
      <c r="D767" s="69">
        <v>5.8</v>
      </c>
      <c r="E767" s="69">
        <v>5.9</v>
      </c>
      <c r="F767" s="69">
        <v>7.5951250000000003</v>
      </c>
      <c r="G767" s="69">
        <v>2.1</v>
      </c>
      <c r="H767" s="69">
        <v>3.3</v>
      </c>
      <c r="I767" s="69">
        <v>4.8</v>
      </c>
      <c r="J767" s="69">
        <v>14.6</v>
      </c>
      <c r="K767" s="69">
        <v>5.2</v>
      </c>
      <c r="L767" s="69">
        <v>7.1</v>
      </c>
      <c r="M767" s="69">
        <v>8.9</v>
      </c>
      <c r="N767" s="69">
        <v>4.0390870000000003</v>
      </c>
      <c r="O767" s="69">
        <v>18.600000000000001</v>
      </c>
      <c r="P767" s="69">
        <v>3.5</v>
      </c>
      <c r="Q767" s="69">
        <v>5.7</v>
      </c>
      <c r="R767" s="69">
        <v>3.1</v>
      </c>
      <c r="S767" s="69">
        <v>4.0478769999999997</v>
      </c>
      <c r="T767" s="69">
        <v>10.8</v>
      </c>
      <c r="U767" s="69">
        <v>2.4</v>
      </c>
      <c r="V767" s="69">
        <v>4</v>
      </c>
      <c r="W767" s="69">
        <v>5.5</v>
      </c>
      <c r="X767" s="69">
        <v>7.1</v>
      </c>
      <c r="Y767" s="69">
        <v>3.168634</v>
      </c>
      <c r="Z767" s="69">
        <v>3.7</v>
      </c>
      <c r="AA767" s="69">
        <v>3.9</v>
      </c>
      <c r="AB767" s="69"/>
      <c r="AC767" s="69">
        <v>3.8</v>
      </c>
      <c r="AD767" s="69">
        <v>6.7</v>
      </c>
      <c r="AE767" s="69">
        <v>6.1</v>
      </c>
      <c r="AF767" s="69">
        <v>4.7</v>
      </c>
      <c r="AG767" s="69">
        <v>6.4</v>
      </c>
      <c r="AH767" s="69">
        <v>11.7</v>
      </c>
      <c r="AI767" s="69">
        <v>3.8</v>
      </c>
      <c r="AJ767" s="69">
        <v>8</v>
      </c>
      <c r="AK767" s="69">
        <v>4.4840309999999999</v>
      </c>
      <c r="AL767" s="69"/>
    </row>
    <row r="768" spans="1:38" x14ac:dyDescent="0.2">
      <c r="A768" s="10">
        <v>43405</v>
      </c>
      <c r="B768" s="69">
        <v>5.0986089999999997</v>
      </c>
      <c r="C768" s="69"/>
      <c r="D768" s="69">
        <v>5.8</v>
      </c>
      <c r="E768" s="69">
        <v>5.7</v>
      </c>
      <c r="F768" s="69">
        <v>7.677835</v>
      </c>
      <c r="G768" s="69">
        <v>2</v>
      </c>
      <c r="H768" s="69">
        <v>3.3</v>
      </c>
      <c r="I768" s="69">
        <v>5.2</v>
      </c>
      <c r="J768" s="69">
        <v>14.5</v>
      </c>
      <c r="K768" s="69">
        <v>4.5999999999999996</v>
      </c>
      <c r="L768" s="69">
        <v>6.9</v>
      </c>
      <c r="M768" s="69">
        <v>8.8000000000000007</v>
      </c>
      <c r="N768" s="69">
        <v>4.0135420000000002</v>
      </c>
      <c r="O768" s="69">
        <v>18.5</v>
      </c>
      <c r="P768" s="69">
        <v>3.6</v>
      </c>
      <c r="Q768" s="69">
        <v>5.6</v>
      </c>
      <c r="R768" s="69">
        <v>3.1</v>
      </c>
      <c r="S768" s="69">
        <v>4.0140200000000004</v>
      </c>
      <c r="T768" s="69">
        <v>10.6</v>
      </c>
      <c r="U768" s="69">
        <v>2.5</v>
      </c>
      <c r="V768" s="69">
        <v>3.9</v>
      </c>
      <c r="W768" s="69">
        <v>5.4</v>
      </c>
      <c r="X768" s="69">
        <v>7.1</v>
      </c>
      <c r="Y768" s="69">
        <v>3.3668990000000001</v>
      </c>
      <c r="Z768" s="69">
        <v>3.5</v>
      </c>
      <c r="AA768" s="69">
        <v>3.7</v>
      </c>
      <c r="AB768" s="69"/>
      <c r="AC768" s="69">
        <v>3.8</v>
      </c>
      <c r="AD768" s="69">
        <v>6.8</v>
      </c>
      <c r="AE768" s="69">
        <v>6</v>
      </c>
      <c r="AF768" s="69">
        <v>4.5</v>
      </c>
      <c r="AG768" s="69">
        <v>6.5</v>
      </c>
      <c r="AH768" s="69">
        <v>12.3</v>
      </c>
      <c r="AI768" s="69">
        <v>3.8</v>
      </c>
      <c r="AJ768" s="69">
        <v>7.9</v>
      </c>
      <c r="AK768" s="69">
        <v>4.4605100000000002</v>
      </c>
      <c r="AL768" s="69"/>
    </row>
    <row r="769" spans="1:38" x14ac:dyDescent="0.2">
      <c r="A769" s="10">
        <v>43435</v>
      </c>
      <c r="B769" s="69">
        <v>5.0095000000000001</v>
      </c>
      <c r="C769" s="69"/>
      <c r="D769" s="69">
        <v>5.7</v>
      </c>
      <c r="E769" s="69">
        <v>5.8</v>
      </c>
      <c r="F769" s="69">
        <v>7.5281120000000001</v>
      </c>
      <c r="G769" s="69">
        <v>2.2000000000000002</v>
      </c>
      <c r="H769" s="69">
        <v>3.3</v>
      </c>
      <c r="I769" s="69">
        <v>5.0999999999999996</v>
      </c>
      <c r="J769" s="69">
        <v>14.4</v>
      </c>
      <c r="K769" s="69">
        <v>4.3</v>
      </c>
      <c r="L769" s="69">
        <v>6.1</v>
      </c>
      <c r="M769" s="69">
        <v>8.8000000000000007</v>
      </c>
      <c r="N769" s="69">
        <v>3.9305620000000001</v>
      </c>
      <c r="O769" s="69">
        <v>18.399999999999999</v>
      </c>
      <c r="P769" s="69">
        <v>3.5</v>
      </c>
      <c r="Q769" s="69">
        <v>5.5</v>
      </c>
      <c r="R769" s="69">
        <v>3.2</v>
      </c>
      <c r="S769" s="69">
        <v>4.1795239999999998</v>
      </c>
      <c r="T769" s="69">
        <v>10.3</v>
      </c>
      <c r="U769" s="69">
        <v>2.5</v>
      </c>
      <c r="V769" s="69">
        <v>3.8</v>
      </c>
      <c r="W769" s="69">
        <v>5.2</v>
      </c>
      <c r="X769" s="69">
        <v>7</v>
      </c>
      <c r="Y769" s="69">
        <v>3.6995870000000002</v>
      </c>
      <c r="Z769" s="69">
        <v>3.6</v>
      </c>
      <c r="AA769" s="69">
        <v>3.7</v>
      </c>
      <c r="AB769" s="69"/>
      <c r="AC769" s="69">
        <v>3.8</v>
      </c>
      <c r="AD769" s="69">
        <v>6.7</v>
      </c>
      <c r="AE769" s="69">
        <v>5.9</v>
      </c>
      <c r="AF769" s="69">
        <v>4.4000000000000004</v>
      </c>
      <c r="AG769" s="69">
        <v>6.6</v>
      </c>
      <c r="AH769" s="69">
        <v>12.8</v>
      </c>
      <c r="AI769" s="69">
        <v>3.9</v>
      </c>
      <c r="AJ769" s="69">
        <v>7.8</v>
      </c>
      <c r="AK769" s="69">
        <v>4.488715</v>
      </c>
      <c r="AL769" s="69"/>
    </row>
    <row r="770" spans="1:38" x14ac:dyDescent="0.2">
      <c r="A770" s="10">
        <v>43466</v>
      </c>
      <c r="B770" s="69">
        <v>5.0411640000000002</v>
      </c>
      <c r="C770" s="69"/>
      <c r="D770" s="69">
        <v>5.6</v>
      </c>
      <c r="E770" s="69">
        <v>5.9</v>
      </c>
      <c r="F770" s="69">
        <v>7.3034739999999996</v>
      </c>
      <c r="G770" s="69">
        <v>2.1</v>
      </c>
      <c r="H770" s="69">
        <v>3.3</v>
      </c>
      <c r="I770" s="69">
        <v>5.3</v>
      </c>
      <c r="J770" s="69">
        <v>14.3</v>
      </c>
      <c r="K770" s="69">
        <v>4.3</v>
      </c>
      <c r="L770" s="69">
        <v>6.6</v>
      </c>
      <c r="M770" s="69">
        <v>8.6999999999999993</v>
      </c>
      <c r="N770" s="69">
        <v>3.9415309999999999</v>
      </c>
      <c r="O770" s="69">
        <v>18.7</v>
      </c>
      <c r="P770" s="69">
        <v>3.4</v>
      </c>
      <c r="Q770" s="69">
        <v>5.2</v>
      </c>
      <c r="R770" s="69">
        <v>3.3</v>
      </c>
      <c r="S770" s="69">
        <v>4.2614570000000001</v>
      </c>
      <c r="T770" s="69">
        <v>10.5</v>
      </c>
      <c r="U770" s="69">
        <v>2.5</v>
      </c>
      <c r="V770" s="69">
        <v>4.3</v>
      </c>
      <c r="W770" s="69">
        <v>5.2</v>
      </c>
      <c r="X770" s="69">
        <v>6.8</v>
      </c>
      <c r="Y770" s="69">
        <v>3.4083139999999998</v>
      </c>
      <c r="Z770" s="69">
        <v>3.6</v>
      </c>
      <c r="AA770" s="69">
        <v>3.8</v>
      </c>
      <c r="AB770" s="69"/>
      <c r="AC770" s="69">
        <v>3.8</v>
      </c>
      <c r="AD770" s="69">
        <v>6.7</v>
      </c>
      <c r="AE770" s="69">
        <v>5.9</v>
      </c>
      <c r="AF770" s="69">
        <v>4.5999999999999996</v>
      </c>
      <c r="AG770" s="69">
        <v>6.2</v>
      </c>
      <c r="AH770" s="69">
        <v>13.4</v>
      </c>
      <c r="AI770" s="69">
        <v>4</v>
      </c>
      <c r="AJ770" s="69">
        <v>7.8</v>
      </c>
      <c r="AK770" s="69">
        <v>4.5260439999999997</v>
      </c>
      <c r="AL770" s="69"/>
    </row>
    <row r="771" spans="1:38" x14ac:dyDescent="0.2">
      <c r="A771" s="10">
        <v>43497</v>
      </c>
      <c r="B771" s="69">
        <v>4.9563259999999998</v>
      </c>
      <c r="C771" s="69"/>
      <c r="D771" s="69">
        <v>5.5</v>
      </c>
      <c r="E771" s="69">
        <v>5.9</v>
      </c>
      <c r="F771" s="69">
        <v>7.2494160000000001</v>
      </c>
      <c r="G771" s="69">
        <v>1.8</v>
      </c>
      <c r="H771" s="69">
        <v>3.2</v>
      </c>
      <c r="I771" s="69">
        <v>5.2</v>
      </c>
      <c r="J771" s="69">
        <v>14.2</v>
      </c>
      <c r="K771" s="69">
        <v>4.5999999999999996</v>
      </c>
      <c r="L771" s="69">
        <v>6.9</v>
      </c>
      <c r="M771" s="69">
        <v>8.6999999999999993</v>
      </c>
      <c r="N771" s="69">
        <v>3.8178010000000002</v>
      </c>
      <c r="O771" s="69">
        <v>18.600000000000001</v>
      </c>
      <c r="P771" s="69">
        <v>3.4</v>
      </c>
      <c r="Q771" s="69">
        <v>5</v>
      </c>
      <c r="R771" s="69">
        <v>3.4</v>
      </c>
      <c r="S771" s="69">
        <v>4.0706540000000002</v>
      </c>
      <c r="T771" s="69">
        <v>10.5</v>
      </c>
      <c r="U771" s="69">
        <v>2.4</v>
      </c>
      <c r="V771" s="69">
        <v>3.8</v>
      </c>
      <c r="W771" s="69">
        <v>5.4</v>
      </c>
      <c r="X771" s="69">
        <v>6.6</v>
      </c>
      <c r="Y771" s="69">
        <v>3.3538600000000001</v>
      </c>
      <c r="Z771" s="69">
        <v>3.4</v>
      </c>
      <c r="AA771" s="69">
        <v>3.8</v>
      </c>
      <c r="AB771" s="69"/>
      <c r="AC771" s="69">
        <v>3.8</v>
      </c>
      <c r="AD771" s="69">
        <v>6.7</v>
      </c>
      <c r="AE771" s="69">
        <v>5.9</v>
      </c>
      <c r="AF771" s="69">
        <v>4.5999999999999996</v>
      </c>
      <c r="AG771" s="69">
        <v>6.7</v>
      </c>
      <c r="AH771" s="69">
        <v>13.6</v>
      </c>
      <c r="AI771" s="69">
        <v>3.8</v>
      </c>
      <c r="AJ771" s="69">
        <v>7.8</v>
      </c>
      <c r="AK771" s="69">
        <v>4.392252</v>
      </c>
      <c r="AL771" s="69"/>
    </row>
    <row r="772" spans="1:38" x14ac:dyDescent="0.2">
      <c r="A772" s="10">
        <v>43525</v>
      </c>
      <c r="B772" s="69">
        <v>5.0793080000000002</v>
      </c>
      <c r="C772" s="69"/>
      <c r="D772" s="69">
        <v>5.5</v>
      </c>
      <c r="E772" s="69">
        <v>5.8</v>
      </c>
      <c r="F772" s="69">
        <v>7.1599950000000003</v>
      </c>
      <c r="G772" s="69">
        <v>2</v>
      </c>
      <c r="H772" s="69">
        <v>3.2</v>
      </c>
      <c r="I772" s="69">
        <v>5.5</v>
      </c>
      <c r="J772" s="69">
        <v>14.2</v>
      </c>
      <c r="K772" s="69">
        <v>4.5999999999999996</v>
      </c>
      <c r="L772" s="69">
        <v>6.5</v>
      </c>
      <c r="M772" s="69">
        <v>8.6</v>
      </c>
      <c r="N772" s="69">
        <v>3.8302740000000002</v>
      </c>
      <c r="O772" s="69">
        <v>17.8</v>
      </c>
      <c r="P772" s="69">
        <v>3.2</v>
      </c>
      <c r="Q772" s="69">
        <v>5.0999999999999996</v>
      </c>
      <c r="R772" s="69">
        <v>3.6</v>
      </c>
      <c r="S772" s="69">
        <v>3.9565679999999999</v>
      </c>
      <c r="T772" s="69">
        <v>10.1</v>
      </c>
      <c r="U772" s="69">
        <v>2.5</v>
      </c>
      <c r="V772" s="69">
        <v>3.8</v>
      </c>
      <c r="W772" s="69">
        <v>5.6</v>
      </c>
      <c r="X772" s="69">
        <v>6.4</v>
      </c>
      <c r="Y772" s="69">
        <v>3.5569609999999998</v>
      </c>
      <c r="Z772" s="69">
        <v>3.3</v>
      </c>
      <c r="AA772" s="69">
        <v>3.6</v>
      </c>
      <c r="AB772" s="69"/>
      <c r="AC772" s="69">
        <v>3.6</v>
      </c>
      <c r="AD772" s="69">
        <v>6.6</v>
      </c>
      <c r="AE772" s="69">
        <v>5.8</v>
      </c>
      <c r="AF772" s="69">
        <v>4.4000000000000004</v>
      </c>
      <c r="AG772" s="69">
        <v>7.2</v>
      </c>
      <c r="AH772" s="69">
        <v>13.8</v>
      </c>
      <c r="AI772" s="69">
        <v>3.8</v>
      </c>
      <c r="AJ772" s="69">
        <v>7.7</v>
      </c>
      <c r="AK772" s="69">
        <v>4.3964780000000001</v>
      </c>
      <c r="AL772" s="69"/>
    </row>
    <row r="773" spans="1:38" x14ac:dyDescent="0.2">
      <c r="A773" s="10">
        <v>43556</v>
      </c>
      <c r="B773" s="69">
        <v>5.2166769999999998</v>
      </c>
      <c r="C773" s="69"/>
      <c r="D773" s="69">
        <v>5.5</v>
      </c>
      <c r="E773" s="69">
        <v>5.8</v>
      </c>
      <c r="F773" s="69">
        <v>7.0093860000000001</v>
      </c>
      <c r="G773" s="69">
        <v>2.1</v>
      </c>
      <c r="H773" s="69">
        <v>3.1</v>
      </c>
      <c r="I773" s="69">
        <v>5.2</v>
      </c>
      <c r="J773" s="69">
        <v>14.2</v>
      </c>
      <c r="K773" s="69">
        <v>5</v>
      </c>
      <c r="L773" s="69">
        <v>7.2</v>
      </c>
      <c r="M773" s="69">
        <v>8.5</v>
      </c>
      <c r="N773" s="69">
        <v>3.7956110000000001</v>
      </c>
      <c r="O773" s="69">
        <v>17.899999999999999</v>
      </c>
      <c r="P773" s="69">
        <v>3.4</v>
      </c>
      <c r="Q773" s="69">
        <v>5.3</v>
      </c>
      <c r="R773" s="69">
        <v>3.7</v>
      </c>
      <c r="S773" s="69">
        <v>3.904309</v>
      </c>
      <c r="T773" s="69">
        <v>10.4</v>
      </c>
      <c r="U773" s="69">
        <v>2.4</v>
      </c>
      <c r="V773" s="69">
        <v>4</v>
      </c>
      <c r="W773" s="69">
        <v>5.7</v>
      </c>
      <c r="X773" s="69">
        <v>6.3</v>
      </c>
      <c r="Y773" s="69">
        <v>3.5750660000000001</v>
      </c>
      <c r="Z773" s="69">
        <v>3.3</v>
      </c>
      <c r="AA773" s="69">
        <v>3.3</v>
      </c>
      <c r="AB773" s="69"/>
      <c r="AC773" s="69">
        <v>3.4</v>
      </c>
      <c r="AD773" s="69">
        <v>6.7</v>
      </c>
      <c r="AE773" s="69">
        <v>5.8</v>
      </c>
      <c r="AF773" s="69">
        <v>4.3</v>
      </c>
      <c r="AG773" s="69">
        <v>6.4</v>
      </c>
      <c r="AH773" s="69">
        <v>13.8</v>
      </c>
      <c r="AI773" s="69">
        <v>3.7</v>
      </c>
      <c r="AJ773" s="69">
        <v>7.7</v>
      </c>
      <c r="AK773" s="69">
        <v>4.3315919999999997</v>
      </c>
      <c r="AL773" s="69"/>
    </row>
    <row r="774" spans="1:38" x14ac:dyDescent="0.2">
      <c r="A774" s="10">
        <v>43586</v>
      </c>
      <c r="B774" s="69">
        <v>5.2245879999999998</v>
      </c>
      <c r="C774" s="69"/>
      <c r="D774" s="69">
        <v>5.5</v>
      </c>
      <c r="E774" s="69">
        <v>5.4</v>
      </c>
      <c r="F774" s="69">
        <v>6.9748669999999997</v>
      </c>
      <c r="G774" s="69">
        <v>2.1</v>
      </c>
      <c r="H774" s="69">
        <v>3.1</v>
      </c>
      <c r="I774" s="69">
        <v>5</v>
      </c>
      <c r="J774" s="69">
        <v>14.2</v>
      </c>
      <c r="K774" s="69">
        <v>4.8</v>
      </c>
      <c r="L774" s="69">
        <v>6.8</v>
      </c>
      <c r="M774" s="69">
        <v>8.5</v>
      </c>
      <c r="N774" s="69">
        <v>3.8928379999999998</v>
      </c>
      <c r="O774" s="69">
        <v>17.100000000000001</v>
      </c>
      <c r="P774" s="69">
        <v>3.3</v>
      </c>
      <c r="Q774" s="69">
        <v>5.3</v>
      </c>
      <c r="R774" s="69">
        <v>3.8</v>
      </c>
      <c r="S774" s="69">
        <v>3.7199239999999998</v>
      </c>
      <c r="T774" s="69">
        <v>10.1</v>
      </c>
      <c r="U774" s="69">
        <v>2.2999999999999998</v>
      </c>
      <c r="V774" s="69">
        <v>3.8</v>
      </c>
      <c r="W774" s="69">
        <v>5.7</v>
      </c>
      <c r="X774" s="69">
        <v>6.3</v>
      </c>
      <c r="Y774" s="69">
        <v>3.6496620000000002</v>
      </c>
      <c r="Z774" s="69">
        <v>3.3</v>
      </c>
      <c r="AA774" s="69">
        <v>3.4</v>
      </c>
      <c r="AB774" s="69"/>
      <c r="AC774" s="69">
        <v>3.3</v>
      </c>
      <c r="AD774" s="69">
        <v>6.8</v>
      </c>
      <c r="AE774" s="69">
        <v>5.7</v>
      </c>
      <c r="AF774" s="69">
        <v>4.2</v>
      </c>
      <c r="AG774" s="69">
        <v>6.5</v>
      </c>
      <c r="AH774" s="69">
        <v>13.9</v>
      </c>
      <c r="AI774" s="69">
        <v>3.7</v>
      </c>
      <c r="AJ774" s="69">
        <v>7.6</v>
      </c>
      <c r="AK774" s="69">
        <v>4.2813189999999999</v>
      </c>
      <c r="AL774" s="69"/>
    </row>
    <row r="775" spans="1:38" x14ac:dyDescent="0.2">
      <c r="A775" s="10">
        <v>43617</v>
      </c>
      <c r="B775" s="69">
        <v>5.248259</v>
      </c>
      <c r="C775" s="69"/>
      <c r="D775" s="69">
        <v>5.4</v>
      </c>
      <c r="E775" s="69">
        <v>5.6</v>
      </c>
      <c r="F775" s="69">
        <v>7.1086410000000004</v>
      </c>
      <c r="G775" s="69">
        <v>1.8</v>
      </c>
      <c r="H775" s="69">
        <v>3</v>
      </c>
      <c r="I775" s="69">
        <v>4.5999999999999996</v>
      </c>
      <c r="J775" s="69">
        <v>14.2</v>
      </c>
      <c r="K775" s="69">
        <v>4.4000000000000004</v>
      </c>
      <c r="L775" s="69">
        <v>6.3</v>
      </c>
      <c r="M775" s="69">
        <v>8.5</v>
      </c>
      <c r="N775" s="69">
        <v>3.7970489999999999</v>
      </c>
      <c r="O775" s="69">
        <v>16.899999999999999</v>
      </c>
      <c r="P775" s="69">
        <v>3.1</v>
      </c>
      <c r="Q775" s="69">
        <v>5.2</v>
      </c>
      <c r="R775" s="69">
        <v>3.9</v>
      </c>
      <c r="S775" s="69">
        <v>3.944715</v>
      </c>
      <c r="T775" s="69">
        <v>9.6999999999999993</v>
      </c>
      <c r="U775" s="69">
        <v>2.2999999999999998</v>
      </c>
      <c r="V775" s="69">
        <v>3.9</v>
      </c>
      <c r="W775" s="69">
        <v>5.7</v>
      </c>
      <c r="X775" s="69">
        <v>6.4</v>
      </c>
      <c r="Y775" s="69">
        <v>3.525531</v>
      </c>
      <c r="Z775" s="69">
        <v>3.4</v>
      </c>
      <c r="AA775" s="69">
        <v>3.6</v>
      </c>
      <c r="AB775" s="69"/>
      <c r="AC775" s="69">
        <v>3.3</v>
      </c>
      <c r="AD775" s="69">
        <v>6.7</v>
      </c>
      <c r="AE775" s="69">
        <v>5.8</v>
      </c>
      <c r="AF775" s="69">
        <v>4.4000000000000004</v>
      </c>
      <c r="AG775" s="69">
        <v>6.4</v>
      </c>
      <c r="AH775" s="69">
        <v>13.9</v>
      </c>
      <c r="AI775" s="69">
        <v>3.6</v>
      </c>
      <c r="AJ775" s="69">
        <v>7.5</v>
      </c>
      <c r="AK775" s="69">
        <v>4.2216529999999999</v>
      </c>
      <c r="AL775" s="69"/>
    </row>
    <row r="776" spans="1:38" x14ac:dyDescent="0.2">
      <c r="A776" s="10">
        <v>43647</v>
      </c>
      <c r="B776" s="69">
        <v>5.2455230000000004</v>
      </c>
      <c r="C776" s="69"/>
      <c r="D776" s="69">
        <v>5.3</v>
      </c>
      <c r="E776" s="69">
        <v>5.8</v>
      </c>
      <c r="F776" s="69">
        <v>7.2064060000000003</v>
      </c>
      <c r="G776" s="69">
        <v>2.1</v>
      </c>
      <c r="H776" s="69">
        <v>3</v>
      </c>
      <c r="I776" s="69">
        <v>4.5999999999999996</v>
      </c>
      <c r="J776" s="69">
        <v>14.3</v>
      </c>
      <c r="K776" s="69">
        <v>4.0999999999999996</v>
      </c>
      <c r="L776" s="69">
        <v>6.5</v>
      </c>
      <c r="M776" s="69">
        <v>8.5</v>
      </c>
      <c r="N776" s="69">
        <v>3.8627410000000002</v>
      </c>
      <c r="O776" s="69">
        <v>17.2</v>
      </c>
      <c r="P776" s="69">
        <v>3.4</v>
      </c>
      <c r="Q776" s="69">
        <v>5</v>
      </c>
      <c r="R776" s="69">
        <v>4</v>
      </c>
      <c r="S776" s="69">
        <v>3.5834429999999999</v>
      </c>
      <c r="T776" s="69">
        <v>9.6999999999999993</v>
      </c>
      <c r="U776" s="69">
        <v>2.2999999999999998</v>
      </c>
      <c r="V776" s="69">
        <v>3.9</v>
      </c>
      <c r="W776" s="69">
        <v>5.7</v>
      </c>
      <c r="X776" s="69">
        <v>6.3</v>
      </c>
      <c r="Y776" s="69">
        <v>3.4794489999999998</v>
      </c>
      <c r="Z776" s="69">
        <v>3.4</v>
      </c>
      <c r="AA776" s="69">
        <v>3.8</v>
      </c>
      <c r="AB776" s="69"/>
      <c r="AC776" s="69">
        <v>3.2</v>
      </c>
      <c r="AD776" s="69">
        <v>6.6</v>
      </c>
      <c r="AE776" s="69">
        <v>5.8</v>
      </c>
      <c r="AF776" s="69">
        <v>4.8</v>
      </c>
      <c r="AG776" s="69">
        <v>7</v>
      </c>
      <c r="AH776" s="69">
        <v>14.2</v>
      </c>
      <c r="AI776" s="69">
        <v>3.6</v>
      </c>
      <c r="AJ776" s="69">
        <v>7.5</v>
      </c>
      <c r="AK776" s="69">
        <v>4.2341230000000003</v>
      </c>
      <c r="AL776" s="69"/>
    </row>
    <row r="777" spans="1:38" x14ac:dyDescent="0.2">
      <c r="A777" s="10">
        <v>43678</v>
      </c>
      <c r="B777" s="69">
        <v>5.2444740000000003</v>
      </c>
      <c r="C777" s="69"/>
      <c r="D777" s="69">
        <v>5.2</v>
      </c>
      <c r="E777" s="69">
        <v>5.8</v>
      </c>
      <c r="F777" s="69">
        <v>7.1163460000000001</v>
      </c>
      <c r="G777" s="69">
        <v>2.1</v>
      </c>
      <c r="H777" s="69">
        <v>3</v>
      </c>
      <c r="I777" s="69">
        <v>4.8</v>
      </c>
      <c r="J777" s="69">
        <v>14.3</v>
      </c>
      <c r="K777" s="69">
        <v>4.2</v>
      </c>
      <c r="L777" s="69">
        <v>7</v>
      </c>
      <c r="M777" s="69">
        <v>8.5</v>
      </c>
      <c r="N777" s="69">
        <v>3.8331979999999999</v>
      </c>
      <c r="O777" s="69">
        <v>16.7</v>
      </c>
      <c r="P777" s="69">
        <v>3.2</v>
      </c>
      <c r="Q777" s="69">
        <v>4.8</v>
      </c>
      <c r="R777" s="69">
        <v>4.0999999999999996</v>
      </c>
      <c r="S777" s="69">
        <v>3.6338189999999999</v>
      </c>
      <c r="T777" s="69">
        <v>9.6</v>
      </c>
      <c r="U777" s="69">
        <v>2.2999999999999998</v>
      </c>
      <c r="V777" s="69">
        <v>3.2</v>
      </c>
      <c r="W777" s="69">
        <v>5.7</v>
      </c>
      <c r="X777" s="69">
        <v>6.2</v>
      </c>
      <c r="Y777" s="69">
        <v>3.5048379999999999</v>
      </c>
      <c r="Z777" s="69">
        <v>3.5</v>
      </c>
      <c r="AA777" s="69">
        <v>3.7</v>
      </c>
      <c r="AB777" s="69"/>
      <c r="AC777" s="69">
        <v>3.1</v>
      </c>
      <c r="AD777" s="69">
        <v>6.5</v>
      </c>
      <c r="AE777" s="69">
        <v>5.8</v>
      </c>
      <c r="AF777" s="69">
        <v>4.9000000000000004</v>
      </c>
      <c r="AG777" s="69">
        <v>7.1</v>
      </c>
      <c r="AH777" s="69">
        <v>14.1</v>
      </c>
      <c r="AI777" s="69">
        <v>3.7</v>
      </c>
      <c r="AJ777" s="69">
        <v>7.5</v>
      </c>
      <c r="AK777" s="69">
        <v>4.2266159999999999</v>
      </c>
      <c r="AL777" s="69"/>
    </row>
    <row r="778" spans="1:38" x14ac:dyDescent="0.2">
      <c r="A778" s="10">
        <v>43709</v>
      </c>
      <c r="B778" s="69">
        <v>5.1993130000000001</v>
      </c>
      <c r="C778" s="69"/>
      <c r="D778" s="69">
        <v>5.2</v>
      </c>
      <c r="E778" s="69">
        <v>5.6</v>
      </c>
      <c r="F778" s="69">
        <v>7.1048980000000004</v>
      </c>
      <c r="G778" s="69">
        <v>2</v>
      </c>
      <c r="H778" s="69">
        <v>3.1</v>
      </c>
      <c r="I778" s="69">
        <v>5.0999999999999996</v>
      </c>
      <c r="J778" s="69">
        <v>14.1</v>
      </c>
      <c r="K778" s="69">
        <v>4.7</v>
      </c>
      <c r="L778" s="69">
        <v>6.8</v>
      </c>
      <c r="M778" s="69">
        <v>8.4</v>
      </c>
      <c r="N778" s="69">
        <v>3.7571340000000002</v>
      </c>
      <c r="O778" s="69">
        <v>16.7</v>
      </c>
      <c r="P778" s="69">
        <v>3.3</v>
      </c>
      <c r="Q778" s="69">
        <v>4.7</v>
      </c>
      <c r="R778" s="69">
        <v>4.0999999999999996</v>
      </c>
      <c r="S778" s="69">
        <v>3.5565180000000001</v>
      </c>
      <c r="T778" s="69">
        <v>9.8000000000000007</v>
      </c>
      <c r="U778" s="69">
        <v>2.4</v>
      </c>
      <c r="V778" s="69">
        <v>3.5</v>
      </c>
      <c r="W778" s="69">
        <v>5.5</v>
      </c>
      <c r="X778" s="69">
        <v>6</v>
      </c>
      <c r="Y778" s="69">
        <v>3.5184679999999999</v>
      </c>
      <c r="Z778" s="69">
        <v>3.5</v>
      </c>
      <c r="AA778" s="69">
        <v>3.9</v>
      </c>
      <c r="AB778" s="69"/>
      <c r="AC778" s="69">
        <v>3.1</v>
      </c>
      <c r="AD778" s="69">
        <v>6.7</v>
      </c>
      <c r="AE778" s="69">
        <v>5.7</v>
      </c>
      <c r="AF778" s="69">
        <v>4.8</v>
      </c>
      <c r="AG778" s="69">
        <v>6.7</v>
      </c>
      <c r="AH778" s="69">
        <v>13.9</v>
      </c>
      <c r="AI778" s="69">
        <v>3.5</v>
      </c>
      <c r="AJ778" s="69">
        <v>7.5</v>
      </c>
      <c r="AK778" s="69">
        <v>4.1830949999999998</v>
      </c>
      <c r="AL778" s="69"/>
    </row>
    <row r="779" spans="1:38" x14ac:dyDescent="0.2">
      <c r="A779" s="10">
        <v>43739</v>
      </c>
      <c r="B779" s="69">
        <v>5.2977809999999996</v>
      </c>
      <c r="C779" s="69"/>
      <c r="D779" s="69">
        <v>5.2</v>
      </c>
      <c r="E779" s="69">
        <v>5.6</v>
      </c>
      <c r="F779" s="69">
        <v>7.2341069999999998</v>
      </c>
      <c r="G779" s="69">
        <v>2.2000000000000002</v>
      </c>
      <c r="H779" s="69">
        <v>3.1</v>
      </c>
      <c r="I779" s="69">
        <v>5.2</v>
      </c>
      <c r="J779" s="69">
        <v>14</v>
      </c>
      <c r="K779" s="69">
        <v>4.7</v>
      </c>
      <c r="L779" s="69">
        <v>6.8</v>
      </c>
      <c r="M779" s="69">
        <v>8.3000000000000007</v>
      </c>
      <c r="N779" s="69">
        <v>3.8185630000000002</v>
      </c>
      <c r="O779" s="69">
        <v>16.899999999999999</v>
      </c>
      <c r="P779" s="69">
        <v>3.6</v>
      </c>
      <c r="Q779" s="69">
        <v>4.5999999999999996</v>
      </c>
      <c r="R779" s="69">
        <v>4.2</v>
      </c>
      <c r="S779" s="69">
        <v>3.5546389999999999</v>
      </c>
      <c r="T779" s="69">
        <v>9.6999999999999993</v>
      </c>
      <c r="U779" s="69">
        <v>2.4</v>
      </c>
      <c r="V779" s="69">
        <v>3.5</v>
      </c>
      <c r="W779" s="69">
        <v>5.5</v>
      </c>
      <c r="X779" s="69">
        <v>5.8</v>
      </c>
      <c r="Y779" s="69">
        <v>3.5713599999999999</v>
      </c>
      <c r="Z779" s="69">
        <v>3.5</v>
      </c>
      <c r="AA779" s="69">
        <v>3.8</v>
      </c>
      <c r="AB779" s="69"/>
      <c r="AC779" s="69">
        <v>3</v>
      </c>
      <c r="AD779" s="69">
        <v>6.6</v>
      </c>
      <c r="AE779" s="69">
        <v>5.7</v>
      </c>
      <c r="AF779" s="69">
        <v>4.4000000000000004</v>
      </c>
      <c r="AG779" s="69">
        <v>6.8</v>
      </c>
      <c r="AH779" s="69">
        <v>13.6</v>
      </c>
      <c r="AI779" s="69">
        <v>3.6</v>
      </c>
      <c r="AJ779" s="69">
        <v>7.4</v>
      </c>
      <c r="AK779" s="69">
        <v>4.2153830000000001</v>
      </c>
      <c r="AL779" s="69"/>
    </row>
    <row r="780" spans="1:38" x14ac:dyDescent="0.2">
      <c r="A780" s="10">
        <v>43770</v>
      </c>
      <c r="B780" s="69">
        <v>5.1394510000000002</v>
      </c>
      <c r="C780" s="69"/>
      <c r="D780" s="69">
        <v>5.2</v>
      </c>
      <c r="E780" s="69">
        <v>5.9</v>
      </c>
      <c r="F780" s="69">
        <v>7.5855560000000004</v>
      </c>
      <c r="G780" s="69">
        <v>2.1</v>
      </c>
      <c r="H780" s="69">
        <v>3.2</v>
      </c>
      <c r="I780" s="69">
        <v>5.0999999999999996</v>
      </c>
      <c r="J780" s="69">
        <v>13.8</v>
      </c>
      <c r="K780" s="69">
        <v>4.4000000000000004</v>
      </c>
      <c r="L780" s="69">
        <v>6.8</v>
      </c>
      <c r="M780" s="69">
        <v>8.1999999999999993</v>
      </c>
      <c r="N780" s="69">
        <v>3.768513</v>
      </c>
      <c r="O780" s="69">
        <v>16.600000000000001</v>
      </c>
      <c r="P780" s="69">
        <v>3.3</v>
      </c>
      <c r="Q780" s="69">
        <v>4.7</v>
      </c>
      <c r="R780" s="69">
        <v>4.3</v>
      </c>
      <c r="S780" s="69">
        <v>3.9651480000000001</v>
      </c>
      <c r="T780" s="69">
        <v>9.9</v>
      </c>
      <c r="U780" s="69">
        <v>2.2999999999999998</v>
      </c>
      <c r="V780" s="69">
        <v>3.7</v>
      </c>
      <c r="W780" s="69">
        <v>5.6</v>
      </c>
      <c r="X780" s="69">
        <v>6</v>
      </c>
      <c r="Y780" s="69">
        <v>3.545963</v>
      </c>
      <c r="Z780" s="69">
        <v>3.5</v>
      </c>
      <c r="AA780" s="69">
        <v>4</v>
      </c>
      <c r="AB780" s="69"/>
      <c r="AC780" s="69">
        <v>2.9</v>
      </c>
      <c r="AD780" s="69">
        <v>6.8</v>
      </c>
      <c r="AE780" s="69">
        <v>5.6</v>
      </c>
      <c r="AF780" s="69">
        <v>4.0999999999999996</v>
      </c>
      <c r="AG780" s="69">
        <v>7.5</v>
      </c>
      <c r="AH780" s="69">
        <v>13.2</v>
      </c>
      <c r="AI780" s="69">
        <v>3.6</v>
      </c>
      <c r="AJ780" s="69">
        <v>7.4</v>
      </c>
      <c r="AK780" s="69">
        <v>4.2232640000000004</v>
      </c>
      <c r="AL780" s="69"/>
    </row>
    <row r="781" spans="1:38" x14ac:dyDescent="0.2">
      <c r="A781" s="10">
        <v>43800</v>
      </c>
      <c r="B781" s="69">
        <v>5.0500569999999998</v>
      </c>
      <c r="C781" s="69"/>
      <c r="D781" s="69">
        <v>5.2</v>
      </c>
      <c r="E781" s="69">
        <v>5.7</v>
      </c>
      <c r="F781" s="69">
        <v>7.8484189999999998</v>
      </c>
      <c r="G781" s="69">
        <v>2</v>
      </c>
      <c r="H781" s="69">
        <v>3.3</v>
      </c>
      <c r="I781" s="69">
        <v>4.9000000000000004</v>
      </c>
      <c r="J781" s="69">
        <v>13.7</v>
      </c>
      <c r="K781" s="69">
        <v>4.5999999999999996</v>
      </c>
      <c r="L781" s="69">
        <v>6.7</v>
      </c>
      <c r="M781" s="69">
        <v>8.1999999999999993</v>
      </c>
      <c r="N781" s="69">
        <v>3.912849</v>
      </c>
      <c r="O781" s="69">
        <v>16.399999999999999</v>
      </c>
      <c r="P781" s="69">
        <v>2.9</v>
      </c>
      <c r="Q781" s="69">
        <v>4.8</v>
      </c>
      <c r="R781" s="69">
        <v>4.5</v>
      </c>
      <c r="S781" s="69">
        <v>3.5970080000000002</v>
      </c>
      <c r="T781" s="69">
        <v>9.9</v>
      </c>
      <c r="U781" s="69">
        <v>2.2000000000000002</v>
      </c>
      <c r="V781" s="69">
        <v>3.7</v>
      </c>
      <c r="W781" s="69">
        <v>5.6</v>
      </c>
      <c r="X781" s="69">
        <v>6.6</v>
      </c>
      <c r="Y781" s="69">
        <v>3.2463090000000001</v>
      </c>
      <c r="Z781" s="69">
        <v>3.2</v>
      </c>
      <c r="AA781" s="69">
        <v>3.9</v>
      </c>
      <c r="AB781" s="69"/>
      <c r="AC781" s="69">
        <v>2.9</v>
      </c>
      <c r="AD781" s="69">
        <v>6.8</v>
      </c>
      <c r="AE781" s="69">
        <v>5.6</v>
      </c>
      <c r="AF781" s="69">
        <v>4</v>
      </c>
      <c r="AG781" s="69">
        <v>6.7</v>
      </c>
      <c r="AH781" s="69">
        <v>13.1</v>
      </c>
      <c r="AI781" s="69">
        <v>3.6</v>
      </c>
      <c r="AJ781" s="69">
        <v>7.4</v>
      </c>
      <c r="AK781" s="69">
        <v>4.2069999999999999</v>
      </c>
      <c r="AL781" s="69"/>
    </row>
    <row r="782" spans="1:38" x14ac:dyDescent="0.2">
      <c r="A782" s="10">
        <v>43831</v>
      </c>
      <c r="B782" s="69">
        <v>5.2633929999999998</v>
      </c>
      <c r="C782" s="69"/>
      <c r="D782" s="69">
        <v>5.0999999999999996</v>
      </c>
      <c r="E782" s="69">
        <v>5.6</v>
      </c>
      <c r="F782" s="69">
        <v>8.1174309999999998</v>
      </c>
      <c r="G782" s="69">
        <v>1.9</v>
      </c>
      <c r="H782" s="69">
        <v>3.4</v>
      </c>
      <c r="I782" s="69">
        <v>5</v>
      </c>
      <c r="J782" s="69">
        <v>13.8</v>
      </c>
      <c r="K782" s="69">
        <v>5</v>
      </c>
      <c r="L782" s="69">
        <v>6.9</v>
      </c>
      <c r="M782" s="69">
        <v>8.1999999999999993</v>
      </c>
      <c r="N782" s="69">
        <v>3.9612129999999999</v>
      </c>
      <c r="O782" s="69">
        <v>16.7</v>
      </c>
      <c r="P782" s="69">
        <v>3.8</v>
      </c>
      <c r="Q782" s="69">
        <v>5.0999999999999996</v>
      </c>
      <c r="R782" s="69">
        <v>4.7</v>
      </c>
      <c r="S782" s="69">
        <v>3.7049099999999999</v>
      </c>
      <c r="T782" s="69">
        <v>9.6999999999999993</v>
      </c>
      <c r="U782" s="69">
        <v>2.4</v>
      </c>
      <c r="V782" s="69">
        <v>3.9</v>
      </c>
      <c r="W782" s="69">
        <v>5.7</v>
      </c>
      <c r="X782" s="69">
        <v>7.2</v>
      </c>
      <c r="Y782" s="69">
        <v>3.6267900000000002</v>
      </c>
      <c r="Z782" s="69">
        <v>3</v>
      </c>
      <c r="AA782" s="69">
        <v>3.7</v>
      </c>
      <c r="AB782" s="69"/>
      <c r="AC782" s="69">
        <v>3</v>
      </c>
      <c r="AD782" s="69">
        <v>6.8</v>
      </c>
      <c r="AE782" s="69">
        <v>6</v>
      </c>
      <c r="AF782" s="69">
        <v>4.0999999999999996</v>
      </c>
      <c r="AG782" s="69">
        <v>7.2</v>
      </c>
      <c r="AH782" s="69">
        <v>12.6</v>
      </c>
      <c r="AI782" s="69">
        <v>3.5</v>
      </c>
      <c r="AJ782" s="69">
        <v>7.5</v>
      </c>
      <c r="AK782" s="69">
        <v>4.222334</v>
      </c>
      <c r="AL782" s="69"/>
    </row>
    <row r="783" spans="1:38" x14ac:dyDescent="0.2">
      <c r="A783" s="10">
        <v>43862</v>
      </c>
      <c r="B783" s="69">
        <v>5.0765250000000002</v>
      </c>
      <c r="C783" s="69"/>
      <c r="D783" s="69">
        <v>5</v>
      </c>
      <c r="E783" s="69">
        <v>5.7</v>
      </c>
      <c r="F783" s="69">
        <v>8.2482889999999998</v>
      </c>
      <c r="G783" s="69">
        <v>1.8</v>
      </c>
      <c r="H783" s="69">
        <v>3.6</v>
      </c>
      <c r="I783" s="69">
        <v>5</v>
      </c>
      <c r="J783" s="69">
        <v>13.6</v>
      </c>
      <c r="K783" s="69">
        <v>5</v>
      </c>
      <c r="L783" s="69">
        <v>6.5</v>
      </c>
      <c r="M783" s="69">
        <v>7.7</v>
      </c>
      <c r="N783" s="69">
        <v>3.972413</v>
      </c>
      <c r="O783" s="69">
        <v>15.4</v>
      </c>
      <c r="P783" s="69">
        <v>3.5</v>
      </c>
      <c r="Q783" s="69">
        <v>5</v>
      </c>
      <c r="R783" s="69">
        <v>5</v>
      </c>
      <c r="S783" s="69">
        <v>3.3702800000000002</v>
      </c>
      <c r="T783" s="69">
        <v>9.8000000000000007</v>
      </c>
      <c r="U783" s="69">
        <v>2.4</v>
      </c>
      <c r="V783" s="69">
        <v>3.4</v>
      </c>
      <c r="W783" s="69">
        <v>5.7</v>
      </c>
      <c r="X783" s="69">
        <v>7.2</v>
      </c>
      <c r="Y783" s="69">
        <v>3.6250849999999999</v>
      </c>
      <c r="Z783" s="69">
        <v>2.9</v>
      </c>
      <c r="AA783" s="69">
        <v>3.5</v>
      </c>
      <c r="AB783" s="69"/>
      <c r="AC783" s="69">
        <v>3</v>
      </c>
      <c r="AD783" s="69">
        <v>6.5</v>
      </c>
      <c r="AE783" s="69">
        <v>6</v>
      </c>
      <c r="AF783" s="69">
        <v>4.2</v>
      </c>
      <c r="AG783" s="69">
        <v>7.6</v>
      </c>
      <c r="AH783" s="69">
        <v>12.6</v>
      </c>
      <c r="AI783" s="69">
        <v>3.5</v>
      </c>
      <c r="AJ783" s="69">
        <v>7.3</v>
      </c>
      <c r="AK783" s="69">
        <v>4.1972779999999998</v>
      </c>
      <c r="AL783" s="69"/>
    </row>
    <row r="784" spans="1:38" x14ac:dyDescent="0.2">
      <c r="A784" s="10">
        <v>43891</v>
      </c>
      <c r="B784" s="69">
        <v>5.2187520000000003</v>
      </c>
      <c r="C784" s="69"/>
      <c r="D784" s="69">
        <v>4.9000000000000004</v>
      </c>
      <c r="E784" s="69">
        <v>7.9</v>
      </c>
      <c r="F784" s="69">
        <v>9.1296579999999992</v>
      </c>
      <c r="G784" s="69">
        <v>1.9</v>
      </c>
      <c r="H784" s="69">
        <v>3.8</v>
      </c>
      <c r="I784" s="69">
        <v>4.9000000000000004</v>
      </c>
      <c r="J784" s="69">
        <v>14.5</v>
      </c>
      <c r="K784" s="69">
        <v>5.0999999999999996</v>
      </c>
      <c r="L784" s="69">
        <v>6.9</v>
      </c>
      <c r="M784" s="69">
        <v>7.4</v>
      </c>
      <c r="N784" s="69">
        <v>3.9950739999999998</v>
      </c>
      <c r="O784" s="69">
        <v>15.9</v>
      </c>
      <c r="P784" s="69">
        <v>3.4</v>
      </c>
      <c r="Q784" s="69">
        <v>5</v>
      </c>
      <c r="R784" s="69">
        <v>5.3</v>
      </c>
      <c r="S784" s="69">
        <v>3.5604520000000002</v>
      </c>
      <c r="T784" s="69">
        <v>7.5</v>
      </c>
      <c r="U784" s="69">
        <v>2.5</v>
      </c>
      <c r="V784" s="69">
        <v>3.8</v>
      </c>
      <c r="W784" s="69">
        <v>6.5</v>
      </c>
      <c r="X784" s="69">
        <v>7.4</v>
      </c>
      <c r="Y784" s="69">
        <v>3.2418179999999999</v>
      </c>
      <c r="Z784" s="69">
        <v>2.9</v>
      </c>
      <c r="AA784" s="69">
        <v>3.6</v>
      </c>
      <c r="AB784" s="69"/>
      <c r="AC784" s="69">
        <v>3</v>
      </c>
      <c r="AD784" s="69">
        <v>6.3</v>
      </c>
      <c r="AE784" s="69">
        <v>6</v>
      </c>
      <c r="AF784" s="69">
        <v>4.5</v>
      </c>
      <c r="AG784" s="69">
        <v>6.6</v>
      </c>
      <c r="AH784" s="69">
        <v>12.9</v>
      </c>
      <c r="AI784" s="69">
        <v>4.4000000000000004</v>
      </c>
      <c r="AJ784" s="69">
        <v>7.1</v>
      </c>
      <c r="AK784" s="69">
        <v>4.5603420000000003</v>
      </c>
      <c r="AL784" s="69"/>
    </row>
    <row r="785" spans="1:38" x14ac:dyDescent="0.2">
      <c r="A785" s="10">
        <v>43922</v>
      </c>
      <c r="B785" s="69">
        <v>6.352233</v>
      </c>
      <c r="C785" s="69"/>
      <c r="D785" s="69">
        <v>4.9000000000000004</v>
      </c>
      <c r="E785" s="69">
        <v>13.1</v>
      </c>
      <c r="F785" s="69">
        <v>10.94434</v>
      </c>
      <c r="G785" s="69">
        <v>2.2000000000000002</v>
      </c>
      <c r="H785" s="69">
        <v>4</v>
      </c>
      <c r="I785" s="69">
        <v>4.9000000000000004</v>
      </c>
      <c r="J785" s="69">
        <v>15.2</v>
      </c>
      <c r="K785" s="69">
        <v>5.9</v>
      </c>
      <c r="L785" s="69">
        <v>7.2</v>
      </c>
      <c r="M785" s="69">
        <v>7.4</v>
      </c>
      <c r="N785" s="69">
        <v>4.0548010000000003</v>
      </c>
      <c r="O785" s="69">
        <v>16.3</v>
      </c>
      <c r="P785" s="69">
        <v>4.0999999999999996</v>
      </c>
      <c r="Q785" s="69">
        <v>4.7</v>
      </c>
      <c r="R785" s="69">
        <v>5.6</v>
      </c>
      <c r="S785" s="69">
        <v>3.644593</v>
      </c>
      <c r="T785" s="69">
        <v>7.6</v>
      </c>
      <c r="U785" s="69">
        <v>2.6</v>
      </c>
      <c r="V785" s="69">
        <v>3.8</v>
      </c>
      <c r="W785" s="69">
        <v>7.4</v>
      </c>
      <c r="X785" s="69">
        <v>8.3000000000000007</v>
      </c>
      <c r="Y785" s="69">
        <v>4.8014840000000003</v>
      </c>
      <c r="Z785" s="69">
        <v>3.4</v>
      </c>
      <c r="AA785" s="69">
        <v>4.0999999999999996</v>
      </c>
      <c r="AB785" s="69"/>
      <c r="AC785" s="69">
        <v>3.1</v>
      </c>
      <c r="AD785" s="69">
        <v>6.4</v>
      </c>
      <c r="AE785" s="69">
        <v>6.6</v>
      </c>
      <c r="AF785" s="69">
        <v>5.2</v>
      </c>
      <c r="AG785" s="69">
        <v>7.9</v>
      </c>
      <c r="AH785" s="69">
        <v>13.6</v>
      </c>
      <c r="AI785" s="69">
        <v>14.8</v>
      </c>
      <c r="AJ785" s="69">
        <v>7.3</v>
      </c>
      <c r="AK785" s="69">
        <v>9.196707</v>
      </c>
      <c r="AL785" s="69"/>
    </row>
    <row r="786" spans="1:38" x14ac:dyDescent="0.2">
      <c r="A786" s="10">
        <v>43952</v>
      </c>
      <c r="B786" s="69">
        <v>7.0606369999999998</v>
      </c>
      <c r="C786" s="69"/>
      <c r="D786" s="69">
        <v>4.9000000000000004</v>
      </c>
      <c r="E786" s="69">
        <v>13.7</v>
      </c>
      <c r="F786" s="69">
        <v>11.808160000000001</v>
      </c>
      <c r="G786" s="69">
        <v>2.5</v>
      </c>
      <c r="H786" s="69">
        <v>4.2</v>
      </c>
      <c r="I786" s="69">
        <v>5.5</v>
      </c>
      <c r="J786" s="69">
        <v>15.3</v>
      </c>
      <c r="K786" s="69">
        <v>7</v>
      </c>
      <c r="L786" s="69">
        <v>8.3000000000000007</v>
      </c>
      <c r="M786" s="69">
        <v>6.8</v>
      </c>
      <c r="N786" s="69">
        <v>4.0547110000000002</v>
      </c>
      <c r="O786" s="69">
        <v>16.7</v>
      </c>
      <c r="P786" s="69">
        <v>4.4000000000000004</v>
      </c>
      <c r="Q786" s="69">
        <v>4.8</v>
      </c>
      <c r="R786" s="69">
        <v>6</v>
      </c>
      <c r="S786" s="69">
        <v>4.2384789999999999</v>
      </c>
      <c r="T786" s="69">
        <v>8.5</v>
      </c>
      <c r="U786" s="69">
        <v>2.8</v>
      </c>
      <c r="V786" s="69">
        <v>4.3</v>
      </c>
      <c r="W786" s="69">
        <v>7.7</v>
      </c>
      <c r="X786" s="69">
        <v>8.6</v>
      </c>
      <c r="Y786" s="69">
        <v>4.3488199999999999</v>
      </c>
      <c r="Z786" s="69">
        <v>3.6</v>
      </c>
      <c r="AA786" s="69">
        <v>4.5999999999999996</v>
      </c>
      <c r="AB786" s="69"/>
      <c r="AC786" s="69">
        <v>3.3</v>
      </c>
      <c r="AD786" s="69">
        <v>6</v>
      </c>
      <c r="AE786" s="69">
        <v>6.7</v>
      </c>
      <c r="AF786" s="69">
        <v>5.4</v>
      </c>
      <c r="AG786" s="69">
        <v>8.4</v>
      </c>
      <c r="AH786" s="69">
        <v>14</v>
      </c>
      <c r="AI786" s="69">
        <v>13.3</v>
      </c>
      <c r="AJ786" s="69">
        <v>7.5</v>
      </c>
      <c r="AK786" s="69">
        <v>8.6982549999999996</v>
      </c>
      <c r="AL786" s="69"/>
    </row>
    <row r="787" spans="1:38" x14ac:dyDescent="0.2">
      <c r="A787" s="10">
        <v>43983</v>
      </c>
      <c r="B787" s="69">
        <v>7.4337049999999998</v>
      </c>
      <c r="C787" s="69"/>
      <c r="D787" s="69">
        <v>5.4</v>
      </c>
      <c r="E787" s="69">
        <v>12.5</v>
      </c>
      <c r="F787" s="69">
        <v>12.35873</v>
      </c>
      <c r="G787" s="69">
        <v>2.6</v>
      </c>
      <c r="H787" s="69">
        <v>4.3</v>
      </c>
      <c r="I787" s="69">
        <v>6</v>
      </c>
      <c r="J787" s="69">
        <v>16</v>
      </c>
      <c r="K787" s="69">
        <v>7.9</v>
      </c>
      <c r="L787" s="69">
        <v>7.7</v>
      </c>
      <c r="M787" s="69">
        <v>7.3</v>
      </c>
      <c r="N787" s="69">
        <v>4.252618</v>
      </c>
      <c r="O787" s="69">
        <v>17.8</v>
      </c>
      <c r="P787" s="69">
        <v>5</v>
      </c>
      <c r="Q787" s="69">
        <v>5.3</v>
      </c>
      <c r="R787" s="69">
        <v>6.2</v>
      </c>
      <c r="S787" s="69">
        <v>4.633051</v>
      </c>
      <c r="T787" s="69">
        <v>9.3000000000000007</v>
      </c>
      <c r="U787" s="69">
        <v>2.8</v>
      </c>
      <c r="V787" s="69">
        <v>4.2</v>
      </c>
      <c r="W787" s="69">
        <v>7.7</v>
      </c>
      <c r="X787" s="69">
        <v>8.8000000000000007</v>
      </c>
      <c r="Y787" s="69">
        <v>5.4671510000000003</v>
      </c>
      <c r="Z787" s="69">
        <v>4.3</v>
      </c>
      <c r="AA787" s="69">
        <v>5.2</v>
      </c>
      <c r="AB787" s="69"/>
      <c r="AC787" s="69">
        <v>3.4</v>
      </c>
      <c r="AD787" s="69">
        <v>7.5</v>
      </c>
      <c r="AE787" s="69">
        <v>6.8</v>
      </c>
      <c r="AF787" s="69">
        <v>5.3</v>
      </c>
      <c r="AG787" s="69">
        <v>9.1</v>
      </c>
      <c r="AH787" s="69">
        <v>14.3</v>
      </c>
      <c r="AI787" s="69">
        <v>11.1</v>
      </c>
      <c r="AJ787" s="69">
        <v>8</v>
      </c>
      <c r="AK787" s="69">
        <v>7.8546810000000002</v>
      </c>
      <c r="AL787" s="69"/>
    </row>
    <row r="788" spans="1:38" x14ac:dyDescent="0.2">
      <c r="A788" s="10">
        <v>44013</v>
      </c>
      <c r="B788" s="69">
        <v>7.4782349999999997</v>
      </c>
      <c r="C788" s="69"/>
      <c r="D788" s="69">
        <v>6</v>
      </c>
      <c r="E788" s="69">
        <v>10.9</v>
      </c>
      <c r="F788" s="69">
        <v>12.30256</v>
      </c>
      <c r="G788" s="69">
        <v>3</v>
      </c>
      <c r="H788" s="69">
        <v>4.4000000000000004</v>
      </c>
      <c r="I788" s="69">
        <v>6.3</v>
      </c>
      <c r="J788" s="69">
        <v>16.399999999999999</v>
      </c>
      <c r="K788" s="69">
        <v>7.7</v>
      </c>
      <c r="L788" s="69">
        <v>8.4</v>
      </c>
      <c r="M788" s="69">
        <v>8.8000000000000007</v>
      </c>
      <c r="N788" s="69">
        <v>4.4624069999999998</v>
      </c>
      <c r="O788" s="69">
        <v>16.8</v>
      </c>
      <c r="P788" s="69">
        <v>4.5</v>
      </c>
      <c r="Q788" s="69">
        <v>6.2</v>
      </c>
      <c r="R788" s="69">
        <v>6.4</v>
      </c>
      <c r="S788" s="69">
        <v>4.660882</v>
      </c>
      <c r="T788" s="69">
        <v>9.9</v>
      </c>
      <c r="U788" s="69">
        <v>2.9</v>
      </c>
      <c r="V788" s="69">
        <v>4.0999999999999996</v>
      </c>
      <c r="W788" s="69">
        <v>7.2</v>
      </c>
      <c r="X788" s="69">
        <v>8.8000000000000007</v>
      </c>
      <c r="Y788" s="69">
        <v>5.1201999999999996</v>
      </c>
      <c r="Z788" s="69">
        <v>4.5</v>
      </c>
      <c r="AA788" s="69">
        <v>5.2</v>
      </c>
      <c r="AB788" s="69"/>
      <c r="AC788" s="69">
        <v>3.4</v>
      </c>
      <c r="AD788" s="69">
        <v>8</v>
      </c>
      <c r="AE788" s="69">
        <v>7.1</v>
      </c>
      <c r="AF788" s="69">
        <v>5.2</v>
      </c>
      <c r="AG788" s="69">
        <v>9.1</v>
      </c>
      <c r="AH788" s="69">
        <v>13.8</v>
      </c>
      <c r="AI788" s="69">
        <v>10.199999999999999</v>
      </c>
      <c r="AJ788" s="69">
        <v>8.5</v>
      </c>
      <c r="AK788" s="69">
        <v>7.5974640000000004</v>
      </c>
      <c r="AL788" s="69"/>
    </row>
    <row r="789" spans="1:38" x14ac:dyDescent="0.2">
      <c r="A789" s="10">
        <v>44044</v>
      </c>
      <c r="B789" s="69">
        <v>6.8046980000000001</v>
      </c>
      <c r="C789" s="69"/>
      <c r="D789" s="69">
        <v>6.5</v>
      </c>
      <c r="E789" s="69">
        <v>10.199999999999999</v>
      </c>
      <c r="F789" s="69">
        <v>11.97439</v>
      </c>
      <c r="G789" s="69">
        <v>2.7</v>
      </c>
      <c r="H789" s="69">
        <v>4.5</v>
      </c>
      <c r="I789" s="69">
        <v>6.2</v>
      </c>
      <c r="J789" s="69">
        <v>16.7</v>
      </c>
      <c r="K789" s="69">
        <v>7.7</v>
      </c>
      <c r="L789" s="69">
        <v>8.6999999999999993</v>
      </c>
      <c r="M789" s="69">
        <v>9.3000000000000007</v>
      </c>
      <c r="N789" s="69">
        <v>4.756812</v>
      </c>
      <c r="O789" s="69">
        <v>16.899999999999999</v>
      </c>
      <c r="P789" s="69">
        <v>3.8</v>
      </c>
      <c r="Q789" s="69">
        <v>6.6</v>
      </c>
      <c r="R789" s="69">
        <v>6.6</v>
      </c>
      <c r="S789" s="69">
        <v>4.9360239999999997</v>
      </c>
      <c r="T789" s="69">
        <v>9.9</v>
      </c>
      <c r="U789" s="69">
        <v>3</v>
      </c>
      <c r="V789" s="69">
        <v>3.3</v>
      </c>
      <c r="W789" s="69">
        <v>6.8</v>
      </c>
      <c r="X789" s="69">
        <v>8.6</v>
      </c>
      <c r="Y789" s="69">
        <v>4.9452299999999996</v>
      </c>
      <c r="Z789" s="69">
        <v>4.5999999999999996</v>
      </c>
      <c r="AA789" s="69">
        <v>5.3</v>
      </c>
      <c r="AB789" s="69"/>
      <c r="AC789" s="69">
        <v>3.3</v>
      </c>
      <c r="AD789" s="69">
        <v>8.1</v>
      </c>
      <c r="AE789" s="69">
        <v>7.2</v>
      </c>
      <c r="AF789" s="69">
        <v>5.2</v>
      </c>
      <c r="AG789" s="69">
        <v>9</v>
      </c>
      <c r="AH789" s="69">
        <v>13.3</v>
      </c>
      <c r="AI789" s="69">
        <v>8.4</v>
      </c>
      <c r="AJ789" s="69">
        <v>8.6999999999999993</v>
      </c>
      <c r="AK789" s="69">
        <v>6.9251579999999997</v>
      </c>
      <c r="AL789" s="69"/>
    </row>
    <row r="790" spans="1:38" x14ac:dyDescent="0.2">
      <c r="A790" s="10">
        <v>44075</v>
      </c>
      <c r="B790" s="69">
        <v>6.9095719999999998</v>
      </c>
      <c r="C790" s="69"/>
      <c r="D790" s="69">
        <v>6.4</v>
      </c>
      <c r="E790" s="69">
        <v>9.1999999999999993</v>
      </c>
      <c r="F790" s="69">
        <v>11.520350000000001</v>
      </c>
      <c r="G790" s="69">
        <v>2.8</v>
      </c>
      <c r="H790" s="69">
        <v>4.5</v>
      </c>
      <c r="I790" s="69">
        <v>6</v>
      </c>
      <c r="J790" s="69">
        <v>16.600000000000001</v>
      </c>
      <c r="K790" s="69">
        <v>8.1</v>
      </c>
      <c r="L790" s="69">
        <v>8.1</v>
      </c>
      <c r="M790" s="69">
        <v>9.3000000000000007</v>
      </c>
      <c r="N790" s="69">
        <v>4.9442430000000002</v>
      </c>
      <c r="O790" s="69">
        <v>16.600000000000001</v>
      </c>
      <c r="P790" s="69">
        <v>4.5</v>
      </c>
      <c r="Q790" s="69">
        <v>6.8</v>
      </c>
      <c r="R790" s="69">
        <v>6.8</v>
      </c>
      <c r="S790" s="69">
        <v>4.5824889999999998</v>
      </c>
      <c r="T790" s="69">
        <v>9.9</v>
      </c>
      <c r="U790" s="69">
        <v>3</v>
      </c>
      <c r="V790" s="69">
        <v>4</v>
      </c>
      <c r="W790" s="69">
        <v>6.7</v>
      </c>
      <c r="X790" s="69">
        <v>8.3000000000000007</v>
      </c>
      <c r="Y790" s="69">
        <v>4.7191109999999998</v>
      </c>
      <c r="Z790" s="69">
        <v>4.4000000000000004</v>
      </c>
      <c r="AA790" s="69">
        <v>5.0999999999999996</v>
      </c>
      <c r="AB790" s="69"/>
      <c r="AC790" s="69">
        <v>3.3</v>
      </c>
      <c r="AD790" s="69">
        <v>8</v>
      </c>
      <c r="AE790" s="69">
        <v>7</v>
      </c>
      <c r="AF790" s="69">
        <v>5.0999999999999996</v>
      </c>
      <c r="AG790" s="69">
        <v>8.9</v>
      </c>
      <c r="AH790" s="69">
        <v>12.7</v>
      </c>
      <c r="AI790" s="69">
        <v>7.8</v>
      </c>
      <c r="AJ790" s="69">
        <v>8.6999999999999993</v>
      </c>
      <c r="AK790" s="69">
        <v>6.6436820000000001</v>
      </c>
      <c r="AL790" s="69"/>
    </row>
    <row r="791" spans="1:38" x14ac:dyDescent="0.2">
      <c r="A791" s="10">
        <v>44105</v>
      </c>
      <c r="B791" s="69">
        <v>6.9803059999999997</v>
      </c>
      <c r="C791" s="69"/>
      <c r="D791" s="69">
        <v>6</v>
      </c>
      <c r="E791" s="69">
        <v>9</v>
      </c>
      <c r="F791" s="69">
        <v>11.178229999999999</v>
      </c>
      <c r="G791" s="69">
        <v>3.2</v>
      </c>
      <c r="H791" s="69">
        <v>4.5</v>
      </c>
      <c r="I791" s="69">
        <v>6</v>
      </c>
      <c r="J791" s="69">
        <v>16.3</v>
      </c>
      <c r="K791" s="69">
        <v>7.8</v>
      </c>
      <c r="L791" s="69">
        <v>8.1</v>
      </c>
      <c r="M791" s="69">
        <v>8.5</v>
      </c>
      <c r="N791" s="69">
        <v>5.0382470000000001</v>
      </c>
      <c r="O791" s="69">
        <v>16.399999999999999</v>
      </c>
      <c r="P791" s="69">
        <v>4.4000000000000004</v>
      </c>
      <c r="Q791" s="69">
        <v>6.2</v>
      </c>
      <c r="R791" s="69">
        <v>7</v>
      </c>
      <c r="S791" s="69">
        <v>4.679119</v>
      </c>
      <c r="T791" s="69">
        <v>10</v>
      </c>
      <c r="U791" s="69">
        <v>3.1</v>
      </c>
      <c r="V791" s="69">
        <v>4.2</v>
      </c>
      <c r="W791" s="69">
        <v>6.5</v>
      </c>
      <c r="X791" s="69">
        <v>8</v>
      </c>
      <c r="Y791" s="69">
        <v>4.6065370000000003</v>
      </c>
      <c r="Z791" s="69">
        <v>4.3</v>
      </c>
      <c r="AA791" s="69">
        <v>5.2</v>
      </c>
      <c r="AB791" s="69"/>
      <c r="AC791" s="69">
        <v>3.2</v>
      </c>
      <c r="AD791" s="69">
        <v>7.6</v>
      </c>
      <c r="AE791" s="69">
        <v>7</v>
      </c>
      <c r="AF791" s="69">
        <v>5.2</v>
      </c>
      <c r="AG791" s="69">
        <v>8.6</v>
      </c>
      <c r="AH791" s="69">
        <v>12.9</v>
      </c>
      <c r="AI791" s="69">
        <v>6.9</v>
      </c>
      <c r="AJ791" s="69">
        <v>8.5</v>
      </c>
      <c r="AK791" s="69">
        <v>6.2054859999999996</v>
      </c>
      <c r="AL791" s="69"/>
    </row>
    <row r="792" spans="1:38" x14ac:dyDescent="0.2">
      <c r="A792" s="10">
        <v>44136</v>
      </c>
      <c r="B792" s="69">
        <v>6.8175150000000002</v>
      </c>
      <c r="C792" s="69"/>
      <c r="D792" s="69">
        <v>5.8</v>
      </c>
      <c r="E792" s="69">
        <v>8.6</v>
      </c>
      <c r="F792" s="69">
        <v>11.04264</v>
      </c>
      <c r="G792" s="69">
        <v>3</v>
      </c>
      <c r="H792" s="69">
        <v>4.5999999999999996</v>
      </c>
      <c r="I792" s="69">
        <v>5.9</v>
      </c>
      <c r="J792" s="69">
        <v>16.100000000000001</v>
      </c>
      <c r="K792" s="69">
        <v>7.3</v>
      </c>
      <c r="L792" s="69">
        <v>8.1</v>
      </c>
      <c r="M792" s="69">
        <v>8.1</v>
      </c>
      <c r="N792" s="69">
        <v>5.109324</v>
      </c>
      <c r="O792" s="69">
        <v>16.2</v>
      </c>
      <c r="P792" s="69">
        <v>4</v>
      </c>
      <c r="Q792" s="69">
        <v>6</v>
      </c>
      <c r="R792" s="69">
        <v>7.2</v>
      </c>
      <c r="S792" s="69">
        <v>4.7691689999999998</v>
      </c>
      <c r="T792" s="69">
        <v>9.6</v>
      </c>
      <c r="U792" s="69">
        <v>3</v>
      </c>
      <c r="V792" s="69">
        <v>4.2</v>
      </c>
      <c r="W792" s="69">
        <v>6.6</v>
      </c>
      <c r="X792" s="69">
        <v>8.1</v>
      </c>
      <c r="Y792" s="69">
        <v>4.5174719999999997</v>
      </c>
      <c r="Z792" s="69">
        <v>4</v>
      </c>
      <c r="AA792" s="69">
        <v>5</v>
      </c>
      <c r="AB792" s="69"/>
      <c r="AC792" s="69">
        <v>3.2</v>
      </c>
      <c r="AD792" s="69">
        <v>7.2</v>
      </c>
      <c r="AE792" s="69">
        <v>6.9</v>
      </c>
      <c r="AF792" s="69">
        <v>5.3</v>
      </c>
      <c r="AG792" s="69">
        <v>8.4</v>
      </c>
      <c r="AH792" s="69">
        <v>12.9</v>
      </c>
      <c r="AI792" s="69">
        <v>6.7</v>
      </c>
      <c r="AJ792" s="69">
        <v>8.3000000000000007</v>
      </c>
      <c r="AK792" s="69">
        <v>6.0353089999999998</v>
      </c>
      <c r="AL792" s="69"/>
    </row>
    <row r="793" spans="1:38" x14ac:dyDescent="0.2">
      <c r="A793" s="10">
        <v>44166</v>
      </c>
      <c r="B793" s="69">
        <v>6.5898649999999996</v>
      </c>
      <c r="C793" s="69"/>
      <c r="D793" s="69">
        <v>5.7</v>
      </c>
      <c r="E793" s="69">
        <v>8.8000000000000007</v>
      </c>
      <c r="F793" s="69">
        <v>10.819050000000001</v>
      </c>
      <c r="G793" s="69">
        <v>3</v>
      </c>
      <c r="H793" s="69">
        <v>4.5999999999999996</v>
      </c>
      <c r="I793" s="69">
        <v>6</v>
      </c>
      <c r="J793" s="69">
        <v>16.100000000000001</v>
      </c>
      <c r="K793" s="69">
        <v>6.7</v>
      </c>
      <c r="L793" s="69">
        <v>8.1999999999999993</v>
      </c>
      <c r="M793" s="69">
        <v>7.8</v>
      </c>
      <c r="N793" s="69">
        <v>4.9969029999999997</v>
      </c>
      <c r="O793" s="69">
        <v>15.8</v>
      </c>
      <c r="P793" s="69">
        <v>4.0999999999999996</v>
      </c>
      <c r="Q793" s="69">
        <v>5.8</v>
      </c>
      <c r="R793" s="69">
        <v>7.2</v>
      </c>
      <c r="S793" s="69">
        <v>4.7952709999999996</v>
      </c>
      <c r="T793" s="69">
        <v>9.8000000000000007</v>
      </c>
      <c r="U793" s="69">
        <v>3</v>
      </c>
      <c r="V793" s="69">
        <v>4.5</v>
      </c>
      <c r="W793" s="69">
        <v>6.7</v>
      </c>
      <c r="X793" s="69">
        <v>8.1999999999999993</v>
      </c>
      <c r="Y793" s="69">
        <v>4.264475</v>
      </c>
      <c r="Z793" s="69">
        <v>3.9</v>
      </c>
      <c r="AA793" s="69"/>
      <c r="AB793" s="69"/>
      <c r="AC793" s="69">
        <v>3.2</v>
      </c>
      <c r="AD793" s="69">
        <v>6.9</v>
      </c>
      <c r="AE793" s="69">
        <v>6.9</v>
      </c>
      <c r="AF793" s="69">
        <v>5.2</v>
      </c>
      <c r="AG793" s="69">
        <v>8.8000000000000007</v>
      </c>
      <c r="AH793" s="69">
        <v>12.5</v>
      </c>
      <c r="AI793" s="69">
        <v>6.7</v>
      </c>
      <c r="AJ793" s="69">
        <v>8.1999999999999993</v>
      </c>
      <c r="AK793" s="69">
        <v>6.036759</v>
      </c>
      <c r="AL793" s="69"/>
    </row>
    <row r="794" spans="1:38" x14ac:dyDescent="0.2">
      <c r="A794" s="10">
        <v>44197</v>
      </c>
      <c r="B794" s="69">
        <v>6.3440820000000002</v>
      </c>
      <c r="C794" s="69"/>
      <c r="D794" s="69">
        <v>5.6</v>
      </c>
      <c r="E794" s="69">
        <v>9.4</v>
      </c>
      <c r="F794" s="69">
        <v>10.74671</v>
      </c>
      <c r="G794" s="69">
        <v>3.2</v>
      </c>
      <c r="H794" s="69">
        <v>4.5</v>
      </c>
      <c r="I794" s="69">
        <v>6</v>
      </c>
      <c r="J794" s="69">
        <v>15.7</v>
      </c>
      <c r="K794" s="69">
        <v>7.1</v>
      </c>
      <c r="L794" s="69">
        <v>8.1999999999999993</v>
      </c>
      <c r="M794" s="69">
        <v>7.9</v>
      </c>
      <c r="N794" s="69">
        <v>4.911003</v>
      </c>
      <c r="O794" s="69"/>
      <c r="P794" s="69">
        <v>4.9000000000000004</v>
      </c>
      <c r="Q794" s="69">
        <v>5.8</v>
      </c>
      <c r="R794" s="69">
        <v>7.1</v>
      </c>
      <c r="S794" s="69">
        <v>4.6090229999999996</v>
      </c>
      <c r="T794" s="69">
        <v>10.3</v>
      </c>
      <c r="U794" s="69">
        <v>2.9</v>
      </c>
      <c r="V794" s="69">
        <v>5.4</v>
      </c>
      <c r="W794" s="69">
        <v>6.8</v>
      </c>
      <c r="X794" s="69">
        <v>8.5</v>
      </c>
      <c r="Y794" s="69">
        <v>4.500159</v>
      </c>
      <c r="Z794" s="69">
        <v>3.6</v>
      </c>
      <c r="AA794" s="69"/>
      <c r="AB794" s="69"/>
      <c r="AC794" s="69">
        <v>3.1</v>
      </c>
      <c r="AD794" s="69">
        <v>6.9</v>
      </c>
      <c r="AE794" s="69">
        <v>7.2</v>
      </c>
      <c r="AF794" s="69">
        <v>5.0999999999999996</v>
      </c>
      <c r="AG794" s="69">
        <v>9</v>
      </c>
      <c r="AH794" s="69">
        <v>12.2</v>
      </c>
      <c r="AI794" s="69">
        <v>6.3</v>
      </c>
      <c r="AJ794" s="69">
        <v>8.1999999999999993</v>
      </c>
      <c r="AK794" s="69">
        <v>5.9158179999999998</v>
      </c>
      <c r="AL794" s="69"/>
    </row>
    <row r="795" spans="1:38" x14ac:dyDescent="0.2">
      <c r="A795" s="10">
        <v>44228</v>
      </c>
      <c r="B795" s="69">
        <v>5.8296429999999999</v>
      </c>
      <c r="C795" s="69"/>
      <c r="D795" s="69">
        <v>5.7</v>
      </c>
      <c r="E795" s="69">
        <v>8.1999999999999993</v>
      </c>
      <c r="F795" s="69">
        <v>10.46799</v>
      </c>
      <c r="G795" s="69">
        <v>3.2</v>
      </c>
      <c r="H795" s="69">
        <v>4.5</v>
      </c>
      <c r="I795" s="69">
        <v>6</v>
      </c>
      <c r="J795" s="69">
        <v>15.5</v>
      </c>
      <c r="K795" s="69">
        <v>6.8</v>
      </c>
      <c r="L795" s="69">
        <v>7.9</v>
      </c>
      <c r="M795" s="69">
        <v>8</v>
      </c>
      <c r="N795" s="69"/>
      <c r="O795" s="69"/>
      <c r="P795" s="69">
        <v>4.5</v>
      </c>
      <c r="Q795" s="69">
        <v>5.8</v>
      </c>
      <c r="R795" s="69">
        <v>7.1</v>
      </c>
      <c r="S795" s="69">
        <v>5.1489729999999998</v>
      </c>
      <c r="T795" s="69">
        <v>10.199999999999999</v>
      </c>
      <c r="U795" s="69">
        <v>2.9</v>
      </c>
      <c r="V795" s="69">
        <v>4</v>
      </c>
      <c r="W795" s="69">
        <v>6.7</v>
      </c>
      <c r="X795" s="69">
        <v>8.6999999999999993</v>
      </c>
      <c r="Y795" s="69">
        <v>4.4536990000000003</v>
      </c>
      <c r="Z795" s="69">
        <v>3.6</v>
      </c>
      <c r="AA795" s="69"/>
      <c r="AB795" s="69"/>
      <c r="AC795" s="69">
        <v>3.1</v>
      </c>
      <c r="AD795" s="69">
        <v>6.8</v>
      </c>
      <c r="AE795" s="69">
        <v>7.3</v>
      </c>
      <c r="AF795" s="69">
        <v>4.9000000000000004</v>
      </c>
      <c r="AG795" s="69">
        <v>9</v>
      </c>
      <c r="AH795" s="69"/>
      <c r="AI795" s="69">
        <v>6.2</v>
      </c>
      <c r="AJ795" s="69">
        <v>8.1999999999999993</v>
      </c>
      <c r="AK795" s="69">
        <v>5.816541</v>
      </c>
      <c r="AL795" s="69"/>
    </row>
    <row r="796" spans="1:38" x14ac:dyDescent="0.2">
      <c r="A796" s="10">
        <v>44256</v>
      </c>
      <c r="B796" s="69">
        <v>5.6156810000000004</v>
      </c>
      <c r="C796" s="69"/>
      <c r="D796" s="69">
        <v>5.8</v>
      </c>
      <c r="E796" s="69">
        <v>7.5</v>
      </c>
      <c r="F796" s="69"/>
      <c r="G796" s="69">
        <v>3.2</v>
      </c>
      <c r="H796" s="69">
        <v>4.5</v>
      </c>
      <c r="I796" s="69">
        <v>6</v>
      </c>
      <c r="J796" s="69">
        <v>15.3</v>
      </c>
      <c r="K796" s="69">
        <v>6.8</v>
      </c>
      <c r="L796" s="69">
        <v>7.7</v>
      </c>
      <c r="M796" s="69">
        <v>7.9</v>
      </c>
      <c r="N796" s="69"/>
      <c r="O796" s="69"/>
      <c r="P796" s="69">
        <v>3.9</v>
      </c>
      <c r="Q796" s="69">
        <v>5.8</v>
      </c>
      <c r="R796" s="69">
        <v>7.2</v>
      </c>
      <c r="S796" s="69">
        <v>5.391858</v>
      </c>
      <c r="T796" s="69">
        <v>10.1</v>
      </c>
      <c r="U796" s="69">
        <v>2.6</v>
      </c>
      <c r="V796" s="69">
        <v>3.9</v>
      </c>
      <c r="W796" s="69">
        <v>6.6</v>
      </c>
      <c r="X796" s="69">
        <v>8.6999999999999993</v>
      </c>
      <c r="Y796" s="69">
        <v>4.3094130000000002</v>
      </c>
      <c r="Z796" s="69">
        <v>3.5</v>
      </c>
      <c r="AA796" s="69"/>
      <c r="AB796" s="69"/>
      <c r="AC796" s="69">
        <v>3.1</v>
      </c>
      <c r="AD796" s="69">
        <v>6.5</v>
      </c>
      <c r="AE796" s="69">
        <v>7.4</v>
      </c>
      <c r="AF796" s="69">
        <v>4.8</v>
      </c>
      <c r="AG796" s="69">
        <v>9.5</v>
      </c>
      <c r="AH796" s="69"/>
      <c r="AI796" s="69">
        <v>6</v>
      </c>
      <c r="AJ796" s="69">
        <v>8.1</v>
      </c>
      <c r="AK796" s="69">
        <v>5.6318900000000003</v>
      </c>
      <c r="AL796" s="69"/>
    </row>
    <row r="797" spans="1:38" x14ac:dyDescent="0.2">
      <c r="A797" s="10">
        <v>44287</v>
      </c>
      <c r="B797" s="69"/>
      <c r="C797" s="69"/>
      <c r="D797" s="69"/>
      <c r="E797" s="69">
        <v>8.1</v>
      </c>
      <c r="F797" s="69"/>
      <c r="G797" s="69"/>
      <c r="H797" s="69"/>
      <c r="I797" s="69"/>
      <c r="J797" s="69"/>
      <c r="K797" s="69"/>
      <c r="L797" s="69"/>
      <c r="M797" s="69"/>
      <c r="N797" s="69"/>
      <c r="O797" s="69"/>
      <c r="P797" s="69"/>
      <c r="Q797" s="69"/>
      <c r="R797" s="69"/>
      <c r="S797" s="69"/>
      <c r="T797" s="69"/>
      <c r="U797" s="69"/>
      <c r="V797" s="69"/>
      <c r="W797" s="69"/>
      <c r="X797" s="69"/>
      <c r="Y797" s="69"/>
      <c r="Z797" s="69"/>
      <c r="AA797" s="69"/>
      <c r="AB797" s="69"/>
      <c r="AC797" s="69"/>
      <c r="AD797" s="69"/>
      <c r="AE797" s="69"/>
      <c r="AF797" s="69"/>
      <c r="AG797" s="69"/>
      <c r="AH797" s="69"/>
      <c r="AI797" s="69">
        <v>6.1</v>
      </c>
      <c r="AJ797" s="69"/>
      <c r="AK797" s="69"/>
      <c r="AL797" s="6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52125-00FB-46BC-AB70-2DCCB1521E0E}">
  <sheetPr codeName="Sheet8">
    <tabColor theme="9" tint="-0.249977111117893"/>
  </sheetPr>
  <dimension ref="A1:AN330"/>
  <sheetViews>
    <sheetView zoomScale="140" zoomScaleNormal="140" workbookViewId="0">
      <pane xSplit="2" ySplit="3" topLeftCell="C4" activePane="bottomRight" state="frozen"/>
      <selection activeCell="AI835" sqref="AI835"/>
      <selection pane="topRight" activeCell="AI835" sqref="AI835"/>
      <selection pane="bottomLeft" activeCell="AI835" sqref="AI835"/>
      <selection pane="bottomRight" activeCell="W16" sqref="W16"/>
    </sheetView>
  </sheetViews>
  <sheetFormatPr baseColWidth="10" defaultColWidth="8.83203125" defaultRowHeight="15" x14ac:dyDescent="0.2"/>
  <cols>
    <col min="1" max="1" width="9.1640625" style="1"/>
    <col min="2" max="2" width="13.6640625" customWidth="1"/>
    <col min="3" max="20" width="6.1640625" customWidth="1"/>
    <col min="21" max="21" width="6.1640625" style="1" customWidth="1"/>
    <col min="22" max="40" width="9.1640625" style="1"/>
  </cols>
  <sheetData>
    <row r="1" spans="2:20" x14ac:dyDescent="0.2">
      <c r="C1" t="s">
        <v>82</v>
      </c>
      <c r="D1" t="s">
        <v>83</v>
      </c>
      <c r="E1" t="s">
        <v>68</v>
      </c>
      <c r="F1" t="s">
        <v>55</v>
      </c>
      <c r="G1" t="s">
        <v>60</v>
      </c>
      <c r="H1" t="s">
        <v>61</v>
      </c>
      <c r="I1" t="s">
        <v>67</v>
      </c>
      <c r="J1" t="s">
        <v>57</v>
      </c>
      <c r="K1" t="s">
        <v>80</v>
      </c>
      <c r="L1" t="s">
        <v>72</v>
      </c>
      <c r="M1" t="s">
        <v>52</v>
      </c>
      <c r="N1" t="s">
        <v>49</v>
      </c>
      <c r="O1" t="s">
        <v>69</v>
      </c>
      <c r="P1" t="s">
        <v>62</v>
      </c>
      <c r="Q1" t="s">
        <v>64</v>
      </c>
      <c r="R1" t="s">
        <v>81</v>
      </c>
      <c r="S1" t="s">
        <v>54</v>
      </c>
      <c r="T1" t="s">
        <v>76</v>
      </c>
    </row>
    <row r="2" spans="2:20" s="1" customFormat="1" x14ac:dyDescent="0.2"/>
    <row r="3" spans="2:20" ht="75.75" customHeight="1" x14ac:dyDescent="0.2">
      <c r="B3" s="11"/>
      <c r="C3" s="12" t="s">
        <v>85</v>
      </c>
      <c r="D3" s="13" t="s">
        <v>86</v>
      </c>
      <c r="E3" s="14" t="s">
        <v>87</v>
      </c>
      <c r="F3" s="15" t="s">
        <v>88</v>
      </c>
      <c r="G3" s="15" t="s">
        <v>89</v>
      </c>
      <c r="H3" s="15" t="s">
        <v>90</v>
      </c>
      <c r="I3" s="15" t="s">
        <v>91</v>
      </c>
      <c r="J3" s="15" t="s">
        <v>92</v>
      </c>
      <c r="K3" s="15" t="s">
        <v>93</v>
      </c>
      <c r="L3" s="15" t="s">
        <v>94</v>
      </c>
      <c r="M3" s="15" t="s">
        <v>95</v>
      </c>
      <c r="N3" s="15" t="s">
        <v>96</v>
      </c>
      <c r="O3" s="15" t="s">
        <v>97</v>
      </c>
      <c r="P3" s="15" t="s">
        <v>98</v>
      </c>
      <c r="Q3" s="15" t="s">
        <v>99</v>
      </c>
      <c r="R3" s="15" t="s">
        <v>100</v>
      </c>
      <c r="S3" s="15" t="s">
        <v>101</v>
      </c>
      <c r="T3" s="15" t="s">
        <v>102</v>
      </c>
    </row>
    <row r="4" spans="2:20" x14ac:dyDescent="0.2">
      <c r="B4" s="11"/>
      <c r="C4" s="16"/>
      <c r="D4" s="16"/>
      <c r="E4" s="16"/>
      <c r="F4" s="16"/>
      <c r="G4" s="16"/>
      <c r="H4" s="16"/>
      <c r="I4" s="16"/>
      <c r="J4" s="16"/>
      <c r="K4" s="16"/>
      <c r="L4" s="16"/>
      <c r="M4" s="16"/>
      <c r="N4" s="16"/>
      <c r="O4" s="16"/>
      <c r="P4" s="16"/>
      <c r="Q4" s="16"/>
      <c r="R4" s="16"/>
      <c r="S4" s="16"/>
      <c r="T4" s="16"/>
    </row>
    <row r="5" spans="2:20" x14ac:dyDescent="0.2">
      <c r="B5" s="17">
        <v>42094</v>
      </c>
      <c r="C5" s="18">
        <f>VLOOKUP(B5,'Data World'!$A:$AL,MATCH(World!$C$1,'Data World'!$A$1:$AL$1,))</f>
        <v>5.4</v>
      </c>
      <c r="D5" s="18">
        <f>VLOOKUP(B5,'Data World'!$A:$AL,MATCH(World!$D$1,'Data World'!$A$1:$AL$1,))</f>
        <v>11.2</v>
      </c>
      <c r="E5" s="18">
        <f>VLOOKUP(B5,'Data World'!$A:$AL,MATCH(World!$E$1,'Data World'!$A$1:$AL$1,))</f>
        <v>3.4</v>
      </c>
      <c r="F5" s="18">
        <f>VLOOKUP(B5,'Data World'!$A:$AL,MATCH(World!$F$1,'Data World'!$A$1:$AL$1,))</f>
        <v>4.7</v>
      </c>
      <c r="G5" s="18">
        <f>VLOOKUP(B5,'Data World'!$A:$AL,MATCH(World!$G$1,'Data World'!$A$1:$AL$1,))</f>
        <v>10.4</v>
      </c>
      <c r="H5" s="18">
        <f>VLOOKUP(B5,'Data World'!$A:$AL,MATCH(World!$H$1,'Data World'!$A$1:$AL$1,))</f>
        <v>5.5039170000000004</v>
      </c>
      <c r="I5" s="18">
        <f>VLOOKUP(B5,'Data World'!$A:$AL,MATCH(World!$I$1,'Data World'!$A$1:$AL$1,))</f>
        <v>12.6</v>
      </c>
      <c r="J5" s="18">
        <f>VLOOKUP(B5,'Data World'!$A:$AL,MATCH(World!$J$1,'Data World'!$A$1:$AL$1,))</f>
        <v>22.9</v>
      </c>
      <c r="K5" s="18">
        <f>VLOOKUP(B5,'Data World'!$A:$AL,MATCH(World!$K$1,'Data World'!$A$1:$AL$1,))</f>
        <v>7.5</v>
      </c>
      <c r="L5" s="18">
        <f>VLOOKUP(B5,'Data World'!$A:$AL,MATCH(World!$L$1,'Data World'!$A$1:$AL$1,))</f>
        <v>4.226</v>
      </c>
      <c r="M5" s="18">
        <f>VLOOKUP(B5,'Data World'!$A:$AL,MATCH(World!$M$1,'Data World'!$A$1:$AL$1,))</f>
        <v>6.9</v>
      </c>
      <c r="N5" s="18">
        <f>VLOOKUP(B5,'Data World'!$A:$AL,MATCH(World!$N$1,'Data World'!$A$1:$AL$1,))</f>
        <v>6.0910310000000001</v>
      </c>
      <c r="O5" s="18">
        <f>VLOOKUP(B5,'Data World'!$A:$AL,MATCH(World!$O$1,'Data World'!$A$1:$AL$1,))</f>
        <v>3.5</v>
      </c>
      <c r="P5" s="18">
        <f>VLOOKUP(B5,'Data World'!$A:$AL,MATCH(World!$P$1,'Data World'!$A$1:$AL$1,))</f>
        <v>26.2</v>
      </c>
      <c r="Q5" s="18">
        <f>VLOOKUP(B5,'Data World'!$A:$AL,MATCH(World!$Q$1,'Data World'!$A$1:$AL$1,))</f>
        <v>10.6</v>
      </c>
      <c r="R5" s="18">
        <f>VLOOKUP(B5,'Data World'!$A:$AL,MATCH(World!$R$1,'Data World'!$A$1:$AL$1,))</f>
        <v>10.3</v>
      </c>
      <c r="S5" s="18">
        <f>VLOOKUP(B5,'Data World'!$A:$AL,MATCH(World!$S$1,'Data World'!$A$1:$AL$1,))</f>
        <v>5.7</v>
      </c>
      <c r="T5" s="18">
        <f>VLOOKUP(B5,'Data World'!$A:$AL,MATCH(World!$T$1,'Data World'!$A$1:$AL$1,))</f>
        <v>7.9</v>
      </c>
    </row>
    <row r="6" spans="2:20" x14ac:dyDescent="0.2">
      <c r="B6" s="17">
        <v>42124</v>
      </c>
      <c r="C6" s="18">
        <f>VLOOKUP(B6,'Data World'!$A:$AL,MATCH(World!$C$1,'Data World'!$A$1:$AL$1,))</f>
        <v>5.4</v>
      </c>
      <c r="D6" s="18">
        <f>VLOOKUP(B6,'Data World'!$A:$AL,MATCH(World!$D$1,'Data World'!$A$1:$AL$1,))</f>
        <v>11.1</v>
      </c>
      <c r="E6" s="18">
        <f>VLOOKUP(B6,'Data World'!$A:$AL,MATCH(World!$E$1,'Data World'!$A$1:$AL$1,))</f>
        <v>3.4</v>
      </c>
      <c r="F6" s="18">
        <f>VLOOKUP(B6,'Data World'!$A:$AL,MATCH(World!$F$1,'Data World'!$A$1:$AL$1,))</f>
        <v>4.7</v>
      </c>
      <c r="G6" s="18">
        <f>VLOOKUP(B6,'Data World'!$A:$AL,MATCH(World!$G$1,'Data World'!$A$1:$AL$1,))</f>
        <v>10.5</v>
      </c>
      <c r="H6" s="18">
        <f>VLOOKUP(B6,'Data World'!$A:$AL,MATCH(World!$H$1,'Data World'!$A$1:$AL$1,))</f>
        <v>5.6174460000000002</v>
      </c>
      <c r="I6" s="18">
        <f>VLOOKUP(B6,'Data World'!$A:$AL,MATCH(World!$I$1,'Data World'!$A$1:$AL$1,))</f>
        <v>12.2</v>
      </c>
      <c r="J6" s="18">
        <f>VLOOKUP(B6,'Data World'!$A:$AL,MATCH(World!$J$1,'Data World'!$A$1:$AL$1,))</f>
        <v>22.7</v>
      </c>
      <c r="K6" s="18">
        <f>VLOOKUP(B6,'Data World'!$A:$AL,MATCH(World!$K$1,'Data World'!$A$1:$AL$1,))</f>
        <v>7.8</v>
      </c>
      <c r="L6" s="18">
        <f>VLOOKUP(B6,'Data World'!$A:$AL,MATCH(World!$L$1,'Data World'!$A$1:$AL$1,))</f>
        <v>4.3980040000000002</v>
      </c>
      <c r="M6" s="18">
        <f>VLOOKUP(B6,'Data World'!$A:$AL,MATCH(World!$M$1,'Data World'!$A$1:$AL$1,))</f>
        <v>6.9</v>
      </c>
      <c r="N6" s="18">
        <f>VLOOKUP(B6,'Data World'!$A:$AL,MATCH(World!$N$1,'Data World'!$A$1:$AL$1,))</f>
        <v>6.1058669999999999</v>
      </c>
      <c r="O6" s="18">
        <f>VLOOKUP(B6,'Data World'!$A:$AL,MATCH(World!$O$1,'Data World'!$A$1:$AL$1,))</f>
        <v>3.6</v>
      </c>
      <c r="P6" s="18">
        <f>VLOOKUP(B6,'Data World'!$A:$AL,MATCH(World!$P$1,'Data World'!$A$1:$AL$1,))</f>
        <v>25</v>
      </c>
      <c r="Q6" s="18">
        <f>VLOOKUP(B6,'Data World'!$A:$AL,MATCH(World!$Q$1,'Data World'!$A$1:$AL$1,))</f>
        <v>10.4</v>
      </c>
      <c r="R6" s="18">
        <f>VLOOKUP(B6,'Data World'!$A:$AL,MATCH(World!$R$1,'Data World'!$A$1:$AL$1,))</f>
        <v>10.199999999999999</v>
      </c>
      <c r="S6" s="18">
        <f>VLOOKUP(B6,'Data World'!$A:$AL,MATCH(World!$S$1,'Data World'!$A$1:$AL$1,))</f>
        <v>5.3</v>
      </c>
      <c r="T6" s="18">
        <f>VLOOKUP(B6,'Data World'!$A:$AL,MATCH(World!$T$1,'Data World'!$A$1:$AL$1,))</f>
        <v>7.7</v>
      </c>
    </row>
    <row r="7" spans="2:20" x14ac:dyDescent="0.2">
      <c r="B7" s="17">
        <v>42155</v>
      </c>
      <c r="C7" s="18">
        <f>VLOOKUP(B7,'Data World'!$A:$AL,MATCH(World!$C$1,'Data World'!$A$1:$AL$1,))</f>
        <v>5.6</v>
      </c>
      <c r="D7" s="18">
        <f>VLOOKUP(B7,'Data World'!$A:$AL,MATCH(World!$D$1,'Data World'!$A$1:$AL$1,))</f>
        <v>11.1</v>
      </c>
      <c r="E7" s="18">
        <f>VLOOKUP(B7,'Data World'!$A:$AL,MATCH(World!$E$1,'Data World'!$A$1:$AL$1,))</f>
        <v>3.3</v>
      </c>
      <c r="F7" s="18">
        <f>VLOOKUP(B7,'Data World'!$A:$AL,MATCH(World!$F$1,'Data World'!$A$1:$AL$1,))</f>
        <v>4.7</v>
      </c>
      <c r="G7" s="18">
        <f>VLOOKUP(B7,'Data World'!$A:$AL,MATCH(World!$G$1,'Data World'!$A$1:$AL$1,))</f>
        <v>10.5</v>
      </c>
      <c r="H7" s="18">
        <f>VLOOKUP(B7,'Data World'!$A:$AL,MATCH(World!$H$1,'Data World'!$A$1:$AL$1,))</f>
        <v>5.6087600000000002</v>
      </c>
      <c r="I7" s="18">
        <f>VLOOKUP(B7,'Data World'!$A:$AL,MATCH(World!$I$1,'Data World'!$A$1:$AL$1,))</f>
        <v>12.3</v>
      </c>
      <c r="J7" s="18">
        <f>VLOOKUP(B7,'Data World'!$A:$AL,MATCH(World!$J$1,'Data World'!$A$1:$AL$1,))</f>
        <v>22.5</v>
      </c>
      <c r="K7" s="18">
        <f>VLOOKUP(B7,'Data World'!$A:$AL,MATCH(World!$K$1,'Data World'!$A$1:$AL$1,))</f>
        <v>7.6</v>
      </c>
      <c r="L7" s="18">
        <f>VLOOKUP(B7,'Data World'!$A:$AL,MATCH(World!$L$1,'Data World'!$A$1:$AL$1,))</f>
        <v>4.5111400000000001</v>
      </c>
      <c r="M7" s="18">
        <f>VLOOKUP(B7,'Data World'!$A:$AL,MATCH(World!$M$1,'Data World'!$A$1:$AL$1,))</f>
        <v>6.9</v>
      </c>
      <c r="N7" s="18">
        <f>VLOOKUP(B7,'Data World'!$A:$AL,MATCH(World!$N$1,'Data World'!$A$1:$AL$1,))</f>
        <v>5.9358019999999998</v>
      </c>
      <c r="O7" s="18">
        <f>VLOOKUP(B7,'Data World'!$A:$AL,MATCH(World!$O$1,'Data World'!$A$1:$AL$1,))</f>
        <v>3.7</v>
      </c>
      <c r="P7" s="18">
        <f>VLOOKUP(B7,'Data World'!$A:$AL,MATCH(World!$P$1,'Data World'!$A$1:$AL$1,))</f>
        <v>25</v>
      </c>
      <c r="Q7" s="18">
        <f>VLOOKUP(B7,'Data World'!$A:$AL,MATCH(World!$Q$1,'Data World'!$A$1:$AL$1,))</f>
        <v>10.1</v>
      </c>
      <c r="R7" s="18">
        <f>VLOOKUP(B7,'Data World'!$A:$AL,MATCH(World!$R$1,'Data World'!$A$1:$AL$1,))</f>
        <v>10.3</v>
      </c>
      <c r="S7" s="18">
        <f>VLOOKUP(B7,'Data World'!$A:$AL,MATCH(World!$S$1,'Data World'!$A$1:$AL$1,))</f>
        <v>4.9000000000000004</v>
      </c>
      <c r="T7" s="18">
        <f>VLOOKUP(B7,'Data World'!$A:$AL,MATCH(World!$T$1,'Data World'!$A$1:$AL$1,))</f>
        <v>7.6</v>
      </c>
    </row>
    <row r="8" spans="2:20" x14ac:dyDescent="0.2">
      <c r="B8" s="17">
        <v>42185</v>
      </c>
      <c r="C8" s="18">
        <f>VLOOKUP(B8,'Data World'!$A:$AL,MATCH(World!$C$1,'Data World'!$A$1:$AL$1,))</f>
        <v>5.3</v>
      </c>
      <c r="D8" s="18">
        <f>VLOOKUP(B8,'Data World'!$A:$AL,MATCH(World!$D$1,'Data World'!$A$1:$AL$1,))</f>
        <v>11</v>
      </c>
      <c r="E8" s="18">
        <f>VLOOKUP(B8,'Data World'!$A:$AL,MATCH(World!$E$1,'Data World'!$A$1:$AL$1,))</f>
        <v>3.4</v>
      </c>
      <c r="F8" s="18">
        <f>VLOOKUP(B8,'Data World'!$A:$AL,MATCH(World!$F$1,'Data World'!$A$1:$AL$1,))</f>
        <v>4.7</v>
      </c>
      <c r="G8" s="18">
        <f>VLOOKUP(B8,'Data World'!$A:$AL,MATCH(World!$G$1,'Data World'!$A$1:$AL$1,))</f>
        <v>10.5</v>
      </c>
      <c r="H8" s="18">
        <f>VLOOKUP(B8,'Data World'!$A:$AL,MATCH(World!$H$1,'Data World'!$A$1:$AL$1,))</f>
        <v>5.5188030000000001</v>
      </c>
      <c r="I8" s="18">
        <f>VLOOKUP(B8,'Data World'!$A:$AL,MATCH(World!$I$1,'Data World'!$A$1:$AL$1,))</f>
        <v>12.4</v>
      </c>
      <c r="J8" s="18">
        <f>VLOOKUP(B8,'Data World'!$A:$AL,MATCH(World!$J$1,'Data World'!$A$1:$AL$1,))</f>
        <v>22.3</v>
      </c>
      <c r="K8" s="18">
        <f>VLOOKUP(B8,'Data World'!$A:$AL,MATCH(World!$K$1,'Data World'!$A$1:$AL$1,))</f>
        <v>7.5</v>
      </c>
      <c r="L8" s="18">
        <f>VLOOKUP(B8,'Data World'!$A:$AL,MATCH(World!$L$1,'Data World'!$A$1:$AL$1,))</f>
        <v>4.4119000000000002</v>
      </c>
      <c r="M8" s="18">
        <f>VLOOKUP(B8,'Data World'!$A:$AL,MATCH(World!$M$1,'Data World'!$A$1:$AL$1,))</f>
        <v>6.9</v>
      </c>
      <c r="N8" s="18">
        <f>VLOOKUP(B8,'Data World'!$A:$AL,MATCH(World!$N$1,'Data World'!$A$1:$AL$1,))</f>
        <v>6.0072570000000001</v>
      </c>
      <c r="O8" s="18">
        <f>VLOOKUP(B8,'Data World'!$A:$AL,MATCH(World!$O$1,'Data World'!$A$1:$AL$1,))</f>
        <v>3.8</v>
      </c>
      <c r="P8" s="18">
        <f>VLOOKUP(B8,'Data World'!$A:$AL,MATCH(World!$P$1,'Data World'!$A$1:$AL$1,))</f>
        <v>25.2</v>
      </c>
      <c r="Q8" s="18">
        <f>VLOOKUP(B8,'Data World'!$A:$AL,MATCH(World!$Q$1,'Data World'!$A$1:$AL$1,))</f>
        <v>9.9</v>
      </c>
      <c r="R8" s="18">
        <f>VLOOKUP(B8,'Data World'!$A:$AL,MATCH(World!$R$1,'Data World'!$A$1:$AL$1,))</f>
        <v>10.4</v>
      </c>
      <c r="S8" s="18">
        <f>VLOOKUP(B8,'Data World'!$A:$AL,MATCH(World!$S$1,'Data World'!$A$1:$AL$1,))</f>
        <v>5</v>
      </c>
      <c r="T8" s="18">
        <f>VLOOKUP(B8,'Data World'!$A:$AL,MATCH(World!$T$1,'Data World'!$A$1:$AL$1,))</f>
        <v>7.4</v>
      </c>
    </row>
    <row r="9" spans="2:20" x14ac:dyDescent="0.2">
      <c r="B9" s="17">
        <v>42216</v>
      </c>
      <c r="C9" s="18">
        <f>VLOOKUP(B9,'Data World'!$A:$AL,MATCH(World!$C$1,'Data World'!$A$1:$AL$1,))</f>
        <v>5.2</v>
      </c>
      <c r="D9" s="18">
        <f>VLOOKUP(B9,'Data World'!$A:$AL,MATCH(World!$D$1,'Data World'!$A$1:$AL$1,))</f>
        <v>10.8</v>
      </c>
      <c r="E9" s="18">
        <f>VLOOKUP(B9,'Data World'!$A:$AL,MATCH(World!$E$1,'Data World'!$A$1:$AL$1,))</f>
        <v>3.3</v>
      </c>
      <c r="F9" s="18">
        <f>VLOOKUP(B9,'Data World'!$A:$AL,MATCH(World!$F$1,'Data World'!$A$1:$AL$1,))</f>
        <v>4.5999999999999996</v>
      </c>
      <c r="G9" s="18">
        <f>VLOOKUP(B9,'Data World'!$A:$AL,MATCH(World!$G$1,'Data World'!$A$1:$AL$1,))</f>
        <v>10.4</v>
      </c>
      <c r="H9" s="18">
        <f>VLOOKUP(B9,'Data World'!$A:$AL,MATCH(World!$H$1,'Data World'!$A$1:$AL$1,))</f>
        <v>5.3921169999999998</v>
      </c>
      <c r="I9" s="18">
        <f>VLOOKUP(B9,'Data World'!$A:$AL,MATCH(World!$I$1,'Data World'!$A$1:$AL$1,))</f>
        <v>11.8</v>
      </c>
      <c r="J9" s="18">
        <f>VLOOKUP(B9,'Data World'!$A:$AL,MATCH(World!$J$1,'Data World'!$A$1:$AL$1,))</f>
        <v>21.9</v>
      </c>
      <c r="K9" s="18">
        <f>VLOOKUP(B9,'Data World'!$A:$AL,MATCH(World!$K$1,'Data World'!$A$1:$AL$1,))</f>
        <v>7.1</v>
      </c>
      <c r="L9" s="18">
        <f>VLOOKUP(B9,'Data World'!$A:$AL,MATCH(World!$L$1,'Data World'!$A$1:$AL$1,))</f>
        <v>4.4360910000000002</v>
      </c>
      <c r="M9" s="18">
        <f>VLOOKUP(B9,'Data World'!$A:$AL,MATCH(World!$M$1,'Data World'!$A$1:$AL$1,))</f>
        <v>6.9</v>
      </c>
      <c r="N9" s="18">
        <f>VLOOKUP(B9,'Data World'!$A:$AL,MATCH(World!$N$1,'Data World'!$A$1:$AL$1,))</f>
        <v>6.2719279999999999</v>
      </c>
      <c r="O9" s="18">
        <f>VLOOKUP(B9,'Data World'!$A:$AL,MATCH(World!$O$1,'Data World'!$A$1:$AL$1,))</f>
        <v>3.7</v>
      </c>
      <c r="P9" s="18">
        <f>VLOOKUP(B9,'Data World'!$A:$AL,MATCH(World!$P$1,'Data World'!$A$1:$AL$1,))</f>
        <v>25</v>
      </c>
      <c r="Q9" s="18">
        <f>VLOOKUP(B9,'Data World'!$A:$AL,MATCH(World!$Q$1,'Data World'!$A$1:$AL$1,))</f>
        <v>9.6</v>
      </c>
      <c r="R9" s="18">
        <f>VLOOKUP(B9,'Data World'!$A:$AL,MATCH(World!$R$1,'Data World'!$A$1:$AL$1,))</f>
        <v>10.199999999999999</v>
      </c>
      <c r="S9" s="18">
        <f>VLOOKUP(B9,'Data World'!$A:$AL,MATCH(World!$S$1,'Data World'!$A$1:$AL$1,))</f>
        <v>4.9000000000000004</v>
      </c>
      <c r="T9" s="18">
        <f>VLOOKUP(B9,'Data World'!$A:$AL,MATCH(World!$T$1,'Data World'!$A$1:$AL$1,))</f>
        <v>7.4</v>
      </c>
    </row>
    <row r="10" spans="2:20" x14ac:dyDescent="0.2">
      <c r="B10" s="17">
        <v>42247</v>
      </c>
      <c r="C10" s="18">
        <f>VLOOKUP(B10,'Data World'!$A:$AL,MATCH(World!$C$1,'Data World'!$A$1:$AL$1,))</f>
        <v>5.0999999999999996</v>
      </c>
      <c r="D10" s="18">
        <f>VLOOKUP(B10,'Data World'!$A:$AL,MATCH(World!$D$1,'Data World'!$A$1:$AL$1,))</f>
        <v>10.7</v>
      </c>
      <c r="E10" s="18">
        <f>VLOOKUP(B10,'Data World'!$A:$AL,MATCH(World!$E$1,'Data World'!$A$1:$AL$1,))</f>
        <v>3.4</v>
      </c>
      <c r="F10" s="18">
        <f>VLOOKUP(B10,'Data World'!$A:$AL,MATCH(World!$F$1,'Data World'!$A$1:$AL$1,))</f>
        <v>4.5999999999999996</v>
      </c>
      <c r="G10" s="18">
        <f>VLOOKUP(B10,'Data World'!$A:$AL,MATCH(World!$G$1,'Data World'!$A$1:$AL$1,))</f>
        <v>10.3</v>
      </c>
      <c r="H10" s="18">
        <f>VLOOKUP(B10,'Data World'!$A:$AL,MATCH(World!$H$1,'Data World'!$A$1:$AL$1,))</f>
        <v>5.3193219999999997</v>
      </c>
      <c r="I10" s="18">
        <f>VLOOKUP(B10,'Data World'!$A:$AL,MATCH(World!$I$1,'Data World'!$A$1:$AL$1,))</f>
        <v>11.7</v>
      </c>
      <c r="J10" s="18">
        <f>VLOOKUP(B10,'Data World'!$A:$AL,MATCH(World!$J$1,'Data World'!$A$1:$AL$1,))</f>
        <v>21.7</v>
      </c>
      <c r="K10" s="18">
        <f>VLOOKUP(B10,'Data World'!$A:$AL,MATCH(World!$K$1,'Data World'!$A$1:$AL$1,))</f>
        <v>6.9</v>
      </c>
      <c r="L10" s="18">
        <f>VLOOKUP(B10,'Data World'!$A:$AL,MATCH(World!$L$1,'Data World'!$A$1:$AL$1,))</f>
        <v>4.389831</v>
      </c>
      <c r="M10" s="18">
        <f>VLOOKUP(B10,'Data World'!$A:$AL,MATCH(World!$M$1,'Data World'!$A$1:$AL$1,))</f>
        <v>7</v>
      </c>
      <c r="N10" s="18">
        <f>VLOOKUP(B10,'Data World'!$A:$AL,MATCH(World!$N$1,'Data World'!$A$1:$AL$1,))</f>
        <v>6.0800549999999998</v>
      </c>
      <c r="O10" s="18">
        <f>VLOOKUP(B10,'Data World'!$A:$AL,MATCH(World!$O$1,'Data World'!$A$1:$AL$1,))</f>
        <v>3.6</v>
      </c>
      <c r="P10" s="18">
        <f>VLOOKUP(B10,'Data World'!$A:$AL,MATCH(World!$P$1,'Data World'!$A$1:$AL$1,))</f>
        <v>24.7</v>
      </c>
      <c r="Q10" s="18">
        <f>VLOOKUP(B10,'Data World'!$A:$AL,MATCH(World!$Q$1,'Data World'!$A$1:$AL$1,))</f>
        <v>9.5</v>
      </c>
      <c r="R10" s="18">
        <f>VLOOKUP(B10,'Data World'!$A:$AL,MATCH(World!$R$1,'Data World'!$A$1:$AL$1,))</f>
        <v>10.199999999999999</v>
      </c>
      <c r="S10" s="18">
        <f>VLOOKUP(B10,'Data World'!$A:$AL,MATCH(World!$S$1,'Data World'!$A$1:$AL$1,))</f>
        <v>4.7</v>
      </c>
      <c r="T10" s="18">
        <f>VLOOKUP(B10,'Data World'!$A:$AL,MATCH(World!$T$1,'Data World'!$A$1:$AL$1,))</f>
        <v>7.3</v>
      </c>
    </row>
    <row r="11" spans="2:20" x14ac:dyDescent="0.2">
      <c r="B11" s="17">
        <v>42277</v>
      </c>
      <c r="C11" s="18">
        <f>VLOOKUP(B11,'Data World'!$A:$AL,MATCH(World!$C$1,'Data World'!$A$1:$AL$1,))</f>
        <v>5</v>
      </c>
      <c r="D11" s="18">
        <f>VLOOKUP(B11,'Data World'!$A:$AL,MATCH(World!$D$1,'Data World'!$A$1:$AL$1,))</f>
        <v>10.7</v>
      </c>
      <c r="E11" s="18">
        <f>VLOOKUP(B11,'Data World'!$A:$AL,MATCH(World!$E$1,'Data World'!$A$1:$AL$1,))</f>
        <v>3.4</v>
      </c>
      <c r="F11" s="18">
        <f>VLOOKUP(B11,'Data World'!$A:$AL,MATCH(World!$F$1,'Data World'!$A$1:$AL$1,))</f>
        <v>4.5</v>
      </c>
      <c r="G11" s="18">
        <f>VLOOKUP(B11,'Data World'!$A:$AL,MATCH(World!$G$1,'Data World'!$A$1:$AL$1,))</f>
        <v>10.3</v>
      </c>
      <c r="H11" s="18">
        <f>VLOOKUP(B11,'Data World'!$A:$AL,MATCH(World!$H$1,'Data World'!$A$1:$AL$1,))</f>
        <v>5.1742730000000003</v>
      </c>
      <c r="I11" s="18">
        <f>VLOOKUP(B11,'Data World'!$A:$AL,MATCH(World!$I$1,'Data World'!$A$1:$AL$1,))</f>
        <v>11.6</v>
      </c>
      <c r="J11" s="18">
        <f>VLOOKUP(B11,'Data World'!$A:$AL,MATCH(World!$J$1,'Data World'!$A$1:$AL$1,))</f>
        <v>21.4</v>
      </c>
      <c r="K11" s="18">
        <f>VLOOKUP(B11,'Data World'!$A:$AL,MATCH(World!$K$1,'Data World'!$A$1:$AL$1,))</f>
        <v>7.3</v>
      </c>
      <c r="L11" s="18">
        <f>VLOOKUP(B11,'Data World'!$A:$AL,MATCH(World!$L$1,'Data World'!$A$1:$AL$1,))</f>
        <v>4.1901869999999999</v>
      </c>
      <c r="M11" s="18">
        <f>VLOOKUP(B11,'Data World'!$A:$AL,MATCH(World!$M$1,'Data World'!$A$1:$AL$1,))</f>
        <v>7.1</v>
      </c>
      <c r="N11" s="18">
        <f>VLOOKUP(B11,'Data World'!$A:$AL,MATCH(World!$N$1,'Data World'!$A$1:$AL$1,))</f>
        <v>6.1630409999999998</v>
      </c>
      <c r="O11" s="18">
        <f>VLOOKUP(B11,'Data World'!$A:$AL,MATCH(World!$O$1,'Data World'!$A$1:$AL$1,))</f>
        <v>3.5</v>
      </c>
      <c r="P11" s="18">
        <f>VLOOKUP(B11,'Data World'!$A:$AL,MATCH(World!$P$1,'Data World'!$A$1:$AL$1,))</f>
        <v>24.8</v>
      </c>
      <c r="Q11" s="18">
        <f>VLOOKUP(B11,'Data World'!$A:$AL,MATCH(World!$Q$1,'Data World'!$A$1:$AL$1,))</f>
        <v>9.6</v>
      </c>
      <c r="R11" s="18">
        <f>VLOOKUP(B11,'Data World'!$A:$AL,MATCH(World!$R$1,'Data World'!$A$1:$AL$1,))</f>
        <v>10.3</v>
      </c>
      <c r="S11" s="18">
        <f>VLOOKUP(B11,'Data World'!$A:$AL,MATCH(World!$S$1,'Data World'!$A$1:$AL$1,))</f>
        <v>4.8</v>
      </c>
      <c r="T11" s="18">
        <f>VLOOKUP(B11,'Data World'!$A:$AL,MATCH(World!$T$1,'Data World'!$A$1:$AL$1,))</f>
        <v>7.2</v>
      </c>
    </row>
    <row r="12" spans="2:20" x14ac:dyDescent="0.2">
      <c r="B12" s="17">
        <v>42308</v>
      </c>
      <c r="C12" s="18">
        <f>VLOOKUP(B12,'Data World'!$A:$AL,MATCH(World!$C$1,'Data World'!$A$1:$AL$1,))</f>
        <v>5</v>
      </c>
      <c r="D12" s="18">
        <f>VLOOKUP(B12,'Data World'!$A:$AL,MATCH(World!$D$1,'Data World'!$A$1:$AL$1,))</f>
        <v>10.6</v>
      </c>
      <c r="E12" s="18">
        <f>VLOOKUP(B12,'Data World'!$A:$AL,MATCH(World!$E$1,'Data World'!$A$1:$AL$1,))</f>
        <v>3.2</v>
      </c>
      <c r="F12" s="18">
        <f>VLOOKUP(B12,'Data World'!$A:$AL,MATCH(World!$F$1,'Data World'!$A$1:$AL$1,))</f>
        <v>4.5</v>
      </c>
      <c r="G12" s="18">
        <f>VLOOKUP(B12,'Data World'!$A:$AL,MATCH(World!$G$1,'Data World'!$A$1:$AL$1,))</f>
        <v>10.3</v>
      </c>
      <c r="H12" s="18">
        <f>VLOOKUP(B12,'Data World'!$A:$AL,MATCH(World!$H$1,'Data World'!$A$1:$AL$1,))</f>
        <v>5.0813969999999999</v>
      </c>
      <c r="I12" s="18">
        <f>VLOOKUP(B12,'Data World'!$A:$AL,MATCH(World!$I$1,'Data World'!$A$1:$AL$1,))</f>
        <v>11.8</v>
      </c>
      <c r="J12" s="18">
        <f>VLOOKUP(B12,'Data World'!$A:$AL,MATCH(World!$J$1,'Data World'!$A$1:$AL$1,))</f>
        <v>21.2</v>
      </c>
      <c r="K12" s="18">
        <f>VLOOKUP(B12,'Data World'!$A:$AL,MATCH(World!$K$1,'Data World'!$A$1:$AL$1,))</f>
        <v>7.2</v>
      </c>
      <c r="L12" s="18">
        <f>VLOOKUP(B12,'Data World'!$A:$AL,MATCH(World!$L$1,'Data World'!$A$1:$AL$1,))</f>
        <v>4.4593769999999999</v>
      </c>
      <c r="M12" s="18">
        <f>VLOOKUP(B12,'Data World'!$A:$AL,MATCH(World!$M$1,'Data World'!$A$1:$AL$1,))</f>
        <v>6.9</v>
      </c>
      <c r="N12" s="18">
        <f>VLOOKUP(B12,'Data World'!$A:$AL,MATCH(World!$N$1,'Data World'!$A$1:$AL$1,))</f>
        <v>5.9237060000000001</v>
      </c>
      <c r="O12" s="18">
        <f>VLOOKUP(B12,'Data World'!$A:$AL,MATCH(World!$O$1,'Data World'!$A$1:$AL$1,))</f>
        <v>3.5</v>
      </c>
      <c r="P12" s="18">
        <f>VLOOKUP(B12,'Data World'!$A:$AL,MATCH(World!$P$1,'Data World'!$A$1:$AL$1,))</f>
        <v>24.6</v>
      </c>
      <c r="Q12" s="18">
        <f>VLOOKUP(B12,'Data World'!$A:$AL,MATCH(World!$Q$1,'Data World'!$A$1:$AL$1,))</f>
        <v>9.6</v>
      </c>
      <c r="R12" s="18">
        <f>VLOOKUP(B12,'Data World'!$A:$AL,MATCH(World!$R$1,'Data World'!$A$1:$AL$1,))</f>
        <v>10.5</v>
      </c>
      <c r="S12" s="18">
        <f>VLOOKUP(B12,'Data World'!$A:$AL,MATCH(World!$S$1,'Data World'!$A$1:$AL$1,))</f>
        <v>4.5</v>
      </c>
      <c r="T12" s="18">
        <f>VLOOKUP(B12,'Data World'!$A:$AL,MATCH(World!$T$1,'Data World'!$A$1:$AL$1,))</f>
        <v>7.1</v>
      </c>
    </row>
    <row r="13" spans="2:20" x14ac:dyDescent="0.2">
      <c r="B13" s="17">
        <v>42338</v>
      </c>
      <c r="C13" s="18">
        <f>VLOOKUP(B13,'Data World'!$A:$AL,MATCH(World!$C$1,'Data World'!$A$1:$AL$1,))</f>
        <v>5.0999999999999996</v>
      </c>
      <c r="D13" s="18">
        <f>VLOOKUP(B13,'Data World'!$A:$AL,MATCH(World!$D$1,'Data World'!$A$1:$AL$1,))</f>
        <v>10.5</v>
      </c>
      <c r="E13" s="18">
        <f>VLOOKUP(B13,'Data World'!$A:$AL,MATCH(World!$E$1,'Data World'!$A$1:$AL$1,))</f>
        <v>3.3</v>
      </c>
      <c r="F13" s="18">
        <f>VLOOKUP(B13,'Data World'!$A:$AL,MATCH(World!$F$1,'Data World'!$A$1:$AL$1,))</f>
        <v>4.5</v>
      </c>
      <c r="G13" s="18">
        <f>VLOOKUP(B13,'Data World'!$A:$AL,MATCH(World!$G$1,'Data World'!$A$1:$AL$1,))</f>
        <v>10.199999999999999</v>
      </c>
      <c r="H13" s="18">
        <f>VLOOKUP(B13,'Data World'!$A:$AL,MATCH(World!$H$1,'Data World'!$A$1:$AL$1,))</f>
        <v>5.0788419999999999</v>
      </c>
      <c r="I13" s="18">
        <f>VLOOKUP(B13,'Data World'!$A:$AL,MATCH(World!$I$1,'Data World'!$A$1:$AL$1,))</f>
        <v>11.5</v>
      </c>
      <c r="J13" s="18">
        <f>VLOOKUP(B13,'Data World'!$A:$AL,MATCH(World!$J$1,'Data World'!$A$1:$AL$1,))</f>
        <v>20.9</v>
      </c>
      <c r="K13" s="18">
        <f>VLOOKUP(B13,'Data World'!$A:$AL,MATCH(World!$K$1,'Data World'!$A$1:$AL$1,))</f>
        <v>6.9</v>
      </c>
      <c r="L13" s="18">
        <f>VLOOKUP(B13,'Data World'!$A:$AL,MATCH(World!$L$1,'Data World'!$A$1:$AL$1,))</f>
        <v>4.0957650000000001</v>
      </c>
      <c r="M13" s="18">
        <f>VLOOKUP(B13,'Data World'!$A:$AL,MATCH(World!$M$1,'Data World'!$A$1:$AL$1,))</f>
        <v>7.1</v>
      </c>
      <c r="N13" s="18">
        <f>VLOOKUP(B13,'Data World'!$A:$AL,MATCH(World!$N$1,'Data World'!$A$1:$AL$1,))</f>
        <v>5.8508740000000001</v>
      </c>
      <c r="O13" s="18">
        <f>VLOOKUP(B13,'Data World'!$A:$AL,MATCH(World!$O$1,'Data World'!$A$1:$AL$1,))</f>
        <v>3.6</v>
      </c>
      <c r="P13" s="18">
        <f>VLOOKUP(B13,'Data World'!$A:$AL,MATCH(World!$P$1,'Data World'!$A$1:$AL$1,))</f>
        <v>24.4</v>
      </c>
      <c r="Q13" s="18">
        <f>VLOOKUP(B13,'Data World'!$A:$AL,MATCH(World!$Q$1,'Data World'!$A$1:$AL$1,))</f>
        <v>9.6</v>
      </c>
      <c r="R13" s="18">
        <f>VLOOKUP(B13,'Data World'!$A:$AL,MATCH(World!$R$1,'Data World'!$A$1:$AL$1,))</f>
        <v>10.4</v>
      </c>
      <c r="S13" s="18">
        <f>VLOOKUP(B13,'Data World'!$A:$AL,MATCH(World!$S$1,'Data World'!$A$1:$AL$1,))</f>
        <v>4.5</v>
      </c>
      <c r="T13" s="18">
        <f>VLOOKUP(B13,'Data World'!$A:$AL,MATCH(World!$T$1,'Data World'!$A$1:$AL$1,))</f>
        <v>7</v>
      </c>
    </row>
    <row r="14" spans="2:20" x14ac:dyDescent="0.2">
      <c r="B14" s="17">
        <v>42369</v>
      </c>
      <c r="C14" s="18">
        <f>VLOOKUP(B14,'Data World'!$A:$AL,MATCH(World!$C$1,'Data World'!$A$1:$AL$1,))</f>
        <v>5</v>
      </c>
      <c r="D14" s="18">
        <f>VLOOKUP(B14,'Data World'!$A:$AL,MATCH(World!$D$1,'Data World'!$A$1:$AL$1,))</f>
        <v>10.5</v>
      </c>
      <c r="E14" s="18">
        <f>VLOOKUP(B14,'Data World'!$A:$AL,MATCH(World!$E$1,'Data World'!$A$1:$AL$1,))</f>
        <v>3.3</v>
      </c>
      <c r="F14" s="18">
        <f>VLOOKUP(B14,'Data World'!$A:$AL,MATCH(World!$F$1,'Data World'!$A$1:$AL$1,))</f>
        <v>4.5</v>
      </c>
      <c r="G14" s="18">
        <f>VLOOKUP(B14,'Data World'!$A:$AL,MATCH(World!$G$1,'Data World'!$A$1:$AL$1,))</f>
        <v>10.199999999999999</v>
      </c>
      <c r="H14" s="18">
        <f>VLOOKUP(B14,'Data World'!$A:$AL,MATCH(World!$H$1,'Data World'!$A$1:$AL$1,))</f>
        <v>5.0692279999999998</v>
      </c>
      <c r="I14" s="18">
        <f>VLOOKUP(B14,'Data World'!$A:$AL,MATCH(World!$I$1,'Data World'!$A$1:$AL$1,))</f>
        <v>11.7</v>
      </c>
      <c r="J14" s="18">
        <f>VLOOKUP(B14,'Data World'!$A:$AL,MATCH(World!$J$1,'Data World'!$A$1:$AL$1,))</f>
        <v>20.8</v>
      </c>
      <c r="K14" s="18">
        <f>VLOOKUP(B14,'Data World'!$A:$AL,MATCH(World!$K$1,'Data World'!$A$1:$AL$1,))</f>
        <v>7.2</v>
      </c>
      <c r="L14" s="18">
        <f>VLOOKUP(B14,'Data World'!$A:$AL,MATCH(World!$L$1,'Data World'!$A$1:$AL$1,))</f>
        <v>4.3847740000000002</v>
      </c>
      <c r="M14" s="18">
        <f>VLOOKUP(B14,'Data World'!$A:$AL,MATCH(World!$M$1,'Data World'!$A$1:$AL$1,))</f>
        <v>7.2</v>
      </c>
      <c r="N14" s="18">
        <f>VLOOKUP(B14,'Data World'!$A:$AL,MATCH(World!$N$1,'Data World'!$A$1:$AL$1,))</f>
        <v>5.7458539999999996</v>
      </c>
      <c r="O14" s="18">
        <f>VLOOKUP(B14,'Data World'!$A:$AL,MATCH(World!$O$1,'Data World'!$A$1:$AL$1,))</f>
        <v>3.5</v>
      </c>
      <c r="P14" s="18">
        <f>VLOOKUP(B14,'Data World'!$A:$AL,MATCH(World!$P$1,'Data World'!$A$1:$AL$1,))</f>
        <v>24</v>
      </c>
      <c r="Q14" s="18">
        <f>VLOOKUP(B14,'Data World'!$A:$AL,MATCH(World!$Q$1,'Data World'!$A$1:$AL$1,))</f>
        <v>9.1</v>
      </c>
      <c r="R14" s="18">
        <f>VLOOKUP(B14,'Data World'!$A:$AL,MATCH(World!$R$1,'Data World'!$A$1:$AL$1,))</f>
        <v>10.199999999999999</v>
      </c>
      <c r="S14" s="18">
        <f>VLOOKUP(B14,'Data World'!$A:$AL,MATCH(World!$S$1,'Data World'!$A$1:$AL$1,))</f>
        <v>4.5999999999999996</v>
      </c>
      <c r="T14" s="18">
        <f>VLOOKUP(B14,'Data World'!$A:$AL,MATCH(World!$T$1,'Data World'!$A$1:$AL$1,))</f>
        <v>6.9</v>
      </c>
    </row>
    <row r="15" spans="2:20" x14ac:dyDescent="0.2">
      <c r="B15" s="17">
        <v>42400</v>
      </c>
      <c r="C15" s="18">
        <f>VLOOKUP(B15,'Data World'!$A:$AL,MATCH(World!$C$1,'Data World'!$A$1:$AL$1,))</f>
        <v>4.8</v>
      </c>
      <c r="D15" s="18">
        <f>VLOOKUP(B15,'Data World'!$A:$AL,MATCH(World!$D$1,'Data World'!$A$1:$AL$1,))</f>
        <v>10.4</v>
      </c>
      <c r="E15" s="18">
        <f>VLOOKUP(B15,'Data World'!$A:$AL,MATCH(World!$E$1,'Data World'!$A$1:$AL$1,))</f>
        <v>3.2</v>
      </c>
      <c r="F15" s="18">
        <f>VLOOKUP(B15,'Data World'!$A:$AL,MATCH(World!$F$1,'Data World'!$A$1:$AL$1,))</f>
        <v>4.4000000000000004</v>
      </c>
      <c r="G15" s="18">
        <f>VLOOKUP(B15,'Data World'!$A:$AL,MATCH(World!$G$1,'Data World'!$A$1:$AL$1,))</f>
        <v>10.199999999999999</v>
      </c>
      <c r="H15" s="18">
        <f>VLOOKUP(B15,'Data World'!$A:$AL,MATCH(World!$H$1,'Data World'!$A$1:$AL$1,))</f>
        <v>5.1131789999999997</v>
      </c>
      <c r="I15" s="18">
        <f>VLOOKUP(B15,'Data World'!$A:$AL,MATCH(World!$I$1,'Data World'!$A$1:$AL$1,))</f>
        <v>11.6</v>
      </c>
      <c r="J15" s="18">
        <f>VLOOKUP(B15,'Data World'!$A:$AL,MATCH(World!$J$1,'Data World'!$A$1:$AL$1,))</f>
        <v>20.5</v>
      </c>
      <c r="K15" s="18">
        <f>VLOOKUP(B15,'Data World'!$A:$AL,MATCH(World!$K$1,'Data World'!$A$1:$AL$1,))</f>
        <v>7</v>
      </c>
      <c r="L15" s="18">
        <f>VLOOKUP(B15,'Data World'!$A:$AL,MATCH(World!$L$1,'Data World'!$A$1:$AL$1,))</f>
        <v>4.0974180000000002</v>
      </c>
      <c r="M15" s="18">
        <f>VLOOKUP(B15,'Data World'!$A:$AL,MATCH(World!$M$1,'Data World'!$A$1:$AL$1,))</f>
        <v>7.2</v>
      </c>
      <c r="N15" s="18">
        <f>VLOOKUP(B15,'Data World'!$A:$AL,MATCH(World!$N$1,'Data World'!$A$1:$AL$1,))</f>
        <v>6.0209060000000001</v>
      </c>
      <c r="O15" s="18">
        <f>VLOOKUP(B15,'Data World'!$A:$AL,MATCH(World!$O$1,'Data World'!$A$1:$AL$1,))</f>
        <v>3.6</v>
      </c>
      <c r="P15" s="18">
        <f>VLOOKUP(B15,'Data World'!$A:$AL,MATCH(World!$P$1,'Data World'!$A$1:$AL$1,))</f>
        <v>24.3</v>
      </c>
      <c r="Q15" s="18">
        <f>VLOOKUP(B15,'Data World'!$A:$AL,MATCH(World!$Q$1,'Data World'!$A$1:$AL$1,))</f>
        <v>9.1</v>
      </c>
      <c r="R15" s="18">
        <f>VLOOKUP(B15,'Data World'!$A:$AL,MATCH(World!$R$1,'Data World'!$A$1:$AL$1,))</f>
        <v>10.1</v>
      </c>
      <c r="S15" s="18">
        <f>VLOOKUP(B15,'Data World'!$A:$AL,MATCH(World!$S$1,'Data World'!$A$1:$AL$1,))</f>
        <v>4.3</v>
      </c>
      <c r="T15" s="18">
        <f>VLOOKUP(B15,'Data World'!$A:$AL,MATCH(World!$T$1,'Data World'!$A$1:$AL$1,))</f>
        <v>6.7</v>
      </c>
    </row>
    <row r="16" spans="2:20" x14ac:dyDescent="0.2">
      <c r="B16" s="17">
        <v>42429</v>
      </c>
      <c r="C16" s="18">
        <f>VLOOKUP(B16,'Data World'!$A:$AL,MATCH(World!$C$1,'Data World'!$A$1:$AL$1,))</f>
        <v>4.9000000000000004</v>
      </c>
      <c r="D16" s="18">
        <f>VLOOKUP(B16,'Data World'!$A:$AL,MATCH(World!$D$1,'Data World'!$A$1:$AL$1,))</f>
        <v>10.4</v>
      </c>
      <c r="E16" s="18">
        <f>VLOOKUP(B16,'Data World'!$A:$AL,MATCH(World!$E$1,'Data World'!$A$1:$AL$1,))</f>
        <v>3.3</v>
      </c>
      <c r="F16" s="18">
        <f>VLOOKUP(B16,'Data World'!$A:$AL,MATCH(World!$F$1,'Data World'!$A$1:$AL$1,))</f>
        <v>4.4000000000000004</v>
      </c>
      <c r="G16" s="18">
        <f>VLOOKUP(B16,'Data World'!$A:$AL,MATCH(World!$G$1,'Data World'!$A$1:$AL$1,))</f>
        <v>10.3</v>
      </c>
      <c r="H16" s="18">
        <f>VLOOKUP(B16,'Data World'!$A:$AL,MATCH(World!$H$1,'Data World'!$A$1:$AL$1,))</f>
        <v>5.0710350000000002</v>
      </c>
      <c r="I16" s="18">
        <f>VLOOKUP(B16,'Data World'!$A:$AL,MATCH(World!$I$1,'Data World'!$A$1:$AL$1,))</f>
        <v>11.7</v>
      </c>
      <c r="J16" s="18">
        <f>VLOOKUP(B16,'Data World'!$A:$AL,MATCH(World!$J$1,'Data World'!$A$1:$AL$1,))</f>
        <v>20.399999999999999</v>
      </c>
      <c r="K16" s="18">
        <f>VLOOKUP(B16,'Data World'!$A:$AL,MATCH(World!$K$1,'Data World'!$A$1:$AL$1,))</f>
        <v>7.1</v>
      </c>
      <c r="L16" s="18">
        <f>VLOOKUP(B16,'Data World'!$A:$AL,MATCH(World!$L$1,'Data World'!$A$1:$AL$1,))</f>
        <v>4.1999930000000001</v>
      </c>
      <c r="M16" s="18">
        <f>VLOOKUP(B16,'Data World'!$A:$AL,MATCH(World!$M$1,'Data World'!$A$1:$AL$1,))</f>
        <v>7.3</v>
      </c>
      <c r="N16" s="18">
        <f>VLOOKUP(B16,'Data World'!$A:$AL,MATCH(World!$N$1,'Data World'!$A$1:$AL$1,))</f>
        <v>5.6743790000000001</v>
      </c>
      <c r="O16" s="18">
        <f>VLOOKUP(B16,'Data World'!$A:$AL,MATCH(World!$O$1,'Data World'!$A$1:$AL$1,))</f>
        <v>3.9</v>
      </c>
      <c r="P16" s="18">
        <f>VLOOKUP(B16,'Data World'!$A:$AL,MATCH(World!$P$1,'Data World'!$A$1:$AL$1,))</f>
        <v>23.6</v>
      </c>
      <c r="Q16" s="18">
        <f>VLOOKUP(B16,'Data World'!$A:$AL,MATCH(World!$Q$1,'Data World'!$A$1:$AL$1,))</f>
        <v>9</v>
      </c>
      <c r="R16" s="18">
        <f>VLOOKUP(B16,'Data World'!$A:$AL,MATCH(World!$R$1,'Data World'!$A$1:$AL$1,))</f>
        <v>10</v>
      </c>
      <c r="S16" s="18">
        <f>VLOOKUP(B16,'Data World'!$A:$AL,MATCH(World!$S$1,'Data World'!$A$1:$AL$1,))</f>
        <v>4.3</v>
      </c>
      <c r="T16" s="18">
        <f>VLOOKUP(B16,'Data World'!$A:$AL,MATCH(World!$T$1,'Data World'!$A$1:$AL$1,))</f>
        <v>6.6</v>
      </c>
    </row>
    <row r="17" spans="2:20" x14ac:dyDescent="0.2">
      <c r="B17" s="17">
        <v>42460</v>
      </c>
      <c r="C17" s="18">
        <f>VLOOKUP(B17,'Data World'!$A:$AL,MATCH(World!$C$1,'Data World'!$A$1:$AL$1,))</f>
        <v>5</v>
      </c>
      <c r="D17" s="18">
        <f>VLOOKUP(B17,'Data World'!$A:$AL,MATCH(World!$D$1,'Data World'!$A$1:$AL$1,))</f>
        <v>10.3</v>
      </c>
      <c r="E17" s="18">
        <f>VLOOKUP(B17,'Data World'!$A:$AL,MATCH(World!$E$1,'Data World'!$A$1:$AL$1,))</f>
        <v>3.2</v>
      </c>
      <c r="F17" s="18">
        <f>VLOOKUP(B17,'Data World'!$A:$AL,MATCH(World!$F$1,'Data World'!$A$1:$AL$1,))</f>
        <v>4.3</v>
      </c>
      <c r="G17" s="18">
        <f>VLOOKUP(B17,'Data World'!$A:$AL,MATCH(World!$G$1,'Data World'!$A$1:$AL$1,))</f>
        <v>10.199999999999999</v>
      </c>
      <c r="H17" s="18">
        <f>VLOOKUP(B17,'Data World'!$A:$AL,MATCH(World!$H$1,'Data World'!$A$1:$AL$1,))</f>
        <v>5.0070499999999996</v>
      </c>
      <c r="I17" s="18">
        <f>VLOOKUP(B17,'Data World'!$A:$AL,MATCH(World!$I$1,'Data World'!$A$1:$AL$1,))</f>
        <v>11.6</v>
      </c>
      <c r="J17" s="18">
        <f>VLOOKUP(B17,'Data World'!$A:$AL,MATCH(World!$J$1,'Data World'!$A$1:$AL$1,))</f>
        <v>20.2</v>
      </c>
      <c r="K17" s="18">
        <f>VLOOKUP(B17,'Data World'!$A:$AL,MATCH(World!$K$1,'Data World'!$A$1:$AL$1,))</f>
        <v>7.3</v>
      </c>
      <c r="L17" s="18">
        <f>VLOOKUP(B17,'Data World'!$A:$AL,MATCH(World!$L$1,'Data World'!$A$1:$AL$1,))</f>
        <v>4.083628</v>
      </c>
      <c r="M17" s="18">
        <f>VLOOKUP(B17,'Data World'!$A:$AL,MATCH(World!$M$1,'Data World'!$A$1:$AL$1,))</f>
        <v>7.1</v>
      </c>
      <c r="N17" s="18">
        <f>VLOOKUP(B17,'Data World'!$A:$AL,MATCH(World!$N$1,'Data World'!$A$1:$AL$1,))</f>
        <v>5.6422040000000004</v>
      </c>
      <c r="O17" s="18">
        <f>VLOOKUP(B17,'Data World'!$A:$AL,MATCH(World!$O$1,'Data World'!$A$1:$AL$1,))</f>
        <v>3.7</v>
      </c>
      <c r="P17" s="18">
        <f>VLOOKUP(B17,'Data World'!$A:$AL,MATCH(World!$P$1,'Data World'!$A$1:$AL$1,))</f>
        <v>23.9</v>
      </c>
      <c r="Q17" s="18">
        <f>VLOOKUP(B17,'Data World'!$A:$AL,MATCH(World!$Q$1,'Data World'!$A$1:$AL$1,))</f>
        <v>8.9</v>
      </c>
      <c r="R17" s="18">
        <f>VLOOKUP(B17,'Data World'!$A:$AL,MATCH(World!$R$1,'Data World'!$A$1:$AL$1,))</f>
        <v>9.8000000000000007</v>
      </c>
      <c r="S17" s="18">
        <f>VLOOKUP(B17,'Data World'!$A:$AL,MATCH(World!$S$1,'Data World'!$A$1:$AL$1,))</f>
        <v>4.0999999999999996</v>
      </c>
      <c r="T17" s="18">
        <f>VLOOKUP(B17,'Data World'!$A:$AL,MATCH(World!$T$1,'Data World'!$A$1:$AL$1,))</f>
        <v>6.5</v>
      </c>
    </row>
    <row r="18" spans="2:20" x14ac:dyDescent="0.2">
      <c r="B18" s="17">
        <v>42490</v>
      </c>
      <c r="C18" s="18">
        <f>VLOOKUP(B18,'Data World'!$A:$AL,MATCH(World!$C$1,'Data World'!$A$1:$AL$1,))</f>
        <v>5.0999999999999996</v>
      </c>
      <c r="D18" s="18">
        <f>VLOOKUP(B18,'Data World'!$A:$AL,MATCH(World!$D$1,'Data World'!$A$1:$AL$1,))</f>
        <v>10.199999999999999</v>
      </c>
      <c r="E18" s="18">
        <f>VLOOKUP(B18,'Data World'!$A:$AL,MATCH(World!$E$1,'Data World'!$A$1:$AL$1,))</f>
        <v>3.2</v>
      </c>
      <c r="F18" s="18">
        <f>VLOOKUP(B18,'Data World'!$A:$AL,MATCH(World!$F$1,'Data World'!$A$1:$AL$1,))</f>
        <v>4.3</v>
      </c>
      <c r="G18" s="18">
        <f>VLOOKUP(B18,'Data World'!$A:$AL,MATCH(World!$G$1,'Data World'!$A$1:$AL$1,))</f>
        <v>10.1</v>
      </c>
      <c r="H18" s="18">
        <f>VLOOKUP(B18,'Data World'!$A:$AL,MATCH(World!$H$1,'Data World'!$A$1:$AL$1,))</f>
        <v>4.9389659999999997</v>
      </c>
      <c r="I18" s="18">
        <f>VLOOKUP(B18,'Data World'!$A:$AL,MATCH(World!$I$1,'Data World'!$A$1:$AL$1,))</f>
        <v>11.8</v>
      </c>
      <c r="J18" s="18">
        <f>VLOOKUP(B18,'Data World'!$A:$AL,MATCH(World!$J$1,'Data World'!$A$1:$AL$1,))</f>
        <v>20.3</v>
      </c>
      <c r="K18" s="18">
        <f>VLOOKUP(B18,'Data World'!$A:$AL,MATCH(World!$K$1,'Data World'!$A$1:$AL$1,))</f>
        <v>6.7</v>
      </c>
      <c r="L18" s="18">
        <f>VLOOKUP(B18,'Data World'!$A:$AL,MATCH(World!$L$1,'Data World'!$A$1:$AL$1,))</f>
        <v>3.8919609999999998</v>
      </c>
      <c r="M18" s="18">
        <f>VLOOKUP(B18,'Data World'!$A:$AL,MATCH(World!$M$1,'Data World'!$A$1:$AL$1,))</f>
        <v>7.2</v>
      </c>
      <c r="N18" s="18">
        <f>VLOOKUP(B18,'Data World'!$A:$AL,MATCH(World!$N$1,'Data World'!$A$1:$AL$1,))</f>
        <v>5.6389469999999999</v>
      </c>
      <c r="O18" s="18">
        <f>VLOOKUP(B18,'Data World'!$A:$AL,MATCH(World!$O$1,'Data World'!$A$1:$AL$1,))</f>
        <v>3.6</v>
      </c>
      <c r="P18" s="18">
        <f>VLOOKUP(B18,'Data World'!$A:$AL,MATCH(World!$P$1,'Data World'!$A$1:$AL$1,))</f>
        <v>23.4</v>
      </c>
      <c r="Q18" s="18">
        <f>VLOOKUP(B18,'Data World'!$A:$AL,MATCH(World!$Q$1,'Data World'!$A$1:$AL$1,))</f>
        <v>9</v>
      </c>
      <c r="R18" s="18">
        <f>VLOOKUP(B18,'Data World'!$A:$AL,MATCH(World!$R$1,'Data World'!$A$1:$AL$1,))</f>
        <v>9.9</v>
      </c>
      <c r="S18" s="18">
        <f>VLOOKUP(B18,'Data World'!$A:$AL,MATCH(World!$S$1,'Data World'!$A$1:$AL$1,))</f>
        <v>3.9</v>
      </c>
      <c r="T18" s="18">
        <f>VLOOKUP(B18,'Data World'!$A:$AL,MATCH(World!$T$1,'Data World'!$A$1:$AL$1,))</f>
        <v>6.4</v>
      </c>
    </row>
    <row r="19" spans="2:20" x14ac:dyDescent="0.2">
      <c r="B19" s="17">
        <v>42521</v>
      </c>
      <c r="C19" s="18">
        <f>VLOOKUP(B19,'Data World'!$A:$AL,MATCH(World!$C$1,'Data World'!$A$1:$AL$1,))</f>
        <v>4.8</v>
      </c>
      <c r="D19" s="18">
        <f>VLOOKUP(B19,'Data World'!$A:$AL,MATCH(World!$D$1,'Data World'!$A$1:$AL$1,))</f>
        <v>10.199999999999999</v>
      </c>
      <c r="E19" s="18">
        <f>VLOOKUP(B19,'Data World'!$A:$AL,MATCH(World!$E$1,'Data World'!$A$1:$AL$1,))</f>
        <v>3.2</v>
      </c>
      <c r="F19" s="18">
        <f>VLOOKUP(B19,'Data World'!$A:$AL,MATCH(World!$F$1,'Data World'!$A$1:$AL$1,))</f>
        <v>4.2</v>
      </c>
      <c r="G19" s="18">
        <f>VLOOKUP(B19,'Data World'!$A:$AL,MATCH(World!$G$1,'Data World'!$A$1:$AL$1,))</f>
        <v>10</v>
      </c>
      <c r="H19" s="18">
        <f>VLOOKUP(B19,'Data World'!$A:$AL,MATCH(World!$H$1,'Data World'!$A$1:$AL$1,))</f>
        <v>4.9213630000000004</v>
      </c>
      <c r="I19" s="18">
        <f>VLOOKUP(B19,'Data World'!$A:$AL,MATCH(World!$I$1,'Data World'!$A$1:$AL$1,))</f>
        <v>11.6</v>
      </c>
      <c r="J19" s="18">
        <f>VLOOKUP(B19,'Data World'!$A:$AL,MATCH(World!$J$1,'Data World'!$A$1:$AL$1,))</f>
        <v>20.100000000000001</v>
      </c>
      <c r="K19" s="18">
        <f>VLOOKUP(B19,'Data World'!$A:$AL,MATCH(World!$K$1,'Data World'!$A$1:$AL$1,))</f>
        <v>7.2</v>
      </c>
      <c r="L19" s="18">
        <f>VLOOKUP(B19,'Data World'!$A:$AL,MATCH(World!$L$1,'Data World'!$A$1:$AL$1,))</f>
        <v>4.0975270000000004</v>
      </c>
      <c r="M19" s="18">
        <f>VLOOKUP(B19,'Data World'!$A:$AL,MATCH(World!$M$1,'Data World'!$A$1:$AL$1,))</f>
        <v>7</v>
      </c>
      <c r="N19" s="18">
        <f>VLOOKUP(B19,'Data World'!$A:$AL,MATCH(World!$N$1,'Data World'!$A$1:$AL$1,))</f>
        <v>5.7261829999999998</v>
      </c>
      <c r="O19" s="18">
        <f>VLOOKUP(B19,'Data World'!$A:$AL,MATCH(World!$O$1,'Data World'!$A$1:$AL$1,))</f>
        <v>3.6</v>
      </c>
      <c r="P19" s="18">
        <f>VLOOKUP(B19,'Data World'!$A:$AL,MATCH(World!$P$1,'Data World'!$A$1:$AL$1,))</f>
        <v>23.6</v>
      </c>
      <c r="Q19" s="18">
        <f>VLOOKUP(B19,'Data World'!$A:$AL,MATCH(World!$Q$1,'Data World'!$A$1:$AL$1,))</f>
        <v>8.9</v>
      </c>
      <c r="R19" s="18">
        <f>VLOOKUP(B19,'Data World'!$A:$AL,MATCH(World!$R$1,'Data World'!$A$1:$AL$1,))</f>
        <v>10.3</v>
      </c>
      <c r="S19" s="18">
        <f>VLOOKUP(B19,'Data World'!$A:$AL,MATCH(World!$S$1,'Data World'!$A$1:$AL$1,))</f>
        <v>4</v>
      </c>
      <c r="T19" s="18">
        <f>VLOOKUP(B19,'Data World'!$A:$AL,MATCH(World!$T$1,'Data World'!$A$1:$AL$1,))</f>
        <v>6.3</v>
      </c>
    </row>
    <row r="20" spans="2:20" x14ac:dyDescent="0.2">
      <c r="B20" s="17">
        <v>42551</v>
      </c>
      <c r="C20" s="18">
        <f>VLOOKUP(B20,'Data World'!$A:$AL,MATCH(World!$C$1,'Data World'!$A$1:$AL$1,))</f>
        <v>4.9000000000000004</v>
      </c>
      <c r="D20" s="18">
        <f>VLOOKUP(B20,'Data World'!$A:$AL,MATCH(World!$D$1,'Data World'!$A$1:$AL$1,))</f>
        <v>10.1</v>
      </c>
      <c r="E20" s="18">
        <f>VLOOKUP(B20,'Data World'!$A:$AL,MATCH(World!$E$1,'Data World'!$A$1:$AL$1,))</f>
        <v>3.1</v>
      </c>
      <c r="F20" s="18">
        <f>VLOOKUP(B20,'Data World'!$A:$AL,MATCH(World!$F$1,'Data World'!$A$1:$AL$1,))</f>
        <v>4.2</v>
      </c>
      <c r="G20" s="18">
        <f>VLOOKUP(B20,'Data World'!$A:$AL,MATCH(World!$G$1,'Data World'!$A$1:$AL$1,))</f>
        <v>10</v>
      </c>
      <c r="H20" s="18">
        <f>VLOOKUP(B20,'Data World'!$A:$AL,MATCH(World!$H$1,'Data World'!$A$1:$AL$1,))</f>
        <v>4.8936799999999998</v>
      </c>
      <c r="I20" s="18">
        <f>VLOOKUP(B20,'Data World'!$A:$AL,MATCH(World!$I$1,'Data World'!$A$1:$AL$1,))</f>
        <v>11.7</v>
      </c>
      <c r="J20" s="18">
        <f>VLOOKUP(B20,'Data World'!$A:$AL,MATCH(World!$J$1,'Data World'!$A$1:$AL$1,))</f>
        <v>19.899999999999999</v>
      </c>
      <c r="K20" s="18">
        <f>VLOOKUP(B20,'Data World'!$A:$AL,MATCH(World!$K$1,'Data World'!$A$1:$AL$1,))</f>
        <v>6.7</v>
      </c>
      <c r="L20" s="18">
        <f>VLOOKUP(B20,'Data World'!$A:$AL,MATCH(World!$L$1,'Data World'!$A$1:$AL$1,))</f>
        <v>3.9352130000000001</v>
      </c>
      <c r="M20" s="18">
        <f>VLOOKUP(B20,'Data World'!$A:$AL,MATCH(World!$M$1,'Data World'!$A$1:$AL$1,))</f>
        <v>6.9</v>
      </c>
      <c r="N20" s="18">
        <f>VLOOKUP(B20,'Data World'!$A:$AL,MATCH(World!$N$1,'Data World'!$A$1:$AL$1,))</f>
        <v>5.6941699999999997</v>
      </c>
      <c r="O20" s="18">
        <f>VLOOKUP(B20,'Data World'!$A:$AL,MATCH(World!$O$1,'Data World'!$A$1:$AL$1,))</f>
        <v>3.6</v>
      </c>
      <c r="P20" s="18">
        <f>VLOOKUP(B20,'Data World'!$A:$AL,MATCH(World!$P$1,'Data World'!$A$1:$AL$1,))</f>
        <v>23.7</v>
      </c>
      <c r="Q20" s="18">
        <f>VLOOKUP(B20,'Data World'!$A:$AL,MATCH(World!$Q$1,'Data World'!$A$1:$AL$1,))</f>
        <v>8.6999999999999993</v>
      </c>
      <c r="R20" s="18">
        <f>VLOOKUP(B20,'Data World'!$A:$AL,MATCH(World!$R$1,'Data World'!$A$1:$AL$1,))</f>
        <v>11</v>
      </c>
      <c r="S20" s="18">
        <f>VLOOKUP(B20,'Data World'!$A:$AL,MATCH(World!$S$1,'Data World'!$A$1:$AL$1,))</f>
        <v>4.2</v>
      </c>
      <c r="T20" s="18">
        <f>VLOOKUP(B20,'Data World'!$A:$AL,MATCH(World!$T$1,'Data World'!$A$1:$AL$1,))</f>
        <v>6.3</v>
      </c>
    </row>
    <row r="21" spans="2:20" x14ac:dyDescent="0.2">
      <c r="B21" s="17">
        <v>42582</v>
      </c>
      <c r="C21" s="18">
        <f>VLOOKUP(B21,'Data World'!$A:$AL,MATCH(World!$C$1,'Data World'!$A$1:$AL$1,))</f>
        <v>4.8</v>
      </c>
      <c r="D21" s="18">
        <f>VLOOKUP(B21,'Data World'!$A:$AL,MATCH(World!$D$1,'Data World'!$A$1:$AL$1,))</f>
        <v>10</v>
      </c>
      <c r="E21" s="18">
        <f>VLOOKUP(B21,'Data World'!$A:$AL,MATCH(World!$E$1,'Data World'!$A$1:$AL$1,))</f>
        <v>3</v>
      </c>
      <c r="F21" s="18">
        <f>VLOOKUP(B21,'Data World'!$A:$AL,MATCH(World!$F$1,'Data World'!$A$1:$AL$1,))</f>
        <v>4.2</v>
      </c>
      <c r="G21" s="18">
        <f>VLOOKUP(B21,'Data World'!$A:$AL,MATCH(World!$G$1,'Data World'!$A$1:$AL$1,))</f>
        <v>9.8000000000000007</v>
      </c>
      <c r="H21" s="18">
        <f>VLOOKUP(B21,'Data World'!$A:$AL,MATCH(World!$H$1,'Data World'!$A$1:$AL$1,))</f>
        <v>4.9831630000000002</v>
      </c>
      <c r="I21" s="18">
        <f>VLOOKUP(B21,'Data World'!$A:$AL,MATCH(World!$I$1,'Data World'!$A$1:$AL$1,))</f>
        <v>11.7</v>
      </c>
      <c r="J21" s="18">
        <f>VLOOKUP(B21,'Data World'!$A:$AL,MATCH(World!$J$1,'Data World'!$A$1:$AL$1,))</f>
        <v>19.600000000000001</v>
      </c>
      <c r="K21" s="18">
        <f>VLOOKUP(B21,'Data World'!$A:$AL,MATCH(World!$K$1,'Data World'!$A$1:$AL$1,))</f>
        <v>6.8</v>
      </c>
      <c r="L21" s="18">
        <f>VLOOKUP(B21,'Data World'!$A:$AL,MATCH(World!$L$1,'Data World'!$A$1:$AL$1,))</f>
        <v>3.779369</v>
      </c>
      <c r="M21" s="18">
        <f>VLOOKUP(B21,'Data World'!$A:$AL,MATCH(World!$M$1,'Data World'!$A$1:$AL$1,))</f>
        <v>7</v>
      </c>
      <c r="N21" s="18">
        <f>VLOOKUP(B21,'Data World'!$A:$AL,MATCH(World!$N$1,'Data World'!$A$1:$AL$1,))</f>
        <v>5.6913289999999996</v>
      </c>
      <c r="O21" s="18">
        <f>VLOOKUP(B21,'Data World'!$A:$AL,MATCH(World!$O$1,'Data World'!$A$1:$AL$1,))</f>
        <v>3.6</v>
      </c>
      <c r="P21" s="18">
        <f>VLOOKUP(B21,'Data World'!$A:$AL,MATCH(World!$P$1,'Data World'!$A$1:$AL$1,))</f>
        <v>23.4</v>
      </c>
      <c r="Q21" s="18">
        <f>VLOOKUP(B21,'Data World'!$A:$AL,MATCH(World!$Q$1,'Data World'!$A$1:$AL$1,))</f>
        <v>8.5</v>
      </c>
      <c r="R21" s="18">
        <f>VLOOKUP(B21,'Data World'!$A:$AL,MATCH(World!$R$1,'Data World'!$A$1:$AL$1,))</f>
        <v>11.1</v>
      </c>
      <c r="S21" s="18">
        <f>VLOOKUP(B21,'Data World'!$A:$AL,MATCH(World!$S$1,'Data World'!$A$1:$AL$1,))</f>
        <v>4.0999999999999996</v>
      </c>
      <c r="T21" s="18">
        <f>VLOOKUP(B21,'Data World'!$A:$AL,MATCH(World!$T$1,'Data World'!$A$1:$AL$1,))</f>
        <v>6.2</v>
      </c>
    </row>
    <row r="22" spans="2:20" x14ac:dyDescent="0.2">
      <c r="B22" s="17">
        <v>42613</v>
      </c>
      <c r="C22" s="18">
        <f>VLOOKUP(B22,'Data World'!$A:$AL,MATCH(World!$C$1,'Data World'!$A$1:$AL$1,))</f>
        <v>4.9000000000000004</v>
      </c>
      <c r="D22" s="18">
        <f>VLOOKUP(B22,'Data World'!$A:$AL,MATCH(World!$D$1,'Data World'!$A$1:$AL$1,))</f>
        <v>9.9</v>
      </c>
      <c r="E22" s="18">
        <f>VLOOKUP(B22,'Data World'!$A:$AL,MATCH(World!$E$1,'Data World'!$A$1:$AL$1,))</f>
        <v>3.1</v>
      </c>
      <c r="F22" s="18">
        <f>VLOOKUP(B22,'Data World'!$A:$AL,MATCH(World!$F$1,'Data World'!$A$1:$AL$1,))</f>
        <v>4.0999999999999996</v>
      </c>
      <c r="G22" s="18">
        <f>VLOOKUP(B22,'Data World'!$A:$AL,MATCH(World!$G$1,'Data World'!$A$1:$AL$1,))</f>
        <v>9.9</v>
      </c>
      <c r="H22" s="18">
        <f>VLOOKUP(B22,'Data World'!$A:$AL,MATCH(World!$H$1,'Data World'!$A$1:$AL$1,))</f>
        <v>4.838883</v>
      </c>
      <c r="I22" s="18">
        <f>VLOOKUP(B22,'Data World'!$A:$AL,MATCH(World!$I$1,'Data World'!$A$1:$AL$1,))</f>
        <v>11.6</v>
      </c>
      <c r="J22" s="18">
        <f>VLOOKUP(B22,'Data World'!$A:$AL,MATCH(World!$J$1,'Data World'!$A$1:$AL$1,))</f>
        <v>19.3</v>
      </c>
      <c r="K22" s="18">
        <f>VLOOKUP(B22,'Data World'!$A:$AL,MATCH(World!$K$1,'Data World'!$A$1:$AL$1,))</f>
        <v>7.1</v>
      </c>
      <c r="L22" s="18">
        <f>VLOOKUP(B22,'Data World'!$A:$AL,MATCH(World!$L$1,'Data World'!$A$1:$AL$1,))</f>
        <v>3.752672</v>
      </c>
      <c r="M22" s="18">
        <f>VLOOKUP(B22,'Data World'!$A:$AL,MATCH(World!$M$1,'Data World'!$A$1:$AL$1,))</f>
        <v>7</v>
      </c>
      <c r="N22" s="18">
        <f>VLOOKUP(B22,'Data World'!$A:$AL,MATCH(World!$N$1,'Data World'!$A$1:$AL$1,))</f>
        <v>5.6008490000000002</v>
      </c>
      <c r="O22" s="18">
        <f>VLOOKUP(B22,'Data World'!$A:$AL,MATCH(World!$O$1,'Data World'!$A$1:$AL$1,))</f>
        <v>3.8</v>
      </c>
      <c r="P22" s="18">
        <f>VLOOKUP(B22,'Data World'!$A:$AL,MATCH(World!$P$1,'Data World'!$A$1:$AL$1,))</f>
        <v>23.4</v>
      </c>
      <c r="Q22" s="18">
        <f>VLOOKUP(B22,'Data World'!$A:$AL,MATCH(World!$Q$1,'Data World'!$A$1:$AL$1,))</f>
        <v>8.3000000000000007</v>
      </c>
      <c r="R22" s="18">
        <f>VLOOKUP(B22,'Data World'!$A:$AL,MATCH(World!$R$1,'Data World'!$A$1:$AL$1,))</f>
        <v>11.4</v>
      </c>
      <c r="S22" s="18">
        <f>VLOOKUP(B22,'Data World'!$A:$AL,MATCH(World!$S$1,'Data World'!$A$1:$AL$1,))</f>
        <v>3.8</v>
      </c>
      <c r="T22" s="18">
        <f>VLOOKUP(B22,'Data World'!$A:$AL,MATCH(World!$T$1,'Data World'!$A$1:$AL$1,))</f>
        <v>6.1</v>
      </c>
    </row>
    <row r="23" spans="2:20" x14ac:dyDescent="0.2">
      <c r="B23" s="17">
        <v>42643</v>
      </c>
      <c r="C23" s="18">
        <f>VLOOKUP(B23,'Data World'!$A:$AL,MATCH(World!$C$1,'Data World'!$A$1:$AL$1,))</f>
        <v>5</v>
      </c>
      <c r="D23" s="18">
        <f>VLOOKUP(B23,'Data World'!$A:$AL,MATCH(World!$D$1,'Data World'!$A$1:$AL$1,))</f>
        <v>9.9</v>
      </c>
      <c r="E23" s="18">
        <f>VLOOKUP(B23,'Data World'!$A:$AL,MATCH(World!$E$1,'Data World'!$A$1:$AL$1,))</f>
        <v>3</v>
      </c>
      <c r="F23" s="18">
        <f>VLOOKUP(B23,'Data World'!$A:$AL,MATCH(World!$F$1,'Data World'!$A$1:$AL$1,))</f>
        <v>4</v>
      </c>
      <c r="G23" s="18">
        <f>VLOOKUP(B23,'Data World'!$A:$AL,MATCH(World!$G$1,'Data World'!$A$1:$AL$1,))</f>
        <v>9.9</v>
      </c>
      <c r="H23" s="18">
        <f>VLOOKUP(B23,'Data World'!$A:$AL,MATCH(World!$H$1,'Data World'!$A$1:$AL$1,))</f>
        <v>4.828989</v>
      </c>
      <c r="I23" s="18">
        <f>VLOOKUP(B23,'Data World'!$A:$AL,MATCH(World!$I$1,'Data World'!$A$1:$AL$1,))</f>
        <v>11.9</v>
      </c>
      <c r="J23" s="18">
        <f>VLOOKUP(B23,'Data World'!$A:$AL,MATCH(World!$J$1,'Data World'!$A$1:$AL$1,))</f>
        <v>19.100000000000001</v>
      </c>
      <c r="K23" s="18">
        <f>VLOOKUP(B23,'Data World'!$A:$AL,MATCH(World!$K$1,'Data World'!$A$1:$AL$1,))</f>
        <v>6.7</v>
      </c>
      <c r="L23" s="18">
        <f>VLOOKUP(B23,'Data World'!$A:$AL,MATCH(World!$L$1,'Data World'!$A$1:$AL$1,))</f>
        <v>3.8516210000000002</v>
      </c>
      <c r="M23" s="18">
        <f>VLOOKUP(B23,'Data World'!$A:$AL,MATCH(World!$M$1,'Data World'!$A$1:$AL$1,))</f>
        <v>7</v>
      </c>
      <c r="N23" s="18">
        <f>VLOOKUP(B23,'Data World'!$A:$AL,MATCH(World!$N$1,'Data World'!$A$1:$AL$1,))</f>
        <v>5.6459140000000003</v>
      </c>
      <c r="O23" s="18">
        <f>VLOOKUP(B23,'Data World'!$A:$AL,MATCH(World!$O$1,'Data World'!$A$1:$AL$1,))</f>
        <v>3.9</v>
      </c>
      <c r="P23" s="18">
        <f>VLOOKUP(B23,'Data World'!$A:$AL,MATCH(World!$P$1,'Data World'!$A$1:$AL$1,))</f>
        <v>23.3</v>
      </c>
      <c r="Q23" s="18">
        <f>VLOOKUP(B23,'Data World'!$A:$AL,MATCH(World!$Q$1,'Data World'!$A$1:$AL$1,))</f>
        <v>7.9</v>
      </c>
      <c r="R23" s="18">
        <f>VLOOKUP(B23,'Data World'!$A:$AL,MATCH(World!$R$1,'Data World'!$A$1:$AL$1,))</f>
        <v>11.4</v>
      </c>
      <c r="S23" s="18">
        <f>VLOOKUP(B23,'Data World'!$A:$AL,MATCH(World!$S$1,'Data World'!$A$1:$AL$1,))</f>
        <v>3.9</v>
      </c>
      <c r="T23" s="18">
        <f>VLOOKUP(B23,'Data World'!$A:$AL,MATCH(World!$T$1,'Data World'!$A$1:$AL$1,))</f>
        <v>6</v>
      </c>
    </row>
    <row r="24" spans="2:20" x14ac:dyDescent="0.2">
      <c r="B24" s="17">
        <v>42674</v>
      </c>
      <c r="C24" s="18">
        <f>VLOOKUP(B24,'Data World'!$A:$AL,MATCH(World!$C$1,'Data World'!$A$1:$AL$1,))</f>
        <v>4.9000000000000004</v>
      </c>
      <c r="D24" s="18">
        <f>VLOOKUP(B24,'Data World'!$A:$AL,MATCH(World!$D$1,'Data World'!$A$1:$AL$1,))</f>
        <v>9.8000000000000007</v>
      </c>
      <c r="E24" s="18">
        <f>VLOOKUP(B24,'Data World'!$A:$AL,MATCH(World!$E$1,'Data World'!$A$1:$AL$1,))</f>
        <v>3</v>
      </c>
      <c r="F24" s="18">
        <f>VLOOKUP(B24,'Data World'!$A:$AL,MATCH(World!$F$1,'Data World'!$A$1:$AL$1,))</f>
        <v>4</v>
      </c>
      <c r="G24" s="18">
        <f>VLOOKUP(B24,'Data World'!$A:$AL,MATCH(World!$G$1,'Data World'!$A$1:$AL$1,))</f>
        <v>10.1</v>
      </c>
      <c r="H24" s="18">
        <f>VLOOKUP(B24,'Data World'!$A:$AL,MATCH(World!$H$1,'Data World'!$A$1:$AL$1,))</f>
        <v>4.7941200000000004</v>
      </c>
      <c r="I24" s="18">
        <f>VLOOKUP(B24,'Data World'!$A:$AL,MATCH(World!$I$1,'Data World'!$A$1:$AL$1,))</f>
        <v>11.7</v>
      </c>
      <c r="J24" s="18">
        <f>VLOOKUP(B24,'Data World'!$A:$AL,MATCH(World!$J$1,'Data World'!$A$1:$AL$1,))</f>
        <v>18.8</v>
      </c>
      <c r="K24" s="18">
        <f>VLOOKUP(B24,'Data World'!$A:$AL,MATCH(World!$K$1,'Data World'!$A$1:$AL$1,))</f>
        <v>6.9</v>
      </c>
      <c r="L24" s="18">
        <f>VLOOKUP(B24,'Data World'!$A:$AL,MATCH(World!$L$1,'Data World'!$A$1:$AL$1,))</f>
        <v>3.5886049999999998</v>
      </c>
      <c r="M24" s="18">
        <f>VLOOKUP(B24,'Data World'!$A:$AL,MATCH(World!$M$1,'Data World'!$A$1:$AL$1,))</f>
        <v>7</v>
      </c>
      <c r="N24" s="18">
        <f>VLOOKUP(B24,'Data World'!$A:$AL,MATCH(World!$N$1,'Data World'!$A$1:$AL$1,))</f>
        <v>5.5870179999999996</v>
      </c>
      <c r="O24" s="18">
        <f>VLOOKUP(B24,'Data World'!$A:$AL,MATCH(World!$O$1,'Data World'!$A$1:$AL$1,))</f>
        <v>3.8</v>
      </c>
      <c r="P24" s="18">
        <f>VLOOKUP(B24,'Data World'!$A:$AL,MATCH(World!$P$1,'Data World'!$A$1:$AL$1,))</f>
        <v>23.1</v>
      </c>
      <c r="Q24" s="18">
        <f>VLOOKUP(B24,'Data World'!$A:$AL,MATCH(World!$Q$1,'Data World'!$A$1:$AL$1,))</f>
        <v>7.6</v>
      </c>
      <c r="R24" s="18">
        <f>VLOOKUP(B24,'Data World'!$A:$AL,MATCH(World!$R$1,'Data World'!$A$1:$AL$1,))</f>
        <v>11.8</v>
      </c>
      <c r="S24" s="18">
        <f>VLOOKUP(B24,'Data World'!$A:$AL,MATCH(World!$S$1,'Data World'!$A$1:$AL$1,))</f>
        <v>3.7</v>
      </c>
      <c r="T24" s="18">
        <f>VLOOKUP(B24,'Data World'!$A:$AL,MATCH(World!$T$1,'Data World'!$A$1:$AL$1,))</f>
        <v>5.8</v>
      </c>
    </row>
    <row r="25" spans="2:20" x14ac:dyDescent="0.2">
      <c r="B25" s="17">
        <v>42704</v>
      </c>
      <c r="C25" s="18">
        <f>VLOOKUP(B25,'Data World'!$A:$AL,MATCH(World!$C$1,'Data World'!$A$1:$AL$1,))</f>
        <v>4.7</v>
      </c>
      <c r="D25" s="18">
        <f>VLOOKUP(B25,'Data World'!$A:$AL,MATCH(World!$D$1,'Data World'!$A$1:$AL$1,))</f>
        <v>9.8000000000000007</v>
      </c>
      <c r="E25" s="18">
        <f>VLOOKUP(B25,'Data World'!$A:$AL,MATCH(World!$E$1,'Data World'!$A$1:$AL$1,))</f>
        <v>3</v>
      </c>
      <c r="F25" s="18">
        <f>VLOOKUP(B25,'Data World'!$A:$AL,MATCH(World!$F$1,'Data World'!$A$1:$AL$1,))</f>
        <v>3.9</v>
      </c>
      <c r="G25" s="18">
        <f>VLOOKUP(B25,'Data World'!$A:$AL,MATCH(World!$G$1,'Data World'!$A$1:$AL$1,))</f>
        <v>10.1</v>
      </c>
      <c r="H25" s="18">
        <f>VLOOKUP(B25,'Data World'!$A:$AL,MATCH(World!$H$1,'Data World'!$A$1:$AL$1,))</f>
        <v>4.7421059999999997</v>
      </c>
      <c r="I25" s="18">
        <f>VLOOKUP(B25,'Data World'!$A:$AL,MATCH(World!$I$1,'Data World'!$A$1:$AL$1,))</f>
        <v>12</v>
      </c>
      <c r="J25" s="18">
        <f>VLOOKUP(B25,'Data World'!$A:$AL,MATCH(World!$J$1,'Data World'!$A$1:$AL$1,))</f>
        <v>18.8</v>
      </c>
      <c r="K25" s="18">
        <f>VLOOKUP(B25,'Data World'!$A:$AL,MATCH(World!$K$1,'Data World'!$A$1:$AL$1,))</f>
        <v>6.8</v>
      </c>
      <c r="L25" s="18">
        <f>VLOOKUP(B25,'Data World'!$A:$AL,MATCH(World!$L$1,'Data World'!$A$1:$AL$1,))</f>
        <v>3.62765</v>
      </c>
      <c r="M25" s="18">
        <f>VLOOKUP(B25,'Data World'!$A:$AL,MATCH(World!$M$1,'Data World'!$A$1:$AL$1,))</f>
        <v>6.9</v>
      </c>
      <c r="N25" s="18">
        <f>VLOOKUP(B25,'Data World'!$A:$AL,MATCH(World!$N$1,'Data World'!$A$1:$AL$1,))</f>
        <v>5.7571260000000004</v>
      </c>
      <c r="O25" s="18">
        <f>VLOOKUP(B25,'Data World'!$A:$AL,MATCH(World!$O$1,'Data World'!$A$1:$AL$1,))</f>
        <v>3.7</v>
      </c>
      <c r="P25" s="18">
        <f>VLOOKUP(B25,'Data World'!$A:$AL,MATCH(World!$P$1,'Data World'!$A$1:$AL$1,))</f>
        <v>23.2</v>
      </c>
      <c r="Q25" s="18">
        <f>VLOOKUP(B25,'Data World'!$A:$AL,MATCH(World!$Q$1,'Data World'!$A$1:$AL$1,))</f>
        <v>7.4</v>
      </c>
      <c r="R25" s="18">
        <f>VLOOKUP(B25,'Data World'!$A:$AL,MATCH(World!$R$1,'Data World'!$A$1:$AL$1,))</f>
        <v>11.9</v>
      </c>
      <c r="S25" s="18">
        <f>VLOOKUP(B25,'Data World'!$A:$AL,MATCH(World!$S$1,'Data World'!$A$1:$AL$1,))</f>
        <v>3.6</v>
      </c>
      <c r="T25" s="18">
        <f>VLOOKUP(B25,'Data World'!$A:$AL,MATCH(World!$T$1,'Data World'!$A$1:$AL$1,))</f>
        <v>5.6</v>
      </c>
    </row>
    <row r="26" spans="2:20" x14ac:dyDescent="0.2">
      <c r="B26" s="17">
        <v>42735</v>
      </c>
      <c r="C26" s="18">
        <f>VLOOKUP(B26,'Data World'!$A:$AL,MATCH(World!$C$1,'Data World'!$A$1:$AL$1,))</f>
        <v>4.7</v>
      </c>
      <c r="D26" s="18">
        <f>VLOOKUP(B26,'Data World'!$A:$AL,MATCH(World!$D$1,'Data World'!$A$1:$AL$1,))</f>
        <v>9.6999999999999993</v>
      </c>
      <c r="E26" s="18">
        <f>VLOOKUP(B26,'Data World'!$A:$AL,MATCH(World!$E$1,'Data World'!$A$1:$AL$1,))</f>
        <v>3</v>
      </c>
      <c r="F26" s="18">
        <f>VLOOKUP(B26,'Data World'!$A:$AL,MATCH(World!$F$1,'Data World'!$A$1:$AL$1,))</f>
        <v>3.9</v>
      </c>
      <c r="G26" s="18">
        <f>VLOOKUP(B26,'Data World'!$A:$AL,MATCH(World!$G$1,'Data World'!$A$1:$AL$1,))</f>
        <v>9.9</v>
      </c>
      <c r="H26" s="18">
        <f>VLOOKUP(B26,'Data World'!$A:$AL,MATCH(World!$H$1,'Data World'!$A$1:$AL$1,))</f>
        <v>4.7071170000000002</v>
      </c>
      <c r="I26" s="18">
        <f>VLOOKUP(B26,'Data World'!$A:$AL,MATCH(World!$I$1,'Data World'!$A$1:$AL$1,))</f>
        <v>11.8</v>
      </c>
      <c r="J26" s="18">
        <f>VLOOKUP(B26,'Data World'!$A:$AL,MATCH(World!$J$1,'Data World'!$A$1:$AL$1,))</f>
        <v>18.5</v>
      </c>
      <c r="K26" s="18">
        <f>VLOOKUP(B26,'Data World'!$A:$AL,MATCH(World!$K$1,'Data World'!$A$1:$AL$1,))</f>
        <v>6.9</v>
      </c>
      <c r="L26" s="18">
        <f>VLOOKUP(B26,'Data World'!$A:$AL,MATCH(World!$L$1,'Data World'!$A$1:$AL$1,))</f>
        <v>3.7179950000000002</v>
      </c>
      <c r="M26" s="18">
        <f>VLOOKUP(B26,'Data World'!$A:$AL,MATCH(World!$M$1,'Data World'!$A$1:$AL$1,))</f>
        <v>7</v>
      </c>
      <c r="N26" s="18">
        <f>VLOOKUP(B26,'Data World'!$A:$AL,MATCH(World!$N$1,'Data World'!$A$1:$AL$1,))</f>
        <v>5.8337490000000001</v>
      </c>
      <c r="O26" s="18">
        <f>VLOOKUP(B26,'Data World'!$A:$AL,MATCH(World!$O$1,'Data World'!$A$1:$AL$1,))</f>
        <v>3.5</v>
      </c>
      <c r="P26" s="18">
        <f>VLOOKUP(B26,'Data World'!$A:$AL,MATCH(World!$P$1,'Data World'!$A$1:$AL$1,))</f>
        <v>23.6</v>
      </c>
      <c r="Q26" s="18">
        <f>VLOOKUP(B26,'Data World'!$A:$AL,MATCH(World!$Q$1,'Data World'!$A$1:$AL$1,))</f>
        <v>7.4</v>
      </c>
      <c r="R26" s="18">
        <f>VLOOKUP(B26,'Data World'!$A:$AL,MATCH(World!$R$1,'Data World'!$A$1:$AL$1,))</f>
        <v>12</v>
      </c>
      <c r="S26" s="18">
        <f>VLOOKUP(B26,'Data World'!$A:$AL,MATCH(World!$S$1,'Data World'!$A$1:$AL$1,))</f>
        <v>3.6</v>
      </c>
      <c r="T26" s="18">
        <f>VLOOKUP(B26,'Data World'!$A:$AL,MATCH(World!$T$1,'Data World'!$A$1:$AL$1,))</f>
        <v>5.4</v>
      </c>
    </row>
    <row r="27" spans="2:20" x14ac:dyDescent="0.2">
      <c r="B27" s="17">
        <v>42766</v>
      </c>
      <c r="C27" s="18">
        <f>VLOOKUP(B27,'Data World'!$A:$AL,MATCH(World!$C$1,'Data World'!$A$1:$AL$1,))</f>
        <v>4.7</v>
      </c>
      <c r="D27" s="18">
        <f>VLOOKUP(B27,'Data World'!$A:$AL,MATCH(World!$D$1,'Data World'!$A$1:$AL$1,))</f>
        <v>9.6</v>
      </c>
      <c r="E27" s="18">
        <f>VLOOKUP(B27,'Data World'!$A:$AL,MATCH(World!$E$1,'Data World'!$A$1:$AL$1,))</f>
        <v>3</v>
      </c>
      <c r="F27" s="18">
        <f>VLOOKUP(B27,'Data World'!$A:$AL,MATCH(World!$F$1,'Data World'!$A$1:$AL$1,))</f>
        <v>3.9</v>
      </c>
      <c r="G27" s="18">
        <f>VLOOKUP(B27,'Data World'!$A:$AL,MATCH(World!$G$1,'Data World'!$A$1:$AL$1,))</f>
        <v>9.6999999999999993</v>
      </c>
      <c r="H27" s="18">
        <f>VLOOKUP(B27,'Data World'!$A:$AL,MATCH(World!$H$1,'Data World'!$A$1:$AL$1,))</f>
        <v>4.6404860000000001</v>
      </c>
      <c r="I27" s="18">
        <f>VLOOKUP(B27,'Data World'!$A:$AL,MATCH(World!$I$1,'Data World'!$A$1:$AL$1,))</f>
        <v>11.7</v>
      </c>
      <c r="J27" s="18">
        <f>VLOOKUP(B27,'Data World'!$A:$AL,MATCH(World!$J$1,'Data World'!$A$1:$AL$1,))</f>
        <v>18.3</v>
      </c>
      <c r="K27" s="18">
        <f>VLOOKUP(B27,'Data World'!$A:$AL,MATCH(World!$K$1,'Data World'!$A$1:$AL$1,))</f>
        <v>6.8</v>
      </c>
      <c r="L27" s="18">
        <f>VLOOKUP(B27,'Data World'!$A:$AL,MATCH(World!$L$1,'Data World'!$A$1:$AL$1,))</f>
        <v>3.4613900000000002</v>
      </c>
      <c r="M27" s="18">
        <f>VLOOKUP(B27,'Data World'!$A:$AL,MATCH(World!$M$1,'Data World'!$A$1:$AL$1,))</f>
        <v>6.8</v>
      </c>
      <c r="N27" s="18">
        <f>VLOOKUP(B27,'Data World'!$A:$AL,MATCH(World!$N$1,'Data World'!$A$1:$AL$1,))</f>
        <v>5.6797800000000001</v>
      </c>
      <c r="O27" s="18">
        <f>VLOOKUP(B27,'Data World'!$A:$AL,MATCH(World!$O$1,'Data World'!$A$1:$AL$1,))</f>
        <v>3.6</v>
      </c>
      <c r="P27" s="18">
        <f>VLOOKUP(B27,'Data World'!$A:$AL,MATCH(World!$P$1,'Data World'!$A$1:$AL$1,))</f>
        <v>22.7</v>
      </c>
      <c r="Q27" s="18">
        <f>VLOOKUP(B27,'Data World'!$A:$AL,MATCH(World!$Q$1,'Data World'!$A$1:$AL$1,))</f>
        <v>7.5</v>
      </c>
      <c r="R27" s="18">
        <f>VLOOKUP(B27,'Data World'!$A:$AL,MATCH(World!$R$1,'Data World'!$A$1:$AL$1,))</f>
        <v>11.8</v>
      </c>
      <c r="S27" s="18">
        <f>VLOOKUP(B27,'Data World'!$A:$AL,MATCH(World!$S$1,'Data World'!$A$1:$AL$1,))</f>
        <v>3.5</v>
      </c>
      <c r="T27" s="18">
        <f>VLOOKUP(B27,'Data World'!$A:$AL,MATCH(World!$T$1,'Data World'!$A$1:$AL$1,))</f>
        <v>5.2</v>
      </c>
    </row>
    <row r="28" spans="2:20" x14ac:dyDescent="0.2">
      <c r="B28" s="17">
        <v>42794</v>
      </c>
      <c r="C28" s="18">
        <f>VLOOKUP(B28,'Data World'!$A:$AL,MATCH(World!$C$1,'Data World'!$A$1:$AL$1,))</f>
        <v>4.5999999999999996</v>
      </c>
      <c r="D28" s="18">
        <f>VLOOKUP(B28,'Data World'!$A:$AL,MATCH(World!$D$1,'Data World'!$A$1:$AL$1,))</f>
        <v>9.4</v>
      </c>
      <c r="E28" s="18">
        <f>VLOOKUP(B28,'Data World'!$A:$AL,MATCH(World!$E$1,'Data World'!$A$1:$AL$1,))</f>
        <v>2.9</v>
      </c>
      <c r="F28" s="18">
        <f>VLOOKUP(B28,'Data World'!$A:$AL,MATCH(World!$F$1,'Data World'!$A$1:$AL$1,))</f>
        <v>3.9</v>
      </c>
      <c r="G28" s="18">
        <f>VLOOKUP(B28,'Data World'!$A:$AL,MATCH(World!$G$1,'Data World'!$A$1:$AL$1,))</f>
        <v>9.6</v>
      </c>
      <c r="H28" s="18">
        <f>VLOOKUP(B28,'Data World'!$A:$AL,MATCH(World!$H$1,'Data World'!$A$1:$AL$1,))</f>
        <v>4.5632999999999999</v>
      </c>
      <c r="I28" s="18">
        <f>VLOOKUP(B28,'Data World'!$A:$AL,MATCH(World!$I$1,'Data World'!$A$1:$AL$1,))</f>
        <v>11.5</v>
      </c>
      <c r="J28" s="18">
        <f>VLOOKUP(B28,'Data World'!$A:$AL,MATCH(World!$J$1,'Data World'!$A$1:$AL$1,))</f>
        <v>18.2</v>
      </c>
      <c r="K28" s="18">
        <f>VLOOKUP(B28,'Data World'!$A:$AL,MATCH(World!$K$1,'Data World'!$A$1:$AL$1,))</f>
        <v>6.9</v>
      </c>
      <c r="L28" s="18">
        <f>VLOOKUP(B28,'Data World'!$A:$AL,MATCH(World!$L$1,'Data World'!$A$1:$AL$1,))</f>
        <v>3.426132</v>
      </c>
      <c r="M28" s="18">
        <f>VLOOKUP(B28,'Data World'!$A:$AL,MATCH(World!$M$1,'Data World'!$A$1:$AL$1,))</f>
        <v>6.6</v>
      </c>
      <c r="N28" s="18">
        <f>VLOOKUP(B28,'Data World'!$A:$AL,MATCH(World!$N$1,'Data World'!$A$1:$AL$1,))</f>
        <v>5.8392179999999998</v>
      </c>
      <c r="O28" s="18">
        <f>VLOOKUP(B28,'Data World'!$A:$AL,MATCH(World!$O$1,'Data World'!$A$1:$AL$1,))</f>
        <v>3.9</v>
      </c>
      <c r="P28" s="18">
        <f>VLOOKUP(B28,'Data World'!$A:$AL,MATCH(World!$P$1,'Data World'!$A$1:$AL$1,))</f>
        <v>22.4</v>
      </c>
      <c r="Q28" s="18">
        <f>VLOOKUP(B28,'Data World'!$A:$AL,MATCH(World!$Q$1,'Data World'!$A$1:$AL$1,))</f>
        <v>7.4</v>
      </c>
      <c r="R28" s="18">
        <f>VLOOKUP(B28,'Data World'!$A:$AL,MATCH(World!$R$1,'Data World'!$A$1:$AL$1,))</f>
        <v>11.7</v>
      </c>
      <c r="S28" s="18">
        <f>VLOOKUP(B28,'Data World'!$A:$AL,MATCH(World!$S$1,'Data World'!$A$1:$AL$1,))</f>
        <v>3.3</v>
      </c>
      <c r="T28" s="18">
        <f>VLOOKUP(B28,'Data World'!$A:$AL,MATCH(World!$T$1,'Data World'!$A$1:$AL$1,))</f>
        <v>5.0999999999999996</v>
      </c>
    </row>
    <row r="29" spans="2:20" x14ac:dyDescent="0.2">
      <c r="B29" s="17">
        <v>42825</v>
      </c>
      <c r="C29" s="18">
        <f>VLOOKUP(B29,'Data World'!$A:$AL,MATCH(World!$C$1,'Data World'!$A$1:$AL$1,))</f>
        <v>4.4000000000000004</v>
      </c>
      <c r="D29" s="18">
        <f>VLOOKUP(B29,'Data World'!$A:$AL,MATCH(World!$D$1,'Data World'!$A$1:$AL$1,))</f>
        <v>9.4</v>
      </c>
      <c r="E29" s="18">
        <f>VLOOKUP(B29,'Data World'!$A:$AL,MATCH(World!$E$1,'Data World'!$A$1:$AL$1,))</f>
        <v>2.8</v>
      </c>
      <c r="F29" s="18">
        <f>VLOOKUP(B29,'Data World'!$A:$AL,MATCH(World!$F$1,'Data World'!$A$1:$AL$1,))</f>
        <v>3.9</v>
      </c>
      <c r="G29" s="18">
        <f>VLOOKUP(B29,'Data World'!$A:$AL,MATCH(World!$G$1,'Data World'!$A$1:$AL$1,))</f>
        <v>9.5</v>
      </c>
      <c r="H29" s="18">
        <f>VLOOKUP(B29,'Data World'!$A:$AL,MATCH(World!$H$1,'Data World'!$A$1:$AL$1,))</f>
        <v>4.5402870000000002</v>
      </c>
      <c r="I29" s="18">
        <f>VLOOKUP(B29,'Data World'!$A:$AL,MATCH(World!$I$1,'Data World'!$A$1:$AL$1,))</f>
        <v>11.7</v>
      </c>
      <c r="J29" s="18">
        <f>VLOOKUP(B29,'Data World'!$A:$AL,MATCH(World!$J$1,'Data World'!$A$1:$AL$1,))</f>
        <v>18</v>
      </c>
      <c r="K29" s="18">
        <f>VLOOKUP(B29,'Data World'!$A:$AL,MATCH(World!$K$1,'Data World'!$A$1:$AL$1,))</f>
        <v>6.4</v>
      </c>
      <c r="L29" s="18">
        <f>VLOOKUP(B29,'Data World'!$A:$AL,MATCH(World!$L$1,'Data World'!$A$1:$AL$1,))</f>
        <v>3.4813610000000001</v>
      </c>
      <c r="M29" s="18">
        <f>VLOOKUP(B29,'Data World'!$A:$AL,MATCH(World!$M$1,'Data World'!$A$1:$AL$1,))</f>
        <v>6.7</v>
      </c>
      <c r="N29" s="18">
        <f>VLOOKUP(B29,'Data World'!$A:$AL,MATCH(World!$N$1,'Data World'!$A$1:$AL$1,))</f>
        <v>5.8415889999999999</v>
      </c>
      <c r="O29" s="18">
        <f>VLOOKUP(B29,'Data World'!$A:$AL,MATCH(World!$O$1,'Data World'!$A$1:$AL$1,))</f>
        <v>3.6</v>
      </c>
      <c r="P29" s="18">
        <f>VLOOKUP(B29,'Data World'!$A:$AL,MATCH(World!$P$1,'Data World'!$A$1:$AL$1,))</f>
        <v>22.3</v>
      </c>
      <c r="Q29" s="18">
        <f>VLOOKUP(B29,'Data World'!$A:$AL,MATCH(World!$Q$1,'Data World'!$A$1:$AL$1,))</f>
        <v>7.2</v>
      </c>
      <c r="R29" s="18">
        <f>VLOOKUP(B29,'Data World'!$A:$AL,MATCH(World!$R$1,'Data World'!$A$1:$AL$1,))</f>
        <v>11.5</v>
      </c>
      <c r="S29" s="18">
        <f>VLOOKUP(B29,'Data World'!$A:$AL,MATCH(World!$S$1,'Data World'!$A$1:$AL$1,))</f>
        <v>3.3</v>
      </c>
      <c r="T29" s="18">
        <f>VLOOKUP(B29,'Data World'!$A:$AL,MATCH(World!$T$1,'Data World'!$A$1:$AL$1,))</f>
        <v>5</v>
      </c>
    </row>
    <row r="30" spans="2:20" x14ac:dyDescent="0.2">
      <c r="B30" s="17">
        <v>42855</v>
      </c>
      <c r="C30" s="18">
        <f>VLOOKUP(B30,'Data World'!$A:$AL,MATCH(World!$C$1,'Data World'!$A$1:$AL$1,))</f>
        <v>4.5</v>
      </c>
      <c r="D30" s="18">
        <f>VLOOKUP(B30,'Data World'!$A:$AL,MATCH(World!$D$1,'Data World'!$A$1:$AL$1,))</f>
        <v>9.1999999999999993</v>
      </c>
      <c r="E30" s="18">
        <f>VLOOKUP(B30,'Data World'!$A:$AL,MATCH(World!$E$1,'Data World'!$A$1:$AL$1,))</f>
        <v>2.8</v>
      </c>
      <c r="F30" s="18">
        <f>VLOOKUP(B30,'Data World'!$A:$AL,MATCH(World!$F$1,'Data World'!$A$1:$AL$1,))</f>
        <v>3.8</v>
      </c>
      <c r="G30" s="18">
        <f>VLOOKUP(B30,'Data World'!$A:$AL,MATCH(World!$G$1,'Data World'!$A$1:$AL$1,))</f>
        <v>9.5</v>
      </c>
      <c r="H30" s="18">
        <f>VLOOKUP(B30,'Data World'!$A:$AL,MATCH(World!$H$1,'Data World'!$A$1:$AL$1,))</f>
        <v>4.4453719999999999</v>
      </c>
      <c r="I30" s="18">
        <f>VLOOKUP(B30,'Data World'!$A:$AL,MATCH(World!$I$1,'Data World'!$A$1:$AL$1,))</f>
        <v>11.2</v>
      </c>
      <c r="J30" s="18">
        <f>VLOOKUP(B30,'Data World'!$A:$AL,MATCH(World!$J$1,'Data World'!$A$1:$AL$1,))</f>
        <v>17.600000000000001</v>
      </c>
      <c r="K30" s="18">
        <f>VLOOKUP(B30,'Data World'!$A:$AL,MATCH(World!$K$1,'Data World'!$A$1:$AL$1,))</f>
        <v>6.8</v>
      </c>
      <c r="L30" s="18">
        <f>VLOOKUP(B30,'Data World'!$A:$AL,MATCH(World!$L$1,'Data World'!$A$1:$AL$1,))</f>
        <v>3.5367649999999999</v>
      </c>
      <c r="M30" s="18">
        <f>VLOOKUP(B30,'Data World'!$A:$AL,MATCH(World!$M$1,'Data World'!$A$1:$AL$1,))</f>
        <v>6.5</v>
      </c>
      <c r="N30" s="18">
        <f>VLOOKUP(B30,'Data World'!$A:$AL,MATCH(World!$N$1,'Data World'!$A$1:$AL$1,))</f>
        <v>5.6112109999999999</v>
      </c>
      <c r="O30" s="18">
        <f>VLOOKUP(B30,'Data World'!$A:$AL,MATCH(World!$O$1,'Data World'!$A$1:$AL$1,))</f>
        <v>3.8</v>
      </c>
      <c r="P30" s="18">
        <f>VLOOKUP(B30,'Data World'!$A:$AL,MATCH(World!$P$1,'Data World'!$A$1:$AL$1,))</f>
        <v>21.4</v>
      </c>
      <c r="Q30" s="18">
        <f>VLOOKUP(B30,'Data World'!$A:$AL,MATCH(World!$Q$1,'Data World'!$A$1:$AL$1,))</f>
        <v>6.9</v>
      </c>
      <c r="R30" s="18">
        <f>VLOOKUP(B30,'Data World'!$A:$AL,MATCH(World!$R$1,'Data World'!$A$1:$AL$1,))</f>
        <v>11.2</v>
      </c>
      <c r="S30" s="18">
        <f>VLOOKUP(B30,'Data World'!$A:$AL,MATCH(World!$S$1,'Data World'!$A$1:$AL$1,))</f>
        <v>3.3</v>
      </c>
      <c r="T30" s="18">
        <f>VLOOKUP(B30,'Data World'!$A:$AL,MATCH(World!$T$1,'Data World'!$A$1:$AL$1,))</f>
        <v>5.0999999999999996</v>
      </c>
    </row>
    <row r="31" spans="2:20" x14ac:dyDescent="0.2">
      <c r="B31" s="17">
        <v>42886</v>
      </c>
      <c r="C31" s="18">
        <f>VLOOKUP(B31,'Data World'!$A:$AL,MATCH(World!$C$1,'Data World'!$A$1:$AL$1,))</f>
        <v>4.4000000000000004</v>
      </c>
      <c r="D31" s="18">
        <f>VLOOKUP(B31,'Data World'!$A:$AL,MATCH(World!$D$1,'Data World'!$A$1:$AL$1,))</f>
        <v>9.1999999999999993</v>
      </c>
      <c r="E31" s="18">
        <f>VLOOKUP(B31,'Data World'!$A:$AL,MATCH(World!$E$1,'Data World'!$A$1:$AL$1,))</f>
        <v>3</v>
      </c>
      <c r="F31" s="18">
        <f>VLOOKUP(B31,'Data World'!$A:$AL,MATCH(World!$F$1,'Data World'!$A$1:$AL$1,))</f>
        <v>3.8</v>
      </c>
      <c r="G31" s="18">
        <f>VLOOKUP(B31,'Data World'!$A:$AL,MATCH(World!$G$1,'Data World'!$A$1:$AL$1,))</f>
        <v>9.5</v>
      </c>
      <c r="H31" s="18">
        <f>VLOOKUP(B31,'Data World'!$A:$AL,MATCH(World!$H$1,'Data World'!$A$1:$AL$1,))</f>
        <v>4.4254020000000001</v>
      </c>
      <c r="I31" s="18">
        <f>VLOOKUP(B31,'Data World'!$A:$AL,MATCH(World!$I$1,'Data World'!$A$1:$AL$1,))</f>
        <v>11.5</v>
      </c>
      <c r="J31" s="18">
        <f>VLOOKUP(B31,'Data World'!$A:$AL,MATCH(World!$J$1,'Data World'!$A$1:$AL$1,))</f>
        <v>17.399999999999999</v>
      </c>
      <c r="K31" s="18">
        <f>VLOOKUP(B31,'Data World'!$A:$AL,MATCH(World!$K$1,'Data World'!$A$1:$AL$1,))</f>
        <v>6.7</v>
      </c>
      <c r="L31" s="18">
        <f>VLOOKUP(B31,'Data World'!$A:$AL,MATCH(World!$L$1,'Data World'!$A$1:$AL$1,))</f>
        <v>3.6188470000000001</v>
      </c>
      <c r="M31" s="18">
        <f>VLOOKUP(B31,'Data World'!$A:$AL,MATCH(World!$M$1,'Data World'!$A$1:$AL$1,))</f>
        <v>6.6</v>
      </c>
      <c r="N31" s="18">
        <f>VLOOKUP(B31,'Data World'!$A:$AL,MATCH(World!$N$1,'Data World'!$A$1:$AL$1,))</f>
        <v>5.553464</v>
      </c>
      <c r="O31" s="18">
        <f>VLOOKUP(B31,'Data World'!$A:$AL,MATCH(World!$O$1,'Data World'!$A$1:$AL$1,))</f>
        <v>3.4</v>
      </c>
      <c r="P31" s="18">
        <f>VLOOKUP(B31,'Data World'!$A:$AL,MATCH(World!$P$1,'Data World'!$A$1:$AL$1,))</f>
        <v>21.9</v>
      </c>
      <c r="Q31" s="18">
        <f>VLOOKUP(B31,'Data World'!$A:$AL,MATCH(World!$Q$1,'Data World'!$A$1:$AL$1,))</f>
        <v>6.6</v>
      </c>
      <c r="R31" s="18">
        <f>VLOOKUP(B31,'Data World'!$A:$AL,MATCH(World!$R$1,'Data World'!$A$1:$AL$1,))</f>
        <v>11.1</v>
      </c>
      <c r="S31" s="18">
        <f>VLOOKUP(B31,'Data World'!$A:$AL,MATCH(World!$S$1,'Data World'!$A$1:$AL$1,))</f>
        <v>2.9</v>
      </c>
      <c r="T31" s="18">
        <f>VLOOKUP(B31,'Data World'!$A:$AL,MATCH(World!$T$1,'Data World'!$A$1:$AL$1,))</f>
        <v>5.0999999999999996</v>
      </c>
    </row>
    <row r="32" spans="2:20" x14ac:dyDescent="0.2">
      <c r="B32" s="17">
        <v>42916</v>
      </c>
      <c r="C32" s="18">
        <f>VLOOKUP(B32,'Data World'!$A:$AL,MATCH(World!$C$1,'Data World'!$A$1:$AL$1,))</f>
        <v>4.3</v>
      </c>
      <c r="D32" s="18">
        <f>VLOOKUP(B32,'Data World'!$A:$AL,MATCH(World!$D$1,'Data World'!$A$1:$AL$1,))</f>
        <v>9.1</v>
      </c>
      <c r="E32" s="18">
        <f>VLOOKUP(B32,'Data World'!$A:$AL,MATCH(World!$E$1,'Data World'!$A$1:$AL$1,))</f>
        <v>2.8</v>
      </c>
      <c r="F32" s="18">
        <f>VLOOKUP(B32,'Data World'!$A:$AL,MATCH(World!$F$1,'Data World'!$A$1:$AL$1,))</f>
        <v>3.8</v>
      </c>
      <c r="G32" s="18">
        <f>VLOOKUP(B32,'Data World'!$A:$AL,MATCH(World!$G$1,'Data World'!$A$1:$AL$1,))</f>
        <v>9.5</v>
      </c>
      <c r="H32" s="18">
        <f>VLOOKUP(B32,'Data World'!$A:$AL,MATCH(World!$H$1,'Data World'!$A$1:$AL$1,))</f>
        <v>4.3376950000000001</v>
      </c>
      <c r="I32" s="18">
        <f>VLOOKUP(B32,'Data World'!$A:$AL,MATCH(World!$I$1,'Data World'!$A$1:$AL$1,))</f>
        <v>11.2</v>
      </c>
      <c r="J32" s="18">
        <f>VLOOKUP(B32,'Data World'!$A:$AL,MATCH(World!$J$1,'Data World'!$A$1:$AL$1,))</f>
        <v>17.100000000000001</v>
      </c>
      <c r="K32" s="18">
        <f>VLOOKUP(B32,'Data World'!$A:$AL,MATCH(World!$K$1,'Data World'!$A$1:$AL$1,))</f>
        <v>6.6</v>
      </c>
      <c r="L32" s="18">
        <f>VLOOKUP(B32,'Data World'!$A:$AL,MATCH(World!$L$1,'Data World'!$A$1:$AL$1,))</f>
        <v>3.2606700000000002</v>
      </c>
      <c r="M32" s="18">
        <f>VLOOKUP(B32,'Data World'!$A:$AL,MATCH(World!$M$1,'Data World'!$A$1:$AL$1,))</f>
        <v>6.5</v>
      </c>
      <c r="N32" s="18">
        <f>VLOOKUP(B32,'Data World'!$A:$AL,MATCH(World!$N$1,'Data World'!$A$1:$AL$1,))</f>
        <v>5.5982960000000004</v>
      </c>
      <c r="O32" s="18">
        <f>VLOOKUP(B32,'Data World'!$A:$AL,MATCH(World!$O$1,'Data World'!$A$1:$AL$1,))</f>
        <v>3.7</v>
      </c>
      <c r="P32" s="18">
        <f>VLOOKUP(B32,'Data World'!$A:$AL,MATCH(World!$P$1,'Data World'!$A$1:$AL$1,))</f>
        <v>21.6</v>
      </c>
      <c r="Q32" s="18">
        <f>VLOOKUP(B32,'Data World'!$A:$AL,MATCH(World!$Q$1,'Data World'!$A$1:$AL$1,))</f>
        <v>6.6</v>
      </c>
      <c r="R32" s="18">
        <f>VLOOKUP(B32,'Data World'!$A:$AL,MATCH(World!$R$1,'Data World'!$A$1:$AL$1,))</f>
        <v>10.9</v>
      </c>
      <c r="S32" s="18">
        <f>VLOOKUP(B32,'Data World'!$A:$AL,MATCH(World!$S$1,'Data World'!$A$1:$AL$1,))</f>
        <v>2.9</v>
      </c>
      <c r="T32" s="18">
        <f>VLOOKUP(B32,'Data World'!$A:$AL,MATCH(World!$T$1,'Data World'!$A$1:$AL$1,))</f>
        <v>5</v>
      </c>
    </row>
    <row r="33" spans="2:20" x14ac:dyDescent="0.2">
      <c r="B33" s="17">
        <v>42947</v>
      </c>
      <c r="C33" s="18">
        <f>VLOOKUP(B33,'Data World'!$A:$AL,MATCH(World!$C$1,'Data World'!$A$1:$AL$1,))</f>
        <v>4.3</v>
      </c>
      <c r="D33" s="18">
        <f>VLOOKUP(B33,'Data World'!$A:$AL,MATCH(World!$D$1,'Data World'!$A$1:$AL$1,))</f>
        <v>9.1</v>
      </c>
      <c r="E33" s="18">
        <f>VLOOKUP(B33,'Data World'!$A:$AL,MATCH(World!$E$1,'Data World'!$A$1:$AL$1,))</f>
        <v>2.8</v>
      </c>
      <c r="F33" s="18">
        <f>VLOOKUP(B33,'Data World'!$A:$AL,MATCH(World!$F$1,'Data World'!$A$1:$AL$1,))</f>
        <v>3.7</v>
      </c>
      <c r="G33" s="18">
        <f>VLOOKUP(B33,'Data World'!$A:$AL,MATCH(World!$G$1,'Data World'!$A$1:$AL$1,))</f>
        <v>9.6</v>
      </c>
      <c r="H33" s="18">
        <f>VLOOKUP(B33,'Data World'!$A:$AL,MATCH(World!$H$1,'Data World'!$A$1:$AL$1,))</f>
        <v>4.3280399999999997</v>
      </c>
      <c r="I33" s="18">
        <f>VLOOKUP(B33,'Data World'!$A:$AL,MATCH(World!$I$1,'Data World'!$A$1:$AL$1,))</f>
        <v>11.4</v>
      </c>
      <c r="J33" s="18">
        <f>VLOOKUP(B33,'Data World'!$A:$AL,MATCH(World!$J$1,'Data World'!$A$1:$AL$1,))</f>
        <v>16.899999999999999</v>
      </c>
      <c r="K33" s="18">
        <f>VLOOKUP(B33,'Data World'!$A:$AL,MATCH(World!$K$1,'Data World'!$A$1:$AL$1,))</f>
        <v>6.9</v>
      </c>
      <c r="L33" s="18">
        <f>VLOOKUP(B33,'Data World'!$A:$AL,MATCH(World!$L$1,'Data World'!$A$1:$AL$1,))</f>
        <v>3.2257220000000002</v>
      </c>
      <c r="M33" s="18">
        <f>VLOOKUP(B33,'Data World'!$A:$AL,MATCH(World!$M$1,'Data World'!$A$1:$AL$1,))</f>
        <v>6.3</v>
      </c>
      <c r="N33" s="18">
        <f>VLOOKUP(B33,'Data World'!$A:$AL,MATCH(World!$N$1,'Data World'!$A$1:$AL$1,))</f>
        <v>5.5851220000000001</v>
      </c>
      <c r="O33" s="18">
        <f>VLOOKUP(B33,'Data World'!$A:$AL,MATCH(World!$O$1,'Data World'!$A$1:$AL$1,))</f>
        <v>3.5</v>
      </c>
      <c r="P33" s="18">
        <f>VLOOKUP(B33,'Data World'!$A:$AL,MATCH(World!$P$1,'Data World'!$A$1:$AL$1,))</f>
        <v>20.9</v>
      </c>
      <c r="Q33" s="18">
        <f>VLOOKUP(B33,'Data World'!$A:$AL,MATCH(World!$Q$1,'Data World'!$A$1:$AL$1,))</f>
        <v>6.6</v>
      </c>
      <c r="R33" s="18">
        <f>VLOOKUP(B33,'Data World'!$A:$AL,MATCH(World!$R$1,'Data World'!$A$1:$AL$1,))</f>
        <v>11</v>
      </c>
      <c r="S33" s="18">
        <f>VLOOKUP(B33,'Data World'!$A:$AL,MATCH(World!$S$1,'Data World'!$A$1:$AL$1,))</f>
        <v>2.8</v>
      </c>
      <c r="T33" s="18">
        <f>VLOOKUP(B33,'Data World'!$A:$AL,MATCH(World!$T$1,'Data World'!$A$1:$AL$1,))</f>
        <v>4.9000000000000004</v>
      </c>
    </row>
    <row r="34" spans="2:20" x14ac:dyDescent="0.2">
      <c r="B34" s="17">
        <v>42978</v>
      </c>
      <c r="C34" s="18">
        <f>VLOOKUP(B34,'Data World'!$A:$AL,MATCH(World!$C$1,'Data World'!$A$1:$AL$1,))</f>
        <v>4.4000000000000004</v>
      </c>
      <c r="D34" s="18">
        <f>VLOOKUP(B34,'Data World'!$A:$AL,MATCH(World!$D$1,'Data World'!$A$1:$AL$1,))</f>
        <v>9</v>
      </c>
      <c r="E34" s="18">
        <f>VLOOKUP(B34,'Data World'!$A:$AL,MATCH(World!$E$1,'Data World'!$A$1:$AL$1,))</f>
        <v>2.8</v>
      </c>
      <c r="F34" s="18">
        <f>VLOOKUP(B34,'Data World'!$A:$AL,MATCH(World!$F$1,'Data World'!$A$1:$AL$1,))</f>
        <v>3.7</v>
      </c>
      <c r="G34" s="18">
        <f>VLOOKUP(B34,'Data World'!$A:$AL,MATCH(World!$G$1,'Data World'!$A$1:$AL$1,))</f>
        <v>9.6</v>
      </c>
      <c r="H34" s="18">
        <f>VLOOKUP(B34,'Data World'!$A:$AL,MATCH(World!$H$1,'Data World'!$A$1:$AL$1,))</f>
        <v>4.2668150000000002</v>
      </c>
      <c r="I34" s="18">
        <f>VLOOKUP(B34,'Data World'!$A:$AL,MATCH(World!$I$1,'Data World'!$A$1:$AL$1,))</f>
        <v>11.4</v>
      </c>
      <c r="J34" s="18">
        <f>VLOOKUP(B34,'Data World'!$A:$AL,MATCH(World!$J$1,'Data World'!$A$1:$AL$1,))</f>
        <v>16.8</v>
      </c>
      <c r="K34" s="18">
        <f>VLOOKUP(B34,'Data World'!$A:$AL,MATCH(World!$K$1,'Data World'!$A$1:$AL$1,))</f>
        <v>6.4</v>
      </c>
      <c r="L34" s="18">
        <f>VLOOKUP(B34,'Data World'!$A:$AL,MATCH(World!$L$1,'Data World'!$A$1:$AL$1,))</f>
        <v>3.2980079999999998</v>
      </c>
      <c r="M34" s="18">
        <f>VLOOKUP(B34,'Data World'!$A:$AL,MATCH(World!$M$1,'Data World'!$A$1:$AL$1,))</f>
        <v>6.2</v>
      </c>
      <c r="N34" s="18">
        <f>VLOOKUP(B34,'Data World'!$A:$AL,MATCH(World!$N$1,'Data World'!$A$1:$AL$1,))</f>
        <v>5.5061140000000002</v>
      </c>
      <c r="O34" s="18">
        <f>VLOOKUP(B34,'Data World'!$A:$AL,MATCH(World!$O$1,'Data World'!$A$1:$AL$1,))</f>
        <v>3.8</v>
      </c>
      <c r="P34" s="18">
        <f>VLOOKUP(B34,'Data World'!$A:$AL,MATCH(World!$P$1,'Data World'!$A$1:$AL$1,))</f>
        <v>20.9</v>
      </c>
      <c r="Q34" s="18">
        <f>VLOOKUP(B34,'Data World'!$A:$AL,MATCH(World!$Q$1,'Data World'!$A$1:$AL$1,))</f>
        <v>6.6</v>
      </c>
      <c r="R34" s="18">
        <f>VLOOKUP(B34,'Data World'!$A:$AL,MATCH(World!$R$1,'Data World'!$A$1:$AL$1,))</f>
        <v>10.6</v>
      </c>
      <c r="S34" s="18">
        <f>VLOOKUP(B34,'Data World'!$A:$AL,MATCH(World!$S$1,'Data World'!$A$1:$AL$1,))</f>
        <v>2.7</v>
      </c>
      <c r="T34" s="18">
        <f>VLOOKUP(B34,'Data World'!$A:$AL,MATCH(World!$T$1,'Data World'!$A$1:$AL$1,))</f>
        <v>4.8</v>
      </c>
    </row>
    <row r="35" spans="2:20" x14ac:dyDescent="0.2">
      <c r="B35" s="17">
        <v>43008</v>
      </c>
      <c r="C35" s="18">
        <f>VLOOKUP(B35,'Data World'!$A:$AL,MATCH(World!$C$1,'Data World'!$A$1:$AL$1,))</f>
        <v>4.2</v>
      </c>
      <c r="D35" s="18">
        <f>VLOOKUP(B35,'Data World'!$A:$AL,MATCH(World!$D$1,'Data World'!$A$1:$AL$1,))</f>
        <v>8.9</v>
      </c>
      <c r="E35" s="18">
        <f>VLOOKUP(B35,'Data World'!$A:$AL,MATCH(World!$E$1,'Data World'!$A$1:$AL$1,))</f>
        <v>2.8</v>
      </c>
      <c r="F35" s="18">
        <f>VLOOKUP(B35,'Data World'!$A:$AL,MATCH(World!$F$1,'Data World'!$A$1:$AL$1,))</f>
        <v>3.7</v>
      </c>
      <c r="G35" s="18">
        <f>VLOOKUP(B35,'Data World'!$A:$AL,MATCH(World!$G$1,'Data World'!$A$1:$AL$1,))</f>
        <v>9.4</v>
      </c>
      <c r="H35" s="18">
        <f>VLOOKUP(B35,'Data World'!$A:$AL,MATCH(World!$H$1,'Data World'!$A$1:$AL$1,))</f>
        <v>4.2433370000000004</v>
      </c>
      <c r="I35" s="18">
        <f>VLOOKUP(B35,'Data World'!$A:$AL,MATCH(World!$I$1,'Data World'!$A$1:$AL$1,))</f>
        <v>11.2</v>
      </c>
      <c r="J35" s="18">
        <f>VLOOKUP(B35,'Data World'!$A:$AL,MATCH(World!$J$1,'Data World'!$A$1:$AL$1,))</f>
        <v>16.7</v>
      </c>
      <c r="K35" s="18">
        <f>VLOOKUP(B35,'Data World'!$A:$AL,MATCH(World!$K$1,'Data World'!$A$1:$AL$1,))</f>
        <v>6.8</v>
      </c>
      <c r="L35" s="18">
        <f>VLOOKUP(B35,'Data World'!$A:$AL,MATCH(World!$L$1,'Data World'!$A$1:$AL$1,))</f>
        <v>3.3380519999999998</v>
      </c>
      <c r="M35" s="18">
        <f>VLOOKUP(B35,'Data World'!$A:$AL,MATCH(World!$M$1,'Data World'!$A$1:$AL$1,))</f>
        <v>6.2</v>
      </c>
      <c r="N35" s="18">
        <f>VLOOKUP(B35,'Data World'!$A:$AL,MATCH(World!$N$1,'Data World'!$A$1:$AL$1,))</f>
        <v>5.447813</v>
      </c>
      <c r="O35" s="18">
        <f>VLOOKUP(B35,'Data World'!$A:$AL,MATCH(World!$O$1,'Data World'!$A$1:$AL$1,))</f>
        <v>3.7</v>
      </c>
      <c r="P35" s="18">
        <f>VLOOKUP(B35,'Data World'!$A:$AL,MATCH(World!$P$1,'Data World'!$A$1:$AL$1,))</f>
        <v>21</v>
      </c>
      <c r="Q35" s="18">
        <f>VLOOKUP(B35,'Data World'!$A:$AL,MATCH(World!$Q$1,'Data World'!$A$1:$AL$1,))</f>
        <v>6.6</v>
      </c>
      <c r="R35" s="18">
        <f>VLOOKUP(B35,'Data World'!$A:$AL,MATCH(World!$R$1,'Data World'!$A$1:$AL$1,))</f>
        <v>10.6</v>
      </c>
      <c r="S35" s="18">
        <f>VLOOKUP(B35,'Data World'!$A:$AL,MATCH(World!$S$1,'Data World'!$A$1:$AL$1,))</f>
        <v>2.7</v>
      </c>
      <c r="T35" s="18">
        <f>VLOOKUP(B35,'Data World'!$A:$AL,MATCH(World!$T$1,'Data World'!$A$1:$AL$1,))</f>
        <v>4.8</v>
      </c>
    </row>
    <row r="36" spans="2:20" x14ac:dyDescent="0.2">
      <c r="B36" s="17">
        <v>43039</v>
      </c>
      <c r="C36" s="18">
        <f>VLOOKUP(B36,'Data World'!$A:$AL,MATCH(World!$C$1,'Data World'!$A$1:$AL$1,))</f>
        <v>4.0999999999999996</v>
      </c>
      <c r="D36" s="18">
        <f>VLOOKUP(B36,'Data World'!$A:$AL,MATCH(World!$D$1,'Data World'!$A$1:$AL$1,))</f>
        <v>8.8000000000000007</v>
      </c>
      <c r="E36" s="18">
        <f>VLOOKUP(B36,'Data World'!$A:$AL,MATCH(World!$E$1,'Data World'!$A$1:$AL$1,))</f>
        <v>2.7</v>
      </c>
      <c r="F36" s="18">
        <f>VLOOKUP(B36,'Data World'!$A:$AL,MATCH(World!$F$1,'Data World'!$A$1:$AL$1,))</f>
        <v>3.7</v>
      </c>
      <c r="G36" s="18">
        <f>VLOOKUP(B36,'Data World'!$A:$AL,MATCH(World!$G$1,'Data World'!$A$1:$AL$1,))</f>
        <v>9.1999999999999993</v>
      </c>
      <c r="H36" s="18">
        <f>VLOOKUP(B36,'Data World'!$A:$AL,MATCH(World!$H$1,'Data World'!$A$1:$AL$1,))</f>
        <v>4.2718559999999997</v>
      </c>
      <c r="I36" s="18">
        <f>VLOOKUP(B36,'Data World'!$A:$AL,MATCH(World!$I$1,'Data World'!$A$1:$AL$1,))</f>
        <v>11.1</v>
      </c>
      <c r="J36" s="18">
        <f>VLOOKUP(B36,'Data World'!$A:$AL,MATCH(World!$J$1,'Data World'!$A$1:$AL$1,))</f>
        <v>16.7</v>
      </c>
      <c r="K36" s="18">
        <f>VLOOKUP(B36,'Data World'!$A:$AL,MATCH(World!$K$1,'Data World'!$A$1:$AL$1,))</f>
        <v>6.8</v>
      </c>
      <c r="L36" s="18">
        <f>VLOOKUP(B36,'Data World'!$A:$AL,MATCH(World!$L$1,'Data World'!$A$1:$AL$1,))</f>
        <v>3.440833</v>
      </c>
      <c r="M36" s="18">
        <f>VLOOKUP(B36,'Data World'!$A:$AL,MATCH(World!$M$1,'Data World'!$A$1:$AL$1,))</f>
        <v>6.3</v>
      </c>
      <c r="N36" s="18">
        <f>VLOOKUP(B36,'Data World'!$A:$AL,MATCH(World!$N$1,'Data World'!$A$1:$AL$1,))</f>
        <v>5.3683699999999996</v>
      </c>
      <c r="O36" s="18">
        <f>VLOOKUP(B36,'Data World'!$A:$AL,MATCH(World!$O$1,'Data World'!$A$1:$AL$1,))</f>
        <v>3.7</v>
      </c>
      <c r="P36" s="18">
        <f>VLOOKUP(B36,'Data World'!$A:$AL,MATCH(World!$P$1,'Data World'!$A$1:$AL$1,))</f>
        <v>21</v>
      </c>
      <c r="Q36" s="18">
        <f>VLOOKUP(B36,'Data World'!$A:$AL,MATCH(World!$Q$1,'Data World'!$A$1:$AL$1,))</f>
        <v>6.4</v>
      </c>
      <c r="R36" s="18">
        <f>VLOOKUP(B36,'Data World'!$A:$AL,MATCH(World!$R$1,'Data World'!$A$1:$AL$1,))</f>
        <v>10.4</v>
      </c>
      <c r="S36" s="18">
        <f>VLOOKUP(B36,'Data World'!$A:$AL,MATCH(World!$S$1,'Data World'!$A$1:$AL$1,))</f>
        <v>2.6</v>
      </c>
      <c r="T36" s="18">
        <f>VLOOKUP(B36,'Data World'!$A:$AL,MATCH(World!$T$1,'Data World'!$A$1:$AL$1,))</f>
        <v>4.5999999999999996</v>
      </c>
    </row>
    <row r="37" spans="2:20" x14ac:dyDescent="0.2">
      <c r="B37" s="17">
        <v>43069</v>
      </c>
      <c r="C37" s="18">
        <f>VLOOKUP(B37,'Data World'!$A:$AL,MATCH(World!$C$1,'Data World'!$A$1:$AL$1,))</f>
        <v>4.2</v>
      </c>
      <c r="D37" s="18">
        <f>VLOOKUP(B37,'Data World'!$A:$AL,MATCH(World!$D$1,'Data World'!$A$1:$AL$1,))</f>
        <v>8.6999999999999993</v>
      </c>
      <c r="E37" s="18">
        <f>VLOOKUP(B37,'Data World'!$A:$AL,MATCH(World!$E$1,'Data World'!$A$1:$AL$1,))</f>
        <v>2.7</v>
      </c>
      <c r="F37" s="18">
        <f>VLOOKUP(B37,'Data World'!$A:$AL,MATCH(World!$F$1,'Data World'!$A$1:$AL$1,))</f>
        <v>3.6</v>
      </c>
      <c r="G37" s="18">
        <f>VLOOKUP(B37,'Data World'!$A:$AL,MATCH(World!$G$1,'Data World'!$A$1:$AL$1,))</f>
        <v>9</v>
      </c>
      <c r="H37" s="18">
        <f>VLOOKUP(B37,'Data World'!$A:$AL,MATCH(World!$H$1,'Data World'!$A$1:$AL$1,))</f>
        <v>4.3522169999999996</v>
      </c>
      <c r="I37" s="18">
        <f>VLOOKUP(B37,'Data World'!$A:$AL,MATCH(World!$I$1,'Data World'!$A$1:$AL$1,))</f>
        <v>11</v>
      </c>
      <c r="J37" s="18">
        <f>VLOOKUP(B37,'Data World'!$A:$AL,MATCH(World!$J$1,'Data World'!$A$1:$AL$1,))</f>
        <v>16.600000000000001</v>
      </c>
      <c r="K37" s="18">
        <f>VLOOKUP(B37,'Data World'!$A:$AL,MATCH(World!$K$1,'Data World'!$A$1:$AL$1,))</f>
        <v>6.4</v>
      </c>
      <c r="L37" s="18">
        <f>VLOOKUP(B37,'Data World'!$A:$AL,MATCH(World!$L$1,'Data World'!$A$1:$AL$1,))</f>
        <v>3.5033910000000001</v>
      </c>
      <c r="M37" s="18">
        <f>VLOOKUP(B37,'Data World'!$A:$AL,MATCH(World!$M$1,'Data World'!$A$1:$AL$1,))</f>
        <v>6</v>
      </c>
      <c r="N37" s="18">
        <f>VLOOKUP(B37,'Data World'!$A:$AL,MATCH(World!$N$1,'Data World'!$A$1:$AL$1,))</f>
        <v>5.4138299999999999</v>
      </c>
      <c r="O37" s="18">
        <f>VLOOKUP(B37,'Data World'!$A:$AL,MATCH(World!$O$1,'Data World'!$A$1:$AL$1,))</f>
        <v>3.7</v>
      </c>
      <c r="P37" s="18">
        <f>VLOOKUP(B37,'Data World'!$A:$AL,MATCH(World!$P$1,'Data World'!$A$1:$AL$1,))</f>
        <v>21</v>
      </c>
      <c r="Q37" s="18">
        <f>VLOOKUP(B37,'Data World'!$A:$AL,MATCH(World!$Q$1,'Data World'!$A$1:$AL$1,))</f>
        <v>6.3</v>
      </c>
      <c r="R37" s="18">
        <f>VLOOKUP(B37,'Data World'!$A:$AL,MATCH(World!$R$1,'Data World'!$A$1:$AL$1,))</f>
        <v>10.199999999999999</v>
      </c>
      <c r="S37" s="18">
        <f>VLOOKUP(B37,'Data World'!$A:$AL,MATCH(World!$S$1,'Data World'!$A$1:$AL$1,))</f>
        <v>2.4</v>
      </c>
      <c r="T37" s="18">
        <f>VLOOKUP(B37,'Data World'!$A:$AL,MATCH(World!$T$1,'Data World'!$A$1:$AL$1,))</f>
        <v>4.5</v>
      </c>
    </row>
    <row r="38" spans="2:20" x14ac:dyDescent="0.2">
      <c r="B38" s="17">
        <v>43100</v>
      </c>
      <c r="C38" s="18">
        <f>VLOOKUP(B38,'Data World'!$A:$AL,MATCH(World!$C$1,'Data World'!$A$1:$AL$1,))</f>
        <v>4.0999999999999996</v>
      </c>
      <c r="D38" s="18">
        <f>VLOOKUP(B38,'Data World'!$A:$AL,MATCH(World!$D$1,'Data World'!$A$1:$AL$1,))</f>
        <v>8.6999999999999993</v>
      </c>
      <c r="E38" s="18">
        <f>VLOOKUP(B38,'Data World'!$A:$AL,MATCH(World!$E$1,'Data World'!$A$1:$AL$1,))</f>
        <v>2.7</v>
      </c>
      <c r="F38" s="18">
        <f>VLOOKUP(B38,'Data World'!$A:$AL,MATCH(World!$F$1,'Data World'!$A$1:$AL$1,))</f>
        <v>3.6</v>
      </c>
      <c r="G38" s="18">
        <f>VLOOKUP(B38,'Data World'!$A:$AL,MATCH(World!$G$1,'Data World'!$A$1:$AL$1,))</f>
        <v>9</v>
      </c>
      <c r="H38" s="18">
        <f>VLOOKUP(B38,'Data World'!$A:$AL,MATCH(World!$H$1,'Data World'!$A$1:$AL$1,))</f>
        <v>4.3060479999999997</v>
      </c>
      <c r="I38" s="18">
        <f>VLOOKUP(B38,'Data World'!$A:$AL,MATCH(World!$I$1,'Data World'!$A$1:$AL$1,))</f>
        <v>10.9</v>
      </c>
      <c r="J38" s="18">
        <f>VLOOKUP(B38,'Data World'!$A:$AL,MATCH(World!$J$1,'Data World'!$A$1:$AL$1,))</f>
        <v>16.5</v>
      </c>
      <c r="K38" s="18">
        <f>VLOOKUP(B38,'Data World'!$A:$AL,MATCH(World!$K$1,'Data World'!$A$1:$AL$1,))</f>
        <v>6.6</v>
      </c>
      <c r="L38" s="18">
        <f>VLOOKUP(B38,'Data World'!$A:$AL,MATCH(World!$L$1,'Data World'!$A$1:$AL$1,))</f>
        <v>3.434097</v>
      </c>
      <c r="M38" s="18">
        <f>VLOOKUP(B38,'Data World'!$A:$AL,MATCH(World!$M$1,'Data World'!$A$1:$AL$1,))</f>
        <v>5.9</v>
      </c>
      <c r="N38" s="18">
        <f>VLOOKUP(B38,'Data World'!$A:$AL,MATCH(World!$N$1,'Data World'!$A$1:$AL$1,))</f>
        <v>5.609648</v>
      </c>
      <c r="O38" s="18">
        <f>VLOOKUP(B38,'Data World'!$A:$AL,MATCH(World!$O$1,'Data World'!$A$1:$AL$1,))</f>
        <v>3.7</v>
      </c>
      <c r="P38" s="18">
        <f>VLOOKUP(B38,'Data World'!$A:$AL,MATCH(World!$P$1,'Data World'!$A$1:$AL$1,))</f>
        <v>21</v>
      </c>
      <c r="Q38" s="18">
        <f>VLOOKUP(B38,'Data World'!$A:$AL,MATCH(World!$Q$1,'Data World'!$A$1:$AL$1,))</f>
        <v>6.2</v>
      </c>
      <c r="R38" s="18">
        <f>VLOOKUP(B38,'Data World'!$A:$AL,MATCH(World!$R$1,'Data World'!$A$1:$AL$1,))</f>
        <v>9.9</v>
      </c>
      <c r="S38" s="18">
        <f>VLOOKUP(B38,'Data World'!$A:$AL,MATCH(World!$S$1,'Data World'!$A$1:$AL$1,))</f>
        <v>2.2999999999999998</v>
      </c>
      <c r="T38" s="18">
        <f>VLOOKUP(B38,'Data World'!$A:$AL,MATCH(World!$T$1,'Data World'!$A$1:$AL$1,))</f>
        <v>4.3</v>
      </c>
    </row>
    <row r="39" spans="2:20" x14ac:dyDescent="0.2">
      <c r="B39" s="17">
        <v>43131</v>
      </c>
      <c r="C39" s="18">
        <f>VLOOKUP(B39,'Data World'!$A:$AL,MATCH(World!$C$1,'Data World'!$A$1:$AL$1,))</f>
        <v>4</v>
      </c>
      <c r="D39" s="18">
        <f>VLOOKUP(B39,'Data World'!$A:$AL,MATCH(World!$D$1,'Data World'!$A$1:$AL$1,))</f>
        <v>8.6</v>
      </c>
      <c r="E39" s="18">
        <f>VLOOKUP(B39,'Data World'!$A:$AL,MATCH(World!$E$1,'Data World'!$A$1:$AL$1,))</f>
        <v>2.4</v>
      </c>
      <c r="F39" s="18">
        <f>VLOOKUP(B39,'Data World'!$A:$AL,MATCH(World!$F$1,'Data World'!$A$1:$AL$1,))</f>
        <v>3.6</v>
      </c>
      <c r="G39" s="18">
        <f>VLOOKUP(B39,'Data World'!$A:$AL,MATCH(World!$G$1,'Data World'!$A$1:$AL$1,))</f>
        <v>9.1999999999999993</v>
      </c>
      <c r="H39" s="18">
        <f>VLOOKUP(B39,'Data World'!$A:$AL,MATCH(World!$H$1,'Data World'!$A$1:$AL$1,))</f>
        <v>4.2130970000000003</v>
      </c>
      <c r="I39" s="18">
        <f>VLOOKUP(B39,'Data World'!$A:$AL,MATCH(World!$I$1,'Data World'!$A$1:$AL$1,))</f>
        <v>11.1</v>
      </c>
      <c r="J39" s="18">
        <f>VLOOKUP(B39,'Data World'!$A:$AL,MATCH(World!$J$1,'Data World'!$A$1:$AL$1,))</f>
        <v>16.399999999999999</v>
      </c>
      <c r="K39" s="18">
        <f>VLOOKUP(B39,'Data World'!$A:$AL,MATCH(World!$K$1,'Data World'!$A$1:$AL$1,))</f>
        <v>6.6</v>
      </c>
      <c r="L39" s="18">
        <f>VLOOKUP(B39,'Data World'!$A:$AL,MATCH(World!$L$1,'Data World'!$A$1:$AL$1,))</f>
        <v>3.2660209999999998</v>
      </c>
      <c r="M39" s="18">
        <f>VLOOKUP(B39,'Data World'!$A:$AL,MATCH(World!$M$1,'Data World'!$A$1:$AL$1,))</f>
        <v>6</v>
      </c>
      <c r="N39" s="18">
        <f>VLOOKUP(B39,'Data World'!$A:$AL,MATCH(World!$N$1,'Data World'!$A$1:$AL$1,))</f>
        <v>5.5010849999999998</v>
      </c>
      <c r="O39" s="18">
        <f>VLOOKUP(B39,'Data World'!$A:$AL,MATCH(World!$O$1,'Data World'!$A$1:$AL$1,))</f>
        <v>3.6</v>
      </c>
      <c r="P39" s="18">
        <f>VLOOKUP(B39,'Data World'!$A:$AL,MATCH(World!$P$1,'Data World'!$A$1:$AL$1,))</f>
        <v>20.3</v>
      </c>
      <c r="Q39" s="18">
        <f>VLOOKUP(B39,'Data World'!$A:$AL,MATCH(World!$Q$1,'Data World'!$A$1:$AL$1,))</f>
        <v>6.1</v>
      </c>
      <c r="R39" s="18">
        <f>VLOOKUP(B39,'Data World'!$A:$AL,MATCH(World!$R$1,'Data World'!$A$1:$AL$1,))</f>
        <v>9.9</v>
      </c>
      <c r="S39" s="18">
        <f>VLOOKUP(B39,'Data World'!$A:$AL,MATCH(World!$S$1,'Data World'!$A$1:$AL$1,))</f>
        <v>2.6</v>
      </c>
      <c r="T39" s="18">
        <f>VLOOKUP(B39,'Data World'!$A:$AL,MATCH(World!$T$1,'Data World'!$A$1:$AL$1,))</f>
        <v>4.0999999999999996</v>
      </c>
    </row>
    <row r="40" spans="2:20" x14ac:dyDescent="0.2">
      <c r="B40" s="17">
        <v>43159</v>
      </c>
      <c r="C40" s="18">
        <f>VLOOKUP(B40,'Data World'!$A:$AL,MATCH(World!$C$1,'Data World'!$A$1:$AL$1,))</f>
        <v>4.0999999999999996</v>
      </c>
      <c r="D40" s="18">
        <f>VLOOKUP(B40,'Data World'!$A:$AL,MATCH(World!$D$1,'Data World'!$A$1:$AL$1,))</f>
        <v>8.5</v>
      </c>
      <c r="E40" s="18">
        <f>VLOOKUP(B40,'Data World'!$A:$AL,MATCH(World!$E$1,'Data World'!$A$1:$AL$1,))</f>
        <v>2.5</v>
      </c>
      <c r="F40" s="18">
        <f>VLOOKUP(B40,'Data World'!$A:$AL,MATCH(World!$F$1,'Data World'!$A$1:$AL$1,))</f>
        <v>3.5</v>
      </c>
      <c r="G40" s="18">
        <f>VLOOKUP(B40,'Data World'!$A:$AL,MATCH(World!$G$1,'Data World'!$A$1:$AL$1,))</f>
        <v>9.1999999999999993</v>
      </c>
      <c r="H40" s="18">
        <f>VLOOKUP(B40,'Data World'!$A:$AL,MATCH(World!$H$1,'Data World'!$A$1:$AL$1,))</f>
        <v>4.198035</v>
      </c>
      <c r="I40" s="18">
        <f>VLOOKUP(B40,'Data World'!$A:$AL,MATCH(World!$I$1,'Data World'!$A$1:$AL$1,))</f>
        <v>10.8</v>
      </c>
      <c r="J40" s="18">
        <f>VLOOKUP(B40,'Data World'!$A:$AL,MATCH(World!$J$1,'Data World'!$A$1:$AL$1,))</f>
        <v>16.2</v>
      </c>
      <c r="K40" s="18">
        <f>VLOOKUP(B40,'Data World'!$A:$AL,MATCH(World!$K$1,'Data World'!$A$1:$AL$1,))</f>
        <v>5.7</v>
      </c>
      <c r="L40" s="18">
        <f>VLOOKUP(B40,'Data World'!$A:$AL,MATCH(World!$L$1,'Data World'!$A$1:$AL$1,))</f>
        <v>3.2528359999999998</v>
      </c>
      <c r="M40" s="18">
        <f>VLOOKUP(B40,'Data World'!$A:$AL,MATCH(World!$M$1,'Data World'!$A$1:$AL$1,))</f>
        <v>5.9</v>
      </c>
      <c r="N40" s="18">
        <f>VLOOKUP(B40,'Data World'!$A:$AL,MATCH(World!$N$1,'Data World'!$A$1:$AL$1,))</f>
        <v>5.5593389999999996</v>
      </c>
      <c r="O40" s="18">
        <f>VLOOKUP(B40,'Data World'!$A:$AL,MATCH(World!$O$1,'Data World'!$A$1:$AL$1,))</f>
        <v>3.7</v>
      </c>
      <c r="P40" s="18">
        <f>VLOOKUP(B40,'Data World'!$A:$AL,MATCH(World!$P$1,'Data World'!$A$1:$AL$1,))</f>
        <v>20.5</v>
      </c>
      <c r="Q40" s="18">
        <f>VLOOKUP(B40,'Data World'!$A:$AL,MATCH(World!$Q$1,'Data World'!$A$1:$AL$1,))</f>
        <v>6</v>
      </c>
      <c r="R40" s="18">
        <f>VLOOKUP(B40,'Data World'!$A:$AL,MATCH(World!$R$1,'Data World'!$A$1:$AL$1,))</f>
        <v>9.8000000000000007</v>
      </c>
      <c r="S40" s="18">
        <f>VLOOKUP(B40,'Data World'!$A:$AL,MATCH(World!$S$1,'Data World'!$A$1:$AL$1,))</f>
        <v>2.2999999999999998</v>
      </c>
      <c r="T40" s="18">
        <f>VLOOKUP(B40,'Data World'!$A:$AL,MATCH(World!$T$1,'Data World'!$A$1:$AL$1,))</f>
        <v>3.9</v>
      </c>
    </row>
    <row r="41" spans="2:20" x14ac:dyDescent="0.2">
      <c r="B41" s="17">
        <v>43190</v>
      </c>
      <c r="C41" s="18">
        <f>VLOOKUP(B41,'Data World'!$A:$AL,MATCH(World!$C$1,'Data World'!$A$1:$AL$1,))</f>
        <v>4</v>
      </c>
      <c r="D41" s="18">
        <f>VLOOKUP(B41,'Data World'!$A:$AL,MATCH(World!$D$1,'Data World'!$A$1:$AL$1,))</f>
        <v>8.5</v>
      </c>
      <c r="E41" s="18">
        <f>VLOOKUP(B41,'Data World'!$A:$AL,MATCH(World!$E$1,'Data World'!$A$1:$AL$1,))</f>
        <v>2.5</v>
      </c>
      <c r="F41" s="18">
        <f>VLOOKUP(B41,'Data World'!$A:$AL,MATCH(World!$F$1,'Data World'!$A$1:$AL$1,))</f>
        <v>3.5</v>
      </c>
      <c r="G41" s="18">
        <f>VLOOKUP(B41,'Data World'!$A:$AL,MATCH(World!$G$1,'Data World'!$A$1:$AL$1,))</f>
        <v>9.1999999999999993</v>
      </c>
      <c r="H41" s="18">
        <f>VLOOKUP(B41,'Data World'!$A:$AL,MATCH(World!$H$1,'Data World'!$A$1:$AL$1,))</f>
        <v>4.1889440000000002</v>
      </c>
      <c r="I41" s="18">
        <f>VLOOKUP(B41,'Data World'!$A:$AL,MATCH(World!$I$1,'Data World'!$A$1:$AL$1,))</f>
        <v>11</v>
      </c>
      <c r="J41" s="18">
        <f>VLOOKUP(B41,'Data World'!$A:$AL,MATCH(World!$J$1,'Data World'!$A$1:$AL$1,))</f>
        <v>15.9</v>
      </c>
      <c r="K41" s="18">
        <f>VLOOKUP(B41,'Data World'!$A:$AL,MATCH(World!$K$1,'Data World'!$A$1:$AL$1,))</f>
        <v>6.1</v>
      </c>
      <c r="L41" s="18">
        <f>VLOOKUP(B41,'Data World'!$A:$AL,MATCH(World!$L$1,'Data World'!$A$1:$AL$1,))</f>
        <v>3.21156</v>
      </c>
      <c r="M41" s="18">
        <f>VLOOKUP(B41,'Data World'!$A:$AL,MATCH(World!$M$1,'Data World'!$A$1:$AL$1,))</f>
        <v>5.9</v>
      </c>
      <c r="N41" s="18">
        <f>VLOOKUP(B41,'Data World'!$A:$AL,MATCH(World!$N$1,'Data World'!$A$1:$AL$1,))</f>
        <v>5.5051050000000004</v>
      </c>
      <c r="O41" s="18">
        <f>VLOOKUP(B41,'Data World'!$A:$AL,MATCH(World!$O$1,'Data World'!$A$1:$AL$1,))</f>
        <v>4</v>
      </c>
      <c r="P41" s="18">
        <f>VLOOKUP(B41,'Data World'!$A:$AL,MATCH(World!$P$1,'Data World'!$A$1:$AL$1,))</f>
        <v>20.2</v>
      </c>
      <c r="Q41" s="18">
        <f>VLOOKUP(B41,'Data World'!$A:$AL,MATCH(World!$Q$1,'Data World'!$A$1:$AL$1,))</f>
        <v>5.9</v>
      </c>
      <c r="R41" s="18">
        <f>VLOOKUP(B41,'Data World'!$A:$AL,MATCH(World!$R$1,'Data World'!$A$1:$AL$1,))</f>
        <v>9.9</v>
      </c>
      <c r="S41" s="18">
        <f>VLOOKUP(B41,'Data World'!$A:$AL,MATCH(World!$S$1,'Data World'!$A$1:$AL$1,))</f>
        <v>2.1</v>
      </c>
      <c r="T41" s="18">
        <f>VLOOKUP(B41,'Data World'!$A:$AL,MATCH(World!$T$1,'Data World'!$A$1:$AL$1,))</f>
        <v>3.8</v>
      </c>
    </row>
    <row r="42" spans="2:20" x14ac:dyDescent="0.2">
      <c r="B42" s="17">
        <v>43220</v>
      </c>
      <c r="C42" s="18">
        <f>VLOOKUP(B42,'Data World'!$A:$AL,MATCH(World!$C$1,'Data World'!$A$1:$AL$1,))</f>
        <v>4</v>
      </c>
      <c r="D42" s="18">
        <f>VLOOKUP(B42,'Data World'!$A:$AL,MATCH(World!$D$1,'Data World'!$A$1:$AL$1,))</f>
        <v>8.4</v>
      </c>
      <c r="E42" s="18">
        <f>VLOOKUP(B42,'Data World'!$A:$AL,MATCH(World!$E$1,'Data World'!$A$1:$AL$1,))</f>
        <v>2.5</v>
      </c>
      <c r="F42" s="18">
        <f>VLOOKUP(B42,'Data World'!$A:$AL,MATCH(World!$F$1,'Data World'!$A$1:$AL$1,))</f>
        <v>3.4</v>
      </c>
      <c r="G42" s="18">
        <f>VLOOKUP(B42,'Data World'!$A:$AL,MATCH(World!$G$1,'Data World'!$A$1:$AL$1,))</f>
        <v>9.1</v>
      </c>
      <c r="H42" s="18">
        <f>VLOOKUP(B42,'Data World'!$A:$AL,MATCH(World!$H$1,'Data World'!$A$1:$AL$1,))</f>
        <v>4.1653599999999997</v>
      </c>
      <c r="I42" s="18">
        <f>VLOOKUP(B42,'Data World'!$A:$AL,MATCH(World!$I$1,'Data World'!$A$1:$AL$1,))</f>
        <v>11.1</v>
      </c>
      <c r="J42" s="18">
        <f>VLOOKUP(B42,'Data World'!$A:$AL,MATCH(World!$J$1,'Data World'!$A$1:$AL$1,))</f>
        <v>15.7</v>
      </c>
      <c r="K42" s="18">
        <f>VLOOKUP(B42,'Data World'!$A:$AL,MATCH(World!$K$1,'Data World'!$A$1:$AL$1,))</f>
        <v>6.4</v>
      </c>
      <c r="L42" s="18">
        <f>VLOOKUP(B42,'Data World'!$A:$AL,MATCH(World!$L$1,'Data World'!$A$1:$AL$1,))</f>
        <v>3.472232</v>
      </c>
      <c r="M42" s="18">
        <f>VLOOKUP(B42,'Data World'!$A:$AL,MATCH(World!$M$1,'Data World'!$A$1:$AL$1,))</f>
        <v>5.9</v>
      </c>
      <c r="N42" s="18">
        <f>VLOOKUP(B42,'Data World'!$A:$AL,MATCH(World!$N$1,'Data World'!$A$1:$AL$1,))</f>
        <v>5.5342669999999998</v>
      </c>
      <c r="O42" s="18">
        <f>VLOOKUP(B42,'Data World'!$A:$AL,MATCH(World!$O$1,'Data World'!$A$1:$AL$1,))</f>
        <v>3.8</v>
      </c>
      <c r="P42" s="18">
        <f>VLOOKUP(B42,'Data World'!$A:$AL,MATCH(World!$P$1,'Data World'!$A$1:$AL$1,))</f>
        <v>19.899999999999999</v>
      </c>
      <c r="Q42" s="18">
        <f>VLOOKUP(B42,'Data World'!$A:$AL,MATCH(World!$Q$1,'Data World'!$A$1:$AL$1,))</f>
        <v>6</v>
      </c>
      <c r="R42" s="18">
        <f>VLOOKUP(B42,'Data World'!$A:$AL,MATCH(World!$R$1,'Data World'!$A$1:$AL$1,))</f>
        <v>10.3</v>
      </c>
      <c r="S42" s="18">
        <f>VLOOKUP(B42,'Data World'!$A:$AL,MATCH(World!$S$1,'Data World'!$A$1:$AL$1,))</f>
        <v>2.2999999999999998</v>
      </c>
      <c r="T42" s="18">
        <f>VLOOKUP(B42,'Data World'!$A:$AL,MATCH(World!$T$1,'Data World'!$A$1:$AL$1,))</f>
        <v>3.7</v>
      </c>
    </row>
    <row r="43" spans="2:20" s="1" customFormat="1" x14ac:dyDescent="0.2">
      <c r="B43" s="17">
        <v>43251</v>
      </c>
      <c r="C43" s="18">
        <f>VLOOKUP(B43,'Data World'!$A:$AL,MATCH(World!$C$1,'Data World'!$A$1:$AL$1,))</f>
        <v>3.8</v>
      </c>
      <c r="D43" s="18">
        <f>VLOOKUP(B43,'Data World'!$A:$AL,MATCH(World!$D$1,'Data World'!$A$1:$AL$1,))</f>
        <v>8.3000000000000007</v>
      </c>
      <c r="E43" s="18">
        <f>VLOOKUP(B43,'Data World'!$A:$AL,MATCH(World!$E$1,'Data World'!$A$1:$AL$1,))</f>
        <v>2.2000000000000002</v>
      </c>
      <c r="F43" s="18">
        <f>VLOOKUP(B43,'Data World'!$A:$AL,MATCH(World!$F$1,'Data World'!$A$1:$AL$1,))</f>
        <v>3.4</v>
      </c>
      <c r="G43" s="18">
        <f>VLOOKUP(B43,'Data World'!$A:$AL,MATCH(World!$G$1,'Data World'!$A$1:$AL$1,))</f>
        <v>9.1</v>
      </c>
      <c r="H43" s="18">
        <f>VLOOKUP(B43,'Data World'!$A:$AL,MATCH(World!$H$1,'Data World'!$A$1:$AL$1,))</f>
        <v>4.036543</v>
      </c>
      <c r="I43" s="18">
        <f>VLOOKUP(B43,'Data World'!$A:$AL,MATCH(World!$I$1,'Data World'!$A$1:$AL$1,))</f>
        <v>10.6</v>
      </c>
      <c r="J43" s="18">
        <f>VLOOKUP(B43,'Data World'!$A:$AL,MATCH(World!$J$1,'Data World'!$A$1:$AL$1,))</f>
        <v>15.4</v>
      </c>
      <c r="K43" s="18">
        <f>VLOOKUP(B43,'Data World'!$A:$AL,MATCH(World!$K$1,'Data World'!$A$1:$AL$1,))</f>
        <v>5.9</v>
      </c>
      <c r="L43" s="18">
        <f>VLOOKUP(B43,'Data World'!$A:$AL,MATCH(World!$L$1,'Data World'!$A$1:$AL$1,))</f>
        <v>3.3089339999999998</v>
      </c>
      <c r="M43" s="18">
        <f>VLOOKUP(B43,'Data World'!$A:$AL,MATCH(World!$M$1,'Data World'!$A$1:$AL$1,))</f>
        <v>6</v>
      </c>
      <c r="N43" s="18">
        <f>VLOOKUP(B43,'Data World'!$A:$AL,MATCH(World!$N$1,'Data World'!$A$1:$AL$1,))</f>
        <v>5.4064420000000002</v>
      </c>
      <c r="O43" s="18">
        <f>VLOOKUP(B43,'Data World'!$A:$AL,MATCH(World!$O$1,'Data World'!$A$1:$AL$1,))</f>
        <v>3.8</v>
      </c>
      <c r="P43" s="18">
        <f>VLOOKUP(B43,'Data World'!$A:$AL,MATCH(World!$P$1,'Data World'!$A$1:$AL$1,))</f>
        <v>19.399999999999999</v>
      </c>
      <c r="Q43" s="18">
        <f>VLOOKUP(B43,'Data World'!$A:$AL,MATCH(World!$Q$1,'Data World'!$A$1:$AL$1,))</f>
        <v>5.9</v>
      </c>
      <c r="R43" s="18">
        <f>VLOOKUP(B43,'Data World'!$A:$AL,MATCH(World!$R$1,'Data World'!$A$1:$AL$1,))</f>
        <v>10.6</v>
      </c>
      <c r="S43" s="18">
        <f>VLOOKUP(B43,'Data World'!$A:$AL,MATCH(World!$S$1,'Data World'!$A$1:$AL$1,))</f>
        <v>2.2999999999999998</v>
      </c>
      <c r="T43" s="18">
        <f>VLOOKUP(B43,'Data World'!$A:$AL,MATCH(World!$T$1,'Data World'!$A$1:$AL$1,))</f>
        <v>3.7</v>
      </c>
    </row>
    <row r="44" spans="2:20" s="1" customFormat="1" x14ac:dyDescent="0.2">
      <c r="B44" s="17">
        <v>43281</v>
      </c>
      <c r="C44" s="18">
        <f>VLOOKUP(B44,'Data World'!$A:$AL,MATCH(World!$C$1,'Data World'!$A$1:$AL$1,))</f>
        <v>4</v>
      </c>
      <c r="D44" s="18">
        <f>VLOOKUP(B44,'Data World'!$A:$AL,MATCH(World!$D$1,'Data World'!$A$1:$AL$1,))</f>
        <v>8.1999999999999993</v>
      </c>
      <c r="E44" s="18">
        <f>VLOOKUP(B44,'Data World'!$A:$AL,MATCH(World!$E$1,'Data World'!$A$1:$AL$1,))</f>
        <v>2.4</v>
      </c>
      <c r="F44" s="18">
        <f>VLOOKUP(B44,'Data World'!$A:$AL,MATCH(World!$F$1,'Data World'!$A$1:$AL$1,))</f>
        <v>3.4</v>
      </c>
      <c r="G44" s="18">
        <f>VLOOKUP(B44,'Data World'!$A:$AL,MATCH(World!$G$1,'Data World'!$A$1:$AL$1,))</f>
        <v>9</v>
      </c>
      <c r="H44" s="18">
        <f>VLOOKUP(B44,'Data World'!$A:$AL,MATCH(World!$H$1,'Data World'!$A$1:$AL$1,))</f>
        <v>4.0211969999999999</v>
      </c>
      <c r="I44" s="18">
        <f>VLOOKUP(B44,'Data World'!$A:$AL,MATCH(World!$I$1,'Data World'!$A$1:$AL$1,))</f>
        <v>10.9</v>
      </c>
      <c r="J44" s="18">
        <f>VLOOKUP(B44,'Data World'!$A:$AL,MATCH(World!$J$1,'Data World'!$A$1:$AL$1,))</f>
        <v>15.2</v>
      </c>
      <c r="K44" s="18">
        <f>VLOOKUP(B44,'Data World'!$A:$AL,MATCH(World!$K$1,'Data World'!$A$1:$AL$1,))</f>
        <v>6.5</v>
      </c>
      <c r="L44" s="18">
        <f>VLOOKUP(B44,'Data World'!$A:$AL,MATCH(World!$L$1,'Data World'!$A$1:$AL$1,))</f>
        <v>3.3409710000000001</v>
      </c>
      <c r="M44" s="18">
        <f>VLOOKUP(B44,'Data World'!$A:$AL,MATCH(World!$M$1,'Data World'!$A$1:$AL$1,))</f>
        <v>6.1</v>
      </c>
      <c r="N44" s="18">
        <f>VLOOKUP(B44,'Data World'!$A:$AL,MATCH(World!$N$1,'Data World'!$A$1:$AL$1,))</f>
        <v>5.3185799999999999</v>
      </c>
      <c r="O44" s="18">
        <f>VLOOKUP(B44,'Data World'!$A:$AL,MATCH(World!$O$1,'Data World'!$A$1:$AL$1,))</f>
        <v>3.6</v>
      </c>
      <c r="P44" s="18">
        <f>VLOOKUP(B44,'Data World'!$A:$AL,MATCH(World!$P$1,'Data World'!$A$1:$AL$1,))</f>
        <v>19.3</v>
      </c>
      <c r="Q44" s="18">
        <f>VLOOKUP(B44,'Data World'!$A:$AL,MATCH(World!$Q$1,'Data World'!$A$1:$AL$1,))</f>
        <v>5.8</v>
      </c>
      <c r="R44" s="18">
        <f>VLOOKUP(B44,'Data World'!$A:$AL,MATCH(World!$R$1,'Data World'!$A$1:$AL$1,))</f>
        <v>10.9</v>
      </c>
      <c r="S44" s="18">
        <f>VLOOKUP(B44,'Data World'!$A:$AL,MATCH(World!$S$1,'Data World'!$A$1:$AL$1,))</f>
        <v>2.2000000000000002</v>
      </c>
      <c r="T44" s="18">
        <f>VLOOKUP(B44,'Data World'!$A:$AL,MATCH(World!$T$1,'Data World'!$A$1:$AL$1,))</f>
        <v>3.8</v>
      </c>
    </row>
    <row r="45" spans="2:20" s="1" customFormat="1" x14ac:dyDescent="0.2">
      <c r="B45" s="17">
        <v>43312</v>
      </c>
      <c r="C45" s="18">
        <f>VLOOKUP(B45,'Data World'!$A:$AL,MATCH(World!$C$1,'Data World'!$A$1:$AL$1,))</f>
        <v>3.8</v>
      </c>
      <c r="D45" s="18">
        <f>VLOOKUP(B45,'Data World'!$A:$AL,MATCH(World!$D$1,'Data World'!$A$1:$AL$1,))</f>
        <v>8.1</v>
      </c>
      <c r="E45" s="18">
        <f>VLOOKUP(B45,'Data World'!$A:$AL,MATCH(World!$E$1,'Data World'!$A$1:$AL$1,))</f>
        <v>2.5</v>
      </c>
      <c r="F45" s="18">
        <f>VLOOKUP(B45,'Data World'!$A:$AL,MATCH(World!$F$1,'Data World'!$A$1:$AL$1,))</f>
        <v>3.4</v>
      </c>
      <c r="G45" s="18">
        <f>VLOOKUP(B45,'Data World'!$A:$AL,MATCH(World!$G$1,'Data World'!$A$1:$AL$1,))</f>
        <v>9</v>
      </c>
      <c r="H45" s="18">
        <f>VLOOKUP(B45,'Data World'!$A:$AL,MATCH(World!$H$1,'Data World'!$A$1:$AL$1,))</f>
        <v>4.0346690000000001</v>
      </c>
      <c r="I45" s="18">
        <f>VLOOKUP(B45,'Data World'!$A:$AL,MATCH(World!$I$1,'Data World'!$A$1:$AL$1,))</f>
        <v>10.5</v>
      </c>
      <c r="J45" s="18">
        <f>VLOOKUP(B45,'Data World'!$A:$AL,MATCH(World!$J$1,'Data World'!$A$1:$AL$1,))</f>
        <v>15</v>
      </c>
      <c r="K45" s="18">
        <f>VLOOKUP(B45,'Data World'!$A:$AL,MATCH(World!$K$1,'Data World'!$A$1:$AL$1,))</f>
        <v>6.3</v>
      </c>
      <c r="L45" s="18">
        <f>VLOOKUP(B45,'Data World'!$A:$AL,MATCH(World!$L$1,'Data World'!$A$1:$AL$1,))</f>
        <v>3.2854380000000001</v>
      </c>
      <c r="M45" s="18">
        <f>VLOOKUP(B45,'Data World'!$A:$AL,MATCH(World!$M$1,'Data World'!$A$1:$AL$1,))</f>
        <v>5.8</v>
      </c>
      <c r="N45" s="18">
        <f>VLOOKUP(B45,'Data World'!$A:$AL,MATCH(World!$N$1,'Data World'!$A$1:$AL$1,))</f>
        <v>5.2758149999999997</v>
      </c>
      <c r="O45" s="18">
        <f>VLOOKUP(B45,'Data World'!$A:$AL,MATCH(World!$O$1,'Data World'!$A$1:$AL$1,))</f>
        <v>3.8</v>
      </c>
      <c r="P45" s="18">
        <f>VLOOKUP(B45,'Data World'!$A:$AL,MATCH(World!$P$1,'Data World'!$A$1:$AL$1,))</f>
        <v>19.100000000000001</v>
      </c>
      <c r="Q45" s="18">
        <f>VLOOKUP(B45,'Data World'!$A:$AL,MATCH(World!$Q$1,'Data World'!$A$1:$AL$1,))</f>
        <v>5.6</v>
      </c>
      <c r="R45" s="18">
        <f>VLOOKUP(B45,'Data World'!$A:$AL,MATCH(World!$R$1,'Data World'!$A$1:$AL$1,))</f>
        <v>11.1</v>
      </c>
      <c r="S45" s="18">
        <f>VLOOKUP(B45,'Data World'!$A:$AL,MATCH(World!$S$1,'Data World'!$A$1:$AL$1,))</f>
        <v>2.2999999999999998</v>
      </c>
      <c r="T45" s="18">
        <f>VLOOKUP(B45,'Data World'!$A:$AL,MATCH(World!$T$1,'Data World'!$A$1:$AL$1,))</f>
        <v>3.9</v>
      </c>
    </row>
    <row r="46" spans="2:20" s="1" customFormat="1" x14ac:dyDescent="0.2">
      <c r="B46" s="17">
        <v>43343</v>
      </c>
      <c r="C46" s="18">
        <f>VLOOKUP(B46,'Data World'!$A:$AL,MATCH(World!$C$1,'Data World'!$A$1:$AL$1,))</f>
        <v>3.8</v>
      </c>
      <c r="D46" s="18">
        <f>VLOOKUP(B46,'Data World'!$A:$AL,MATCH(World!$D$1,'Data World'!$A$1:$AL$1,))</f>
        <v>8</v>
      </c>
      <c r="E46" s="18">
        <f>VLOOKUP(B46,'Data World'!$A:$AL,MATCH(World!$E$1,'Data World'!$A$1:$AL$1,))</f>
        <v>2.5</v>
      </c>
      <c r="F46" s="18">
        <f>VLOOKUP(B46,'Data World'!$A:$AL,MATCH(World!$F$1,'Data World'!$A$1:$AL$1,))</f>
        <v>3.4</v>
      </c>
      <c r="G46" s="18">
        <f>VLOOKUP(B46,'Data World'!$A:$AL,MATCH(World!$G$1,'Data World'!$A$1:$AL$1,))</f>
        <v>9</v>
      </c>
      <c r="H46" s="18">
        <f>VLOOKUP(B46,'Data World'!$A:$AL,MATCH(World!$H$1,'Data World'!$A$1:$AL$1,))</f>
        <v>4.0733689999999996</v>
      </c>
      <c r="I46" s="18">
        <f>VLOOKUP(B46,'Data World'!$A:$AL,MATCH(World!$I$1,'Data World'!$A$1:$AL$1,))</f>
        <v>10.199999999999999</v>
      </c>
      <c r="J46" s="18">
        <f>VLOOKUP(B46,'Data World'!$A:$AL,MATCH(World!$J$1,'Data World'!$A$1:$AL$1,))</f>
        <v>14.9</v>
      </c>
      <c r="K46" s="18">
        <f>VLOOKUP(B46,'Data World'!$A:$AL,MATCH(World!$K$1,'Data World'!$A$1:$AL$1,))</f>
        <v>6.3</v>
      </c>
      <c r="L46" s="18">
        <f>VLOOKUP(B46,'Data World'!$A:$AL,MATCH(World!$L$1,'Data World'!$A$1:$AL$1,))</f>
        <v>3.2504230000000001</v>
      </c>
      <c r="M46" s="18">
        <f>VLOOKUP(B46,'Data World'!$A:$AL,MATCH(World!$M$1,'Data World'!$A$1:$AL$1,))</f>
        <v>6</v>
      </c>
      <c r="N46" s="18">
        <f>VLOOKUP(B46,'Data World'!$A:$AL,MATCH(World!$N$1,'Data World'!$A$1:$AL$1,))</f>
        <v>5.2571349999999999</v>
      </c>
      <c r="O46" s="18">
        <f>VLOOKUP(B46,'Data World'!$A:$AL,MATCH(World!$O$1,'Data World'!$A$1:$AL$1,))</f>
        <v>4.3</v>
      </c>
      <c r="P46" s="18">
        <f>VLOOKUP(B46,'Data World'!$A:$AL,MATCH(World!$P$1,'Data World'!$A$1:$AL$1,))</f>
        <v>19</v>
      </c>
      <c r="Q46" s="18">
        <f>VLOOKUP(B46,'Data World'!$A:$AL,MATCH(World!$Q$1,'Data World'!$A$1:$AL$1,))</f>
        <v>5.6</v>
      </c>
      <c r="R46" s="18">
        <f>VLOOKUP(B46,'Data World'!$A:$AL,MATCH(World!$R$1,'Data World'!$A$1:$AL$1,))</f>
        <v>11.2</v>
      </c>
      <c r="S46" s="18">
        <f>VLOOKUP(B46,'Data World'!$A:$AL,MATCH(World!$S$1,'Data World'!$A$1:$AL$1,))</f>
        <v>2.4</v>
      </c>
      <c r="T46" s="18">
        <f>VLOOKUP(B46,'Data World'!$A:$AL,MATCH(World!$T$1,'Data World'!$A$1:$AL$1,))</f>
        <v>3.9</v>
      </c>
    </row>
    <row r="47" spans="2:20" s="1" customFormat="1" x14ac:dyDescent="0.2">
      <c r="B47" s="17">
        <v>43373</v>
      </c>
      <c r="C47" s="18">
        <f>VLOOKUP(B47,'Data World'!$A:$AL,MATCH(World!$C$1,'Data World'!$A$1:$AL$1,))</f>
        <v>3.7</v>
      </c>
      <c r="D47" s="18">
        <f>VLOOKUP(B47,'Data World'!$A:$AL,MATCH(World!$D$1,'Data World'!$A$1:$AL$1,))</f>
        <v>8</v>
      </c>
      <c r="E47" s="18">
        <f>VLOOKUP(B47,'Data World'!$A:$AL,MATCH(World!$E$1,'Data World'!$A$1:$AL$1,))</f>
        <v>2.2999999999999998</v>
      </c>
      <c r="F47" s="18">
        <f>VLOOKUP(B47,'Data World'!$A:$AL,MATCH(World!$F$1,'Data World'!$A$1:$AL$1,))</f>
        <v>3.4</v>
      </c>
      <c r="G47" s="18">
        <f>VLOOKUP(B47,'Data World'!$A:$AL,MATCH(World!$G$1,'Data World'!$A$1:$AL$1,))</f>
        <v>9</v>
      </c>
      <c r="H47" s="18">
        <f>VLOOKUP(B47,'Data World'!$A:$AL,MATCH(World!$H$1,'Data World'!$A$1:$AL$1,))</f>
        <v>4.0553179999999998</v>
      </c>
      <c r="I47" s="18">
        <f>VLOOKUP(B47,'Data World'!$A:$AL,MATCH(World!$I$1,'Data World'!$A$1:$AL$1,))</f>
        <v>10.4</v>
      </c>
      <c r="J47" s="18">
        <f>VLOOKUP(B47,'Data World'!$A:$AL,MATCH(World!$J$1,'Data World'!$A$1:$AL$1,))</f>
        <v>14.8</v>
      </c>
      <c r="K47" s="18">
        <f>VLOOKUP(B47,'Data World'!$A:$AL,MATCH(World!$K$1,'Data World'!$A$1:$AL$1,))</f>
        <v>6.5</v>
      </c>
      <c r="L47" s="18">
        <f>VLOOKUP(B47,'Data World'!$A:$AL,MATCH(World!$L$1,'Data World'!$A$1:$AL$1,))</f>
        <v>3.3217560000000002</v>
      </c>
      <c r="M47" s="18">
        <f>VLOOKUP(B47,'Data World'!$A:$AL,MATCH(World!$M$1,'Data World'!$A$1:$AL$1,))</f>
        <v>5.9</v>
      </c>
      <c r="N47" s="18">
        <f>VLOOKUP(B47,'Data World'!$A:$AL,MATCH(World!$N$1,'Data World'!$A$1:$AL$1,))</f>
        <v>5.01553</v>
      </c>
      <c r="O47" s="18">
        <f>VLOOKUP(B47,'Data World'!$A:$AL,MATCH(World!$O$1,'Data World'!$A$1:$AL$1,))</f>
        <v>4.0999999999999996</v>
      </c>
      <c r="P47" s="18">
        <f>VLOOKUP(B47,'Data World'!$A:$AL,MATCH(World!$P$1,'Data World'!$A$1:$AL$1,))</f>
        <v>18.8</v>
      </c>
      <c r="Q47" s="18">
        <f>VLOOKUP(B47,'Data World'!$A:$AL,MATCH(World!$Q$1,'Data World'!$A$1:$AL$1,))</f>
        <v>5.6</v>
      </c>
      <c r="R47" s="18">
        <f>VLOOKUP(B47,'Data World'!$A:$AL,MATCH(World!$R$1,'Data World'!$A$1:$AL$1,))</f>
        <v>11.5</v>
      </c>
      <c r="S47" s="18">
        <f>VLOOKUP(B47,'Data World'!$A:$AL,MATCH(World!$S$1,'Data World'!$A$1:$AL$1,))</f>
        <v>2.2000000000000002</v>
      </c>
      <c r="T47" s="18">
        <f>VLOOKUP(B47,'Data World'!$A:$AL,MATCH(World!$T$1,'Data World'!$A$1:$AL$1,))</f>
        <v>3.9</v>
      </c>
    </row>
    <row r="48" spans="2:20" s="1" customFormat="1" x14ac:dyDescent="0.2">
      <c r="B48" s="17">
        <v>43404</v>
      </c>
      <c r="C48" s="18">
        <f>VLOOKUP(B48,'Data World'!$A:$AL,MATCH(World!$C$1,'Data World'!$A$1:$AL$1,))</f>
        <v>3.8</v>
      </c>
      <c r="D48" s="18">
        <f>VLOOKUP(B48,'Data World'!$A:$AL,MATCH(World!$D$1,'Data World'!$A$1:$AL$1,))</f>
        <v>8</v>
      </c>
      <c r="E48" s="18">
        <f>VLOOKUP(B48,'Data World'!$A:$AL,MATCH(World!$E$1,'Data World'!$A$1:$AL$1,))</f>
        <v>2.4</v>
      </c>
      <c r="F48" s="18">
        <f>VLOOKUP(B48,'Data World'!$A:$AL,MATCH(World!$F$1,'Data World'!$A$1:$AL$1,))</f>
        <v>3.3</v>
      </c>
      <c r="G48" s="18">
        <f>VLOOKUP(B48,'Data World'!$A:$AL,MATCH(World!$G$1,'Data World'!$A$1:$AL$1,))</f>
        <v>8.9</v>
      </c>
      <c r="H48" s="18">
        <f>VLOOKUP(B48,'Data World'!$A:$AL,MATCH(World!$H$1,'Data World'!$A$1:$AL$1,))</f>
        <v>4.0390870000000003</v>
      </c>
      <c r="I48" s="18">
        <f>VLOOKUP(B48,'Data World'!$A:$AL,MATCH(World!$I$1,'Data World'!$A$1:$AL$1,))</f>
        <v>10.8</v>
      </c>
      <c r="J48" s="18">
        <f>VLOOKUP(B48,'Data World'!$A:$AL,MATCH(World!$J$1,'Data World'!$A$1:$AL$1,))</f>
        <v>14.6</v>
      </c>
      <c r="K48" s="18">
        <f>VLOOKUP(B48,'Data World'!$A:$AL,MATCH(World!$K$1,'Data World'!$A$1:$AL$1,))</f>
        <v>6.4</v>
      </c>
      <c r="L48" s="18">
        <f>VLOOKUP(B48,'Data World'!$A:$AL,MATCH(World!$L$1,'Data World'!$A$1:$AL$1,))</f>
        <v>3.168634</v>
      </c>
      <c r="M48" s="18">
        <f>VLOOKUP(B48,'Data World'!$A:$AL,MATCH(World!$M$1,'Data World'!$A$1:$AL$1,))</f>
        <v>5.9</v>
      </c>
      <c r="N48" s="18">
        <f>VLOOKUP(B48,'Data World'!$A:$AL,MATCH(World!$N$1,'Data World'!$A$1:$AL$1,))</f>
        <v>5.0026869999999999</v>
      </c>
      <c r="O48" s="18">
        <f>VLOOKUP(B48,'Data World'!$A:$AL,MATCH(World!$O$1,'Data World'!$A$1:$AL$1,))</f>
        <v>4</v>
      </c>
      <c r="P48" s="18">
        <f>VLOOKUP(B48,'Data World'!$A:$AL,MATCH(World!$P$1,'Data World'!$A$1:$AL$1,))</f>
        <v>18.600000000000001</v>
      </c>
      <c r="Q48" s="18">
        <f>VLOOKUP(B48,'Data World'!$A:$AL,MATCH(World!$Q$1,'Data World'!$A$1:$AL$1,))</f>
        <v>5.7</v>
      </c>
      <c r="R48" s="18">
        <f>VLOOKUP(B48,'Data World'!$A:$AL,MATCH(World!$R$1,'Data World'!$A$1:$AL$1,))</f>
        <v>11.7</v>
      </c>
      <c r="S48" s="18">
        <f>VLOOKUP(B48,'Data World'!$A:$AL,MATCH(World!$S$1,'Data World'!$A$1:$AL$1,))</f>
        <v>2.1</v>
      </c>
      <c r="T48" s="18">
        <f>VLOOKUP(B48,'Data World'!$A:$AL,MATCH(World!$T$1,'Data World'!$A$1:$AL$1,))</f>
        <v>3.8</v>
      </c>
    </row>
    <row r="49" spans="2:20" s="1" customFormat="1" x14ac:dyDescent="0.2">
      <c r="B49" s="17">
        <v>43434</v>
      </c>
      <c r="C49" s="18">
        <f>VLOOKUP(B49,'Data World'!$A:$AL,MATCH(World!$C$1,'Data World'!$A$1:$AL$1,))</f>
        <v>3.8</v>
      </c>
      <c r="D49" s="18">
        <f>VLOOKUP(B49,'Data World'!$A:$AL,MATCH(World!$D$1,'Data World'!$A$1:$AL$1,))</f>
        <v>7.9</v>
      </c>
      <c r="E49" s="18">
        <f>VLOOKUP(B49,'Data World'!$A:$AL,MATCH(World!$E$1,'Data World'!$A$1:$AL$1,))</f>
        <v>2.5</v>
      </c>
      <c r="F49" s="18">
        <f>VLOOKUP(B49,'Data World'!$A:$AL,MATCH(World!$F$1,'Data World'!$A$1:$AL$1,))</f>
        <v>3.3</v>
      </c>
      <c r="G49" s="18">
        <f>VLOOKUP(B49,'Data World'!$A:$AL,MATCH(World!$G$1,'Data World'!$A$1:$AL$1,))</f>
        <v>8.8000000000000007</v>
      </c>
      <c r="H49" s="18">
        <f>VLOOKUP(B49,'Data World'!$A:$AL,MATCH(World!$H$1,'Data World'!$A$1:$AL$1,))</f>
        <v>4.0135420000000002</v>
      </c>
      <c r="I49" s="18">
        <f>VLOOKUP(B49,'Data World'!$A:$AL,MATCH(World!$I$1,'Data World'!$A$1:$AL$1,))</f>
        <v>10.6</v>
      </c>
      <c r="J49" s="18">
        <f>VLOOKUP(B49,'Data World'!$A:$AL,MATCH(World!$J$1,'Data World'!$A$1:$AL$1,))</f>
        <v>14.5</v>
      </c>
      <c r="K49" s="18">
        <f>VLOOKUP(B49,'Data World'!$A:$AL,MATCH(World!$K$1,'Data World'!$A$1:$AL$1,))</f>
        <v>6.5</v>
      </c>
      <c r="L49" s="18">
        <f>VLOOKUP(B49,'Data World'!$A:$AL,MATCH(World!$L$1,'Data World'!$A$1:$AL$1,))</f>
        <v>3.3668990000000001</v>
      </c>
      <c r="M49" s="18">
        <f>VLOOKUP(B49,'Data World'!$A:$AL,MATCH(World!$M$1,'Data World'!$A$1:$AL$1,))</f>
        <v>5.7</v>
      </c>
      <c r="N49" s="18">
        <f>VLOOKUP(B49,'Data World'!$A:$AL,MATCH(World!$N$1,'Data World'!$A$1:$AL$1,))</f>
        <v>5.0986089999999997</v>
      </c>
      <c r="O49" s="18">
        <f>VLOOKUP(B49,'Data World'!$A:$AL,MATCH(World!$O$1,'Data World'!$A$1:$AL$1,))</f>
        <v>3.9</v>
      </c>
      <c r="P49" s="18">
        <f>VLOOKUP(B49,'Data World'!$A:$AL,MATCH(World!$P$1,'Data World'!$A$1:$AL$1,))</f>
        <v>18.5</v>
      </c>
      <c r="Q49" s="18">
        <f>VLOOKUP(B49,'Data World'!$A:$AL,MATCH(World!$Q$1,'Data World'!$A$1:$AL$1,))</f>
        <v>5.6</v>
      </c>
      <c r="R49" s="18">
        <f>VLOOKUP(B49,'Data World'!$A:$AL,MATCH(World!$R$1,'Data World'!$A$1:$AL$1,))</f>
        <v>12.3</v>
      </c>
      <c r="S49" s="18">
        <f>VLOOKUP(B49,'Data World'!$A:$AL,MATCH(World!$S$1,'Data World'!$A$1:$AL$1,))</f>
        <v>2</v>
      </c>
      <c r="T49" s="18">
        <f>VLOOKUP(B49,'Data World'!$A:$AL,MATCH(World!$T$1,'Data World'!$A$1:$AL$1,))</f>
        <v>3.8</v>
      </c>
    </row>
    <row r="50" spans="2:20" s="1" customFormat="1" x14ac:dyDescent="0.2">
      <c r="B50" s="17">
        <v>43465</v>
      </c>
      <c r="C50" s="18">
        <f>VLOOKUP(B50,'Data World'!$A:$AL,MATCH(World!$C$1,'Data World'!$A$1:$AL$1,))</f>
        <v>3.9</v>
      </c>
      <c r="D50" s="18">
        <f>VLOOKUP(B50,'Data World'!$A:$AL,MATCH(World!$D$1,'Data World'!$A$1:$AL$1,))</f>
        <v>7.8</v>
      </c>
      <c r="E50" s="18">
        <f>VLOOKUP(B50,'Data World'!$A:$AL,MATCH(World!$E$1,'Data World'!$A$1:$AL$1,))</f>
        <v>2.5</v>
      </c>
      <c r="F50" s="18">
        <f>VLOOKUP(B50,'Data World'!$A:$AL,MATCH(World!$F$1,'Data World'!$A$1:$AL$1,))</f>
        <v>3.3</v>
      </c>
      <c r="G50" s="18">
        <f>VLOOKUP(B50,'Data World'!$A:$AL,MATCH(World!$G$1,'Data World'!$A$1:$AL$1,))</f>
        <v>8.8000000000000007</v>
      </c>
      <c r="H50" s="18">
        <f>VLOOKUP(B50,'Data World'!$A:$AL,MATCH(World!$H$1,'Data World'!$A$1:$AL$1,))</f>
        <v>3.9305620000000001</v>
      </c>
      <c r="I50" s="18">
        <f>VLOOKUP(B50,'Data World'!$A:$AL,MATCH(World!$I$1,'Data World'!$A$1:$AL$1,))</f>
        <v>10.3</v>
      </c>
      <c r="J50" s="18">
        <f>VLOOKUP(B50,'Data World'!$A:$AL,MATCH(World!$J$1,'Data World'!$A$1:$AL$1,))</f>
        <v>14.4</v>
      </c>
      <c r="K50" s="18">
        <f>VLOOKUP(B50,'Data World'!$A:$AL,MATCH(World!$K$1,'Data World'!$A$1:$AL$1,))</f>
        <v>6.6</v>
      </c>
      <c r="L50" s="18">
        <f>VLOOKUP(B50,'Data World'!$A:$AL,MATCH(World!$L$1,'Data World'!$A$1:$AL$1,))</f>
        <v>3.6995870000000002</v>
      </c>
      <c r="M50" s="18">
        <f>VLOOKUP(B50,'Data World'!$A:$AL,MATCH(World!$M$1,'Data World'!$A$1:$AL$1,))</f>
        <v>5.8</v>
      </c>
      <c r="N50" s="18">
        <f>VLOOKUP(B50,'Data World'!$A:$AL,MATCH(World!$N$1,'Data World'!$A$1:$AL$1,))</f>
        <v>5.0095000000000001</v>
      </c>
      <c r="O50" s="18">
        <f>VLOOKUP(B50,'Data World'!$A:$AL,MATCH(World!$O$1,'Data World'!$A$1:$AL$1,))</f>
        <v>3.8</v>
      </c>
      <c r="P50" s="18">
        <f>VLOOKUP(B50,'Data World'!$A:$AL,MATCH(World!$P$1,'Data World'!$A$1:$AL$1,))</f>
        <v>18.399999999999999</v>
      </c>
      <c r="Q50" s="18">
        <f>VLOOKUP(B50,'Data World'!$A:$AL,MATCH(World!$Q$1,'Data World'!$A$1:$AL$1,))</f>
        <v>5.5</v>
      </c>
      <c r="R50" s="18">
        <f>VLOOKUP(B50,'Data World'!$A:$AL,MATCH(World!$R$1,'Data World'!$A$1:$AL$1,))</f>
        <v>12.8</v>
      </c>
      <c r="S50" s="18">
        <f>VLOOKUP(B50,'Data World'!$A:$AL,MATCH(World!$S$1,'Data World'!$A$1:$AL$1,))</f>
        <v>2.2000000000000002</v>
      </c>
      <c r="T50" s="18">
        <f>VLOOKUP(B50,'Data World'!$A:$AL,MATCH(World!$T$1,'Data World'!$A$1:$AL$1,))</f>
        <v>3.8</v>
      </c>
    </row>
    <row r="51" spans="2:20" s="1" customFormat="1" x14ac:dyDescent="0.2">
      <c r="B51" s="17">
        <v>43496</v>
      </c>
      <c r="C51" s="18">
        <f>VLOOKUP(B51,'Data World'!$A:$AL,MATCH(World!$C$1,'Data World'!$A$1:$AL$1,))</f>
        <v>4</v>
      </c>
      <c r="D51" s="18">
        <f>VLOOKUP(B51,'Data World'!$A:$AL,MATCH(World!$D$1,'Data World'!$A$1:$AL$1,))</f>
        <v>7.8</v>
      </c>
      <c r="E51" s="18">
        <f>VLOOKUP(B51,'Data World'!$A:$AL,MATCH(World!$E$1,'Data World'!$A$1:$AL$1,))</f>
        <v>2.5</v>
      </c>
      <c r="F51" s="18">
        <f>VLOOKUP(B51,'Data World'!$A:$AL,MATCH(World!$F$1,'Data World'!$A$1:$AL$1,))</f>
        <v>3.3</v>
      </c>
      <c r="G51" s="18">
        <f>VLOOKUP(B51,'Data World'!$A:$AL,MATCH(World!$G$1,'Data World'!$A$1:$AL$1,))</f>
        <v>8.6999999999999993</v>
      </c>
      <c r="H51" s="18">
        <f>VLOOKUP(B51,'Data World'!$A:$AL,MATCH(World!$H$1,'Data World'!$A$1:$AL$1,))</f>
        <v>3.9415309999999999</v>
      </c>
      <c r="I51" s="18">
        <f>VLOOKUP(B51,'Data World'!$A:$AL,MATCH(World!$I$1,'Data World'!$A$1:$AL$1,))</f>
        <v>10.5</v>
      </c>
      <c r="J51" s="18">
        <f>VLOOKUP(B51,'Data World'!$A:$AL,MATCH(World!$J$1,'Data World'!$A$1:$AL$1,))</f>
        <v>14.3</v>
      </c>
      <c r="K51" s="18">
        <f>VLOOKUP(B51,'Data World'!$A:$AL,MATCH(World!$K$1,'Data World'!$A$1:$AL$1,))</f>
        <v>6.2</v>
      </c>
      <c r="L51" s="18">
        <f>VLOOKUP(B51,'Data World'!$A:$AL,MATCH(World!$L$1,'Data World'!$A$1:$AL$1,))</f>
        <v>3.4083139999999998</v>
      </c>
      <c r="M51" s="18">
        <f>VLOOKUP(B51,'Data World'!$A:$AL,MATCH(World!$M$1,'Data World'!$A$1:$AL$1,))</f>
        <v>5.9</v>
      </c>
      <c r="N51" s="18">
        <f>VLOOKUP(B51,'Data World'!$A:$AL,MATCH(World!$N$1,'Data World'!$A$1:$AL$1,))</f>
        <v>5.0411640000000002</v>
      </c>
      <c r="O51" s="18">
        <f>VLOOKUP(B51,'Data World'!$A:$AL,MATCH(World!$O$1,'Data World'!$A$1:$AL$1,))</f>
        <v>4.3</v>
      </c>
      <c r="P51" s="18">
        <f>VLOOKUP(B51,'Data World'!$A:$AL,MATCH(World!$P$1,'Data World'!$A$1:$AL$1,))</f>
        <v>18.7</v>
      </c>
      <c r="Q51" s="18">
        <f>VLOOKUP(B51,'Data World'!$A:$AL,MATCH(World!$Q$1,'Data World'!$A$1:$AL$1,))</f>
        <v>5.2</v>
      </c>
      <c r="R51" s="18">
        <f>VLOOKUP(B51,'Data World'!$A:$AL,MATCH(World!$R$1,'Data World'!$A$1:$AL$1,))</f>
        <v>13.4</v>
      </c>
      <c r="S51" s="18">
        <f>VLOOKUP(B51,'Data World'!$A:$AL,MATCH(World!$S$1,'Data World'!$A$1:$AL$1,))</f>
        <v>2.1</v>
      </c>
      <c r="T51" s="18">
        <f>VLOOKUP(B51,'Data World'!$A:$AL,MATCH(World!$T$1,'Data World'!$A$1:$AL$1,))</f>
        <v>3.8</v>
      </c>
    </row>
    <row r="52" spans="2:20" s="1" customFormat="1" x14ac:dyDescent="0.2">
      <c r="B52" s="17">
        <v>43524</v>
      </c>
      <c r="C52" s="18">
        <f>VLOOKUP(B52,'Data World'!$A:$AL,MATCH(World!$C$1,'Data World'!$A$1:$AL$1,))</f>
        <v>3.8</v>
      </c>
      <c r="D52" s="18">
        <f>VLOOKUP(B52,'Data World'!$A:$AL,MATCH(World!$D$1,'Data World'!$A$1:$AL$1,))</f>
        <v>7.8</v>
      </c>
      <c r="E52" s="18">
        <f>VLOOKUP(B52,'Data World'!$A:$AL,MATCH(World!$E$1,'Data World'!$A$1:$AL$1,))</f>
        <v>2.4</v>
      </c>
      <c r="F52" s="18">
        <f>VLOOKUP(B52,'Data World'!$A:$AL,MATCH(World!$F$1,'Data World'!$A$1:$AL$1,))</f>
        <v>3.2</v>
      </c>
      <c r="G52" s="18">
        <f>VLOOKUP(B52,'Data World'!$A:$AL,MATCH(World!$G$1,'Data World'!$A$1:$AL$1,))</f>
        <v>8.6999999999999993</v>
      </c>
      <c r="H52" s="18">
        <f>VLOOKUP(B52,'Data World'!$A:$AL,MATCH(World!$H$1,'Data World'!$A$1:$AL$1,))</f>
        <v>3.8178010000000002</v>
      </c>
      <c r="I52" s="18">
        <f>VLOOKUP(B52,'Data World'!$A:$AL,MATCH(World!$I$1,'Data World'!$A$1:$AL$1,))</f>
        <v>10.5</v>
      </c>
      <c r="J52" s="18">
        <f>VLOOKUP(B52,'Data World'!$A:$AL,MATCH(World!$J$1,'Data World'!$A$1:$AL$1,))</f>
        <v>14.2</v>
      </c>
      <c r="K52" s="18">
        <f>VLOOKUP(B52,'Data World'!$A:$AL,MATCH(World!$K$1,'Data World'!$A$1:$AL$1,))</f>
        <v>6.7</v>
      </c>
      <c r="L52" s="18">
        <f>VLOOKUP(B52,'Data World'!$A:$AL,MATCH(World!$L$1,'Data World'!$A$1:$AL$1,))</f>
        <v>3.3538600000000001</v>
      </c>
      <c r="M52" s="18">
        <f>VLOOKUP(B52,'Data World'!$A:$AL,MATCH(World!$M$1,'Data World'!$A$1:$AL$1,))</f>
        <v>5.9</v>
      </c>
      <c r="N52" s="18">
        <f>VLOOKUP(B52,'Data World'!$A:$AL,MATCH(World!$N$1,'Data World'!$A$1:$AL$1,))</f>
        <v>4.9563259999999998</v>
      </c>
      <c r="O52" s="18">
        <f>VLOOKUP(B52,'Data World'!$A:$AL,MATCH(World!$O$1,'Data World'!$A$1:$AL$1,))</f>
        <v>3.8</v>
      </c>
      <c r="P52" s="18">
        <f>VLOOKUP(B52,'Data World'!$A:$AL,MATCH(World!$P$1,'Data World'!$A$1:$AL$1,))</f>
        <v>18.600000000000001</v>
      </c>
      <c r="Q52" s="18">
        <f>VLOOKUP(B52,'Data World'!$A:$AL,MATCH(World!$Q$1,'Data World'!$A$1:$AL$1,))</f>
        <v>5</v>
      </c>
      <c r="R52" s="18">
        <f>VLOOKUP(B52,'Data World'!$A:$AL,MATCH(World!$R$1,'Data World'!$A$1:$AL$1,))</f>
        <v>13.6</v>
      </c>
      <c r="S52" s="18">
        <f>VLOOKUP(B52,'Data World'!$A:$AL,MATCH(World!$S$1,'Data World'!$A$1:$AL$1,))</f>
        <v>1.8</v>
      </c>
      <c r="T52" s="18">
        <f>VLOOKUP(B52,'Data World'!$A:$AL,MATCH(World!$T$1,'Data World'!$A$1:$AL$1,))</f>
        <v>3.8</v>
      </c>
    </row>
    <row r="53" spans="2:20" s="1" customFormat="1" x14ac:dyDescent="0.2">
      <c r="B53" s="17">
        <v>43555</v>
      </c>
      <c r="C53" s="18">
        <f>VLOOKUP(B53,'Data World'!$A:$AL,MATCH(World!$C$1,'Data World'!$A$1:$AL$1,))</f>
        <v>3.8</v>
      </c>
      <c r="D53" s="18">
        <f>VLOOKUP(B53,'Data World'!$A:$AL,MATCH(World!$D$1,'Data World'!$A$1:$AL$1,))</f>
        <v>7.7</v>
      </c>
      <c r="E53" s="18">
        <f>VLOOKUP(B53,'Data World'!$A:$AL,MATCH(World!$E$1,'Data World'!$A$1:$AL$1,))</f>
        <v>2.5</v>
      </c>
      <c r="F53" s="18">
        <f>VLOOKUP(B53,'Data World'!$A:$AL,MATCH(World!$F$1,'Data World'!$A$1:$AL$1,))</f>
        <v>3.2</v>
      </c>
      <c r="G53" s="18">
        <f>VLOOKUP(B53,'Data World'!$A:$AL,MATCH(World!$G$1,'Data World'!$A$1:$AL$1,))</f>
        <v>8.6</v>
      </c>
      <c r="H53" s="18">
        <f>VLOOKUP(B53,'Data World'!$A:$AL,MATCH(World!$H$1,'Data World'!$A$1:$AL$1,))</f>
        <v>3.8302740000000002</v>
      </c>
      <c r="I53" s="18">
        <f>VLOOKUP(B53,'Data World'!$A:$AL,MATCH(World!$I$1,'Data World'!$A$1:$AL$1,))</f>
        <v>10.1</v>
      </c>
      <c r="J53" s="18">
        <f>VLOOKUP(B53,'Data World'!$A:$AL,MATCH(World!$J$1,'Data World'!$A$1:$AL$1,))</f>
        <v>14.2</v>
      </c>
      <c r="K53" s="18">
        <f>VLOOKUP(B53,'Data World'!$A:$AL,MATCH(World!$K$1,'Data World'!$A$1:$AL$1,))</f>
        <v>7.2</v>
      </c>
      <c r="L53" s="18">
        <f>VLOOKUP(B53,'Data World'!$A:$AL,MATCH(World!$L$1,'Data World'!$A$1:$AL$1,))</f>
        <v>3.5569609999999998</v>
      </c>
      <c r="M53" s="18">
        <f>VLOOKUP(B53,'Data World'!$A:$AL,MATCH(World!$M$1,'Data World'!$A$1:$AL$1,))</f>
        <v>5.8</v>
      </c>
      <c r="N53" s="18">
        <f>VLOOKUP(B53,'Data World'!$A:$AL,MATCH(World!$N$1,'Data World'!$A$1:$AL$1,))</f>
        <v>5.0793080000000002</v>
      </c>
      <c r="O53" s="18">
        <f>VLOOKUP(B53,'Data World'!$A:$AL,MATCH(World!$O$1,'Data World'!$A$1:$AL$1,))</f>
        <v>3.8</v>
      </c>
      <c r="P53" s="18">
        <f>VLOOKUP(B53,'Data World'!$A:$AL,MATCH(World!$P$1,'Data World'!$A$1:$AL$1,))</f>
        <v>17.8</v>
      </c>
      <c r="Q53" s="18">
        <f>VLOOKUP(B53,'Data World'!$A:$AL,MATCH(World!$Q$1,'Data World'!$A$1:$AL$1,))</f>
        <v>5.0999999999999996</v>
      </c>
      <c r="R53" s="18">
        <f>VLOOKUP(B53,'Data World'!$A:$AL,MATCH(World!$R$1,'Data World'!$A$1:$AL$1,))</f>
        <v>13.8</v>
      </c>
      <c r="S53" s="18">
        <f>VLOOKUP(B53,'Data World'!$A:$AL,MATCH(World!$S$1,'Data World'!$A$1:$AL$1,))</f>
        <v>2</v>
      </c>
      <c r="T53" s="18">
        <f>VLOOKUP(B53,'Data World'!$A:$AL,MATCH(World!$T$1,'Data World'!$A$1:$AL$1,))</f>
        <v>3.6</v>
      </c>
    </row>
    <row r="54" spans="2:20" s="1" customFormat="1" x14ac:dyDescent="0.2">
      <c r="B54" s="17">
        <v>43585</v>
      </c>
      <c r="C54" s="18">
        <f>VLOOKUP(B54,'Data World'!$A:$AL,MATCH(World!$C$1,'Data World'!$A$1:$AL$1,))</f>
        <v>3.7</v>
      </c>
      <c r="D54" s="18">
        <f>VLOOKUP(B54,'Data World'!$A:$AL,MATCH(World!$D$1,'Data World'!$A$1:$AL$1,))</f>
        <v>7.7</v>
      </c>
      <c r="E54" s="18">
        <f>VLOOKUP(B54,'Data World'!$A:$AL,MATCH(World!$E$1,'Data World'!$A$1:$AL$1,))</f>
        <v>2.4</v>
      </c>
      <c r="F54" s="18">
        <f>VLOOKUP(B54,'Data World'!$A:$AL,MATCH(World!$F$1,'Data World'!$A$1:$AL$1,))</f>
        <v>3.1</v>
      </c>
      <c r="G54" s="18">
        <f>VLOOKUP(B54,'Data World'!$A:$AL,MATCH(World!$G$1,'Data World'!$A$1:$AL$1,))</f>
        <v>8.5</v>
      </c>
      <c r="H54" s="18">
        <f>VLOOKUP(B54,'Data World'!$A:$AL,MATCH(World!$H$1,'Data World'!$A$1:$AL$1,))</f>
        <v>3.7956110000000001</v>
      </c>
      <c r="I54" s="18">
        <f>VLOOKUP(B54,'Data World'!$A:$AL,MATCH(World!$I$1,'Data World'!$A$1:$AL$1,))</f>
        <v>10.4</v>
      </c>
      <c r="J54" s="18">
        <f>VLOOKUP(B54,'Data World'!$A:$AL,MATCH(World!$J$1,'Data World'!$A$1:$AL$1,))</f>
        <v>14.2</v>
      </c>
      <c r="K54" s="18">
        <f>VLOOKUP(B54,'Data World'!$A:$AL,MATCH(World!$K$1,'Data World'!$A$1:$AL$1,))</f>
        <v>6.4</v>
      </c>
      <c r="L54" s="18">
        <f>VLOOKUP(B54,'Data World'!$A:$AL,MATCH(World!$L$1,'Data World'!$A$1:$AL$1,))</f>
        <v>3.5750660000000001</v>
      </c>
      <c r="M54" s="18">
        <f>VLOOKUP(B54,'Data World'!$A:$AL,MATCH(World!$M$1,'Data World'!$A$1:$AL$1,))</f>
        <v>5.8</v>
      </c>
      <c r="N54" s="18">
        <f>VLOOKUP(B54,'Data World'!$A:$AL,MATCH(World!$N$1,'Data World'!$A$1:$AL$1,))</f>
        <v>5.2166769999999998</v>
      </c>
      <c r="O54" s="18">
        <f>VLOOKUP(B54,'Data World'!$A:$AL,MATCH(World!$O$1,'Data World'!$A$1:$AL$1,))</f>
        <v>4</v>
      </c>
      <c r="P54" s="18">
        <f>VLOOKUP(B54,'Data World'!$A:$AL,MATCH(World!$P$1,'Data World'!$A$1:$AL$1,))</f>
        <v>17.899999999999999</v>
      </c>
      <c r="Q54" s="18">
        <f>VLOOKUP(B54,'Data World'!$A:$AL,MATCH(World!$Q$1,'Data World'!$A$1:$AL$1,))</f>
        <v>5.3</v>
      </c>
      <c r="R54" s="18">
        <f>VLOOKUP(B54,'Data World'!$A:$AL,MATCH(World!$R$1,'Data World'!$A$1:$AL$1,))</f>
        <v>13.8</v>
      </c>
      <c r="S54" s="18">
        <f>VLOOKUP(B54,'Data World'!$A:$AL,MATCH(World!$S$1,'Data World'!$A$1:$AL$1,))</f>
        <v>2.1</v>
      </c>
      <c r="T54" s="18">
        <f>VLOOKUP(B54,'Data World'!$A:$AL,MATCH(World!$T$1,'Data World'!$A$1:$AL$1,))</f>
        <v>3.4</v>
      </c>
    </row>
    <row r="55" spans="2:20" s="1" customFormat="1" x14ac:dyDescent="0.2">
      <c r="B55" s="17">
        <v>43616</v>
      </c>
      <c r="C55" s="18">
        <f>VLOOKUP(B55,'Data World'!$A:$AL,MATCH(World!$C$1,'Data World'!$A$1:$AL$1,))</f>
        <v>3.7</v>
      </c>
      <c r="D55" s="18">
        <f>VLOOKUP(B55,'Data World'!$A:$AL,MATCH(World!$D$1,'Data World'!$A$1:$AL$1,))</f>
        <v>7.6</v>
      </c>
      <c r="E55" s="18">
        <f>VLOOKUP(B55,'Data World'!$A:$AL,MATCH(World!$E$1,'Data World'!$A$1:$AL$1,))</f>
        <v>2.2999999999999998</v>
      </c>
      <c r="F55" s="18">
        <f>VLOOKUP(B55,'Data World'!$A:$AL,MATCH(World!$F$1,'Data World'!$A$1:$AL$1,))</f>
        <v>3.1</v>
      </c>
      <c r="G55" s="18">
        <f>VLOOKUP(B55,'Data World'!$A:$AL,MATCH(World!$G$1,'Data World'!$A$1:$AL$1,))</f>
        <v>8.5</v>
      </c>
      <c r="H55" s="18">
        <f>VLOOKUP(B55,'Data World'!$A:$AL,MATCH(World!$H$1,'Data World'!$A$1:$AL$1,))</f>
        <v>3.8928379999999998</v>
      </c>
      <c r="I55" s="18">
        <f>VLOOKUP(B55,'Data World'!$A:$AL,MATCH(World!$I$1,'Data World'!$A$1:$AL$1,))</f>
        <v>10.1</v>
      </c>
      <c r="J55" s="18">
        <f>VLOOKUP(B55,'Data World'!$A:$AL,MATCH(World!$J$1,'Data World'!$A$1:$AL$1,))</f>
        <v>14.2</v>
      </c>
      <c r="K55" s="18">
        <f>VLOOKUP(B55,'Data World'!$A:$AL,MATCH(World!$K$1,'Data World'!$A$1:$AL$1,))</f>
        <v>6.5</v>
      </c>
      <c r="L55" s="18">
        <f>VLOOKUP(B55,'Data World'!$A:$AL,MATCH(World!$L$1,'Data World'!$A$1:$AL$1,))</f>
        <v>3.6496620000000002</v>
      </c>
      <c r="M55" s="18">
        <f>VLOOKUP(B55,'Data World'!$A:$AL,MATCH(World!$M$1,'Data World'!$A$1:$AL$1,))</f>
        <v>5.4</v>
      </c>
      <c r="N55" s="18">
        <f>VLOOKUP(B55,'Data World'!$A:$AL,MATCH(World!$N$1,'Data World'!$A$1:$AL$1,))</f>
        <v>5.2245879999999998</v>
      </c>
      <c r="O55" s="18">
        <f>VLOOKUP(B55,'Data World'!$A:$AL,MATCH(World!$O$1,'Data World'!$A$1:$AL$1,))</f>
        <v>3.8</v>
      </c>
      <c r="P55" s="18">
        <f>VLOOKUP(B55,'Data World'!$A:$AL,MATCH(World!$P$1,'Data World'!$A$1:$AL$1,))</f>
        <v>17.100000000000001</v>
      </c>
      <c r="Q55" s="18">
        <f>VLOOKUP(B55,'Data World'!$A:$AL,MATCH(World!$Q$1,'Data World'!$A$1:$AL$1,))</f>
        <v>5.3</v>
      </c>
      <c r="R55" s="18">
        <f>VLOOKUP(B55,'Data World'!$A:$AL,MATCH(World!$R$1,'Data World'!$A$1:$AL$1,))</f>
        <v>13.9</v>
      </c>
      <c r="S55" s="18">
        <f>VLOOKUP(B55,'Data World'!$A:$AL,MATCH(World!$S$1,'Data World'!$A$1:$AL$1,))</f>
        <v>2.1</v>
      </c>
      <c r="T55" s="18">
        <f>VLOOKUP(B55,'Data World'!$A:$AL,MATCH(World!$T$1,'Data World'!$A$1:$AL$1,))</f>
        <v>3.3</v>
      </c>
    </row>
    <row r="56" spans="2:20" s="1" customFormat="1" x14ac:dyDescent="0.2">
      <c r="B56" s="17">
        <v>43646</v>
      </c>
      <c r="C56" s="18">
        <f>VLOOKUP(B56,'Data World'!$A:$AL,MATCH(World!$C$1,'Data World'!$A$1:$AL$1,))</f>
        <v>3.6</v>
      </c>
      <c r="D56" s="18">
        <f>VLOOKUP(B56,'Data World'!$A:$AL,MATCH(World!$D$1,'Data World'!$A$1:$AL$1,))</f>
        <v>7.5</v>
      </c>
      <c r="E56" s="18">
        <f>VLOOKUP(B56,'Data World'!$A:$AL,MATCH(World!$E$1,'Data World'!$A$1:$AL$1,))</f>
        <v>2.2999999999999998</v>
      </c>
      <c r="F56" s="18">
        <f>VLOOKUP(B56,'Data World'!$A:$AL,MATCH(World!$F$1,'Data World'!$A$1:$AL$1,))</f>
        <v>3</v>
      </c>
      <c r="G56" s="18">
        <f>VLOOKUP(B56,'Data World'!$A:$AL,MATCH(World!$G$1,'Data World'!$A$1:$AL$1,))</f>
        <v>8.5</v>
      </c>
      <c r="H56" s="18">
        <f>VLOOKUP(B56,'Data World'!$A:$AL,MATCH(World!$H$1,'Data World'!$A$1:$AL$1,))</f>
        <v>3.7970489999999999</v>
      </c>
      <c r="I56" s="18">
        <f>VLOOKUP(B56,'Data World'!$A:$AL,MATCH(World!$I$1,'Data World'!$A$1:$AL$1,))</f>
        <v>9.6999999999999993</v>
      </c>
      <c r="J56" s="18">
        <f>VLOOKUP(B56,'Data World'!$A:$AL,MATCH(World!$J$1,'Data World'!$A$1:$AL$1,))</f>
        <v>14.2</v>
      </c>
      <c r="K56" s="18">
        <f>VLOOKUP(B56,'Data World'!$A:$AL,MATCH(World!$K$1,'Data World'!$A$1:$AL$1,))</f>
        <v>6.4</v>
      </c>
      <c r="L56" s="18">
        <f>VLOOKUP(B56,'Data World'!$A:$AL,MATCH(World!$L$1,'Data World'!$A$1:$AL$1,))</f>
        <v>3.525531</v>
      </c>
      <c r="M56" s="18">
        <f>VLOOKUP(B56,'Data World'!$A:$AL,MATCH(World!$M$1,'Data World'!$A$1:$AL$1,))</f>
        <v>5.6</v>
      </c>
      <c r="N56" s="18">
        <f>VLOOKUP(B56,'Data World'!$A:$AL,MATCH(World!$N$1,'Data World'!$A$1:$AL$1,))</f>
        <v>5.248259</v>
      </c>
      <c r="O56" s="18">
        <f>VLOOKUP(B56,'Data World'!$A:$AL,MATCH(World!$O$1,'Data World'!$A$1:$AL$1,))</f>
        <v>3.9</v>
      </c>
      <c r="P56" s="18">
        <f>VLOOKUP(B56,'Data World'!$A:$AL,MATCH(World!$P$1,'Data World'!$A$1:$AL$1,))</f>
        <v>16.899999999999999</v>
      </c>
      <c r="Q56" s="18">
        <f>VLOOKUP(B56,'Data World'!$A:$AL,MATCH(World!$Q$1,'Data World'!$A$1:$AL$1,))</f>
        <v>5.2</v>
      </c>
      <c r="R56" s="18">
        <f>VLOOKUP(B56,'Data World'!$A:$AL,MATCH(World!$R$1,'Data World'!$A$1:$AL$1,))</f>
        <v>13.9</v>
      </c>
      <c r="S56" s="18">
        <f>VLOOKUP(B56,'Data World'!$A:$AL,MATCH(World!$S$1,'Data World'!$A$1:$AL$1,))</f>
        <v>1.8</v>
      </c>
      <c r="T56" s="18">
        <f>VLOOKUP(B56,'Data World'!$A:$AL,MATCH(World!$T$1,'Data World'!$A$1:$AL$1,))</f>
        <v>3.3</v>
      </c>
    </row>
    <row r="57" spans="2:20" s="1" customFormat="1" x14ac:dyDescent="0.2">
      <c r="B57" s="17">
        <v>43677</v>
      </c>
      <c r="C57" s="18">
        <f>VLOOKUP(B57,'Data World'!$A:$AL,MATCH(World!$C$1,'Data World'!$A$1:$AL$1,))</f>
        <v>3.6</v>
      </c>
      <c r="D57" s="18">
        <f>VLOOKUP(B57,'Data World'!$A:$AL,MATCH(World!$D$1,'Data World'!$A$1:$AL$1,))</f>
        <v>7.5</v>
      </c>
      <c r="E57" s="18">
        <f>VLOOKUP(B57,'Data World'!$A:$AL,MATCH(World!$E$1,'Data World'!$A$1:$AL$1,))</f>
        <v>2.2999999999999998</v>
      </c>
      <c r="F57" s="18">
        <f>VLOOKUP(B57,'Data World'!$A:$AL,MATCH(World!$F$1,'Data World'!$A$1:$AL$1,))</f>
        <v>3</v>
      </c>
      <c r="G57" s="18">
        <f>VLOOKUP(B57,'Data World'!$A:$AL,MATCH(World!$G$1,'Data World'!$A$1:$AL$1,))</f>
        <v>8.5</v>
      </c>
      <c r="H57" s="18">
        <f>VLOOKUP(B57,'Data World'!$A:$AL,MATCH(World!$H$1,'Data World'!$A$1:$AL$1,))</f>
        <v>3.8627410000000002</v>
      </c>
      <c r="I57" s="18">
        <f>VLOOKUP(B57,'Data World'!$A:$AL,MATCH(World!$I$1,'Data World'!$A$1:$AL$1,))</f>
        <v>9.6999999999999993</v>
      </c>
      <c r="J57" s="18">
        <f>VLOOKUP(B57,'Data World'!$A:$AL,MATCH(World!$J$1,'Data World'!$A$1:$AL$1,))</f>
        <v>14.3</v>
      </c>
      <c r="K57" s="18">
        <f>VLOOKUP(B57,'Data World'!$A:$AL,MATCH(World!$K$1,'Data World'!$A$1:$AL$1,))</f>
        <v>7</v>
      </c>
      <c r="L57" s="18">
        <f>VLOOKUP(B57,'Data World'!$A:$AL,MATCH(World!$L$1,'Data World'!$A$1:$AL$1,))</f>
        <v>3.4794489999999998</v>
      </c>
      <c r="M57" s="18">
        <f>VLOOKUP(B57,'Data World'!$A:$AL,MATCH(World!$M$1,'Data World'!$A$1:$AL$1,))</f>
        <v>5.8</v>
      </c>
      <c r="N57" s="18">
        <f>VLOOKUP(B57,'Data World'!$A:$AL,MATCH(World!$N$1,'Data World'!$A$1:$AL$1,))</f>
        <v>5.2455230000000004</v>
      </c>
      <c r="O57" s="18">
        <f>VLOOKUP(B57,'Data World'!$A:$AL,MATCH(World!$O$1,'Data World'!$A$1:$AL$1,))</f>
        <v>3.9</v>
      </c>
      <c r="P57" s="18">
        <f>VLOOKUP(B57,'Data World'!$A:$AL,MATCH(World!$P$1,'Data World'!$A$1:$AL$1,))</f>
        <v>17.2</v>
      </c>
      <c r="Q57" s="18">
        <f>VLOOKUP(B57,'Data World'!$A:$AL,MATCH(World!$Q$1,'Data World'!$A$1:$AL$1,))</f>
        <v>5</v>
      </c>
      <c r="R57" s="18">
        <f>VLOOKUP(B57,'Data World'!$A:$AL,MATCH(World!$R$1,'Data World'!$A$1:$AL$1,))</f>
        <v>14.2</v>
      </c>
      <c r="S57" s="18">
        <f>VLOOKUP(B57,'Data World'!$A:$AL,MATCH(World!$S$1,'Data World'!$A$1:$AL$1,))</f>
        <v>2.1</v>
      </c>
      <c r="T57" s="18">
        <f>VLOOKUP(B57,'Data World'!$A:$AL,MATCH(World!$T$1,'Data World'!$A$1:$AL$1,))</f>
        <v>3.2</v>
      </c>
    </row>
    <row r="58" spans="2:20" s="1" customFormat="1" x14ac:dyDescent="0.2">
      <c r="B58" s="17">
        <v>43708</v>
      </c>
      <c r="C58" s="18">
        <f>VLOOKUP(B58,'Data World'!$A:$AL,MATCH(World!$C$1,'Data World'!$A$1:$AL$1,))</f>
        <v>3.7</v>
      </c>
      <c r="D58" s="18">
        <f>VLOOKUP(B58,'Data World'!$A:$AL,MATCH(World!$D$1,'Data World'!$A$1:$AL$1,))</f>
        <v>7.5</v>
      </c>
      <c r="E58" s="18">
        <f>VLOOKUP(B58,'Data World'!$A:$AL,MATCH(World!$E$1,'Data World'!$A$1:$AL$1,))</f>
        <v>2.2999999999999998</v>
      </c>
      <c r="F58" s="18">
        <f>VLOOKUP(B58,'Data World'!$A:$AL,MATCH(World!$F$1,'Data World'!$A$1:$AL$1,))</f>
        <v>3</v>
      </c>
      <c r="G58" s="18">
        <f>VLOOKUP(B58,'Data World'!$A:$AL,MATCH(World!$G$1,'Data World'!$A$1:$AL$1,))</f>
        <v>8.5</v>
      </c>
      <c r="H58" s="18">
        <f>VLOOKUP(B58,'Data World'!$A:$AL,MATCH(World!$H$1,'Data World'!$A$1:$AL$1,))</f>
        <v>3.8331979999999999</v>
      </c>
      <c r="I58" s="18">
        <f>VLOOKUP(B58,'Data World'!$A:$AL,MATCH(World!$I$1,'Data World'!$A$1:$AL$1,))</f>
        <v>9.6</v>
      </c>
      <c r="J58" s="18">
        <f>VLOOKUP(B58,'Data World'!$A:$AL,MATCH(World!$J$1,'Data World'!$A$1:$AL$1,))</f>
        <v>14.3</v>
      </c>
      <c r="K58" s="18">
        <f>VLOOKUP(B58,'Data World'!$A:$AL,MATCH(World!$K$1,'Data World'!$A$1:$AL$1,))</f>
        <v>7.1</v>
      </c>
      <c r="L58" s="18">
        <f>VLOOKUP(B58,'Data World'!$A:$AL,MATCH(World!$L$1,'Data World'!$A$1:$AL$1,))</f>
        <v>3.5048379999999999</v>
      </c>
      <c r="M58" s="18">
        <f>VLOOKUP(B58,'Data World'!$A:$AL,MATCH(World!$M$1,'Data World'!$A$1:$AL$1,))</f>
        <v>5.8</v>
      </c>
      <c r="N58" s="18">
        <f>VLOOKUP(B58,'Data World'!$A:$AL,MATCH(World!$N$1,'Data World'!$A$1:$AL$1,))</f>
        <v>5.2444740000000003</v>
      </c>
      <c r="O58" s="18">
        <f>VLOOKUP(B58,'Data World'!$A:$AL,MATCH(World!$O$1,'Data World'!$A$1:$AL$1,))</f>
        <v>3.2</v>
      </c>
      <c r="P58" s="18">
        <f>VLOOKUP(B58,'Data World'!$A:$AL,MATCH(World!$P$1,'Data World'!$A$1:$AL$1,))</f>
        <v>16.7</v>
      </c>
      <c r="Q58" s="18">
        <f>VLOOKUP(B58,'Data World'!$A:$AL,MATCH(World!$Q$1,'Data World'!$A$1:$AL$1,))</f>
        <v>4.8</v>
      </c>
      <c r="R58" s="18">
        <f>VLOOKUP(B58,'Data World'!$A:$AL,MATCH(World!$R$1,'Data World'!$A$1:$AL$1,))</f>
        <v>14.1</v>
      </c>
      <c r="S58" s="18">
        <f>VLOOKUP(B58,'Data World'!$A:$AL,MATCH(World!$S$1,'Data World'!$A$1:$AL$1,))</f>
        <v>2.1</v>
      </c>
      <c r="T58" s="18">
        <f>VLOOKUP(B58,'Data World'!$A:$AL,MATCH(World!$T$1,'Data World'!$A$1:$AL$1,))</f>
        <v>3.1</v>
      </c>
    </row>
    <row r="59" spans="2:20" s="1" customFormat="1" x14ac:dyDescent="0.2">
      <c r="B59" s="17">
        <v>43738</v>
      </c>
      <c r="C59" s="18">
        <f>VLOOKUP(B59,'Data World'!$A:$AL,MATCH(World!$C$1,'Data World'!$A$1:$AL$1,))</f>
        <v>3.5</v>
      </c>
      <c r="D59" s="18">
        <f>VLOOKUP(B59,'Data World'!$A:$AL,MATCH(World!$D$1,'Data World'!$A$1:$AL$1,))</f>
        <v>7.5</v>
      </c>
      <c r="E59" s="18">
        <f>VLOOKUP(B59,'Data World'!$A:$AL,MATCH(World!$E$1,'Data World'!$A$1:$AL$1,))</f>
        <v>2.4</v>
      </c>
      <c r="F59" s="18">
        <f>VLOOKUP(B59,'Data World'!$A:$AL,MATCH(World!$F$1,'Data World'!$A$1:$AL$1,))</f>
        <v>3.1</v>
      </c>
      <c r="G59" s="18">
        <f>VLOOKUP(B59,'Data World'!$A:$AL,MATCH(World!$G$1,'Data World'!$A$1:$AL$1,))</f>
        <v>8.4</v>
      </c>
      <c r="H59" s="18">
        <f>VLOOKUP(B59,'Data World'!$A:$AL,MATCH(World!$H$1,'Data World'!$A$1:$AL$1,))</f>
        <v>3.7571340000000002</v>
      </c>
      <c r="I59" s="18">
        <f>VLOOKUP(B59,'Data World'!$A:$AL,MATCH(World!$I$1,'Data World'!$A$1:$AL$1,))</f>
        <v>9.8000000000000007</v>
      </c>
      <c r="J59" s="18">
        <f>VLOOKUP(B59,'Data World'!$A:$AL,MATCH(World!$J$1,'Data World'!$A$1:$AL$1,))</f>
        <v>14.1</v>
      </c>
      <c r="K59" s="18">
        <f>VLOOKUP(B59,'Data World'!$A:$AL,MATCH(World!$K$1,'Data World'!$A$1:$AL$1,))</f>
        <v>6.7</v>
      </c>
      <c r="L59" s="18">
        <f>VLOOKUP(B59,'Data World'!$A:$AL,MATCH(World!$L$1,'Data World'!$A$1:$AL$1,))</f>
        <v>3.5184679999999999</v>
      </c>
      <c r="M59" s="18">
        <f>VLOOKUP(B59,'Data World'!$A:$AL,MATCH(World!$M$1,'Data World'!$A$1:$AL$1,))</f>
        <v>5.6</v>
      </c>
      <c r="N59" s="18">
        <f>VLOOKUP(B59,'Data World'!$A:$AL,MATCH(World!$N$1,'Data World'!$A$1:$AL$1,))</f>
        <v>5.1993130000000001</v>
      </c>
      <c r="O59" s="18">
        <f>VLOOKUP(B59,'Data World'!$A:$AL,MATCH(World!$O$1,'Data World'!$A$1:$AL$1,))</f>
        <v>3.5</v>
      </c>
      <c r="P59" s="18">
        <f>VLOOKUP(B59,'Data World'!$A:$AL,MATCH(World!$P$1,'Data World'!$A$1:$AL$1,))</f>
        <v>16.7</v>
      </c>
      <c r="Q59" s="18">
        <f>VLOOKUP(B59,'Data World'!$A:$AL,MATCH(World!$Q$1,'Data World'!$A$1:$AL$1,))</f>
        <v>4.7</v>
      </c>
      <c r="R59" s="18">
        <f>VLOOKUP(B59,'Data World'!$A:$AL,MATCH(World!$R$1,'Data World'!$A$1:$AL$1,))</f>
        <v>13.9</v>
      </c>
      <c r="S59" s="18">
        <f>VLOOKUP(B59,'Data World'!$A:$AL,MATCH(World!$S$1,'Data World'!$A$1:$AL$1,))</f>
        <v>2</v>
      </c>
      <c r="T59" s="18">
        <f>VLOOKUP(B59,'Data World'!$A:$AL,MATCH(World!$T$1,'Data World'!$A$1:$AL$1,))</f>
        <v>3.1</v>
      </c>
    </row>
    <row r="60" spans="2:20" s="1" customFormat="1" x14ac:dyDescent="0.2">
      <c r="B60" s="17">
        <v>43769</v>
      </c>
      <c r="C60" s="18">
        <f>VLOOKUP(B60,'Data World'!$A:$AL,MATCH(World!$C$1,'Data World'!$A$1:$AL$1,))</f>
        <v>3.6</v>
      </c>
      <c r="D60" s="18">
        <f>VLOOKUP(B60,'Data World'!$A:$AL,MATCH(World!$D$1,'Data World'!$A$1:$AL$1,))</f>
        <v>7.4</v>
      </c>
      <c r="E60" s="18">
        <f>VLOOKUP(B60,'Data World'!$A:$AL,MATCH(World!$E$1,'Data World'!$A$1:$AL$1,))</f>
        <v>2.4</v>
      </c>
      <c r="F60" s="18">
        <f>VLOOKUP(B60,'Data World'!$A:$AL,MATCH(World!$F$1,'Data World'!$A$1:$AL$1,))</f>
        <v>3.1</v>
      </c>
      <c r="G60" s="18">
        <f>VLOOKUP(B60,'Data World'!$A:$AL,MATCH(World!$G$1,'Data World'!$A$1:$AL$1,))</f>
        <v>8.3000000000000007</v>
      </c>
      <c r="H60" s="18">
        <f>VLOOKUP(B60,'Data World'!$A:$AL,MATCH(World!$H$1,'Data World'!$A$1:$AL$1,))</f>
        <v>3.8185630000000002</v>
      </c>
      <c r="I60" s="18">
        <f>VLOOKUP(B60,'Data World'!$A:$AL,MATCH(World!$I$1,'Data World'!$A$1:$AL$1,))</f>
        <v>9.6999999999999993</v>
      </c>
      <c r="J60" s="18">
        <f>VLOOKUP(B60,'Data World'!$A:$AL,MATCH(World!$J$1,'Data World'!$A$1:$AL$1,))</f>
        <v>14</v>
      </c>
      <c r="K60" s="18">
        <f>VLOOKUP(B60,'Data World'!$A:$AL,MATCH(World!$K$1,'Data World'!$A$1:$AL$1,))</f>
        <v>6.8</v>
      </c>
      <c r="L60" s="18">
        <f>VLOOKUP(B60,'Data World'!$A:$AL,MATCH(World!$L$1,'Data World'!$A$1:$AL$1,))</f>
        <v>3.5713599999999999</v>
      </c>
      <c r="M60" s="18">
        <f>VLOOKUP(B60,'Data World'!$A:$AL,MATCH(World!$M$1,'Data World'!$A$1:$AL$1,))</f>
        <v>5.6</v>
      </c>
      <c r="N60" s="18">
        <f>VLOOKUP(B60,'Data World'!$A:$AL,MATCH(World!$N$1,'Data World'!$A$1:$AL$1,))</f>
        <v>5.2977809999999996</v>
      </c>
      <c r="O60" s="18">
        <f>VLOOKUP(B60,'Data World'!$A:$AL,MATCH(World!$O$1,'Data World'!$A$1:$AL$1,))</f>
        <v>3.5</v>
      </c>
      <c r="P60" s="18">
        <f>VLOOKUP(B60,'Data World'!$A:$AL,MATCH(World!$P$1,'Data World'!$A$1:$AL$1,))</f>
        <v>16.899999999999999</v>
      </c>
      <c r="Q60" s="18">
        <f>VLOOKUP(B60,'Data World'!$A:$AL,MATCH(World!$Q$1,'Data World'!$A$1:$AL$1,))</f>
        <v>4.5999999999999996</v>
      </c>
      <c r="R60" s="18">
        <f>VLOOKUP(B60,'Data World'!$A:$AL,MATCH(World!$R$1,'Data World'!$A$1:$AL$1,))</f>
        <v>13.6</v>
      </c>
      <c r="S60" s="18">
        <f>VLOOKUP(B60,'Data World'!$A:$AL,MATCH(World!$S$1,'Data World'!$A$1:$AL$1,))</f>
        <v>2.2000000000000002</v>
      </c>
      <c r="T60" s="18">
        <f>VLOOKUP(B60,'Data World'!$A:$AL,MATCH(World!$T$1,'Data World'!$A$1:$AL$1,))</f>
        <v>3</v>
      </c>
    </row>
    <row r="61" spans="2:20" s="1" customFormat="1" x14ac:dyDescent="0.2">
      <c r="B61" s="17">
        <v>43799</v>
      </c>
      <c r="C61" s="18">
        <f>VLOOKUP(B61,'Data World'!$A:$AL,MATCH(World!$C$1,'Data World'!$A$1:$AL$1,))</f>
        <v>3.6</v>
      </c>
      <c r="D61" s="18">
        <f>VLOOKUP(B61,'Data World'!$A:$AL,MATCH(World!$D$1,'Data World'!$A$1:$AL$1,))</f>
        <v>7.4</v>
      </c>
      <c r="E61" s="18">
        <f>VLOOKUP(B61,'Data World'!$A:$AL,MATCH(World!$E$1,'Data World'!$A$1:$AL$1,))</f>
        <v>2.2999999999999998</v>
      </c>
      <c r="F61" s="18">
        <f>VLOOKUP(B61,'Data World'!$A:$AL,MATCH(World!$F$1,'Data World'!$A$1:$AL$1,))</f>
        <v>3.2</v>
      </c>
      <c r="G61" s="18">
        <f>VLOOKUP(B61,'Data World'!$A:$AL,MATCH(World!$G$1,'Data World'!$A$1:$AL$1,))</f>
        <v>8.1999999999999993</v>
      </c>
      <c r="H61" s="18">
        <f>VLOOKUP(B61,'Data World'!$A:$AL,MATCH(World!$H$1,'Data World'!$A$1:$AL$1,))</f>
        <v>3.768513</v>
      </c>
      <c r="I61" s="18">
        <f>VLOOKUP(B61,'Data World'!$A:$AL,MATCH(World!$I$1,'Data World'!$A$1:$AL$1,))</f>
        <v>9.9</v>
      </c>
      <c r="J61" s="18">
        <f>VLOOKUP(B61,'Data World'!$A:$AL,MATCH(World!$J$1,'Data World'!$A$1:$AL$1,))</f>
        <v>13.8</v>
      </c>
      <c r="K61" s="18">
        <f>VLOOKUP(B61,'Data World'!$A:$AL,MATCH(World!$K$1,'Data World'!$A$1:$AL$1,))</f>
        <v>7.5</v>
      </c>
      <c r="L61" s="18">
        <f>VLOOKUP(B61,'Data World'!$A:$AL,MATCH(World!$L$1,'Data World'!$A$1:$AL$1,))</f>
        <v>3.545963</v>
      </c>
      <c r="M61" s="18">
        <f>VLOOKUP(B61,'Data World'!$A:$AL,MATCH(World!$M$1,'Data World'!$A$1:$AL$1,))</f>
        <v>5.9</v>
      </c>
      <c r="N61" s="18">
        <f>VLOOKUP(B61,'Data World'!$A:$AL,MATCH(World!$N$1,'Data World'!$A$1:$AL$1,))</f>
        <v>5.1394510000000002</v>
      </c>
      <c r="O61" s="18">
        <f>VLOOKUP(B61,'Data World'!$A:$AL,MATCH(World!$O$1,'Data World'!$A$1:$AL$1,))</f>
        <v>3.7</v>
      </c>
      <c r="P61" s="18">
        <f>VLOOKUP(B61,'Data World'!$A:$AL,MATCH(World!$P$1,'Data World'!$A$1:$AL$1,))</f>
        <v>16.600000000000001</v>
      </c>
      <c r="Q61" s="18">
        <f>VLOOKUP(B61,'Data World'!$A:$AL,MATCH(World!$Q$1,'Data World'!$A$1:$AL$1,))</f>
        <v>4.7</v>
      </c>
      <c r="R61" s="18">
        <f>VLOOKUP(B61,'Data World'!$A:$AL,MATCH(World!$R$1,'Data World'!$A$1:$AL$1,))</f>
        <v>13.2</v>
      </c>
      <c r="S61" s="18">
        <f>VLOOKUP(B61,'Data World'!$A:$AL,MATCH(World!$S$1,'Data World'!$A$1:$AL$1,))</f>
        <v>2.1</v>
      </c>
      <c r="T61" s="18">
        <f>VLOOKUP(B61,'Data World'!$A:$AL,MATCH(World!$T$1,'Data World'!$A$1:$AL$1,))</f>
        <v>2.9</v>
      </c>
    </row>
    <row r="62" spans="2:20" s="1" customFormat="1" x14ac:dyDescent="0.2">
      <c r="B62" s="17">
        <v>43830</v>
      </c>
      <c r="C62" s="18">
        <f>VLOOKUP(B62,'Data World'!$A:$AL,MATCH(World!$C$1,'Data World'!$A$1:$AL$1,))</f>
        <v>3.6</v>
      </c>
      <c r="D62" s="18">
        <f>VLOOKUP(B62,'Data World'!$A:$AL,MATCH(World!$D$1,'Data World'!$A$1:$AL$1,))</f>
        <v>7.4</v>
      </c>
      <c r="E62" s="18">
        <f>VLOOKUP(B62,'Data World'!$A:$AL,MATCH(World!$E$1,'Data World'!$A$1:$AL$1,))</f>
        <v>2.2000000000000002</v>
      </c>
      <c r="F62" s="18">
        <f>VLOOKUP(B62,'Data World'!$A:$AL,MATCH(World!$F$1,'Data World'!$A$1:$AL$1,))</f>
        <v>3.3</v>
      </c>
      <c r="G62" s="18">
        <f>VLOOKUP(B62,'Data World'!$A:$AL,MATCH(World!$G$1,'Data World'!$A$1:$AL$1,))</f>
        <v>8.1999999999999993</v>
      </c>
      <c r="H62" s="18">
        <f>VLOOKUP(B62,'Data World'!$A:$AL,MATCH(World!$H$1,'Data World'!$A$1:$AL$1,))</f>
        <v>3.912849</v>
      </c>
      <c r="I62" s="18">
        <f>VLOOKUP(B62,'Data World'!$A:$AL,MATCH(World!$I$1,'Data World'!$A$1:$AL$1,))</f>
        <v>9.9</v>
      </c>
      <c r="J62" s="18">
        <f>VLOOKUP(B62,'Data World'!$A:$AL,MATCH(World!$J$1,'Data World'!$A$1:$AL$1,))</f>
        <v>13.7</v>
      </c>
      <c r="K62" s="18">
        <f>VLOOKUP(B62,'Data World'!$A:$AL,MATCH(World!$K$1,'Data World'!$A$1:$AL$1,))</f>
        <v>6.7</v>
      </c>
      <c r="L62" s="18">
        <f>VLOOKUP(B62,'Data World'!$A:$AL,MATCH(World!$L$1,'Data World'!$A$1:$AL$1,))</f>
        <v>3.2463090000000001</v>
      </c>
      <c r="M62" s="18">
        <f>VLOOKUP(B62,'Data World'!$A:$AL,MATCH(World!$M$1,'Data World'!$A$1:$AL$1,))</f>
        <v>5.7</v>
      </c>
      <c r="N62" s="18">
        <f>VLOOKUP(B62,'Data World'!$A:$AL,MATCH(World!$N$1,'Data World'!$A$1:$AL$1,))</f>
        <v>5.0500569999999998</v>
      </c>
      <c r="O62" s="18">
        <f>VLOOKUP(B62,'Data World'!$A:$AL,MATCH(World!$O$1,'Data World'!$A$1:$AL$1,))</f>
        <v>3.7</v>
      </c>
      <c r="P62" s="18">
        <f>VLOOKUP(B62,'Data World'!$A:$AL,MATCH(World!$P$1,'Data World'!$A$1:$AL$1,))</f>
        <v>16.399999999999999</v>
      </c>
      <c r="Q62" s="18">
        <f>VLOOKUP(B62,'Data World'!$A:$AL,MATCH(World!$Q$1,'Data World'!$A$1:$AL$1,))</f>
        <v>4.8</v>
      </c>
      <c r="R62" s="18">
        <f>VLOOKUP(B62,'Data World'!$A:$AL,MATCH(World!$R$1,'Data World'!$A$1:$AL$1,))</f>
        <v>13.1</v>
      </c>
      <c r="S62" s="18">
        <f>VLOOKUP(B62,'Data World'!$A:$AL,MATCH(World!$S$1,'Data World'!$A$1:$AL$1,))</f>
        <v>2</v>
      </c>
      <c r="T62" s="18">
        <f>VLOOKUP(B62,'Data World'!$A:$AL,MATCH(World!$T$1,'Data World'!$A$1:$AL$1,))</f>
        <v>2.9</v>
      </c>
    </row>
    <row r="63" spans="2:20" s="1" customFormat="1" x14ac:dyDescent="0.2">
      <c r="B63" s="17">
        <v>43861</v>
      </c>
      <c r="C63" s="18">
        <f>VLOOKUP(B63,'Data World'!$A:$AL,MATCH(World!$C$1,'Data World'!$A$1:$AL$1,))</f>
        <v>3.5</v>
      </c>
      <c r="D63" s="18">
        <f>VLOOKUP(B63,'Data World'!$A:$AL,MATCH(World!$D$1,'Data World'!$A$1:$AL$1,))</f>
        <v>7.5</v>
      </c>
      <c r="E63" s="18">
        <f>VLOOKUP(B63,'Data World'!$A:$AL,MATCH(World!$E$1,'Data World'!$A$1:$AL$1,))</f>
        <v>2.4</v>
      </c>
      <c r="F63" s="18">
        <f>VLOOKUP(B63,'Data World'!$A:$AL,MATCH(World!$F$1,'Data World'!$A$1:$AL$1,))</f>
        <v>3.4</v>
      </c>
      <c r="G63" s="18">
        <f>VLOOKUP(B63,'Data World'!$A:$AL,MATCH(World!$G$1,'Data World'!$A$1:$AL$1,))</f>
        <v>8.1999999999999993</v>
      </c>
      <c r="H63" s="18">
        <f>VLOOKUP(B63,'Data World'!$A:$AL,MATCH(World!$H$1,'Data World'!$A$1:$AL$1,))</f>
        <v>3.9612129999999999</v>
      </c>
      <c r="I63" s="18">
        <f>VLOOKUP(B63,'Data World'!$A:$AL,MATCH(World!$I$1,'Data World'!$A$1:$AL$1,))</f>
        <v>9.6999999999999993</v>
      </c>
      <c r="J63" s="18">
        <f>VLOOKUP(B63,'Data World'!$A:$AL,MATCH(World!$J$1,'Data World'!$A$1:$AL$1,))</f>
        <v>13.8</v>
      </c>
      <c r="K63" s="18">
        <f>VLOOKUP(B63,'Data World'!$A:$AL,MATCH(World!$K$1,'Data World'!$A$1:$AL$1,))</f>
        <v>7.2</v>
      </c>
      <c r="L63" s="18">
        <f>VLOOKUP(B63,'Data World'!$A:$AL,MATCH(World!$L$1,'Data World'!$A$1:$AL$1,))</f>
        <v>3.6267900000000002</v>
      </c>
      <c r="M63" s="18">
        <f>VLOOKUP(B63,'Data World'!$A:$AL,MATCH(World!$M$1,'Data World'!$A$1:$AL$1,))</f>
        <v>5.6</v>
      </c>
      <c r="N63" s="18">
        <f>VLOOKUP(B63,'Data World'!$A:$AL,MATCH(World!$N$1,'Data World'!$A$1:$AL$1,))</f>
        <v>5.2633929999999998</v>
      </c>
      <c r="O63" s="18">
        <f>VLOOKUP(B63,'Data World'!$A:$AL,MATCH(World!$O$1,'Data World'!$A$1:$AL$1,))</f>
        <v>3.9</v>
      </c>
      <c r="P63" s="18">
        <f>VLOOKUP(B63,'Data World'!$A:$AL,MATCH(World!$P$1,'Data World'!$A$1:$AL$1,))</f>
        <v>16.7</v>
      </c>
      <c r="Q63" s="18">
        <f>VLOOKUP(B63,'Data World'!$A:$AL,MATCH(World!$Q$1,'Data World'!$A$1:$AL$1,))</f>
        <v>5.0999999999999996</v>
      </c>
      <c r="R63" s="18">
        <f>VLOOKUP(B63,'Data World'!$A:$AL,MATCH(World!$R$1,'Data World'!$A$1:$AL$1,))</f>
        <v>12.6</v>
      </c>
      <c r="S63" s="18">
        <f>VLOOKUP(B63,'Data World'!$A:$AL,MATCH(World!$S$1,'Data World'!$A$1:$AL$1,))</f>
        <v>1.9</v>
      </c>
      <c r="T63" s="18">
        <f>VLOOKUP(B63,'Data World'!$A:$AL,MATCH(World!$T$1,'Data World'!$A$1:$AL$1,))</f>
        <v>3</v>
      </c>
    </row>
    <row r="64" spans="2:20" s="1" customFormat="1" x14ac:dyDescent="0.2">
      <c r="B64" s="17">
        <v>43890</v>
      </c>
      <c r="C64" s="18">
        <f>VLOOKUP(B64,'Data World'!$A:$AL,MATCH(World!$C$1,'Data World'!$A$1:$AL$1,))</f>
        <v>3.5</v>
      </c>
      <c r="D64" s="18">
        <f>VLOOKUP(B64,'Data World'!$A:$AL,MATCH(World!$D$1,'Data World'!$A$1:$AL$1,))</f>
        <v>7.3</v>
      </c>
      <c r="E64" s="18">
        <f>VLOOKUP(B64,'Data World'!$A:$AL,MATCH(World!$E$1,'Data World'!$A$1:$AL$1,))</f>
        <v>2.4</v>
      </c>
      <c r="F64" s="18">
        <f>VLOOKUP(B64,'Data World'!$A:$AL,MATCH(World!$F$1,'Data World'!$A$1:$AL$1,))</f>
        <v>3.6</v>
      </c>
      <c r="G64" s="18">
        <f>VLOOKUP(B64,'Data World'!$A:$AL,MATCH(World!$G$1,'Data World'!$A$1:$AL$1,))</f>
        <v>7.7</v>
      </c>
      <c r="H64" s="18">
        <f>VLOOKUP(B64,'Data World'!$A:$AL,MATCH(World!$H$1,'Data World'!$A$1:$AL$1,))</f>
        <v>3.972413</v>
      </c>
      <c r="I64" s="18">
        <f>VLOOKUP(B64,'Data World'!$A:$AL,MATCH(World!$I$1,'Data World'!$A$1:$AL$1,))</f>
        <v>9.8000000000000007</v>
      </c>
      <c r="J64" s="18">
        <f>VLOOKUP(B64,'Data World'!$A:$AL,MATCH(World!$J$1,'Data World'!$A$1:$AL$1,))</f>
        <v>13.6</v>
      </c>
      <c r="K64" s="18">
        <f>VLOOKUP(B64,'Data World'!$A:$AL,MATCH(World!$K$1,'Data World'!$A$1:$AL$1,))</f>
        <v>7.6</v>
      </c>
      <c r="L64" s="18">
        <f>VLOOKUP(B64,'Data World'!$A:$AL,MATCH(World!$L$1,'Data World'!$A$1:$AL$1,))</f>
        <v>3.6250849999999999</v>
      </c>
      <c r="M64" s="18">
        <f>VLOOKUP(B64,'Data World'!$A:$AL,MATCH(World!$M$1,'Data World'!$A$1:$AL$1,))</f>
        <v>5.7</v>
      </c>
      <c r="N64" s="18">
        <f>VLOOKUP(B64,'Data World'!$A:$AL,MATCH(World!$N$1,'Data World'!$A$1:$AL$1,))</f>
        <v>5.0765250000000002</v>
      </c>
      <c r="O64" s="18">
        <f>VLOOKUP(B64,'Data World'!$A:$AL,MATCH(World!$O$1,'Data World'!$A$1:$AL$1,))</f>
        <v>3.4</v>
      </c>
      <c r="P64" s="18">
        <f>VLOOKUP(B64,'Data World'!$A:$AL,MATCH(World!$P$1,'Data World'!$A$1:$AL$1,))</f>
        <v>15.4</v>
      </c>
      <c r="Q64" s="18">
        <f>VLOOKUP(B64,'Data World'!$A:$AL,MATCH(World!$Q$1,'Data World'!$A$1:$AL$1,))</f>
        <v>5</v>
      </c>
      <c r="R64" s="18">
        <f>VLOOKUP(B64,'Data World'!$A:$AL,MATCH(World!$R$1,'Data World'!$A$1:$AL$1,))</f>
        <v>12.6</v>
      </c>
      <c r="S64" s="18">
        <f>VLOOKUP(B64,'Data World'!$A:$AL,MATCH(World!$S$1,'Data World'!$A$1:$AL$1,))</f>
        <v>1.8</v>
      </c>
      <c r="T64" s="18">
        <f>VLOOKUP(B64,'Data World'!$A:$AL,MATCH(World!$T$1,'Data World'!$A$1:$AL$1,))</f>
        <v>3</v>
      </c>
    </row>
    <row r="65" spans="2:20" s="1" customFormat="1" x14ac:dyDescent="0.2">
      <c r="B65" s="17">
        <v>43921</v>
      </c>
      <c r="C65" s="18">
        <f>VLOOKUP(B65,'Data World'!$A:$AL,MATCH(World!$C$1,'Data World'!$A$1:$AL$1,))</f>
        <v>4.4000000000000004</v>
      </c>
      <c r="D65" s="18">
        <f>VLOOKUP(B65,'Data World'!$A:$AL,MATCH(World!$D$1,'Data World'!$A$1:$AL$1,))</f>
        <v>7.1</v>
      </c>
      <c r="E65" s="18">
        <f>VLOOKUP(B65,'Data World'!$A:$AL,MATCH(World!$E$1,'Data World'!$A$1:$AL$1,))</f>
        <v>2.5</v>
      </c>
      <c r="F65" s="18">
        <f>VLOOKUP(B65,'Data World'!$A:$AL,MATCH(World!$F$1,'Data World'!$A$1:$AL$1,))</f>
        <v>3.8</v>
      </c>
      <c r="G65" s="18">
        <f>VLOOKUP(B65,'Data World'!$A:$AL,MATCH(World!$G$1,'Data World'!$A$1:$AL$1,))</f>
        <v>7.4</v>
      </c>
      <c r="H65" s="18">
        <f>VLOOKUP(B65,'Data World'!$A:$AL,MATCH(World!$H$1,'Data World'!$A$1:$AL$1,))</f>
        <v>3.9950739999999998</v>
      </c>
      <c r="I65" s="18">
        <f>VLOOKUP(B65,'Data World'!$A:$AL,MATCH(World!$I$1,'Data World'!$A$1:$AL$1,))</f>
        <v>7.5</v>
      </c>
      <c r="J65" s="18">
        <f>VLOOKUP(B65,'Data World'!$A:$AL,MATCH(World!$J$1,'Data World'!$A$1:$AL$1,))</f>
        <v>14.5</v>
      </c>
      <c r="K65" s="18">
        <f>VLOOKUP(B65,'Data World'!$A:$AL,MATCH(World!$K$1,'Data World'!$A$1:$AL$1,))</f>
        <v>6.6</v>
      </c>
      <c r="L65" s="18">
        <f>VLOOKUP(B65,'Data World'!$A:$AL,MATCH(World!$L$1,'Data World'!$A$1:$AL$1,))</f>
        <v>3.2418179999999999</v>
      </c>
      <c r="M65" s="18">
        <f>VLOOKUP(B65,'Data World'!$A:$AL,MATCH(World!$M$1,'Data World'!$A$1:$AL$1,))</f>
        <v>7.9</v>
      </c>
      <c r="N65" s="18">
        <f>VLOOKUP(B65,'Data World'!$A:$AL,MATCH(World!$N$1,'Data World'!$A$1:$AL$1,))</f>
        <v>5.2187520000000003</v>
      </c>
      <c r="O65" s="18">
        <f>VLOOKUP(B65,'Data World'!$A:$AL,MATCH(World!$O$1,'Data World'!$A$1:$AL$1,))</f>
        <v>3.8</v>
      </c>
      <c r="P65" s="18">
        <f>VLOOKUP(B65,'Data World'!$A:$AL,MATCH(World!$P$1,'Data World'!$A$1:$AL$1,))</f>
        <v>15.9</v>
      </c>
      <c r="Q65" s="18">
        <f>VLOOKUP(B65,'Data World'!$A:$AL,MATCH(World!$Q$1,'Data World'!$A$1:$AL$1,))</f>
        <v>5</v>
      </c>
      <c r="R65" s="18">
        <f>VLOOKUP(B65,'Data World'!$A:$AL,MATCH(World!$R$1,'Data World'!$A$1:$AL$1,))</f>
        <v>12.9</v>
      </c>
      <c r="S65" s="18">
        <f>VLOOKUP(B65,'Data World'!$A:$AL,MATCH(World!$S$1,'Data World'!$A$1:$AL$1,))</f>
        <v>1.9</v>
      </c>
      <c r="T65" s="18">
        <f>VLOOKUP(B65,'Data World'!$A:$AL,MATCH(World!$T$1,'Data World'!$A$1:$AL$1,))</f>
        <v>3</v>
      </c>
    </row>
    <row r="66" spans="2:20" s="1" customFormat="1" x14ac:dyDescent="0.2">
      <c r="B66" s="17">
        <v>43951</v>
      </c>
      <c r="C66" s="18">
        <f>VLOOKUP(B66,'Data World'!$A:$AL,MATCH(World!$C$1,'Data World'!$A$1:$AL$1,))</f>
        <v>14.8</v>
      </c>
      <c r="D66" s="18">
        <f>VLOOKUP(B66,'Data World'!$A:$AL,MATCH(World!$D$1,'Data World'!$A$1:$AL$1,))</f>
        <v>7.3</v>
      </c>
      <c r="E66" s="18">
        <f>VLOOKUP(B66,'Data World'!$A:$AL,MATCH(World!$E$1,'Data World'!$A$1:$AL$1,))</f>
        <v>2.6</v>
      </c>
      <c r="F66" s="18">
        <f>VLOOKUP(B66,'Data World'!$A:$AL,MATCH(World!$F$1,'Data World'!$A$1:$AL$1,))</f>
        <v>4</v>
      </c>
      <c r="G66" s="18">
        <f>VLOOKUP(B66,'Data World'!$A:$AL,MATCH(World!$G$1,'Data World'!$A$1:$AL$1,))</f>
        <v>7.4</v>
      </c>
      <c r="H66" s="18">
        <f>VLOOKUP(B66,'Data World'!$A:$AL,MATCH(World!$H$1,'Data World'!$A$1:$AL$1,))</f>
        <v>4.0548010000000003</v>
      </c>
      <c r="I66" s="18">
        <f>VLOOKUP(B66,'Data World'!$A:$AL,MATCH(World!$I$1,'Data World'!$A$1:$AL$1,))</f>
        <v>7.6</v>
      </c>
      <c r="J66" s="18">
        <f>VLOOKUP(B66,'Data World'!$A:$AL,MATCH(World!$J$1,'Data World'!$A$1:$AL$1,))</f>
        <v>15.2</v>
      </c>
      <c r="K66" s="18">
        <f>VLOOKUP(B66,'Data World'!$A:$AL,MATCH(World!$K$1,'Data World'!$A$1:$AL$1,))</f>
        <v>7.9</v>
      </c>
      <c r="L66" s="18">
        <f>VLOOKUP(B66,'Data World'!$A:$AL,MATCH(World!$L$1,'Data World'!$A$1:$AL$1,))</f>
        <v>4.8014840000000003</v>
      </c>
      <c r="M66" s="18">
        <f>VLOOKUP(B66,'Data World'!$A:$AL,MATCH(World!$M$1,'Data World'!$A$1:$AL$1,))</f>
        <v>13.1</v>
      </c>
      <c r="N66" s="18">
        <f>VLOOKUP(B66,'Data World'!$A:$AL,MATCH(World!$N$1,'Data World'!$A$1:$AL$1,))</f>
        <v>6.352233</v>
      </c>
      <c r="O66" s="18">
        <f>VLOOKUP(B66,'Data World'!$A:$AL,MATCH(World!$O$1,'Data World'!$A$1:$AL$1,))</f>
        <v>3.8</v>
      </c>
      <c r="P66" s="18">
        <f>VLOOKUP(B66,'Data World'!$A:$AL,MATCH(World!$P$1,'Data World'!$A$1:$AL$1,))</f>
        <v>16.3</v>
      </c>
      <c r="Q66" s="18">
        <f>VLOOKUP(B66,'Data World'!$A:$AL,MATCH(World!$Q$1,'Data World'!$A$1:$AL$1,))</f>
        <v>4.7</v>
      </c>
      <c r="R66" s="18">
        <f>VLOOKUP(B66,'Data World'!$A:$AL,MATCH(World!$R$1,'Data World'!$A$1:$AL$1,))</f>
        <v>13.6</v>
      </c>
      <c r="S66" s="18">
        <f>VLOOKUP(B66,'Data World'!$A:$AL,MATCH(World!$S$1,'Data World'!$A$1:$AL$1,))</f>
        <v>2.2000000000000002</v>
      </c>
      <c r="T66" s="18">
        <f>VLOOKUP(B66,'Data World'!$A:$AL,MATCH(World!$T$1,'Data World'!$A$1:$AL$1,))</f>
        <v>3.1</v>
      </c>
    </row>
    <row r="67" spans="2:20" s="1" customFormat="1" x14ac:dyDescent="0.2">
      <c r="B67" s="17">
        <v>43982</v>
      </c>
      <c r="C67" s="18">
        <f>VLOOKUP(B67,'Data World'!$A:$AL,MATCH(World!$C$1,'Data World'!$A$1:$AL$1,))</f>
        <v>13.3</v>
      </c>
      <c r="D67" s="18">
        <f>VLOOKUP(B67,'Data World'!$A:$AL,MATCH(World!$D$1,'Data World'!$A$1:$AL$1,))</f>
        <v>7.5</v>
      </c>
      <c r="E67" s="18">
        <f>VLOOKUP(B67,'Data World'!$A:$AL,MATCH(World!$E$1,'Data World'!$A$1:$AL$1,))</f>
        <v>2.8</v>
      </c>
      <c r="F67" s="18">
        <f>VLOOKUP(B67,'Data World'!$A:$AL,MATCH(World!$F$1,'Data World'!$A$1:$AL$1,))</f>
        <v>4.2</v>
      </c>
      <c r="G67" s="18">
        <f>VLOOKUP(B67,'Data World'!$A:$AL,MATCH(World!$G$1,'Data World'!$A$1:$AL$1,))</f>
        <v>6.8</v>
      </c>
      <c r="H67" s="18">
        <f>VLOOKUP(B67,'Data World'!$A:$AL,MATCH(World!$H$1,'Data World'!$A$1:$AL$1,))</f>
        <v>4.0547110000000002</v>
      </c>
      <c r="I67" s="18">
        <f>VLOOKUP(B67,'Data World'!$A:$AL,MATCH(World!$I$1,'Data World'!$A$1:$AL$1,))</f>
        <v>8.5</v>
      </c>
      <c r="J67" s="18">
        <f>VLOOKUP(B67,'Data World'!$A:$AL,MATCH(World!$J$1,'Data World'!$A$1:$AL$1,))</f>
        <v>15.3</v>
      </c>
      <c r="K67" s="18">
        <f>VLOOKUP(B67,'Data World'!$A:$AL,MATCH(World!$K$1,'Data World'!$A$1:$AL$1,))</f>
        <v>8.4</v>
      </c>
      <c r="L67" s="18">
        <f>VLOOKUP(B67,'Data World'!$A:$AL,MATCH(World!$L$1,'Data World'!$A$1:$AL$1,))</f>
        <v>4.3488199999999999</v>
      </c>
      <c r="M67" s="18">
        <f>VLOOKUP(B67,'Data World'!$A:$AL,MATCH(World!$M$1,'Data World'!$A$1:$AL$1,))</f>
        <v>13.7</v>
      </c>
      <c r="N67" s="18">
        <f>VLOOKUP(B67,'Data World'!$A:$AL,MATCH(World!$N$1,'Data World'!$A$1:$AL$1,))</f>
        <v>7.0606369999999998</v>
      </c>
      <c r="O67" s="18">
        <f>VLOOKUP(B67,'Data World'!$A:$AL,MATCH(World!$O$1,'Data World'!$A$1:$AL$1,))</f>
        <v>4.3</v>
      </c>
      <c r="P67" s="18">
        <f>VLOOKUP(B67,'Data World'!$A:$AL,MATCH(World!$P$1,'Data World'!$A$1:$AL$1,))</f>
        <v>16.7</v>
      </c>
      <c r="Q67" s="18">
        <f>VLOOKUP(B67,'Data World'!$A:$AL,MATCH(World!$Q$1,'Data World'!$A$1:$AL$1,))</f>
        <v>4.8</v>
      </c>
      <c r="R67" s="18">
        <f>VLOOKUP(B67,'Data World'!$A:$AL,MATCH(World!$R$1,'Data World'!$A$1:$AL$1,))</f>
        <v>14</v>
      </c>
      <c r="S67" s="18">
        <f>VLOOKUP(B67,'Data World'!$A:$AL,MATCH(World!$S$1,'Data World'!$A$1:$AL$1,))</f>
        <v>2.5</v>
      </c>
      <c r="T67" s="18">
        <f>VLOOKUP(B67,'Data World'!$A:$AL,MATCH(World!$T$1,'Data World'!$A$1:$AL$1,))</f>
        <v>3.3</v>
      </c>
    </row>
    <row r="68" spans="2:20" s="1" customFormat="1" x14ac:dyDescent="0.2">
      <c r="B68" s="17">
        <v>44012</v>
      </c>
      <c r="C68" s="18">
        <f>VLOOKUP(B68,'Data World'!$A:$AL,MATCH(World!$C$1,'Data World'!$A$1:$AL$1,))</f>
        <v>11.1</v>
      </c>
      <c r="D68" s="18">
        <f>VLOOKUP(B68,'Data World'!$A:$AL,MATCH(World!$D$1,'Data World'!$A$1:$AL$1,))</f>
        <v>8</v>
      </c>
      <c r="E68" s="18">
        <f>VLOOKUP(B68,'Data World'!$A:$AL,MATCH(World!$E$1,'Data World'!$A$1:$AL$1,))</f>
        <v>2.8</v>
      </c>
      <c r="F68" s="18">
        <f>VLOOKUP(B68,'Data World'!$A:$AL,MATCH(World!$F$1,'Data World'!$A$1:$AL$1,))</f>
        <v>4.3</v>
      </c>
      <c r="G68" s="18">
        <f>VLOOKUP(B68,'Data World'!$A:$AL,MATCH(World!$G$1,'Data World'!$A$1:$AL$1,))</f>
        <v>7.3</v>
      </c>
      <c r="H68" s="18">
        <f>VLOOKUP(B68,'Data World'!$A:$AL,MATCH(World!$H$1,'Data World'!$A$1:$AL$1,))</f>
        <v>4.252618</v>
      </c>
      <c r="I68" s="18">
        <f>VLOOKUP(B68,'Data World'!$A:$AL,MATCH(World!$I$1,'Data World'!$A$1:$AL$1,))</f>
        <v>9.3000000000000007</v>
      </c>
      <c r="J68" s="18">
        <f>VLOOKUP(B68,'Data World'!$A:$AL,MATCH(World!$J$1,'Data World'!$A$1:$AL$1,))</f>
        <v>16</v>
      </c>
      <c r="K68" s="18">
        <f>VLOOKUP(B68,'Data World'!$A:$AL,MATCH(World!$K$1,'Data World'!$A$1:$AL$1,))</f>
        <v>9.1</v>
      </c>
      <c r="L68" s="18">
        <f>VLOOKUP(B68,'Data World'!$A:$AL,MATCH(World!$L$1,'Data World'!$A$1:$AL$1,))</f>
        <v>5.4671510000000003</v>
      </c>
      <c r="M68" s="18">
        <f>VLOOKUP(B68,'Data World'!$A:$AL,MATCH(World!$M$1,'Data World'!$A$1:$AL$1,))</f>
        <v>12.5</v>
      </c>
      <c r="N68" s="18">
        <f>VLOOKUP(B68,'Data World'!$A:$AL,MATCH(World!$N$1,'Data World'!$A$1:$AL$1,))</f>
        <v>7.4337049999999998</v>
      </c>
      <c r="O68" s="18">
        <f>VLOOKUP(B68,'Data World'!$A:$AL,MATCH(World!$O$1,'Data World'!$A$1:$AL$1,))</f>
        <v>4.2</v>
      </c>
      <c r="P68" s="18">
        <f>VLOOKUP(B68,'Data World'!$A:$AL,MATCH(World!$P$1,'Data World'!$A$1:$AL$1,))</f>
        <v>17.8</v>
      </c>
      <c r="Q68" s="18">
        <f>VLOOKUP(B68,'Data World'!$A:$AL,MATCH(World!$Q$1,'Data World'!$A$1:$AL$1,))</f>
        <v>5.3</v>
      </c>
      <c r="R68" s="18">
        <f>VLOOKUP(B68,'Data World'!$A:$AL,MATCH(World!$R$1,'Data World'!$A$1:$AL$1,))</f>
        <v>14.3</v>
      </c>
      <c r="S68" s="18">
        <f>VLOOKUP(B68,'Data World'!$A:$AL,MATCH(World!$S$1,'Data World'!$A$1:$AL$1,))</f>
        <v>2.6</v>
      </c>
      <c r="T68" s="18">
        <f>VLOOKUP(B68,'Data World'!$A:$AL,MATCH(World!$T$1,'Data World'!$A$1:$AL$1,))</f>
        <v>3.4</v>
      </c>
    </row>
    <row r="69" spans="2:20" s="1" customFormat="1" x14ac:dyDescent="0.2">
      <c r="B69" s="17">
        <v>44043</v>
      </c>
      <c r="C69" s="18">
        <f>VLOOKUP(B69,'Data World'!$A:$AL,MATCH(World!$C$1,'Data World'!$A$1:$AL$1,))</f>
        <v>10.199999999999999</v>
      </c>
      <c r="D69" s="18">
        <f>VLOOKUP(B69,'Data World'!$A:$AL,MATCH(World!$D$1,'Data World'!$A$1:$AL$1,))</f>
        <v>8.5</v>
      </c>
      <c r="E69" s="18">
        <f>VLOOKUP(B69,'Data World'!$A:$AL,MATCH(World!$E$1,'Data World'!$A$1:$AL$1,))</f>
        <v>2.9</v>
      </c>
      <c r="F69" s="18">
        <f>VLOOKUP(B69,'Data World'!$A:$AL,MATCH(World!$F$1,'Data World'!$A$1:$AL$1,))</f>
        <v>4.4000000000000004</v>
      </c>
      <c r="G69" s="18">
        <f>VLOOKUP(B69,'Data World'!$A:$AL,MATCH(World!$G$1,'Data World'!$A$1:$AL$1,))</f>
        <v>8.8000000000000007</v>
      </c>
      <c r="H69" s="18">
        <f>VLOOKUP(B69,'Data World'!$A:$AL,MATCH(World!$H$1,'Data World'!$A$1:$AL$1,))</f>
        <v>4.4624069999999998</v>
      </c>
      <c r="I69" s="18">
        <f>VLOOKUP(B69,'Data World'!$A:$AL,MATCH(World!$I$1,'Data World'!$A$1:$AL$1,))</f>
        <v>9.9</v>
      </c>
      <c r="J69" s="18">
        <f>VLOOKUP(B69,'Data World'!$A:$AL,MATCH(World!$J$1,'Data World'!$A$1:$AL$1,))</f>
        <v>16.399999999999999</v>
      </c>
      <c r="K69" s="18">
        <f>VLOOKUP(B69,'Data World'!$A:$AL,MATCH(World!$K$1,'Data World'!$A$1:$AL$1,))</f>
        <v>9.1</v>
      </c>
      <c r="L69" s="18">
        <f>VLOOKUP(B69,'Data World'!$A:$AL,MATCH(World!$L$1,'Data World'!$A$1:$AL$1,))</f>
        <v>5.1201999999999996</v>
      </c>
      <c r="M69" s="18">
        <f>VLOOKUP(B69,'Data World'!$A:$AL,MATCH(World!$M$1,'Data World'!$A$1:$AL$1,))</f>
        <v>10.9</v>
      </c>
      <c r="N69" s="18">
        <f>VLOOKUP(B69,'Data World'!$A:$AL,MATCH(World!$N$1,'Data World'!$A$1:$AL$1,))</f>
        <v>7.4782349999999997</v>
      </c>
      <c r="O69" s="18">
        <f>VLOOKUP(B69,'Data World'!$A:$AL,MATCH(World!$O$1,'Data World'!$A$1:$AL$1,))</f>
        <v>4.0999999999999996</v>
      </c>
      <c r="P69" s="18">
        <f>VLOOKUP(B69,'Data World'!$A:$AL,MATCH(World!$P$1,'Data World'!$A$1:$AL$1,))</f>
        <v>16.8</v>
      </c>
      <c r="Q69" s="18">
        <f>VLOOKUP(B69,'Data World'!$A:$AL,MATCH(World!$Q$1,'Data World'!$A$1:$AL$1,))</f>
        <v>6.2</v>
      </c>
      <c r="R69" s="18">
        <f>VLOOKUP(B69,'Data World'!$A:$AL,MATCH(World!$R$1,'Data World'!$A$1:$AL$1,))</f>
        <v>13.8</v>
      </c>
      <c r="S69" s="18">
        <f>VLOOKUP(B69,'Data World'!$A:$AL,MATCH(World!$S$1,'Data World'!$A$1:$AL$1,))</f>
        <v>3</v>
      </c>
      <c r="T69" s="18">
        <f>VLOOKUP(B69,'Data World'!$A:$AL,MATCH(World!$T$1,'Data World'!$A$1:$AL$1,))</f>
        <v>3.4</v>
      </c>
    </row>
    <row r="70" spans="2:20" s="1" customFormat="1" x14ac:dyDescent="0.2">
      <c r="B70" s="17">
        <v>44074</v>
      </c>
      <c r="C70" s="18">
        <f>VLOOKUP(B70,'Data World'!$A:$AL,MATCH(World!$C$1,'Data World'!$A$1:$AL$1,))</f>
        <v>8.4</v>
      </c>
      <c r="D70" s="18">
        <f>VLOOKUP(B70,'Data World'!$A:$AL,MATCH(World!$D$1,'Data World'!$A$1:$AL$1,))</f>
        <v>8.6999999999999993</v>
      </c>
      <c r="E70" s="18">
        <f>VLOOKUP(B70,'Data World'!$A:$AL,MATCH(World!$E$1,'Data World'!$A$1:$AL$1,))</f>
        <v>3</v>
      </c>
      <c r="F70" s="18">
        <f>VLOOKUP(B70,'Data World'!$A:$AL,MATCH(World!$F$1,'Data World'!$A$1:$AL$1,))</f>
        <v>4.5</v>
      </c>
      <c r="G70" s="18">
        <f>VLOOKUP(B70,'Data World'!$A:$AL,MATCH(World!$G$1,'Data World'!$A$1:$AL$1,))</f>
        <v>9.3000000000000007</v>
      </c>
      <c r="H70" s="18">
        <f>VLOOKUP(B70,'Data World'!$A:$AL,MATCH(World!$H$1,'Data World'!$A$1:$AL$1,))</f>
        <v>4.756812</v>
      </c>
      <c r="I70" s="18">
        <f>VLOOKUP(B70,'Data World'!$A:$AL,MATCH(World!$I$1,'Data World'!$A$1:$AL$1,))</f>
        <v>9.9</v>
      </c>
      <c r="J70" s="18">
        <f>VLOOKUP(B70,'Data World'!$A:$AL,MATCH(World!$J$1,'Data World'!$A$1:$AL$1,))</f>
        <v>16.7</v>
      </c>
      <c r="K70" s="18">
        <f>VLOOKUP(B70,'Data World'!$A:$AL,MATCH(World!$K$1,'Data World'!$A$1:$AL$1,))</f>
        <v>9</v>
      </c>
      <c r="L70" s="18">
        <f>VLOOKUP(B70,'Data World'!$A:$AL,MATCH(World!$L$1,'Data World'!$A$1:$AL$1,))</f>
        <v>4.9452299999999996</v>
      </c>
      <c r="M70" s="18">
        <f>VLOOKUP(B70,'Data World'!$A:$AL,MATCH(World!$M$1,'Data World'!$A$1:$AL$1,))</f>
        <v>10.199999999999999</v>
      </c>
      <c r="N70" s="18">
        <f>VLOOKUP(B70,'Data World'!$A:$AL,MATCH(World!$N$1,'Data World'!$A$1:$AL$1,))</f>
        <v>6.8046980000000001</v>
      </c>
      <c r="O70" s="18">
        <f>VLOOKUP(B70,'Data World'!$A:$AL,MATCH(World!$O$1,'Data World'!$A$1:$AL$1,))</f>
        <v>3.3</v>
      </c>
      <c r="P70" s="18">
        <f>VLOOKUP(B70,'Data World'!$A:$AL,MATCH(World!$P$1,'Data World'!$A$1:$AL$1,))</f>
        <v>16.899999999999999</v>
      </c>
      <c r="Q70" s="18">
        <f>VLOOKUP(B70,'Data World'!$A:$AL,MATCH(World!$Q$1,'Data World'!$A$1:$AL$1,))</f>
        <v>6.6</v>
      </c>
      <c r="R70" s="18">
        <f>VLOOKUP(B70,'Data World'!$A:$AL,MATCH(World!$R$1,'Data World'!$A$1:$AL$1,))</f>
        <v>13.3</v>
      </c>
      <c r="S70" s="18">
        <f>VLOOKUP(B70,'Data World'!$A:$AL,MATCH(World!$S$1,'Data World'!$A$1:$AL$1,))</f>
        <v>2.7</v>
      </c>
      <c r="T70" s="18">
        <f>VLOOKUP(B70,'Data World'!$A:$AL,MATCH(World!$T$1,'Data World'!$A$1:$AL$1,))</f>
        <v>3.3</v>
      </c>
    </row>
    <row r="71" spans="2:20" s="1" customFormat="1" x14ac:dyDescent="0.2">
      <c r="B71" s="17">
        <v>44104</v>
      </c>
      <c r="C71" s="18">
        <f>VLOOKUP(B71,'Data World'!$A:$AL,MATCH(World!$C$1,'Data World'!$A$1:$AL$1,))</f>
        <v>7.8</v>
      </c>
      <c r="D71" s="18">
        <f>VLOOKUP(B71,'Data World'!$A:$AL,MATCH(World!$D$1,'Data World'!$A$1:$AL$1,))</f>
        <v>8.6999999999999993</v>
      </c>
      <c r="E71" s="18">
        <f>VLOOKUP(B71,'Data World'!$A:$AL,MATCH(World!$E$1,'Data World'!$A$1:$AL$1,))</f>
        <v>3</v>
      </c>
      <c r="F71" s="18">
        <f>VLOOKUP(B71,'Data World'!$A:$AL,MATCH(World!$F$1,'Data World'!$A$1:$AL$1,))</f>
        <v>4.5</v>
      </c>
      <c r="G71" s="18">
        <f>VLOOKUP(B71,'Data World'!$A:$AL,MATCH(World!$G$1,'Data World'!$A$1:$AL$1,))</f>
        <v>9.3000000000000007</v>
      </c>
      <c r="H71" s="18">
        <f>VLOOKUP(B71,'Data World'!$A:$AL,MATCH(World!$H$1,'Data World'!$A$1:$AL$1,))</f>
        <v>4.9442430000000002</v>
      </c>
      <c r="I71" s="18">
        <f>VLOOKUP(B71,'Data World'!$A:$AL,MATCH(World!$I$1,'Data World'!$A$1:$AL$1,))</f>
        <v>9.9</v>
      </c>
      <c r="J71" s="18">
        <f>VLOOKUP(B71,'Data World'!$A:$AL,MATCH(World!$J$1,'Data World'!$A$1:$AL$1,))</f>
        <v>16.600000000000001</v>
      </c>
      <c r="K71" s="18">
        <f>VLOOKUP(B71,'Data World'!$A:$AL,MATCH(World!$K$1,'Data World'!$A$1:$AL$1,))</f>
        <v>8.9</v>
      </c>
      <c r="L71" s="18">
        <f>VLOOKUP(B71,'Data World'!$A:$AL,MATCH(World!$L$1,'Data World'!$A$1:$AL$1,))</f>
        <v>4.7191109999999998</v>
      </c>
      <c r="M71" s="18">
        <f>VLOOKUP(B71,'Data World'!$A:$AL,MATCH(World!$M$1,'Data World'!$A$1:$AL$1,))</f>
        <v>9.1999999999999993</v>
      </c>
      <c r="N71" s="18">
        <f>VLOOKUP(B71,'Data World'!$A:$AL,MATCH(World!$N$1,'Data World'!$A$1:$AL$1,))</f>
        <v>6.9095719999999998</v>
      </c>
      <c r="O71" s="18">
        <f>VLOOKUP(B71,'Data World'!$A:$AL,MATCH(World!$O$1,'Data World'!$A$1:$AL$1,))</f>
        <v>4</v>
      </c>
      <c r="P71" s="18">
        <f>VLOOKUP(B71,'Data World'!$A:$AL,MATCH(World!$P$1,'Data World'!$A$1:$AL$1,))</f>
        <v>16.600000000000001</v>
      </c>
      <c r="Q71" s="18">
        <f>VLOOKUP(B71,'Data World'!$A:$AL,MATCH(World!$Q$1,'Data World'!$A$1:$AL$1,))</f>
        <v>6.8</v>
      </c>
      <c r="R71" s="18">
        <f>VLOOKUP(B71,'Data World'!$A:$AL,MATCH(World!$R$1,'Data World'!$A$1:$AL$1,))</f>
        <v>12.7</v>
      </c>
      <c r="S71" s="18">
        <f>VLOOKUP(B71,'Data World'!$A:$AL,MATCH(World!$S$1,'Data World'!$A$1:$AL$1,))</f>
        <v>2.8</v>
      </c>
      <c r="T71" s="18">
        <f>VLOOKUP(B71,'Data World'!$A:$AL,MATCH(World!$T$1,'Data World'!$A$1:$AL$1,))</f>
        <v>3.3</v>
      </c>
    </row>
    <row r="72" spans="2:20" s="1" customFormat="1" x14ac:dyDescent="0.2">
      <c r="B72" s="17">
        <v>44135</v>
      </c>
      <c r="C72" s="18">
        <f>VLOOKUP(B72,'Data World'!$A:$AL,MATCH(World!$C$1,'Data World'!$A$1:$AL$1,))</f>
        <v>6.9</v>
      </c>
      <c r="D72" s="18">
        <f>VLOOKUP(B72,'Data World'!$A:$AL,MATCH(World!$D$1,'Data World'!$A$1:$AL$1,))</f>
        <v>8.5</v>
      </c>
      <c r="E72" s="18">
        <f>VLOOKUP(B72,'Data World'!$A:$AL,MATCH(World!$E$1,'Data World'!$A$1:$AL$1,))</f>
        <v>3.1</v>
      </c>
      <c r="F72" s="18">
        <f>VLOOKUP(B72,'Data World'!$A:$AL,MATCH(World!$F$1,'Data World'!$A$1:$AL$1,))</f>
        <v>4.5</v>
      </c>
      <c r="G72" s="18">
        <f>VLOOKUP(B72,'Data World'!$A:$AL,MATCH(World!$G$1,'Data World'!$A$1:$AL$1,))</f>
        <v>8.5</v>
      </c>
      <c r="H72" s="18">
        <f>VLOOKUP(B72,'Data World'!$A:$AL,MATCH(World!$H$1,'Data World'!$A$1:$AL$1,))</f>
        <v>5.0382470000000001</v>
      </c>
      <c r="I72" s="18">
        <f>VLOOKUP(B72,'Data World'!$A:$AL,MATCH(World!$I$1,'Data World'!$A$1:$AL$1,))</f>
        <v>10</v>
      </c>
      <c r="J72" s="18">
        <f>VLOOKUP(B72,'Data World'!$A:$AL,MATCH(World!$J$1,'Data World'!$A$1:$AL$1,))</f>
        <v>16.3</v>
      </c>
      <c r="K72" s="18">
        <f>VLOOKUP(B72,'Data World'!$A:$AL,MATCH(World!$K$1,'Data World'!$A$1:$AL$1,))</f>
        <v>8.6</v>
      </c>
      <c r="L72" s="18">
        <f>VLOOKUP(B72,'Data World'!$A:$AL,MATCH(World!$L$1,'Data World'!$A$1:$AL$1,))</f>
        <v>4.6065370000000003</v>
      </c>
      <c r="M72" s="18">
        <f>VLOOKUP(B72,'Data World'!$A:$AL,MATCH(World!$M$1,'Data World'!$A$1:$AL$1,))</f>
        <v>9</v>
      </c>
      <c r="N72" s="18">
        <f>VLOOKUP(B72,'Data World'!$A:$AL,MATCH(World!$N$1,'Data World'!$A$1:$AL$1,))</f>
        <v>6.9803059999999997</v>
      </c>
      <c r="O72" s="18">
        <f>VLOOKUP(B72,'Data World'!$A:$AL,MATCH(World!$O$1,'Data World'!$A$1:$AL$1,))</f>
        <v>4.2</v>
      </c>
      <c r="P72" s="18">
        <f>VLOOKUP(B72,'Data World'!$A:$AL,MATCH(World!$P$1,'Data World'!$A$1:$AL$1,))</f>
        <v>16.399999999999999</v>
      </c>
      <c r="Q72" s="18">
        <f>VLOOKUP(B72,'Data World'!$A:$AL,MATCH(World!$Q$1,'Data World'!$A$1:$AL$1,))</f>
        <v>6.2</v>
      </c>
      <c r="R72" s="18">
        <f>VLOOKUP(B72,'Data World'!$A:$AL,MATCH(World!$R$1,'Data World'!$A$1:$AL$1,))</f>
        <v>12.9</v>
      </c>
      <c r="S72" s="18">
        <f>VLOOKUP(B72,'Data World'!$A:$AL,MATCH(World!$S$1,'Data World'!$A$1:$AL$1,))</f>
        <v>3.2</v>
      </c>
      <c r="T72" s="18">
        <f>VLOOKUP(B72,'Data World'!$A:$AL,MATCH(World!$T$1,'Data World'!$A$1:$AL$1,))</f>
        <v>3.2</v>
      </c>
    </row>
    <row r="73" spans="2:20" s="1" customFormat="1" x14ac:dyDescent="0.2">
      <c r="B73" s="17">
        <v>44165</v>
      </c>
      <c r="C73" s="18">
        <f>VLOOKUP(B73,'Data World'!$A:$AL,MATCH(World!$C$1,'Data World'!$A$1:$AL$1,))</f>
        <v>6.7</v>
      </c>
      <c r="D73" s="18">
        <f>VLOOKUP(B73,'Data World'!$A:$AL,MATCH(World!$D$1,'Data World'!$A$1:$AL$1,))</f>
        <v>8.3000000000000007</v>
      </c>
      <c r="E73" s="18">
        <f>VLOOKUP(B73,'Data World'!$A:$AL,MATCH(World!$E$1,'Data World'!$A$1:$AL$1,))</f>
        <v>3</v>
      </c>
      <c r="F73" s="18">
        <f>VLOOKUP(B73,'Data World'!$A:$AL,MATCH(World!$F$1,'Data World'!$A$1:$AL$1,))</f>
        <v>4.5999999999999996</v>
      </c>
      <c r="G73" s="18">
        <f>VLOOKUP(B73,'Data World'!$A:$AL,MATCH(World!$G$1,'Data World'!$A$1:$AL$1,))</f>
        <v>8.1</v>
      </c>
      <c r="H73" s="18">
        <f>VLOOKUP(B73,'Data World'!$A:$AL,MATCH(World!$H$1,'Data World'!$A$1:$AL$1,))</f>
        <v>5.109324</v>
      </c>
      <c r="I73" s="18">
        <f>VLOOKUP(B73,'Data World'!$A:$AL,MATCH(World!$I$1,'Data World'!$A$1:$AL$1,))</f>
        <v>9.6</v>
      </c>
      <c r="J73" s="18">
        <f>VLOOKUP(B73,'Data World'!$A:$AL,MATCH(World!$J$1,'Data World'!$A$1:$AL$1,))</f>
        <v>16.100000000000001</v>
      </c>
      <c r="K73" s="18">
        <f>VLOOKUP(B73,'Data World'!$A:$AL,MATCH(World!$K$1,'Data World'!$A$1:$AL$1,))</f>
        <v>8.4</v>
      </c>
      <c r="L73" s="18">
        <f>VLOOKUP(B73,'Data World'!$A:$AL,MATCH(World!$L$1,'Data World'!$A$1:$AL$1,))</f>
        <v>4.5174719999999997</v>
      </c>
      <c r="M73" s="18">
        <f>VLOOKUP(B73,'Data World'!$A:$AL,MATCH(World!$M$1,'Data World'!$A$1:$AL$1,))</f>
        <v>8.6</v>
      </c>
      <c r="N73" s="18">
        <f>VLOOKUP(B73,'Data World'!$A:$AL,MATCH(World!$N$1,'Data World'!$A$1:$AL$1,))</f>
        <v>6.8175150000000002</v>
      </c>
      <c r="O73" s="18">
        <f>VLOOKUP(B73,'Data World'!$A:$AL,MATCH(World!$O$1,'Data World'!$A$1:$AL$1,))</f>
        <v>4.2</v>
      </c>
      <c r="P73" s="18">
        <f>VLOOKUP(B73,'Data World'!$A:$AL,MATCH(World!$P$1,'Data World'!$A$1:$AL$1,))</f>
        <v>16.2</v>
      </c>
      <c r="Q73" s="18">
        <f>VLOOKUP(B73,'Data World'!$A:$AL,MATCH(World!$Q$1,'Data World'!$A$1:$AL$1,))</f>
        <v>6</v>
      </c>
      <c r="R73" s="18">
        <f>VLOOKUP(B73,'Data World'!$A:$AL,MATCH(World!$R$1,'Data World'!$A$1:$AL$1,))</f>
        <v>12.9</v>
      </c>
      <c r="S73" s="18">
        <f>VLOOKUP(B73,'Data World'!$A:$AL,MATCH(World!$S$1,'Data World'!$A$1:$AL$1,))</f>
        <v>3</v>
      </c>
      <c r="T73" s="18">
        <f>VLOOKUP(B73,'Data World'!$A:$AL,MATCH(World!$T$1,'Data World'!$A$1:$AL$1,))</f>
        <v>3.2</v>
      </c>
    </row>
    <row r="74" spans="2:20" s="1" customFormat="1" x14ac:dyDescent="0.2">
      <c r="B74" s="17">
        <v>44196</v>
      </c>
      <c r="C74" s="18">
        <f>VLOOKUP(B74,'Data World'!$A:$AL,MATCH(World!$C$1,'Data World'!$A$1:$AL$1,))</f>
        <v>6.7</v>
      </c>
      <c r="D74" s="18">
        <f>VLOOKUP(B74,'Data World'!$A:$AL,MATCH(World!$D$1,'Data World'!$A$1:$AL$1,))</f>
        <v>8.1999999999999993</v>
      </c>
      <c r="E74" s="18">
        <f>VLOOKUP(B74,'Data World'!$A:$AL,MATCH(World!$E$1,'Data World'!$A$1:$AL$1,))</f>
        <v>3</v>
      </c>
      <c r="F74" s="18">
        <f>VLOOKUP(B74,'Data World'!$A:$AL,MATCH(World!$F$1,'Data World'!$A$1:$AL$1,))</f>
        <v>4.5999999999999996</v>
      </c>
      <c r="G74" s="18">
        <f>VLOOKUP(B74,'Data World'!$A:$AL,MATCH(World!$G$1,'Data World'!$A$1:$AL$1,))</f>
        <v>7.8</v>
      </c>
      <c r="H74" s="18">
        <f>VLOOKUP(B74,'Data World'!$A:$AL,MATCH(World!$H$1,'Data World'!$A$1:$AL$1,))</f>
        <v>4.9969029999999997</v>
      </c>
      <c r="I74" s="18">
        <f>VLOOKUP(B74,'Data World'!$A:$AL,MATCH(World!$I$1,'Data World'!$A$1:$AL$1,))</f>
        <v>9.8000000000000007</v>
      </c>
      <c r="J74" s="18">
        <f>VLOOKUP(B74,'Data World'!$A:$AL,MATCH(World!$J$1,'Data World'!$A$1:$AL$1,))</f>
        <v>16.100000000000001</v>
      </c>
      <c r="K74" s="18">
        <f>VLOOKUP(B74,'Data World'!$A:$AL,MATCH(World!$K$1,'Data World'!$A$1:$AL$1,))</f>
        <v>8.8000000000000007</v>
      </c>
      <c r="L74" s="18">
        <f>VLOOKUP(B74,'Data World'!$A:$AL,MATCH(World!$L$1,'Data World'!$A$1:$AL$1,))</f>
        <v>4.264475</v>
      </c>
      <c r="M74" s="18">
        <f>VLOOKUP(B74,'Data World'!$A:$AL,MATCH(World!$M$1,'Data World'!$A$1:$AL$1,))</f>
        <v>8.8000000000000007</v>
      </c>
      <c r="N74" s="18">
        <f>VLOOKUP(B74,'Data World'!$A:$AL,MATCH(World!$N$1,'Data World'!$A$1:$AL$1,))</f>
        <v>6.5898649999999996</v>
      </c>
      <c r="O74" s="18">
        <f>VLOOKUP(B74,'Data World'!$A:$AL,MATCH(World!$O$1,'Data World'!$A$1:$AL$1,))</f>
        <v>4.5</v>
      </c>
      <c r="P74" s="18">
        <f>VLOOKUP(B74,'Data World'!$A:$AL,MATCH(World!$P$1,'Data World'!$A$1:$AL$1,))</f>
        <v>15.8</v>
      </c>
      <c r="Q74" s="18">
        <f>VLOOKUP(B74,'Data World'!$A:$AL,MATCH(World!$Q$1,'Data World'!$A$1:$AL$1,))</f>
        <v>5.8</v>
      </c>
      <c r="R74" s="18">
        <f>VLOOKUP(B74,'Data World'!$A:$AL,MATCH(World!$R$1,'Data World'!$A$1:$AL$1,))</f>
        <v>12.5</v>
      </c>
      <c r="S74" s="18">
        <f>VLOOKUP(B74,'Data World'!$A:$AL,MATCH(World!$S$1,'Data World'!$A$1:$AL$1,))</f>
        <v>3</v>
      </c>
      <c r="T74" s="18">
        <f>VLOOKUP(B74,'Data World'!$A:$AL,MATCH(World!$T$1,'Data World'!$A$1:$AL$1,))</f>
        <v>3.2</v>
      </c>
    </row>
    <row r="75" spans="2:20" s="1" customFormat="1" x14ac:dyDescent="0.2">
      <c r="B75" s="17">
        <v>44227</v>
      </c>
      <c r="C75" s="18">
        <f>VLOOKUP(B75,'Data World'!$A:$AL,MATCH(World!$C$1,'Data World'!$A$1:$AL$1,))</f>
        <v>6.3</v>
      </c>
      <c r="D75" s="18">
        <f>VLOOKUP(B75,'Data World'!$A:$AL,MATCH(World!$D$1,'Data World'!$A$1:$AL$1,))</f>
        <v>8.1999999999999993</v>
      </c>
      <c r="E75" s="18">
        <f>VLOOKUP(B75,'Data World'!$A:$AL,MATCH(World!$E$1,'Data World'!$A$1:$AL$1,))</f>
        <v>2.9</v>
      </c>
      <c r="F75" s="18">
        <f>VLOOKUP(B75,'Data World'!$A:$AL,MATCH(World!$F$1,'Data World'!$A$1:$AL$1,))</f>
        <v>4.5</v>
      </c>
      <c r="G75" s="18">
        <f>VLOOKUP(B75,'Data World'!$A:$AL,MATCH(World!$G$1,'Data World'!$A$1:$AL$1,))</f>
        <v>7.9</v>
      </c>
      <c r="H75" s="18">
        <f>VLOOKUP(B75,'Data World'!$A:$AL,MATCH(World!$H$1,'Data World'!$A$1:$AL$1,))</f>
        <v>4.911003</v>
      </c>
      <c r="I75" s="18">
        <f>VLOOKUP(B75,'Data World'!$A:$AL,MATCH(World!$I$1,'Data World'!$A$1:$AL$1,))</f>
        <v>10.3</v>
      </c>
      <c r="J75" s="18">
        <f>VLOOKUP(B75,'Data World'!$A:$AL,MATCH(World!$J$1,'Data World'!$A$1:$AL$1,))</f>
        <v>15.7</v>
      </c>
      <c r="K75" s="18">
        <f>VLOOKUP(B75,'Data World'!$A:$AL,MATCH(World!$K$1,'Data World'!$A$1:$AL$1,))</f>
        <v>9</v>
      </c>
      <c r="L75" s="18">
        <f>VLOOKUP(B75,'Data World'!$A:$AL,MATCH(World!$L$1,'Data World'!$A$1:$AL$1,))</f>
        <v>4.500159</v>
      </c>
      <c r="M75" s="18">
        <f>VLOOKUP(B75,'Data World'!$A:$AL,MATCH(World!$M$1,'Data World'!$A$1:$AL$1,))</f>
        <v>9.4</v>
      </c>
      <c r="N75" s="18">
        <f>VLOOKUP(B75,'Data World'!$A:$AL,MATCH(World!$N$1,'Data World'!$A$1:$AL$1,))</f>
        <v>6.3440820000000002</v>
      </c>
      <c r="O75" s="18">
        <f>VLOOKUP(B75,'Data World'!$A:$AL,MATCH(World!$O$1,'Data World'!$A$1:$AL$1,))</f>
        <v>5.4</v>
      </c>
      <c r="P75" s="18"/>
      <c r="Q75" s="18">
        <f>VLOOKUP(B75,'Data World'!$A:$AL,MATCH(World!$Q$1,'Data World'!$A$1:$AL$1,))</f>
        <v>5.8</v>
      </c>
      <c r="R75" s="18">
        <f>VLOOKUP(B75,'Data World'!$A:$AL,MATCH(World!$R$1,'Data World'!$A$1:$AL$1,))</f>
        <v>12.2</v>
      </c>
      <c r="S75" s="18">
        <f>VLOOKUP(B75,'Data World'!$A:$AL,MATCH(World!$S$1,'Data World'!$A$1:$AL$1,))</f>
        <v>3.2</v>
      </c>
      <c r="T75" s="18">
        <f>VLOOKUP(B75,'Data World'!$A:$AL,MATCH(World!$T$1,'Data World'!$A$1:$AL$1,))</f>
        <v>3.1</v>
      </c>
    </row>
    <row r="76" spans="2:20" s="1" customFormat="1" x14ac:dyDescent="0.2">
      <c r="B76" s="17">
        <v>44255</v>
      </c>
      <c r="C76" s="18">
        <f>VLOOKUP(B76,'Data World'!$A:$AL,MATCH(World!$C$1,'Data World'!$A$1:$AL$1,))</f>
        <v>6.2</v>
      </c>
      <c r="D76" s="18">
        <f>VLOOKUP(B76,'Data World'!$A:$AL,MATCH(World!$D$1,'Data World'!$A$1:$AL$1,))</f>
        <v>8.1999999999999993</v>
      </c>
      <c r="E76" s="18">
        <f>VLOOKUP(B76,'Data World'!$A:$AL,MATCH(World!$E$1,'Data World'!$A$1:$AL$1,))</f>
        <v>2.9</v>
      </c>
      <c r="F76" s="18">
        <f>VLOOKUP(B76,'Data World'!$A:$AL,MATCH(World!$F$1,'Data World'!$A$1:$AL$1,))</f>
        <v>4.5</v>
      </c>
      <c r="G76" s="18">
        <f>VLOOKUP(B76,'Data World'!$A:$AL,MATCH(World!$G$1,'Data World'!$A$1:$AL$1,))</f>
        <v>8</v>
      </c>
      <c r="H76" s="18"/>
      <c r="I76" s="18">
        <f>VLOOKUP(B76,'Data World'!$A:$AL,MATCH(World!$I$1,'Data World'!$A$1:$AL$1,))</f>
        <v>10.199999999999999</v>
      </c>
      <c r="J76" s="18">
        <f>VLOOKUP(B76,'Data World'!$A:$AL,MATCH(World!$J$1,'Data World'!$A$1:$AL$1,))</f>
        <v>15.5</v>
      </c>
      <c r="K76" s="18">
        <f>VLOOKUP(B76,'Data World'!$A:$AL,MATCH(World!$K$1,'Data World'!$A$1:$AL$1,))</f>
        <v>9</v>
      </c>
      <c r="L76" s="18">
        <f>VLOOKUP(B76,'Data World'!$A:$AL,MATCH(World!$L$1,'Data World'!$A$1:$AL$1,))</f>
        <v>4.4536990000000003</v>
      </c>
      <c r="M76" s="18">
        <f>VLOOKUP(B76,'Data World'!$A:$AL,MATCH(World!$M$1,'Data World'!$A$1:$AL$1,))</f>
        <v>8.1999999999999993</v>
      </c>
      <c r="N76" s="18">
        <f>VLOOKUP(B76,'Data World'!$A:$AL,MATCH(World!$N$1,'Data World'!$A$1:$AL$1,))</f>
        <v>5.8296429999999999</v>
      </c>
      <c r="O76" s="18">
        <f>VLOOKUP(B76,'Data World'!$A:$AL,MATCH(World!$O$1,'Data World'!$A$1:$AL$1,))</f>
        <v>4</v>
      </c>
      <c r="P76" s="18"/>
      <c r="Q76" s="18">
        <f>VLOOKUP(B76,'Data World'!$A:$AL,MATCH(World!$Q$1,'Data World'!$A$1:$AL$1,))</f>
        <v>5.8</v>
      </c>
      <c r="R76" s="18"/>
      <c r="S76" s="18">
        <f>VLOOKUP(B76,'Data World'!$A:$AL,MATCH(World!$S$1,'Data World'!$A$1:$AL$1,))</f>
        <v>3.2</v>
      </c>
      <c r="T76" s="18">
        <f>VLOOKUP(B76,'Data World'!$A:$AL,MATCH(World!$T$1,'Data World'!$A$1:$AL$1,))</f>
        <v>3.1</v>
      </c>
    </row>
    <row r="77" spans="2:20" s="1" customFormat="1" x14ac:dyDescent="0.2"/>
    <row r="78" spans="2:20" s="1" customFormat="1" x14ac:dyDescent="0.2"/>
    <row r="79" spans="2:20" s="1" customFormat="1" x14ac:dyDescent="0.2"/>
    <row r="80" spans="2:20" s="1" customFormat="1" x14ac:dyDescent="0.2"/>
    <row r="81" s="1" customFormat="1" x14ac:dyDescent="0.2"/>
    <row r="82" s="1" customFormat="1" x14ac:dyDescent="0.2"/>
    <row r="83" s="1" customFormat="1" x14ac:dyDescent="0.2"/>
    <row r="84" s="1" customFormat="1" x14ac:dyDescent="0.2"/>
    <row r="85" s="1" customFormat="1" x14ac:dyDescent="0.2"/>
    <row r="86" s="1" customFormat="1" x14ac:dyDescent="0.2"/>
    <row r="87" s="1" customFormat="1" x14ac:dyDescent="0.2"/>
    <row r="88" s="1" customFormat="1" x14ac:dyDescent="0.2"/>
    <row r="89" s="1" customFormat="1" x14ac:dyDescent="0.2"/>
    <row r="90" s="1" customFormat="1" x14ac:dyDescent="0.2"/>
    <row r="91" s="1" customFormat="1" x14ac:dyDescent="0.2"/>
    <row r="92" s="1" customFormat="1" x14ac:dyDescent="0.2"/>
    <row r="93" s="1" customFormat="1" x14ac:dyDescent="0.2"/>
    <row r="94" s="1" customFormat="1" x14ac:dyDescent="0.2"/>
    <row r="95" s="1" customFormat="1" x14ac:dyDescent="0.2"/>
    <row r="96" s="1" customFormat="1" x14ac:dyDescent="0.2"/>
    <row r="97" s="1" customFormat="1" x14ac:dyDescent="0.2"/>
    <row r="98" s="1" customFormat="1" x14ac:dyDescent="0.2"/>
    <row r="99" s="1" customFormat="1" x14ac:dyDescent="0.2"/>
    <row r="100" s="1" customFormat="1" x14ac:dyDescent="0.2"/>
    <row r="101" s="1" customFormat="1" x14ac:dyDescent="0.2"/>
    <row r="102" s="1" customFormat="1" x14ac:dyDescent="0.2"/>
    <row r="103" s="1" customFormat="1" x14ac:dyDescent="0.2"/>
    <row r="104" s="1" customFormat="1" x14ac:dyDescent="0.2"/>
    <row r="105" s="1" customFormat="1" x14ac:dyDescent="0.2"/>
    <row r="106" s="1" customFormat="1" x14ac:dyDescent="0.2"/>
    <row r="107" s="1" customFormat="1" x14ac:dyDescent="0.2"/>
    <row r="108" s="1" customFormat="1" x14ac:dyDescent="0.2"/>
    <row r="109" s="1" customFormat="1" x14ac:dyDescent="0.2"/>
    <row r="110" s="1" customFormat="1" x14ac:dyDescent="0.2"/>
    <row r="111" s="1" customFormat="1" x14ac:dyDescent="0.2"/>
    <row r="112" s="1" customFormat="1" x14ac:dyDescent="0.2"/>
    <row r="113" s="1" customFormat="1" x14ac:dyDescent="0.2"/>
    <row r="114" s="1" customFormat="1" x14ac:dyDescent="0.2"/>
    <row r="115" s="1" customFormat="1" x14ac:dyDescent="0.2"/>
    <row r="116" s="1" customFormat="1" x14ac:dyDescent="0.2"/>
    <row r="117" s="1" customFormat="1" x14ac:dyDescent="0.2"/>
    <row r="118" s="1" customFormat="1" x14ac:dyDescent="0.2"/>
    <row r="119" s="1" customFormat="1" x14ac:dyDescent="0.2"/>
    <row r="120" s="1" customFormat="1" x14ac:dyDescent="0.2"/>
    <row r="121" s="1" customFormat="1" x14ac:dyDescent="0.2"/>
    <row r="122" s="1" customFormat="1" x14ac:dyDescent="0.2"/>
    <row r="123" s="1" customFormat="1" x14ac:dyDescent="0.2"/>
    <row r="124" s="1" customFormat="1" x14ac:dyDescent="0.2"/>
    <row r="125" s="1" customFormat="1" x14ac:dyDescent="0.2"/>
    <row r="126" s="1" customFormat="1" x14ac:dyDescent="0.2"/>
    <row r="127" s="1" customFormat="1" x14ac:dyDescent="0.2"/>
    <row r="128" s="1" customFormat="1" x14ac:dyDescent="0.2"/>
    <row r="129" s="1" customFormat="1" x14ac:dyDescent="0.2"/>
    <row r="130" s="1" customFormat="1" x14ac:dyDescent="0.2"/>
    <row r="131" s="1" customFormat="1" x14ac:dyDescent="0.2"/>
    <row r="132" s="1" customFormat="1" x14ac:dyDescent="0.2"/>
    <row r="133" s="1" customFormat="1" x14ac:dyDescent="0.2"/>
    <row r="134" s="1" customFormat="1" x14ac:dyDescent="0.2"/>
    <row r="135" s="1" customFormat="1" x14ac:dyDescent="0.2"/>
    <row r="136" s="1" customFormat="1" x14ac:dyDescent="0.2"/>
    <row r="137" s="1" customFormat="1" x14ac:dyDescent="0.2"/>
    <row r="138" s="1" customFormat="1" x14ac:dyDescent="0.2"/>
    <row r="139" s="1" customFormat="1" x14ac:dyDescent="0.2"/>
    <row r="140" s="1" customFormat="1" x14ac:dyDescent="0.2"/>
    <row r="141" s="1" customFormat="1" x14ac:dyDescent="0.2"/>
    <row r="142" s="1" customFormat="1" x14ac:dyDescent="0.2"/>
    <row r="143" s="1" customFormat="1" x14ac:dyDescent="0.2"/>
    <row r="144" s="1" customFormat="1" x14ac:dyDescent="0.2"/>
    <row r="145" s="1" customFormat="1" x14ac:dyDescent="0.2"/>
    <row r="146" s="1" customFormat="1" x14ac:dyDescent="0.2"/>
    <row r="147" s="1" customFormat="1" x14ac:dyDescent="0.2"/>
    <row r="148" s="1" customFormat="1" x14ac:dyDescent="0.2"/>
    <row r="149" s="1" customFormat="1" x14ac:dyDescent="0.2"/>
    <row r="150" s="1" customFormat="1" x14ac:dyDescent="0.2"/>
    <row r="151" s="1" customFormat="1" x14ac:dyDescent="0.2"/>
    <row r="152" s="1" customFormat="1" x14ac:dyDescent="0.2"/>
    <row r="153" s="1" customFormat="1" x14ac:dyDescent="0.2"/>
    <row r="154" s="1" customFormat="1" x14ac:dyDescent="0.2"/>
    <row r="155" s="1" customFormat="1" x14ac:dyDescent="0.2"/>
    <row r="156" s="1" customFormat="1" x14ac:dyDescent="0.2"/>
    <row r="157" s="1" customFormat="1" x14ac:dyDescent="0.2"/>
    <row r="158" s="1" customFormat="1" x14ac:dyDescent="0.2"/>
    <row r="159" s="1" customFormat="1" x14ac:dyDescent="0.2"/>
    <row r="160" s="1" customFormat="1" x14ac:dyDescent="0.2"/>
    <row r="161" s="1" customFormat="1" x14ac:dyDescent="0.2"/>
    <row r="162" s="1" customFormat="1" x14ac:dyDescent="0.2"/>
    <row r="163" s="1" customFormat="1" x14ac:dyDescent="0.2"/>
    <row r="164" s="1" customFormat="1" x14ac:dyDescent="0.2"/>
    <row r="165" s="1" customFormat="1" x14ac:dyDescent="0.2"/>
    <row r="166" s="1" customFormat="1" x14ac:dyDescent="0.2"/>
    <row r="167" s="1" customFormat="1" x14ac:dyDescent="0.2"/>
    <row r="168" s="1" customFormat="1" x14ac:dyDescent="0.2"/>
    <row r="169" s="1" customFormat="1" x14ac:dyDescent="0.2"/>
    <row r="170" s="1" customFormat="1" x14ac:dyDescent="0.2"/>
    <row r="171" s="1" customFormat="1" x14ac:dyDescent="0.2"/>
    <row r="172" s="1" customFormat="1" x14ac:dyDescent="0.2"/>
    <row r="173" s="1" customFormat="1" x14ac:dyDescent="0.2"/>
    <row r="174" s="1" customFormat="1" x14ac:dyDescent="0.2"/>
    <row r="175" s="1" customFormat="1" x14ac:dyDescent="0.2"/>
    <row r="176" s="1" customFormat="1" x14ac:dyDescent="0.2"/>
    <row r="177" s="1" customFormat="1" x14ac:dyDescent="0.2"/>
    <row r="178" s="1" customFormat="1" x14ac:dyDescent="0.2"/>
    <row r="179" s="1" customFormat="1" x14ac:dyDescent="0.2"/>
    <row r="180" s="1" customFormat="1" x14ac:dyDescent="0.2"/>
    <row r="181" s="1" customFormat="1" x14ac:dyDescent="0.2"/>
    <row r="182" s="1" customFormat="1" x14ac:dyDescent="0.2"/>
    <row r="183" s="1" customFormat="1" x14ac:dyDescent="0.2"/>
    <row r="184" s="1" customFormat="1" x14ac:dyDescent="0.2"/>
    <row r="185" s="1" customFormat="1" x14ac:dyDescent="0.2"/>
    <row r="186" s="1" customFormat="1" x14ac:dyDescent="0.2"/>
    <row r="187" s="1" customFormat="1" x14ac:dyDescent="0.2"/>
    <row r="188" s="1" customFormat="1" x14ac:dyDescent="0.2"/>
    <row r="189" s="1" customFormat="1" x14ac:dyDescent="0.2"/>
    <row r="190" s="1" customFormat="1" x14ac:dyDescent="0.2"/>
    <row r="191" s="1" customFormat="1" x14ac:dyDescent="0.2"/>
    <row r="192" s="1" customFormat="1" x14ac:dyDescent="0.2"/>
    <row r="193" s="1" customFormat="1" x14ac:dyDescent="0.2"/>
    <row r="194" s="1" customFormat="1" x14ac:dyDescent="0.2"/>
    <row r="195" s="1" customFormat="1" x14ac:dyDescent="0.2"/>
    <row r="196" s="1" customFormat="1" x14ac:dyDescent="0.2"/>
    <row r="197" s="1" customFormat="1" x14ac:dyDescent="0.2"/>
    <row r="198" s="1" customFormat="1" x14ac:dyDescent="0.2"/>
    <row r="199" s="1" customFormat="1" x14ac:dyDescent="0.2"/>
    <row r="200" s="1" customFormat="1" x14ac:dyDescent="0.2"/>
    <row r="201" s="1" customFormat="1" x14ac:dyDescent="0.2"/>
    <row r="202" s="1" customFormat="1" x14ac:dyDescent="0.2"/>
    <row r="203" s="1" customFormat="1" x14ac:dyDescent="0.2"/>
    <row r="204" s="1" customFormat="1" x14ac:dyDescent="0.2"/>
    <row r="205" s="1" customFormat="1" x14ac:dyDescent="0.2"/>
    <row r="206" s="1" customFormat="1" x14ac:dyDescent="0.2"/>
    <row r="207" s="1" customFormat="1" x14ac:dyDescent="0.2"/>
    <row r="208" s="1" customFormat="1" x14ac:dyDescent="0.2"/>
    <row r="209" s="1" customFormat="1" x14ac:dyDescent="0.2"/>
    <row r="210" s="1" customFormat="1" x14ac:dyDescent="0.2"/>
    <row r="211" s="1" customFormat="1" x14ac:dyDescent="0.2"/>
    <row r="212" s="1" customFormat="1" x14ac:dyDescent="0.2"/>
    <row r="213" s="1" customFormat="1" x14ac:dyDescent="0.2"/>
    <row r="214" s="1" customFormat="1" x14ac:dyDescent="0.2"/>
    <row r="215" s="1" customFormat="1" x14ac:dyDescent="0.2"/>
    <row r="216" s="1" customFormat="1" x14ac:dyDescent="0.2"/>
    <row r="217" s="1" customFormat="1" x14ac:dyDescent="0.2"/>
    <row r="218" s="1" customFormat="1" x14ac:dyDescent="0.2"/>
    <row r="219" s="1" customFormat="1" x14ac:dyDescent="0.2"/>
    <row r="220" s="1" customFormat="1" x14ac:dyDescent="0.2"/>
    <row r="221" s="1" customFormat="1" x14ac:dyDescent="0.2"/>
    <row r="222" s="1" customFormat="1" x14ac:dyDescent="0.2"/>
    <row r="223" s="1" customFormat="1" x14ac:dyDescent="0.2"/>
    <row r="224" s="1" customFormat="1" x14ac:dyDescent="0.2"/>
    <row r="225" s="1" customFormat="1" x14ac:dyDescent="0.2"/>
    <row r="226" s="1" customFormat="1" x14ac:dyDescent="0.2"/>
    <row r="227" s="1" customFormat="1" x14ac:dyDescent="0.2"/>
    <row r="228" s="1" customFormat="1" x14ac:dyDescent="0.2"/>
    <row r="229" s="1" customFormat="1" x14ac:dyDescent="0.2"/>
    <row r="230" s="1" customFormat="1" x14ac:dyDescent="0.2"/>
    <row r="231" s="1" customFormat="1" x14ac:dyDescent="0.2"/>
    <row r="232" s="1" customFormat="1" x14ac:dyDescent="0.2"/>
    <row r="233" s="1" customFormat="1" x14ac:dyDescent="0.2"/>
    <row r="234" s="1" customFormat="1" x14ac:dyDescent="0.2"/>
    <row r="235" s="1" customFormat="1" x14ac:dyDescent="0.2"/>
    <row r="236" s="1" customFormat="1" x14ac:dyDescent="0.2"/>
    <row r="237" s="1" customFormat="1" x14ac:dyDescent="0.2"/>
    <row r="238" s="1" customFormat="1" x14ac:dyDescent="0.2"/>
    <row r="239" s="1" customFormat="1" x14ac:dyDescent="0.2"/>
    <row r="240" s="1" customFormat="1" x14ac:dyDescent="0.2"/>
    <row r="241" s="1" customFormat="1" x14ac:dyDescent="0.2"/>
    <row r="242" s="1" customFormat="1" x14ac:dyDescent="0.2"/>
    <row r="243" s="1" customFormat="1" x14ac:dyDescent="0.2"/>
    <row r="244" s="1" customFormat="1" x14ac:dyDescent="0.2"/>
    <row r="245" s="1" customFormat="1" x14ac:dyDescent="0.2"/>
    <row r="246" s="1" customFormat="1" x14ac:dyDescent="0.2"/>
    <row r="247" s="1" customFormat="1" x14ac:dyDescent="0.2"/>
    <row r="248" s="1" customFormat="1" x14ac:dyDescent="0.2"/>
    <row r="249" s="1" customFormat="1" x14ac:dyDescent="0.2"/>
    <row r="250" s="1" customFormat="1" x14ac:dyDescent="0.2"/>
    <row r="251" s="1" customFormat="1" x14ac:dyDescent="0.2"/>
    <row r="252" s="1" customFormat="1" x14ac:dyDescent="0.2"/>
    <row r="253" s="1" customFormat="1" x14ac:dyDescent="0.2"/>
    <row r="254" s="1" customFormat="1" x14ac:dyDescent="0.2"/>
    <row r="255" s="1" customFormat="1" x14ac:dyDescent="0.2"/>
    <row r="256" s="1" customFormat="1" x14ac:dyDescent="0.2"/>
    <row r="257" s="1" customFormat="1" x14ac:dyDescent="0.2"/>
    <row r="258" s="1" customFormat="1" x14ac:dyDescent="0.2"/>
    <row r="259" s="1" customFormat="1" x14ac:dyDescent="0.2"/>
    <row r="260" s="1" customFormat="1" x14ac:dyDescent="0.2"/>
    <row r="261" s="1" customFormat="1" x14ac:dyDescent="0.2"/>
    <row r="262" s="1" customFormat="1" x14ac:dyDescent="0.2"/>
    <row r="263" s="1" customFormat="1" x14ac:dyDescent="0.2"/>
    <row r="264" s="1" customFormat="1" x14ac:dyDescent="0.2"/>
    <row r="265" s="1" customFormat="1" x14ac:dyDescent="0.2"/>
    <row r="266" s="1" customFormat="1" x14ac:dyDescent="0.2"/>
    <row r="267" s="1" customFormat="1" x14ac:dyDescent="0.2"/>
    <row r="268" s="1" customFormat="1" x14ac:dyDescent="0.2"/>
    <row r="269" s="1" customFormat="1" x14ac:dyDescent="0.2"/>
    <row r="270" s="1" customFormat="1" x14ac:dyDescent="0.2"/>
    <row r="271" s="1" customFormat="1" x14ac:dyDescent="0.2"/>
    <row r="272" s="1" customFormat="1" x14ac:dyDescent="0.2"/>
    <row r="273" s="1" customFormat="1" x14ac:dyDescent="0.2"/>
    <row r="274" s="1" customFormat="1" x14ac:dyDescent="0.2"/>
    <row r="275" s="1" customFormat="1" x14ac:dyDescent="0.2"/>
    <row r="276" s="1" customFormat="1" x14ac:dyDescent="0.2"/>
    <row r="277" s="1" customFormat="1" x14ac:dyDescent="0.2"/>
    <row r="278" s="1" customFormat="1" x14ac:dyDescent="0.2"/>
    <row r="279" s="1" customFormat="1" x14ac:dyDescent="0.2"/>
    <row r="280" s="1" customFormat="1" x14ac:dyDescent="0.2"/>
    <row r="281" s="1" customFormat="1" x14ac:dyDescent="0.2"/>
    <row r="282" s="1" customFormat="1" x14ac:dyDescent="0.2"/>
    <row r="283" s="1" customFormat="1" x14ac:dyDescent="0.2"/>
    <row r="284" s="1" customFormat="1" x14ac:dyDescent="0.2"/>
    <row r="285" s="1" customFormat="1" x14ac:dyDescent="0.2"/>
    <row r="286" s="1" customFormat="1" x14ac:dyDescent="0.2"/>
    <row r="287" s="1" customFormat="1" x14ac:dyDescent="0.2"/>
    <row r="288" s="1" customFormat="1" x14ac:dyDescent="0.2"/>
    <row r="289" s="1" customFormat="1" x14ac:dyDescent="0.2"/>
    <row r="290" s="1" customFormat="1" x14ac:dyDescent="0.2"/>
    <row r="291" s="1" customFormat="1" x14ac:dyDescent="0.2"/>
    <row r="292" s="1" customFormat="1" x14ac:dyDescent="0.2"/>
    <row r="293" s="1" customFormat="1" x14ac:dyDescent="0.2"/>
    <row r="294" s="1" customFormat="1" x14ac:dyDescent="0.2"/>
    <row r="295" s="1" customFormat="1" x14ac:dyDescent="0.2"/>
    <row r="296" s="1" customFormat="1" x14ac:dyDescent="0.2"/>
    <row r="297" s="1" customFormat="1" x14ac:dyDescent="0.2"/>
    <row r="298" s="1" customFormat="1" x14ac:dyDescent="0.2"/>
    <row r="299" s="1" customFormat="1" x14ac:dyDescent="0.2"/>
    <row r="300" s="1" customFormat="1" x14ac:dyDescent="0.2"/>
    <row r="301" s="1" customFormat="1" x14ac:dyDescent="0.2"/>
    <row r="302" s="1" customFormat="1" x14ac:dyDescent="0.2"/>
    <row r="303" s="1" customFormat="1" x14ac:dyDescent="0.2"/>
    <row r="304" s="1" customFormat="1" x14ac:dyDescent="0.2"/>
    <row r="305" s="1" customFormat="1" x14ac:dyDescent="0.2"/>
    <row r="306" s="1" customFormat="1" x14ac:dyDescent="0.2"/>
    <row r="307" s="1" customFormat="1" x14ac:dyDescent="0.2"/>
    <row r="308" s="1" customFormat="1" x14ac:dyDescent="0.2"/>
    <row r="309" s="1" customFormat="1" x14ac:dyDescent="0.2"/>
    <row r="310" s="1" customFormat="1" x14ac:dyDescent="0.2"/>
    <row r="311" s="1" customFormat="1" x14ac:dyDescent="0.2"/>
    <row r="312" s="1" customFormat="1" x14ac:dyDescent="0.2"/>
    <row r="313" s="1" customFormat="1" x14ac:dyDescent="0.2"/>
    <row r="314" s="1" customFormat="1" x14ac:dyDescent="0.2"/>
    <row r="315" s="1" customFormat="1" x14ac:dyDescent="0.2"/>
    <row r="316" s="1" customFormat="1" x14ac:dyDescent="0.2"/>
    <row r="317" s="1" customFormat="1" x14ac:dyDescent="0.2"/>
    <row r="318" s="1" customFormat="1" x14ac:dyDescent="0.2"/>
    <row r="319" s="1" customFormat="1" x14ac:dyDescent="0.2"/>
    <row r="320" s="1" customFormat="1" x14ac:dyDescent="0.2"/>
    <row r="321" s="1" customFormat="1" x14ac:dyDescent="0.2"/>
    <row r="322" s="1" customFormat="1" x14ac:dyDescent="0.2"/>
    <row r="323" s="1" customFormat="1" x14ac:dyDescent="0.2"/>
    <row r="324" s="1" customFormat="1" x14ac:dyDescent="0.2"/>
    <row r="325" s="1" customFormat="1" x14ac:dyDescent="0.2"/>
    <row r="326" s="1" customFormat="1" x14ac:dyDescent="0.2"/>
    <row r="327" s="1" customFormat="1" x14ac:dyDescent="0.2"/>
    <row r="328" s="1" customFormat="1" x14ac:dyDescent="0.2"/>
    <row r="329" s="1" customFormat="1" x14ac:dyDescent="0.2"/>
    <row r="330" s="1" customFormat="1" x14ac:dyDescent="0.2"/>
  </sheetData>
  <conditionalFormatting sqref="C5:D76">
    <cfRule type="colorScale" priority="113">
      <colorScale>
        <cfvo type="min"/>
        <cfvo type="percentile" val="50"/>
        <cfvo type="max"/>
        <color rgb="FFF8696B"/>
        <color rgb="FFFFEB84"/>
        <color rgb="FF63BE7B"/>
      </colorScale>
    </cfRule>
  </conditionalFormatting>
  <conditionalFormatting sqref="C5:D76">
    <cfRule type="colorScale" priority="114">
      <colorScale>
        <cfvo type="min"/>
        <cfvo type="percentile" val="50"/>
        <cfvo type="max"/>
        <color rgb="FF63BE7B"/>
        <color rgb="FFFFEB84"/>
        <color rgb="FFF8696B"/>
      </colorScale>
    </cfRule>
  </conditionalFormatting>
  <conditionalFormatting sqref="C5:C76">
    <cfRule type="colorScale" priority="115">
      <colorScale>
        <cfvo type="min"/>
        <cfvo type="percentile" val="50"/>
        <cfvo type="max"/>
        <color rgb="FF63BE7B"/>
        <color rgb="FFFFEB84"/>
        <color rgb="FFF8696B"/>
      </colorScale>
    </cfRule>
  </conditionalFormatting>
  <conditionalFormatting sqref="D5:D76">
    <cfRule type="colorScale" priority="116">
      <colorScale>
        <cfvo type="min"/>
        <cfvo type="percentile" val="50"/>
        <cfvo type="max"/>
        <color rgb="FF63BE7B"/>
        <color rgb="FFFFEB84"/>
        <color rgb="FFF8696B"/>
      </colorScale>
    </cfRule>
  </conditionalFormatting>
  <conditionalFormatting sqref="E5:E76">
    <cfRule type="colorScale" priority="117">
      <colorScale>
        <cfvo type="min"/>
        <cfvo type="percentile" val="50"/>
        <cfvo type="max"/>
        <color rgb="FFF8696B"/>
        <color rgb="FFFFEB84"/>
        <color rgb="FF63BE7B"/>
      </colorScale>
    </cfRule>
  </conditionalFormatting>
  <conditionalFormatting sqref="E5:E76">
    <cfRule type="colorScale" priority="118">
      <colorScale>
        <cfvo type="min"/>
        <cfvo type="percentile" val="50"/>
        <cfvo type="max"/>
        <color rgb="FF63BE7B"/>
        <color rgb="FFFFEB84"/>
        <color rgb="FFF8696B"/>
      </colorScale>
    </cfRule>
  </conditionalFormatting>
  <conditionalFormatting sqref="F5:F76">
    <cfRule type="colorScale" priority="120">
      <colorScale>
        <cfvo type="min"/>
        <cfvo type="percentile" val="50"/>
        <cfvo type="max"/>
        <color rgb="FFF8696B"/>
        <color rgb="FFFFEB84"/>
        <color rgb="FF63BE7B"/>
      </colorScale>
    </cfRule>
  </conditionalFormatting>
  <conditionalFormatting sqref="F5:F76">
    <cfRule type="colorScale" priority="121">
      <colorScale>
        <cfvo type="min"/>
        <cfvo type="percentile" val="50"/>
        <cfvo type="max"/>
        <color rgb="FF63BE7B"/>
        <color rgb="FFFFEB84"/>
        <color rgb="FFF8696B"/>
      </colorScale>
    </cfRule>
  </conditionalFormatting>
  <conditionalFormatting sqref="G5:G76">
    <cfRule type="colorScale" priority="123">
      <colorScale>
        <cfvo type="min"/>
        <cfvo type="percentile" val="50"/>
        <cfvo type="max"/>
        <color rgb="FFF8696B"/>
        <color rgb="FFFFEB84"/>
        <color rgb="FF63BE7B"/>
      </colorScale>
    </cfRule>
  </conditionalFormatting>
  <conditionalFormatting sqref="G5:G76">
    <cfRule type="colorScale" priority="124">
      <colorScale>
        <cfvo type="min"/>
        <cfvo type="percentile" val="50"/>
        <cfvo type="max"/>
        <color rgb="FF63BE7B"/>
        <color rgb="FFFFEB84"/>
        <color rgb="FFF8696B"/>
      </colorScale>
    </cfRule>
  </conditionalFormatting>
  <conditionalFormatting sqref="H5:H76">
    <cfRule type="colorScale" priority="126">
      <colorScale>
        <cfvo type="min"/>
        <cfvo type="percentile" val="50"/>
        <cfvo type="max"/>
        <color rgb="FFF8696B"/>
        <color rgb="FFFFEB84"/>
        <color rgb="FF63BE7B"/>
      </colorScale>
    </cfRule>
  </conditionalFormatting>
  <conditionalFormatting sqref="H5:H76">
    <cfRule type="colorScale" priority="127">
      <colorScale>
        <cfvo type="min"/>
        <cfvo type="percentile" val="50"/>
        <cfvo type="max"/>
        <color rgb="FF63BE7B"/>
        <color rgb="FFFFEB84"/>
        <color rgb="FFF8696B"/>
      </colorScale>
    </cfRule>
  </conditionalFormatting>
  <conditionalFormatting sqref="I5:I76">
    <cfRule type="colorScale" priority="129">
      <colorScale>
        <cfvo type="min"/>
        <cfvo type="percentile" val="50"/>
        <cfvo type="max"/>
        <color rgb="FFF8696B"/>
        <color rgb="FFFFEB84"/>
        <color rgb="FF63BE7B"/>
      </colorScale>
    </cfRule>
  </conditionalFormatting>
  <conditionalFormatting sqref="I5:I76">
    <cfRule type="colorScale" priority="130">
      <colorScale>
        <cfvo type="min"/>
        <cfvo type="percentile" val="50"/>
        <cfvo type="max"/>
        <color rgb="FF63BE7B"/>
        <color rgb="FFFFEB84"/>
        <color rgb="FFF8696B"/>
      </colorScale>
    </cfRule>
  </conditionalFormatting>
  <conditionalFormatting sqref="J5:J76">
    <cfRule type="colorScale" priority="132">
      <colorScale>
        <cfvo type="min"/>
        <cfvo type="percentile" val="50"/>
        <cfvo type="max"/>
        <color rgb="FFF8696B"/>
        <color rgb="FFFFEB84"/>
        <color rgb="FF63BE7B"/>
      </colorScale>
    </cfRule>
  </conditionalFormatting>
  <conditionalFormatting sqref="J5:J76">
    <cfRule type="colorScale" priority="133">
      <colorScale>
        <cfvo type="min"/>
        <cfvo type="percentile" val="50"/>
        <cfvo type="max"/>
        <color rgb="FF63BE7B"/>
        <color rgb="FFFFEB84"/>
        <color rgb="FFF8696B"/>
      </colorScale>
    </cfRule>
  </conditionalFormatting>
  <conditionalFormatting sqref="K5:K76">
    <cfRule type="colorScale" priority="135">
      <colorScale>
        <cfvo type="min"/>
        <cfvo type="percentile" val="50"/>
        <cfvo type="max"/>
        <color rgb="FFF8696B"/>
        <color rgb="FFFFEB84"/>
        <color rgb="FF63BE7B"/>
      </colorScale>
    </cfRule>
  </conditionalFormatting>
  <conditionalFormatting sqref="K5:K76">
    <cfRule type="colorScale" priority="136">
      <colorScale>
        <cfvo type="min"/>
        <cfvo type="percentile" val="50"/>
        <cfvo type="max"/>
        <color rgb="FF63BE7B"/>
        <color rgb="FFFFEB84"/>
        <color rgb="FFF8696B"/>
      </colorScale>
    </cfRule>
  </conditionalFormatting>
  <conditionalFormatting sqref="L5:L76">
    <cfRule type="colorScale" priority="138">
      <colorScale>
        <cfvo type="min"/>
        <cfvo type="percentile" val="50"/>
        <cfvo type="max"/>
        <color rgb="FFF8696B"/>
        <color rgb="FFFFEB84"/>
        <color rgb="FF63BE7B"/>
      </colorScale>
    </cfRule>
  </conditionalFormatting>
  <conditionalFormatting sqref="L5:L76">
    <cfRule type="colorScale" priority="139">
      <colorScale>
        <cfvo type="min"/>
        <cfvo type="percentile" val="50"/>
        <cfvo type="max"/>
        <color rgb="FF63BE7B"/>
        <color rgb="FFFFEB84"/>
        <color rgb="FFF8696B"/>
      </colorScale>
    </cfRule>
  </conditionalFormatting>
  <conditionalFormatting sqref="M5:M76">
    <cfRule type="colorScale" priority="141">
      <colorScale>
        <cfvo type="min"/>
        <cfvo type="percentile" val="50"/>
        <cfvo type="max"/>
        <color rgb="FFF8696B"/>
        <color rgb="FFFFEB84"/>
        <color rgb="FF63BE7B"/>
      </colorScale>
    </cfRule>
  </conditionalFormatting>
  <conditionalFormatting sqref="M5:M76">
    <cfRule type="colorScale" priority="142">
      <colorScale>
        <cfvo type="min"/>
        <cfvo type="percentile" val="50"/>
        <cfvo type="max"/>
        <color rgb="FF63BE7B"/>
        <color rgb="FFFFEB84"/>
        <color rgb="FFF8696B"/>
      </colorScale>
    </cfRule>
  </conditionalFormatting>
  <conditionalFormatting sqref="N5:N76">
    <cfRule type="colorScale" priority="144">
      <colorScale>
        <cfvo type="min"/>
        <cfvo type="percentile" val="50"/>
        <cfvo type="max"/>
        <color rgb="FFF8696B"/>
        <color rgb="FFFFEB84"/>
        <color rgb="FF63BE7B"/>
      </colorScale>
    </cfRule>
  </conditionalFormatting>
  <conditionalFormatting sqref="N5:N76">
    <cfRule type="colorScale" priority="145">
      <colorScale>
        <cfvo type="min"/>
        <cfvo type="percentile" val="50"/>
        <cfvo type="max"/>
        <color rgb="FF63BE7B"/>
        <color rgb="FFFFEB84"/>
        <color rgb="FFF8696B"/>
      </colorScale>
    </cfRule>
  </conditionalFormatting>
  <conditionalFormatting sqref="O5:O76">
    <cfRule type="colorScale" priority="147">
      <colorScale>
        <cfvo type="min"/>
        <cfvo type="percentile" val="50"/>
        <cfvo type="max"/>
        <color rgb="FFF8696B"/>
        <color rgb="FFFFEB84"/>
        <color rgb="FF63BE7B"/>
      </colorScale>
    </cfRule>
  </conditionalFormatting>
  <conditionalFormatting sqref="O5:O76">
    <cfRule type="colorScale" priority="148">
      <colorScale>
        <cfvo type="min"/>
        <cfvo type="percentile" val="50"/>
        <cfvo type="max"/>
        <color rgb="FF63BE7B"/>
        <color rgb="FFFFEB84"/>
        <color rgb="FFF8696B"/>
      </colorScale>
    </cfRule>
  </conditionalFormatting>
  <conditionalFormatting sqref="P5:P76">
    <cfRule type="colorScale" priority="150">
      <colorScale>
        <cfvo type="min"/>
        <cfvo type="percentile" val="50"/>
        <cfvo type="max"/>
        <color rgb="FFF8696B"/>
        <color rgb="FFFFEB84"/>
        <color rgb="FF63BE7B"/>
      </colorScale>
    </cfRule>
  </conditionalFormatting>
  <conditionalFormatting sqref="P5:P76">
    <cfRule type="colorScale" priority="151">
      <colorScale>
        <cfvo type="min"/>
        <cfvo type="percentile" val="50"/>
        <cfvo type="max"/>
        <color rgb="FF63BE7B"/>
        <color rgb="FFFFEB84"/>
        <color rgb="FFF8696B"/>
      </colorScale>
    </cfRule>
  </conditionalFormatting>
  <conditionalFormatting sqref="Q5:Q76">
    <cfRule type="colorScale" priority="153">
      <colorScale>
        <cfvo type="min"/>
        <cfvo type="percentile" val="50"/>
        <cfvo type="max"/>
        <color rgb="FFF8696B"/>
        <color rgb="FFFFEB84"/>
        <color rgb="FF63BE7B"/>
      </colorScale>
    </cfRule>
  </conditionalFormatting>
  <conditionalFormatting sqref="Q5:Q76">
    <cfRule type="colorScale" priority="154">
      <colorScale>
        <cfvo type="min"/>
        <cfvo type="percentile" val="50"/>
        <cfvo type="max"/>
        <color rgb="FF63BE7B"/>
        <color rgb="FFFFEB84"/>
        <color rgb="FFF8696B"/>
      </colorScale>
    </cfRule>
  </conditionalFormatting>
  <conditionalFormatting sqref="R5:R76">
    <cfRule type="colorScale" priority="156">
      <colorScale>
        <cfvo type="min"/>
        <cfvo type="percentile" val="50"/>
        <cfvo type="max"/>
        <color rgb="FFF8696B"/>
        <color rgb="FFFFEB84"/>
        <color rgb="FF63BE7B"/>
      </colorScale>
    </cfRule>
  </conditionalFormatting>
  <conditionalFormatting sqref="R5:R76">
    <cfRule type="colorScale" priority="157">
      <colorScale>
        <cfvo type="min"/>
        <cfvo type="percentile" val="50"/>
        <cfvo type="max"/>
        <color rgb="FF63BE7B"/>
        <color rgb="FFFFEB84"/>
        <color rgb="FFF8696B"/>
      </colorScale>
    </cfRule>
  </conditionalFormatting>
  <conditionalFormatting sqref="S5:S76">
    <cfRule type="colorScale" priority="159">
      <colorScale>
        <cfvo type="min"/>
        <cfvo type="percentile" val="50"/>
        <cfvo type="max"/>
        <color rgb="FFF8696B"/>
        <color rgb="FFFFEB84"/>
        <color rgb="FF63BE7B"/>
      </colorScale>
    </cfRule>
  </conditionalFormatting>
  <conditionalFormatting sqref="S5:S76">
    <cfRule type="colorScale" priority="160">
      <colorScale>
        <cfvo type="min"/>
        <cfvo type="percentile" val="50"/>
        <cfvo type="max"/>
        <color rgb="FF63BE7B"/>
        <color rgb="FFFFEB84"/>
        <color rgb="FFF8696B"/>
      </colorScale>
    </cfRule>
  </conditionalFormatting>
  <conditionalFormatting sqref="T5:T76">
    <cfRule type="colorScale" priority="162">
      <colorScale>
        <cfvo type="min"/>
        <cfvo type="percentile" val="50"/>
        <cfvo type="max"/>
        <color rgb="FFF8696B"/>
        <color rgb="FFFFEB84"/>
        <color rgb="FF63BE7B"/>
      </colorScale>
    </cfRule>
  </conditionalFormatting>
  <conditionalFormatting sqref="T5:T76">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Note</vt:lpstr>
      <vt:lpstr>Database</vt:lpstr>
      <vt:lpstr>NFP</vt:lpstr>
      <vt:lpstr>Claims</vt:lpstr>
      <vt:lpstr>Graphs</vt:lpstr>
      <vt:lpstr>ADP</vt:lpstr>
      <vt:lpstr>Data World</vt:lpstr>
      <vt:lpstr>World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lzweig</dc:creator>
  <cp:lastModifiedBy>Mark Mukherjee</cp:lastModifiedBy>
  <dcterms:created xsi:type="dcterms:W3CDTF">2013-04-03T15:49:21Z</dcterms:created>
  <dcterms:modified xsi:type="dcterms:W3CDTF">2021-11-22T15:37:13Z</dcterms:modified>
</cp:coreProperties>
</file>