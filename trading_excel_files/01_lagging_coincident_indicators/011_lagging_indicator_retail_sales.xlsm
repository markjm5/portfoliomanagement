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40" yWindow="-640" windowWidth="49400" windowHeight="274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Gas'!$A$8:$A$372</f>
              <numCache>
                <formatCode>[$-409]mmm\-yy;@</formatCode>
                <ptCount val="36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Gas'!$C$8:$C$372</f>
              <numCache>
                <formatCode>0.00%</formatCode>
                <ptCount val="36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Gas'!$A$8:$A$369</f>
              <numCache>
                <formatCode>[$-409]mmm\-yy;@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'Retail Sales ex Auto and Gas'!$C$8:$C$369</f>
              <numCache>
                <formatCode>0.00%</formatCode>
                <ptCount val="36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Gas'!$A$19:$A$369</f>
              <numCache>
                <formatCode>[$-409]mmm\-yy;@</formatCode>
                <ptCount val="35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'Retail Sales ex Auto and Gas'!$D$19:$D$369</f>
              <numCache>
                <formatCode>0.00%</formatCode>
                <ptCount val="35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Gas'!$A$7:$A$369</f>
              <numCache>
                <formatCode>[$-409]mmm\-yy;@</formatCode>
                <ptCount val="36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 and Gas'!$B$7:$B$369</f>
              <numCache>
                <formatCode>#,##0</formatCode>
                <ptCount val="36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Sales'!$A$7:$A$371</f>
              <numCache>
                <formatCode>[$-409]mmm\-yy;@</formatCode>
                <ptCount val="36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Sales'!$D$7:$D$371</f>
              <numCache>
                <formatCode>General</formatCode>
                <ptCount val="36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Sales'!$B$7:$B$366</f>
              <numCache>
                <formatCode>#,##0</formatCode>
                <ptCount val="360"/>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Auto'!$A$19:$A$335</f>
              <numCache>
                <formatCode>[$-409]mmm\-yy;@</formatCode>
                <ptCount val="317"/>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numCache>
            </numRef>
          </cat>
          <val>
            <numRef>
              <f>'Retail Sales ex Auto'!$C$19:$C$335</f>
              <numCache>
                <formatCode>0.00%</formatCode>
                <ptCount val="317"/>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numCache>
            </numRef>
          </val>
        </ser>
        <dLbls>
          <showLegendKey val="0"/>
          <showVal val="0"/>
          <showCatName val="0"/>
          <showSerName val="0"/>
          <showPercent val="0"/>
          <showBubbleSize val="0"/>
        </dLbls>
        <gapWidth val="219"/>
        <overlap val="-27"/>
        <axId val="986129336"/>
        <axId val="986131632"/>
      </barChart>
      <dateAx>
        <axId val="98612933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Auto'!$B$7:$B$366</f>
              <numCache>
                <formatCode>#,##0</formatCode>
                <ptCount val="360"/>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'Retail Sales ex Auto'!$D$7:$D$366</f>
              <numCache>
                <formatCode>General</formatCode>
                <ptCount val="360"/>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Beverage'!$A$19:$A$366</f>
              <numCache>
                <formatCode>[$-409]mmm\-yy;@</formatCode>
                <ptCount val="348"/>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numCache>
            </numRef>
          </cat>
          <val>
            <numRef>
              <f>'Food and Beverage'!$D$19:$D$366</f>
              <numCache>
                <formatCode>0.00%</formatCode>
                <ptCount val="348"/>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numCache>
            </numRef>
          </val>
          <smooth val="0"/>
        </ser>
        <dLbls>
          <showLegendKey val="0"/>
          <showVal val="0"/>
          <showCatName val="0"/>
          <showSerName val="0"/>
          <showPercent val="0"/>
          <showBubbleSize val="0"/>
        </dLbls>
        <smooth val="0"/>
        <axId val="1033339464"/>
        <axId val="1033342744"/>
      </lineChart>
      <dateAx>
        <axId val="1033339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r>
              <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Retail'!$D$7:$D$366</f>
              <numCache>
                <formatCode>General</formatCode>
                <ptCount val="36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Housing!$B$7:$B$366</f>
              <numCache>
                <formatCode>#,##0</formatCode>
                <ptCount val="360"/>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Housing!$D$7:$D$366</f>
              <numCache>
                <formatCode>General</formatCode>
                <ptCount val="360"/>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Home'!$B$7:$B$366</f>
              <numCache>
                <formatCode>#,##0</formatCode>
                <ptCount val="360"/>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'Furniture Home'!$D$7:$D$366</f>
              <numCache>
                <formatCode>General</formatCode>
                <ptCount val="360"/>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retailers'!$B$7:$B$366</f>
              <numCache>
                <formatCode>#,##0</formatCode>
                <ptCount val="360"/>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'Miscellaneous stores retailers'!$D$7:$D$366</f>
              <numCache>
                <formatCode>General</formatCode>
                <ptCount val="360"/>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access'!$B$7:$B$366</f>
              <numCache>
                <formatCode>#,##0</formatCode>
                <ptCount val="360"/>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'Clothing and clothing access'!$D$7:$D$366</f>
              <numCache>
                <formatCode>General</formatCode>
                <ptCount val="360"/>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6" headerRowCount="1" totalsRowShown="0" headerRowDxfId="64" dataDxfId="62" headerRowBorderDxfId="63" tableBorderDxfId="61">
  <autoFilter ref="A6:D366"/>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6" headerRowCount="1" totalsRowShown="0" headerRowDxfId="56" dataDxfId="54" headerRowBorderDxfId="55" tableBorderDxfId="53">
  <autoFilter ref="A6:D366"/>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6" headerRowCount="1" totalsRowShown="0" headerRowDxfId="48" dataDxfId="46" headerRowBorderDxfId="47" tableBorderDxfId="45">
  <autoFilter ref="A6:D366"/>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6" headerRowCount="1" totalsRowShown="0" headerRowDxfId="40" headerRowBorderDxfId="39" tableBorderDxfId="38">
  <autoFilter ref="A6:D366"/>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6" headerRowCount="1" totalsRowShown="0" headerRowDxfId="33" tableBorderDxfId="32">
  <autoFilter ref="A6:D366"/>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6" headerRowCount="1" totalsRowShown="0" headerRowDxfId="27" headerRowBorderDxfId="26" tableBorderDxfId="25">
  <autoFilter ref="A6:D366"/>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6" headerRowCount="1" totalsRowShown="0" headerRowDxfId="20" headerRowBorderDxfId="19" tableBorderDxfId="18">
  <autoFilter ref="A6:D366"/>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S20" sqref="S20"/>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1"/>
    <col width="9.1640625" customWidth="1" style="122" min="22"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44501</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1"/>
  <sheetViews>
    <sheetView topLeftCell="A322"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4"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4"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4"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4"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4"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4"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4"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4"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4"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4"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4"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4"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4"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4"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4"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4"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4"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4"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4"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4"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4"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4"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4"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4"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4"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4"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4"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4"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4"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4"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4"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4"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4"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4"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4"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4"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4"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4"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4"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4"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4"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4"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4"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4"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4"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4"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4"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4"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4"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4"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4"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4"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4"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4"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4"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4"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4"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4"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4"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4"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4"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4"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4"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4"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4"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4"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4"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4"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4"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4"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4"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4"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4"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4"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4"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4"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4"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4"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4"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4"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4"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4"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4"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4"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4"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4"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4"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4"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4"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4"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4"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4"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4"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4"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4"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4"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4"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4"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4"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4"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4"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4"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4"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4"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4"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4"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4"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4"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4"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4"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4"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4"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4"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4"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4"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4"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4"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4"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4"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4"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4"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4"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4"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4"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4"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4"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4"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4"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4"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4"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4"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4"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4"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4"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4"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4"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4"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4"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4"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4"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4"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4"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4"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D15" sqref="D15"/>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5"/>
    <col width="9.1640625" customWidth="1" style="122" min="16" max="16384"/>
  </cols>
  <sheetData>
    <row r="1" ht="16" customHeight="1" s="95" thickBot="1"/>
    <row r="2">
      <c r="D2" s="4" t="inlineStr">
        <is>
          <t>Previous</t>
        </is>
      </c>
      <c r="E2" s="6">
        <f>DATE(YEAR(E3),MONTH(E3)-1,DAY(E3))</f>
        <v/>
      </c>
    </row>
    <row r="3" ht="16" customHeight="1" s="95" thickBot="1">
      <c r="D3" s="5" t="inlineStr">
        <is>
          <t>Latest</t>
        </is>
      </c>
      <c r="E3" s="7" t="n">
        <v>44501</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6"/>
  <sheetViews>
    <sheetView zoomScale="140" zoomScaleNormal="140" workbookViewId="0">
      <selection activeCell="P65" sqref="P65"/>
    </sheetView>
  </sheetViews>
  <sheetFormatPr baseColWidth="10" defaultColWidth="9.1640625" defaultRowHeight="15"/>
  <cols>
    <col width="3" customWidth="1" style="122" min="1" max="1"/>
    <col width="7.6640625" customWidth="1" style="122" min="2" max="32"/>
    <col width="9.1640625" customWidth="1" style="122" min="33" max="34"/>
    <col width="9.1640625" customWidth="1" style="122" min="35"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6">
    <cfRule type="colorScale" priority="243">
      <colorScale>
        <cfvo type="min"/>
        <cfvo type="percentile" val="50"/>
        <cfvo type="max"/>
        <color rgb="FFF8696B"/>
        <color rgb="FFFFEB84"/>
        <color rgb="FF63BE7B"/>
      </colorScale>
    </cfRule>
  </conditionalFormatting>
  <conditionalFormatting sqref="D4:D56">
    <cfRule type="colorScale" priority="244">
      <colorScale>
        <cfvo type="min"/>
        <cfvo type="percentile" val="50"/>
        <cfvo type="max"/>
        <color rgb="FFF8696B"/>
        <color rgb="FFFFEB84"/>
        <color rgb="FF63BE7B"/>
      </colorScale>
    </cfRule>
  </conditionalFormatting>
  <conditionalFormatting sqref="E4:E56">
    <cfRule type="colorScale" priority="245">
      <colorScale>
        <cfvo type="min"/>
        <cfvo type="percentile" val="50"/>
        <cfvo type="max"/>
        <color rgb="FFF8696B"/>
        <color rgb="FFFFEB84"/>
        <color rgb="FF63BE7B"/>
      </colorScale>
    </cfRule>
  </conditionalFormatting>
  <conditionalFormatting sqref="F4:F56">
    <cfRule type="colorScale" priority="246">
      <colorScale>
        <cfvo type="min"/>
        <cfvo type="percentile" val="50"/>
        <cfvo type="max"/>
        <color rgb="FFF8696B"/>
        <color rgb="FFFFEB84"/>
        <color rgb="FF63BE7B"/>
      </colorScale>
    </cfRule>
  </conditionalFormatting>
  <conditionalFormatting sqref="G4:G56">
    <cfRule type="colorScale" priority="247">
      <colorScale>
        <cfvo type="min"/>
        <cfvo type="percentile" val="50"/>
        <cfvo type="max"/>
        <color rgb="FFF8696B"/>
        <color rgb="FFFFEB84"/>
        <color rgb="FF63BE7B"/>
      </colorScale>
    </cfRule>
  </conditionalFormatting>
  <conditionalFormatting sqref="H4:H56">
    <cfRule type="colorScale" priority="248">
      <colorScale>
        <cfvo type="min"/>
        <cfvo type="percentile" val="50"/>
        <cfvo type="max"/>
        <color rgb="FFF8696B"/>
        <color rgb="FFFFEB84"/>
        <color rgb="FF63BE7B"/>
      </colorScale>
    </cfRule>
  </conditionalFormatting>
  <conditionalFormatting sqref="I4:I56">
    <cfRule type="colorScale" priority="249">
      <colorScale>
        <cfvo type="min"/>
        <cfvo type="percentile" val="50"/>
        <cfvo type="max"/>
        <color rgb="FFF8696B"/>
        <color rgb="FFFFEB84"/>
        <color rgb="FF63BE7B"/>
      </colorScale>
    </cfRule>
  </conditionalFormatting>
  <conditionalFormatting sqref="J4:J56">
    <cfRule type="colorScale" priority="250">
      <colorScale>
        <cfvo type="min"/>
        <cfvo type="percentile" val="50"/>
        <cfvo type="max"/>
        <color rgb="FFF8696B"/>
        <color rgb="FFFFEB84"/>
        <color rgb="FF63BE7B"/>
      </colorScale>
    </cfRule>
  </conditionalFormatting>
  <conditionalFormatting sqref="K4:K56">
    <cfRule type="colorScale" priority="251">
      <colorScale>
        <cfvo type="min"/>
        <cfvo type="percentile" val="50"/>
        <cfvo type="max"/>
        <color rgb="FFF8696B"/>
        <color rgb="FFFFEB84"/>
        <color rgb="FF63BE7B"/>
      </colorScale>
    </cfRule>
  </conditionalFormatting>
  <conditionalFormatting sqref="L4:L56">
    <cfRule type="colorScale" priority="252">
      <colorScale>
        <cfvo type="min"/>
        <cfvo type="percentile" val="50"/>
        <cfvo type="max"/>
        <color rgb="FFF8696B"/>
        <color rgb="FFFFEB84"/>
        <color rgb="FF63BE7B"/>
      </colorScale>
    </cfRule>
  </conditionalFormatting>
  <conditionalFormatting sqref="M4:M56">
    <cfRule type="colorScale" priority="253">
      <colorScale>
        <cfvo type="min"/>
        <cfvo type="percentile" val="50"/>
        <cfvo type="max"/>
        <color rgb="FFF8696B"/>
        <color rgb="FFFFEB84"/>
        <color rgb="FF63BE7B"/>
      </colorScale>
    </cfRule>
  </conditionalFormatting>
  <conditionalFormatting sqref="O4:O56">
    <cfRule type="colorScale" priority="254">
      <colorScale>
        <cfvo type="min"/>
        <cfvo type="percentile" val="50"/>
        <cfvo type="max"/>
        <color rgb="FFF8696B"/>
        <color rgb="FFFFEB84"/>
        <color rgb="FF63BE7B"/>
      </colorScale>
    </cfRule>
  </conditionalFormatting>
  <conditionalFormatting sqref="P4:P56">
    <cfRule type="colorScale" priority="255">
      <colorScale>
        <cfvo type="min"/>
        <cfvo type="percentile" val="50"/>
        <cfvo type="max"/>
        <color rgb="FFF8696B"/>
        <color rgb="FFFFEB84"/>
        <color rgb="FF63BE7B"/>
      </colorScale>
    </cfRule>
  </conditionalFormatting>
  <conditionalFormatting sqref="Q4:Q56">
    <cfRule type="colorScale" priority="256">
      <colorScale>
        <cfvo type="min"/>
        <cfvo type="percentile" val="50"/>
        <cfvo type="max"/>
        <color rgb="FFF8696B"/>
        <color rgb="FFFFEB84"/>
        <color rgb="FF63BE7B"/>
      </colorScale>
    </cfRule>
  </conditionalFormatting>
  <conditionalFormatting sqref="R4:R56">
    <cfRule type="colorScale" priority="257">
      <colorScale>
        <cfvo type="min"/>
        <cfvo type="percentile" val="50"/>
        <cfvo type="max"/>
        <color rgb="FFF8696B"/>
        <color rgb="FFFFEB84"/>
        <color rgb="FF63BE7B"/>
      </colorScale>
    </cfRule>
  </conditionalFormatting>
  <conditionalFormatting sqref="S4:S56">
    <cfRule type="colorScale" priority="258">
      <colorScale>
        <cfvo type="min"/>
        <cfvo type="percentile" val="50"/>
        <cfvo type="max"/>
        <color rgb="FFF8696B"/>
        <color rgb="FFFFEB84"/>
        <color rgb="FF63BE7B"/>
      </colorScale>
    </cfRule>
  </conditionalFormatting>
  <conditionalFormatting sqref="T4:T56">
    <cfRule type="colorScale" priority="259">
      <colorScale>
        <cfvo type="min"/>
        <cfvo type="percentile" val="50"/>
        <cfvo type="max"/>
        <color rgb="FFF8696B"/>
        <color rgb="FFFFEB84"/>
        <color rgb="FF63BE7B"/>
      </colorScale>
    </cfRule>
  </conditionalFormatting>
  <conditionalFormatting sqref="U4:U56">
    <cfRule type="colorScale" priority="260">
      <colorScale>
        <cfvo type="min"/>
        <cfvo type="percentile" val="50"/>
        <cfvo type="max"/>
        <color rgb="FFF8696B"/>
        <color rgb="FFFFEB84"/>
        <color rgb="FF63BE7B"/>
      </colorScale>
    </cfRule>
  </conditionalFormatting>
  <conditionalFormatting sqref="V4:V56">
    <cfRule type="colorScale" priority="261">
      <colorScale>
        <cfvo type="min"/>
        <cfvo type="percentile" val="50"/>
        <cfvo type="max"/>
        <color rgb="FFF8696B"/>
        <color rgb="FFFFEB84"/>
        <color rgb="FF63BE7B"/>
      </colorScale>
    </cfRule>
  </conditionalFormatting>
  <conditionalFormatting sqref="W4:W56">
    <cfRule type="colorScale" priority="262">
      <colorScale>
        <cfvo type="min"/>
        <cfvo type="percentile" val="50"/>
        <cfvo type="max"/>
        <color rgb="FFF8696B"/>
        <color rgb="FFFFEB84"/>
        <color rgb="FF63BE7B"/>
      </colorScale>
    </cfRule>
  </conditionalFormatting>
  <conditionalFormatting sqref="X4:X56">
    <cfRule type="colorScale" priority="265">
      <colorScale>
        <cfvo type="min"/>
        <cfvo type="percentile" val="50"/>
        <cfvo type="max"/>
        <color rgb="FFF8696B"/>
        <color rgb="FFFFEB84"/>
        <color rgb="FF63BE7B"/>
      </colorScale>
    </cfRule>
  </conditionalFormatting>
  <conditionalFormatting sqref="Y4:Y56">
    <cfRule type="colorScale" priority="268">
      <colorScale>
        <cfvo type="min"/>
        <cfvo type="percentile" val="50"/>
        <cfvo type="max"/>
        <color rgb="FFF8696B"/>
        <color rgb="FFFFEB84"/>
        <color rgb="FF63BE7B"/>
      </colorScale>
    </cfRule>
  </conditionalFormatting>
  <conditionalFormatting sqref="Z4:Z56">
    <cfRule type="colorScale" priority="269">
      <colorScale>
        <cfvo type="min"/>
        <cfvo type="percentile" val="50"/>
        <cfvo type="max"/>
        <color rgb="FFF8696B"/>
        <color rgb="FFFFEB84"/>
        <color rgb="FF63BE7B"/>
      </colorScale>
    </cfRule>
  </conditionalFormatting>
  <conditionalFormatting sqref="AA4:AA56">
    <cfRule type="colorScale" priority="270">
      <colorScale>
        <cfvo type="min"/>
        <cfvo type="percentile" val="50"/>
        <cfvo type="max"/>
        <color rgb="FFF8696B"/>
        <color rgb="FFFFEB84"/>
        <color rgb="FF63BE7B"/>
      </colorScale>
    </cfRule>
  </conditionalFormatting>
  <conditionalFormatting sqref="AB4:AB56">
    <cfRule type="colorScale" priority="271">
      <colorScale>
        <cfvo type="min"/>
        <cfvo type="percentile" val="50"/>
        <cfvo type="max"/>
        <color rgb="FFF8696B"/>
        <color rgb="FFFFEB84"/>
        <color rgb="FF63BE7B"/>
      </colorScale>
    </cfRule>
  </conditionalFormatting>
  <conditionalFormatting sqref="AC4:AC56">
    <cfRule type="colorScale" priority="272">
      <colorScale>
        <cfvo type="min"/>
        <cfvo type="percentile" val="50"/>
        <cfvo type="max"/>
        <color rgb="FFF8696B"/>
        <color rgb="FFFFEB84"/>
        <color rgb="FF63BE7B"/>
      </colorScale>
    </cfRule>
  </conditionalFormatting>
  <conditionalFormatting sqref="AD4:AD56">
    <cfRule type="colorScale" priority="273">
      <colorScale>
        <cfvo type="min"/>
        <cfvo type="percentile" val="50"/>
        <cfvo type="max"/>
        <color rgb="FFF8696B"/>
        <color rgb="FFFFEB84"/>
        <color rgb="FF63BE7B"/>
      </colorScale>
    </cfRule>
  </conditionalFormatting>
  <conditionalFormatting sqref="AE4:AE56">
    <cfRule type="colorScale" priority="274">
      <colorScale>
        <cfvo type="min"/>
        <cfvo type="percentile" val="50"/>
        <cfvo type="max"/>
        <color rgb="FFF8696B"/>
        <color rgb="FFFFEB84"/>
        <color rgb="FF63BE7B"/>
      </colorScale>
    </cfRule>
  </conditionalFormatting>
  <conditionalFormatting sqref="AF4:AF56">
    <cfRule type="colorScale" priority="275">
      <colorScale>
        <cfvo type="min"/>
        <cfvo type="percentile" val="50"/>
        <cfvo type="max"/>
        <color rgb="FFF8696B"/>
        <color rgb="FFFFEB84"/>
        <color rgb="FF63BE7B"/>
      </colorScale>
    </cfRule>
  </conditionalFormatting>
  <conditionalFormatting sqref="N4:N5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3"/>
  <sheetViews>
    <sheetView zoomScale="170" zoomScaleNormal="170" workbookViewId="0">
      <pane ySplit="6" topLeftCell="A333" activePane="bottomLeft" state="frozen"/>
      <selection pane="bottomLeft" activeCell="Q370" sqref="Q370"/>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38"/>
  <sheetViews>
    <sheetView zoomScale="160" zoomScaleNormal="160" workbookViewId="0">
      <pane ySplit="6" topLeftCell="A330" activePane="bottomLeft" state="frozen"/>
      <selection pane="bottomLeft" activeCell="U355" sqref="U355"/>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54" t="n"/>
      <c r="B367" s="14" t="n"/>
      <c r="C367" s="54" t="n"/>
      <c r="D367" s="54" t="n"/>
    </row>
    <row r="368" customFormat="1" s="122">
      <c r="A368" s="54" t="n"/>
      <c r="B368" s="14" t="n"/>
      <c r="C368" s="54" t="n"/>
      <c r="D368" s="54" t="n"/>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sheetData>
  <conditionalFormatting sqref="C8:C366">
    <cfRule type="colorScale" priority="42">
      <colorScale>
        <cfvo type="min"/>
        <cfvo type="percentile" val="50"/>
        <cfvo type="max"/>
        <color rgb="FFF8696B"/>
        <color rgb="FFFFEB84"/>
        <color rgb="FF63BE7B"/>
      </colorScale>
    </cfRule>
  </conditionalFormatting>
  <conditionalFormatting sqref="D19:D36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4"/>
  <sheetViews>
    <sheetView zoomScale="160" zoomScaleNormal="160" workbookViewId="0">
      <pane ySplit="6" topLeftCell="A336" activePane="bottomLeft" state="frozen"/>
      <selection pane="bottomLeft" activeCell="P368" sqref="P368"/>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B367" s="22" t="n"/>
    </row>
    <row r="368" customFormat="1" s="122">
      <c r="B368" s="22" t="n"/>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6"/>
  <sheetViews>
    <sheetView zoomScale="160" zoomScaleNormal="160" workbookViewId="0">
      <pane ySplit="6" topLeftCell="A332" activePane="bottomLeft" state="frozen"/>
      <selection pane="bottomLeft" activeCell="P366" sqref="P366"/>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6"/>
  <sheetViews>
    <sheetView zoomScale="200" zoomScaleNormal="200" workbookViewId="0">
      <pane ySplit="6" topLeftCell="A340" activePane="bottomLeft" state="frozen"/>
      <selection pane="bottomLeft" activeCell="CX328" sqref="CX328"/>
    </sheetView>
  </sheetViews>
  <sheetFormatPr baseColWidth="10" defaultColWidth="9.1640625" defaultRowHeight="15"/>
  <cols>
    <col width="14" customWidth="1" style="54" min="1" max="1"/>
    <col width="14.1640625" customWidth="1" style="54" min="2" max="4"/>
    <col width="9.1640625" customWidth="1" style="122" min="5" max="6"/>
    <col width="9.1640625" customWidth="1" style="122" min="7"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6"/>
  <sheetViews>
    <sheetView zoomScale="160" zoomScaleNormal="160" workbookViewId="0">
      <pane ySplit="6" topLeftCell="A335" activePane="bottomLeft" state="frozen"/>
      <selection pane="bottomLeft" activeCell="P348" sqref="P34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6"/>
  <sheetViews>
    <sheetView zoomScale="160" zoomScaleNormal="160" workbookViewId="0">
      <pane ySplit="6" topLeftCell="A331" activePane="bottomLeft" state="frozen"/>
      <selection pane="bottomLeft" activeCell="U357" sqref="U357"/>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6"/>
  <sheetViews>
    <sheetView zoomScale="150" zoomScaleNormal="150" workbookViewId="0">
      <pane ySplit="6" topLeftCell="A333" activePane="bottomLeft" state="frozen"/>
      <selection pane="bottomLeft" activeCell="F375" sqref="F375"/>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6"/>
  <sheetViews>
    <sheetView zoomScale="190" zoomScaleNormal="190" workbookViewId="0">
      <pane ySplit="6" topLeftCell="A339" activePane="bottomLeft" state="frozen"/>
      <selection pane="bottomLeft" activeCell="P360" sqref="P360"/>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6"/>
  <sheetViews>
    <sheetView zoomScale="190" zoomScaleNormal="190" workbookViewId="0">
      <pane ySplit="6" topLeftCell="A341" activePane="bottomLeft" state="frozen"/>
      <selection pane="bottomLeft" activeCell="Q352" sqref="Q352"/>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sheetData>
  <conditionalFormatting sqref="D19:D366">
    <cfRule type="colorScale" priority="1">
      <colorScale>
        <cfvo type="min"/>
        <cfvo type="percentile" val="50"/>
        <cfvo type="max"/>
        <color rgb="FFF8696B"/>
        <color rgb="FFFFEB84"/>
        <color rgb="FF63BE7B"/>
      </colorScale>
    </cfRule>
  </conditionalFormatting>
  <conditionalFormatting sqref="C8:C36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6"/>
  <sheetViews>
    <sheetView topLeftCell="B1" zoomScale="200" zoomScaleNormal="200" workbookViewId="0">
      <pane ySplit="6" topLeftCell="A346" activePane="bottomLeft" state="frozen"/>
      <selection pane="bottomLeft" activeCell="O344" sqref="O344"/>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50">
      <colorScale>
        <cfvo type="min"/>
        <cfvo type="percentile" val="50"/>
        <cfvo type="max"/>
        <color rgb="FFF8696B"/>
        <color rgb="FFFFEB84"/>
        <color rgb="FF63BE7B"/>
      </colorScale>
    </cfRule>
  </conditionalFormatting>
  <conditionalFormatting sqref="C8:C36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6"/>
  <sheetViews>
    <sheetView zoomScale="200" zoomScaleNormal="200" workbookViewId="0">
      <pane ySplit="6" topLeftCell="A338" activePane="bottomLeft" state="frozen"/>
      <selection pane="bottomLeft" activeCell="Q351" sqref="Q351"/>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6"/>
    <col width="9.1640625" customWidth="1" style="122" min="7"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sheetData>
  <conditionalFormatting sqref="D19:D366">
    <cfRule type="colorScale" priority="48">
      <colorScale>
        <cfvo type="min"/>
        <cfvo type="percentile" val="50"/>
        <cfvo type="max"/>
        <color rgb="FFF8696B"/>
        <color rgb="FFFFEB84"/>
        <color rgb="FF63BE7B"/>
      </colorScale>
    </cfRule>
  </conditionalFormatting>
  <conditionalFormatting sqref="C8:C36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6"/>
  <sheetViews>
    <sheetView zoomScale="210" zoomScaleNormal="210" workbookViewId="0">
      <pane ySplit="6" topLeftCell="A347" activePane="bottomLeft" state="frozen"/>
      <selection pane="bottomLeft" activeCell="P351" sqref="P351"/>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sheetData>
  <conditionalFormatting sqref="D19:D366">
    <cfRule type="colorScale" priority="46">
      <colorScale>
        <cfvo type="min"/>
        <cfvo type="percentile" val="50"/>
        <cfvo type="max"/>
        <color rgb="FFF8696B"/>
        <color rgb="FFFFEB84"/>
        <color rgb="FF63BE7B"/>
      </colorScale>
    </cfRule>
  </conditionalFormatting>
  <conditionalFormatting sqref="C8:C36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6"/>
  <sheetViews>
    <sheetView zoomScale="170" zoomScaleNormal="170" workbookViewId="0">
      <pane ySplit="6" topLeftCell="A339" activePane="bottomLeft" state="frozen"/>
      <selection pane="bottomLeft" activeCell="Q356" sqref="Q35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sheetData>
  <conditionalFormatting sqref="D19:D366">
    <cfRule type="colorScale" priority="44">
      <colorScale>
        <cfvo type="min"/>
        <cfvo type="percentile" val="50"/>
        <cfvo type="max"/>
        <color rgb="FFF8696B"/>
        <color rgb="FFFFEB84"/>
        <color rgb="FF63BE7B"/>
      </colorScale>
    </cfRule>
  </conditionalFormatting>
  <conditionalFormatting sqref="C8:C36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6"/>
  <sheetViews>
    <sheetView zoomScale="190" zoomScaleNormal="190" workbookViewId="0">
      <pane ySplit="6" topLeftCell="A336" activePane="bottomLeft" state="frozen"/>
      <selection pane="bottomLeft" activeCell="O363" sqref="O363"/>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6"/>
    <col width="9.1640625" customWidth="1" style="122" min="7"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sheetData>
  <conditionalFormatting sqref="C8:C366">
    <cfRule type="colorScale" priority="2">
      <colorScale>
        <cfvo type="min"/>
        <cfvo type="percentile" val="50"/>
        <cfvo type="max"/>
        <color rgb="FFF8696B"/>
        <color rgb="FFFFEB84"/>
        <color rgb="FF63BE7B"/>
      </colorScale>
    </cfRule>
  </conditionalFormatting>
  <conditionalFormatting sqref="D19:D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2022-01-26T09:05:09Z</dcterms:modified>
  <cp:lastModifiedBy>Mark Mukherjee</cp:lastModifiedBy>
</cp:coreProperties>
</file>